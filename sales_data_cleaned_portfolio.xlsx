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X1 YOGA\Documents\"/>
    </mc:Choice>
  </mc:AlternateContent>
  <xr:revisionPtr revIDLastSave="0" documentId="8_{7F6F021C-6291-4915-81A1-3FEDEB0FD0C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Raw_Copy" sheetId="2" r:id="rId1"/>
    <sheet name="Cleaned_Working" sheetId="1" r:id="rId2"/>
    <sheet name="Pivot_Analysis(Archive  Social)" sheetId="10" r:id="rId3"/>
    <sheet name="Pivot_Analysis" sheetId="16" r:id="rId4"/>
    <sheet name="DASHBOARD" sheetId="20" r:id="rId5"/>
    <sheet name="Cleaned_Final" sheetId="6" r:id="rId6"/>
    <sheet name="Sheet1" sheetId="11" r:id="rId7"/>
    <sheet name="Cleaning_Notes" sheetId="3" r:id="rId8"/>
  </sheets>
  <calcPr calcId="191029"/>
  <pivotCaches>
    <pivotCache cacheId="0" r:id="rId9"/>
    <pivotCache cacheId="1" r:id="rId10"/>
    <pivotCache cacheId="2" r:id="rId11"/>
    <pivotCache cacheId="3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 s="1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 s="1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 s="1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 s="1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 s="1"/>
  <c r="E528" i="6" a="1"/>
  <c r="E528" i="6" s="1"/>
  <c r="E529" i="6" a="1"/>
  <c r="E529" i="6" s="1"/>
  <c r="E530" i="6" a="1"/>
  <c r="E530" i="6" s="1"/>
  <c r="E531" i="6" a="1"/>
  <c r="E531" i="6" s="1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 s="1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 s="1"/>
  <c r="E613" i="6" a="1"/>
  <c r="E613" i="6" s="1"/>
  <c r="E614" i="6" a="1"/>
  <c r="E614" i="6" s="1"/>
  <c r="E615" i="6" a="1"/>
  <c r="E615" i="6" s="1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 s="1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 s="1"/>
  <c r="E661" i="6" a="1"/>
  <c r="E661" i="6" s="1"/>
  <c r="E662" i="6" a="1"/>
  <c r="E662" i="6" s="1"/>
  <c r="E663" i="6" a="1"/>
  <c r="E663" i="6" s="1"/>
  <c r="E664" i="6" a="1"/>
  <c r="E664" i="6" s="1"/>
  <c r="E665" i="6" a="1"/>
  <c r="E665" i="6" s="1"/>
  <c r="E666" i="6" a="1"/>
  <c r="E666" i="6" s="1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 s="1"/>
  <c r="E683" i="6" a="1"/>
  <c r="E683" i="6" s="1"/>
  <c r="E684" i="6" a="1"/>
  <c r="E684" i="6" s="1"/>
  <c r="E685" i="6" a="1"/>
  <c r="E685" i="6" s="1"/>
  <c r="E686" i="6" a="1"/>
  <c r="E686" i="6" s="1"/>
  <c r="E687" i="6" a="1"/>
  <c r="E687" i="6" s="1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 s="1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 s="1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 s="1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 s="1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 s="1"/>
  <c r="E788" i="6" a="1"/>
  <c r="E788" i="6" s="1"/>
  <c r="E789" i="6" a="1"/>
  <c r="E789" i="6" s="1"/>
  <c r="E790" i="6" a="1"/>
  <c r="E790" i="6" s="1"/>
  <c r="E791" i="6" a="1"/>
  <c r="E791" i="6" s="1"/>
  <c r="E792" i="6" a="1"/>
  <c r="E792" i="6" s="1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 s="1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 s="1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 s="1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 s="1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 s="1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 s="1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 s="1"/>
  <c r="E1000" i="6" a="1"/>
  <c r="E1000" i="6" s="1"/>
  <c r="E1001" i="6" a="1"/>
  <c r="E1001" i="6" s="1"/>
  <c r="G2" i="6"/>
  <c r="H2" i="6" s="1"/>
  <c r="G3" i="6"/>
  <c r="H3" i="6" s="1"/>
  <c r="G4" i="6"/>
  <c r="H4" i="6" s="1"/>
  <c r="G5" i="6"/>
  <c r="H5" i="6" s="1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H146" i="6" s="1"/>
  <c r="G147" i="6"/>
  <c r="H147" i="6" s="1"/>
  <c r="G148" i="6"/>
  <c r="H148" i="6" s="1"/>
  <c r="G149" i="6"/>
  <c r="H149" i="6" s="1"/>
  <c r="G150" i="6"/>
  <c r="H150" i="6" s="1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H160" i="6" s="1"/>
  <c r="G161" i="6"/>
  <c r="H161" i="6" s="1"/>
  <c r="G162" i="6"/>
  <c r="H162" i="6" s="1"/>
  <c r="G163" i="6"/>
  <c r="H163" i="6" s="1"/>
  <c r="G164" i="6"/>
  <c r="H164" i="6" s="1"/>
  <c r="G165" i="6"/>
  <c r="H165" i="6" s="1"/>
  <c r="G166" i="6"/>
  <c r="H166" i="6" s="1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H176" i="6" s="1"/>
  <c r="G177" i="6"/>
  <c r="H177" i="6" s="1"/>
  <c r="G178" i="6"/>
  <c r="H178" i="6" s="1"/>
  <c r="G179" i="6"/>
  <c r="H179" i="6" s="1"/>
  <c r="G180" i="6"/>
  <c r="H180" i="6" s="1"/>
  <c r="G181" i="6"/>
  <c r="H181" i="6" s="1"/>
  <c r="G182" i="6"/>
  <c r="H182" i="6" s="1"/>
  <c r="G183" i="6"/>
  <c r="H183" i="6" s="1"/>
  <c r="G184" i="6"/>
  <c r="H184" i="6" s="1"/>
  <c r="G185" i="6"/>
  <c r="H185" i="6" s="1"/>
  <c r="G186" i="6"/>
  <c r="H186" i="6" s="1"/>
  <c r="G187" i="6"/>
  <c r="H187" i="6" s="1"/>
  <c r="G188" i="6"/>
  <c r="H188" i="6" s="1"/>
  <c r="G189" i="6"/>
  <c r="H189" i="6" s="1"/>
  <c r="G190" i="6"/>
  <c r="H190" i="6" s="1"/>
  <c r="G191" i="6"/>
  <c r="H191" i="6" s="1"/>
  <c r="G192" i="6"/>
  <c r="H192" i="6" s="1"/>
  <c r="G193" i="6"/>
  <c r="H193" i="6" s="1"/>
  <c r="G194" i="6"/>
  <c r="H194" i="6" s="1"/>
  <c r="G195" i="6"/>
  <c r="H195" i="6" s="1"/>
  <c r="G196" i="6"/>
  <c r="H196" i="6" s="1"/>
  <c r="G197" i="6"/>
  <c r="H197" i="6" s="1"/>
  <c r="G198" i="6"/>
  <c r="H198" i="6" s="1"/>
  <c r="G199" i="6"/>
  <c r="H199" i="6" s="1"/>
  <c r="G200" i="6"/>
  <c r="H200" i="6" s="1"/>
  <c r="G201" i="6"/>
  <c r="H201" i="6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H208" i="6" s="1"/>
  <c r="G209" i="6"/>
  <c r="H209" i="6" s="1"/>
  <c r="G210" i="6"/>
  <c r="H210" i="6" s="1"/>
  <c r="G211" i="6"/>
  <c r="H211" i="6" s="1"/>
  <c r="G212" i="6"/>
  <c r="H212" i="6" s="1"/>
  <c r="G213" i="6"/>
  <c r="H213" i="6" s="1"/>
  <c r="G214" i="6"/>
  <c r="H214" i="6" s="1"/>
  <c r="G215" i="6"/>
  <c r="H215" i="6" s="1"/>
  <c r="G216" i="6"/>
  <c r="H216" i="6" s="1"/>
  <c r="G217" i="6"/>
  <c r="H217" i="6" s="1"/>
  <c r="G218" i="6"/>
  <c r="H218" i="6" s="1"/>
  <c r="G219" i="6"/>
  <c r="H219" i="6" s="1"/>
  <c r="G220" i="6"/>
  <c r="H220" i="6" s="1"/>
  <c r="G221" i="6"/>
  <c r="H221" i="6" s="1"/>
  <c r="G222" i="6"/>
  <c r="H222" i="6" s="1"/>
  <c r="G223" i="6"/>
  <c r="H223" i="6" s="1"/>
  <c r="G224" i="6"/>
  <c r="H224" i="6" s="1"/>
  <c r="G225" i="6"/>
  <c r="H225" i="6" s="1"/>
  <c r="G226" i="6"/>
  <c r="H226" i="6" s="1"/>
  <c r="G227" i="6"/>
  <c r="H227" i="6" s="1"/>
  <c r="G228" i="6"/>
  <c r="H228" i="6" s="1"/>
  <c r="G229" i="6"/>
  <c r="H229" i="6" s="1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H235" i="6" s="1"/>
  <c r="G236" i="6"/>
  <c r="H236" i="6" s="1"/>
  <c r="G237" i="6"/>
  <c r="H237" i="6" s="1"/>
  <c r="G238" i="6"/>
  <c r="H238" i="6" s="1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H256" i="6" s="1"/>
  <c r="G257" i="6"/>
  <c r="H257" i="6" s="1"/>
  <c r="G258" i="6"/>
  <c r="H258" i="6" s="1"/>
  <c r="G259" i="6"/>
  <c r="H259" i="6" s="1"/>
  <c r="G260" i="6"/>
  <c r="H260" i="6" s="1"/>
  <c r="G261" i="6"/>
  <c r="H261" i="6" s="1"/>
  <c r="G262" i="6"/>
  <c r="H262" i="6" s="1"/>
  <c r="G263" i="6"/>
  <c r="H263" i="6" s="1"/>
  <c r="G264" i="6"/>
  <c r="H264" i="6" s="1"/>
  <c r="G265" i="6"/>
  <c r="H265" i="6" s="1"/>
  <c r="G266" i="6"/>
  <c r="H266" i="6" s="1"/>
  <c r="G267" i="6"/>
  <c r="H267" i="6" s="1"/>
  <c r="G268" i="6"/>
  <c r="H268" i="6" s="1"/>
  <c r="G269" i="6"/>
  <c r="H269" i="6" s="1"/>
  <c r="G270" i="6"/>
  <c r="H270" i="6" s="1"/>
  <c r="G271" i="6"/>
  <c r="H271" i="6" s="1"/>
  <c r="G272" i="6"/>
  <c r="H272" i="6" s="1"/>
  <c r="G273" i="6"/>
  <c r="H273" i="6" s="1"/>
  <c r="G274" i="6"/>
  <c r="H274" i="6" s="1"/>
  <c r="G275" i="6"/>
  <c r="H275" i="6" s="1"/>
  <c r="G276" i="6"/>
  <c r="H276" i="6" s="1"/>
  <c r="G277" i="6"/>
  <c r="H277" i="6" s="1"/>
  <c r="G278" i="6"/>
  <c r="H278" i="6" s="1"/>
  <c r="G279" i="6"/>
  <c r="H279" i="6" s="1"/>
  <c r="G280" i="6"/>
  <c r="H280" i="6" s="1"/>
  <c r="G281" i="6"/>
  <c r="H281" i="6" s="1"/>
  <c r="G282" i="6"/>
  <c r="H282" i="6" s="1"/>
  <c r="G283" i="6"/>
  <c r="H283" i="6" s="1"/>
  <c r="G284" i="6"/>
  <c r="H284" i="6" s="1"/>
  <c r="G285" i="6"/>
  <c r="H285" i="6" s="1"/>
  <c r="G286" i="6"/>
  <c r="H286" i="6" s="1"/>
  <c r="G287" i="6"/>
  <c r="H287" i="6" s="1"/>
  <c r="G288" i="6"/>
  <c r="H288" i="6" s="1"/>
  <c r="G289" i="6"/>
  <c r="H289" i="6" s="1"/>
  <c r="G290" i="6"/>
  <c r="H290" i="6" s="1"/>
  <c r="G291" i="6"/>
  <c r="H291" i="6" s="1"/>
  <c r="G292" i="6"/>
  <c r="H292" i="6" s="1"/>
  <c r="G293" i="6"/>
  <c r="H293" i="6" s="1"/>
  <c r="G294" i="6"/>
  <c r="H294" i="6" s="1"/>
  <c r="G295" i="6"/>
  <c r="H295" i="6" s="1"/>
  <c r="G296" i="6"/>
  <c r="H296" i="6" s="1"/>
  <c r="G297" i="6"/>
  <c r="H297" i="6" s="1"/>
  <c r="G298" i="6"/>
  <c r="H298" i="6" s="1"/>
  <c r="G299" i="6"/>
  <c r="H299" i="6" s="1"/>
  <c r="G300" i="6"/>
  <c r="H300" i="6" s="1"/>
  <c r="G301" i="6"/>
  <c r="H301" i="6" s="1"/>
  <c r="G302" i="6"/>
  <c r="H302" i="6" s="1"/>
  <c r="G303" i="6"/>
  <c r="H303" i="6" s="1"/>
  <c r="G304" i="6"/>
  <c r="H304" i="6" s="1"/>
  <c r="G305" i="6"/>
  <c r="H305" i="6" s="1"/>
  <c r="G306" i="6"/>
  <c r="H306" i="6" s="1"/>
  <c r="G307" i="6"/>
  <c r="H307" i="6" s="1"/>
  <c r="G308" i="6"/>
  <c r="H308" i="6" s="1"/>
  <c r="G309" i="6"/>
  <c r="H309" i="6" s="1"/>
  <c r="G310" i="6"/>
  <c r="H310" i="6" s="1"/>
  <c r="G311" i="6"/>
  <c r="H311" i="6" s="1"/>
  <c r="G312" i="6"/>
  <c r="H312" i="6" s="1"/>
  <c r="G313" i="6"/>
  <c r="H313" i="6" s="1"/>
  <c r="G314" i="6"/>
  <c r="H314" i="6" s="1"/>
  <c r="G315" i="6"/>
  <c r="H315" i="6" s="1"/>
  <c r="G316" i="6"/>
  <c r="H316" i="6" s="1"/>
  <c r="G317" i="6"/>
  <c r="H317" i="6" s="1"/>
  <c r="G318" i="6"/>
  <c r="H318" i="6" s="1"/>
  <c r="G319" i="6"/>
  <c r="H319" i="6" s="1"/>
  <c r="G320" i="6"/>
  <c r="H320" i="6" s="1"/>
  <c r="G321" i="6"/>
  <c r="H321" i="6" s="1"/>
  <c r="G322" i="6"/>
  <c r="H322" i="6" s="1"/>
  <c r="G323" i="6"/>
  <c r="H323" i="6" s="1"/>
  <c r="G324" i="6"/>
  <c r="H324" i="6" s="1"/>
  <c r="G325" i="6"/>
  <c r="H325" i="6" s="1"/>
  <c r="G326" i="6"/>
  <c r="H326" i="6" s="1"/>
  <c r="G327" i="6"/>
  <c r="H327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H336" i="6" s="1"/>
  <c r="G337" i="6"/>
  <c r="H337" i="6" s="1"/>
  <c r="G338" i="6"/>
  <c r="H338" i="6" s="1"/>
  <c r="G339" i="6"/>
  <c r="H339" i="6" s="1"/>
  <c r="G340" i="6"/>
  <c r="H340" i="6" s="1"/>
  <c r="G341" i="6"/>
  <c r="H341" i="6" s="1"/>
  <c r="G342" i="6"/>
  <c r="H342" i="6" s="1"/>
  <c r="G343" i="6"/>
  <c r="H343" i="6" s="1"/>
  <c r="G344" i="6"/>
  <c r="H344" i="6" s="1"/>
  <c r="G345" i="6"/>
  <c r="H345" i="6" s="1"/>
  <c r="G346" i="6"/>
  <c r="H346" i="6" s="1"/>
  <c r="G347" i="6"/>
  <c r="H347" i="6" s="1"/>
  <c r="G348" i="6"/>
  <c r="H348" i="6" s="1"/>
  <c r="G349" i="6"/>
  <c r="H349" i="6" s="1"/>
  <c r="G350" i="6"/>
  <c r="H350" i="6" s="1"/>
  <c r="G351" i="6"/>
  <c r="H351" i="6" s="1"/>
  <c r="G352" i="6"/>
  <c r="H352" i="6" s="1"/>
  <c r="G353" i="6"/>
  <c r="H353" i="6" s="1"/>
  <c r="G354" i="6"/>
  <c r="H354" i="6" s="1"/>
  <c r="G355" i="6"/>
  <c r="H355" i="6" s="1"/>
  <c r="G356" i="6"/>
  <c r="H356" i="6" s="1"/>
  <c r="G357" i="6"/>
  <c r="H357" i="6" s="1"/>
  <c r="G358" i="6"/>
  <c r="H358" i="6" s="1"/>
  <c r="G359" i="6"/>
  <c r="H359" i="6" s="1"/>
  <c r="G360" i="6"/>
  <c r="H360" i="6" s="1"/>
  <c r="G361" i="6"/>
  <c r="H361" i="6" s="1"/>
  <c r="G362" i="6"/>
  <c r="H362" i="6" s="1"/>
  <c r="G363" i="6"/>
  <c r="H363" i="6" s="1"/>
  <c r="G364" i="6"/>
  <c r="H364" i="6" s="1"/>
  <c r="G365" i="6"/>
  <c r="H365" i="6" s="1"/>
  <c r="G366" i="6"/>
  <c r="H366" i="6" s="1"/>
  <c r="G367" i="6"/>
  <c r="H367" i="6" s="1"/>
  <c r="G368" i="6"/>
  <c r="H368" i="6" s="1"/>
  <c r="G369" i="6"/>
  <c r="H369" i="6" s="1"/>
  <c r="G370" i="6"/>
  <c r="H370" i="6" s="1"/>
  <c r="G371" i="6"/>
  <c r="H371" i="6" s="1"/>
  <c r="G372" i="6"/>
  <c r="H372" i="6" s="1"/>
  <c r="G373" i="6"/>
  <c r="H373" i="6" s="1"/>
  <c r="G374" i="6"/>
  <c r="H374" i="6" s="1"/>
  <c r="G375" i="6"/>
  <c r="H375" i="6" s="1"/>
  <c r="G376" i="6"/>
  <c r="H376" i="6" s="1"/>
  <c r="G377" i="6"/>
  <c r="H377" i="6" s="1"/>
  <c r="G378" i="6"/>
  <c r="H378" i="6" s="1"/>
  <c r="G379" i="6"/>
  <c r="H379" i="6" s="1"/>
  <c r="G380" i="6"/>
  <c r="H380" i="6" s="1"/>
  <c r="G381" i="6"/>
  <c r="H381" i="6" s="1"/>
  <c r="G382" i="6"/>
  <c r="H382" i="6" s="1"/>
  <c r="G383" i="6"/>
  <c r="H383" i="6" s="1"/>
  <c r="G384" i="6"/>
  <c r="H384" i="6" s="1"/>
  <c r="G385" i="6"/>
  <c r="H385" i="6" s="1"/>
  <c r="G386" i="6"/>
  <c r="H386" i="6" s="1"/>
  <c r="G387" i="6"/>
  <c r="H387" i="6" s="1"/>
  <c r="G388" i="6"/>
  <c r="H388" i="6" s="1"/>
  <c r="G389" i="6"/>
  <c r="H389" i="6" s="1"/>
  <c r="G390" i="6"/>
  <c r="H390" i="6" s="1"/>
  <c r="G391" i="6"/>
  <c r="H391" i="6" s="1"/>
  <c r="G392" i="6"/>
  <c r="H392" i="6" s="1"/>
  <c r="G393" i="6"/>
  <c r="H393" i="6" s="1"/>
  <c r="G394" i="6"/>
  <c r="H394" i="6" s="1"/>
  <c r="G395" i="6"/>
  <c r="H395" i="6" s="1"/>
  <c r="G396" i="6"/>
  <c r="H396" i="6" s="1"/>
  <c r="G397" i="6"/>
  <c r="H397" i="6" s="1"/>
  <c r="G398" i="6"/>
  <c r="H398" i="6" s="1"/>
  <c r="G399" i="6"/>
  <c r="H399" i="6" s="1"/>
  <c r="G400" i="6"/>
  <c r="H400" i="6" s="1"/>
  <c r="G401" i="6"/>
  <c r="H401" i="6" s="1"/>
  <c r="G402" i="6"/>
  <c r="H402" i="6" s="1"/>
  <c r="G403" i="6"/>
  <c r="H403" i="6" s="1"/>
  <c r="G404" i="6"/>
  <c r="H404" i="6" s="1"/>
  <c r="G405" i="6"/>
  <c r="H405" i="6" s="1"/>
  <c r="G406" i="6"/>
  <c r="H406" i="6" s="1"/>
  <c r="G407" i="6"/>
  <c r="H407" i="6" s="1"/>
  <c r="G408" i="6"/>
  <c r="H408" i="6" s="1"/>
  <c r="G409" i="6"/>
  <c r="H409" i="6" s="1"/>
  <c r="G410" i="6"/>
  <c r="H410" i="6" s="1"/>
  <c r="G411" i="6"/>
  <c r="H411" i="6" s="1"/>
  <c r="G412" i="6"/>
  <c r="H412" i="6" s="1"/>
  <c r="G413" i="6"/>
  <c r="H413" i="6" s="1"/>
  <c r="G414" i="6"/>
  <c r="H414" i="6" s="1"/>
  <c r="G415" i="6"/>
  <c r="H415" i="6" s="1"/>
  <c r="G416" i="6"/>
  <c r="H416" i="6" s="1"/>
  <c r="G417" i="6"/>
  <c r="H417" i="6" s="1"/>
  <c r="G418" i="6"/>
  <c r="H418" i="6" s="1"/>
  <c r="G419" i="6"/>
  <c r="H419" i="6" s="1"/>
  <c r="G420" i="6"/>
  <c r="H420" i="6" s="1"/>
  <c r="G421" i="6"/>
  <c r="H421" i="6" s="1"/>
  <c r="G422" i="6"/>
  <c r="H422" i="6" s="1"/>
  <c r="G423" i="6"/>
  <c r="H423" i="6" s="1"/>
  <c r="G424" i="6"/>
  <c r="H424" i="6" s="1"/>
  <c r="G425" i="6"/>
  <c r="H425" i="6" s="1"/>
  <c r="G426" i="6"/>
  <c r="H426" i="6" s="1"/>
  <c r="G427" i="6"/>
  <c r="H427" i="6" s="1"/>
  <c r="G428" i="6"/>
  <c r="H428" i="6" s="1"/>
  <c r="G429" i="6"/>
  <c r="H429" i="6" s="1"/>
  <c r="G430" i="6"/>
  <c r="H430" i="6" s="1"/>
  <c r="G431" i="6"/>
  <c r="H431" i="6" s="1"/>
  <c r="G432" i="6"/>
  <c r="H432" i="6" s="1"/>
  <c r="G433" i="6"/>
  <c r="H433" i="6" s="1"/>
  <c r="G434" i="6"/>
  <c r="H434" i="6" s="1"/>
  <c r="G435" i="6"/>
  <c r="H435" i="6" s="1"/>
  <c r="G436" i="6"/>
  <c r="H436" i="6" s="1"/>
  <c r="G437" i="6"/>
  <c r="H437" i="6" s="1"/>
  <c r="G438" i="6"/>
  <c r="H438" i="6" s="1"/>
  <c r="G439" i="6"/>
  <c r="H439" i="6" s="1"/>
  <c r="G440" i="6"/>
  <c r="H440" i="6" s="1"/>
  <c r="G441" i="6"/>
  <c r="H441" i="6" s="1"/>
  <c r="G442" i="6"/>
  <c r="H442" i="6" s="1"/>
  <c r="G443" i="6"/>
  <c r="H443" i="6" s="1"/>
  <c r="G444" i="6"/>
  <c r="H444" i="6" s="1"/>
  <c r="G445" i="6"/>
  <c r="H445" i="6" s="1"/>
  <c r="G446" i="6"/>
  <c r="H446" i="6" s="1"/>
  <c r="G447" i="6"/>
  <c r="H447" i="6" s="1"/>
  <c r="G448" i="6"/>
  <c r="H448" i="6" s="1"/>
  <c r="G449" i="6"/>
  <c r="H449" i="6" s="1"/>
  <c r="G450" i="6"/>
  <c r="H450" i="6" s="1"/>
  <c r="G451" i="6"/>
  <c r="H451" i="6" s="1"/>
  <c r="G452" i="6"/>
  <c r="H452" i="6" s="1"/>
  <c r="G453" i="6"/>
  <c r="H453" i="6" s="1"/>
  <c r="G454" i="6"/>
  <c r="H454" i="6" s="1"/>
  <c r="G455" i="6"/>
  <c r="H455" i="6" s="1"/>
  <c r="G456" i="6"/>
  <c r="H456" i="6" s="1"/>
  <c r="G457" i="6"/>
  <c r="H457" i="6" s="1"/>
  <c r="G458" i="6"/>
  <c r="H458" i="6" s="1"/>
  <c r="G459" i="6"/>
  <c r="H459" i="6" s="1"/>
  <c r="G460" i="6"/>
  <c r="H460" i="6" s="1"/>
  <c r="G461" i="6"/>
  <c r="H461" i="6" s="1"/>
  <c r="G462" i="6"/>
  <c r="H462" i="6" s="1"/>
  <c r="G463" i="6"/>
  <c r="H463" i="6" s="1"/>
  <c r="G464" i="6"/>
  <c r="H464" i="6" s="1"/>
  <c r="G465" i="6"/>
  <c r="H465" i="6" s="1"/>
  <c r="G466" i="6"/>
  <c r="H466" i="6" s="1"/>
  <c r="G467" i="6"/>
  <c r="H467" i="6" s="1"/>
  <c r="G468" i="6"/>
  <c r="H468" i="6" s="1"/>
  <c r="G469" i="6"/>
  <c r="H469" i="6" s="1"/>
  <c r="G470" i="6"/>
  <c r="H470" i="6" s="1"/>
  <c r="G471" i="6"/>
  <c r="H471" i="6" s="1"/>
  <c r="G472" i="6"/>
  <c r="H472" i="6" s="1"/>
  <c r="G473" i="6"/>
  <c r="H473" i="6" s="1"/>
  <c r="G474" i="6"/>
  <c r="H474" i="6" s="1"/>
  <c r="G475" i="6"/>
  <c r="H475" i="6" s="1"/>
  <c r="G476" i="6"/>
  <c r="H476" i="6" s="1"/>
  <c r="G477" i="6"/>
  <c r="H477" i="6" s="1"/>
  <c r="G478" i="6"/>
  <c r="H478" i="6" s="1"/>
  <c r="G479" i="6"/>
  <c r="H479" i="6" s="1"/>
  <c r="G480" i="6"/>
  <c r="H480" i="6" s="1"/>
  <c r="G481" i="6"/>
  <c r="H481" i="6" s="1"/>
  <c r="G482" i="6"/>
  <c r="H482" i="6" s="1"/>
  <c r="G483" i="6"/>
  <c r="H483" i="6" s="1"/>
  <c r="G484" i="6"/>
  <c r="H484" i="6" s="1"/>
  <c r="G485" i="6"/>
  <c r="H485" i="6" s="1"/>
  <c r="G486" i="6"/>
  <c r="H486" i="6" s="1"/>
  <c r="G487" i="6"/>
  <c r="H487" i="6" s="1"/>
  <c r="G488" i="6"/>
  <c r="H488" i="6" s="1"/>
  <c r="G489" i="6"/>
  <c r="H489" i="6" s="1"/>
  <c r="G490" i="6"/>
  <c r="H490" i="6" s="1"/>
  <c r="G491" i="6"/>
  <c r="H491" i="6" s="1"/>
  <c r="G492" i="6"/>
  <c r="H492" i="6" s="1"/>
  <c r="G493" i="6"/>
  <c r="H493" i="6" s="1"/>
  <c r="G494" i="6"/>
  <c r="H494" i="6" s="1"/>
  <c r="G495" i="6"/>
  <c r="H495" i="6" s="1"/>
  <c r="G496" i="6"/>
  <c r="H496" i="6" s="1"/>
  <c r="G497" i="6"/>
  <c r="H497" i="6" s="1"/>
  <c r="G498" i="6"/>
  <c r="H498" i="6" s="1"/>
  <c r="G499" i="6"/>
  <c r="H499" i="6" s="1"/>
  <c r="G500" i="6"/>
  <c r="H500" i="6" s="1"/>
  <c r="G501" i="6"/>
  <c r="H501" i="6" s="1"/>
  <c r="G502" i="6"/>
  <c r="H502" i="6" s="1"/>
  <c r="G503" i="6"/>
  <c r="H503" i="6" s="1"/>
  <c r="G504" i="6"/>
  <c r="H504" i="6" s="1"/>
  <c r="G505" i="6"/>
  <c r="H505" i="6" s="1"/>
  <c r="G506" i="6"/>
  <c r="H506" i="6" s="1"/>
  <c r="G507" i="6"/>
  <c r="H507" i="6" s="1"/>
  <c r="G508" i="6"/>
  <c r="H508" i="6" s="1"/>
  <c r="G509" i="6"/>
  <c r="H509" i="6" s="1"/>
  <c r="G510" i="6"/>
  <c r="H510" i="6" s="1"/>
  <c r="G511" i="6"/>
  <c r="H511" i="6" s="1"/>
  <c r="G512" i="6"/>
  <c r="H512" i="6" s="1"/>
  <c r="G513" i="6"/>
  <c r="H513" i="6" s="1"/>
  <c r="G514" i="6"/>
  <c r="H514" i="6" s="1"/>
  <c r="G515" i="6"/>
  <c r="H515" i="6" s="1"/>
  <c r="G516" i="6"/>
  <c r="H516" i="6" s="1"/>
  <c r="G517" i="6"/>
  <c r="H517" i="6" s="1"/>
  <c r="G518" i="6"/>
  <c r="H518" i="6" s="1"/>
  <c r="G519" i="6"/>
  <c r="H519" i="6" s="1"/>
  <c r="G520" i="6"/>
  <c r="H520" i="6" s="1"/>
  <c r="G521" i="6"/>
  <c r="H521" i="6" s="1"/>
  <c r="G522" i="6"/>
  <c r="H522" i="6" s="1"/>
  <c r="G523" i="6"/>
  <c r="H523" i="6" s="1"/>
  <c r="G524" i="6"/>
  <c r="H524" i="6" s="1"/>
  <c r="G525" i="6"/>
  <c r="H525" i="6" s="1"/>
  <c r="G526" i="6"/>
  <c r="H526" i="6" s="1"/>
  <c r="G527" i="6"/>
  <c r="H527" i="6" s="1"/>
  <c r="G528" i="6"/>
  <c r="H528" i="6" s="1"/>
  <c r="G529" i="6"/>
  <c r="H529" i="6" s="1"/>
  <c r="G530" i="6"/>
  <c r="H530" i="6" s="1"/>
  <c r="G531" i="6"/>
  <c r="H531" i="6" s="1"/>
  <c r="G532" i="6"/>
  <c r="H532" i="6" s="1"/>
  <c r="G533" i="6"/>
  <c r="H533" i="6" s="1"/>
  <c r="G534" i="6"/>
  <c r="H534" i="6" s="1"/>
  <c r="G535" i="6"/>
  <c r="H535" i="6" s="1"/>
  <c r="G536" i="6"/>
  <c r="H536" i="6" s="1"/>
  <c r="G537" i="6"/>
  <c r="H537" i="6" s="1"/>
  <c r="G538" i="6"/>
  <c r="H538" i="6" s="1"/>
  <c r="G539" i="6"/>
  <c r="H539" i="6" s="1"/>
  <c r="G540" i="6"/>
  <c r="H540" i="6" s="1"/>
  <c r="G541" i="6"/>
  <c r="H541" i="6" s="1"/>
  <c r="G542" i="6"/>
  <c r="H542" i="6" s="1"/>
  <c r="G543" i="6"/>
  <c r="H543" i="6" s="1"/>
  <c r="G544" i="6"/>
  <c r="H544" i="6" s="1"/>
  <c r="G545" i="6"/>
  <c r="H545" i="6" s="1"/>
  <c r="G546" i="6"/>
  <c r="H546" i="6" s="1"/>
  <c r="G547" i="6"/>
  <c r="H547" i="6" s="1"/>
  <c r="G548" i="6"/>
  <c r="H548" i="6" s="1"/>
  <c r="G549" i="6"/>
  <c r="H549" i="6" s="1"/>
  <c r="G550" i="6"/>
  <c r="H550" i="6" s="1"/>
  <c r="G551" i="6"/>
  <c r="H551" i="6" s="1"/>
  <c r="G552" i="6"/>
  <c r="H552" i="6" s="1"/>
  <c r="G553" i="6"/>
  <c r="H553" i="6" s="1"/>
  <c r="G554" i="6"/>
  <c r="H554" i="6" s="1"/>
  <c r="G555" i="6"/>
  <c r="H555" i="6" s="1"/>
  <c r="G556" i="6"/>
  <c r="H556" i="6" s="1"/>
  <c r="G557" i="6"/>
  <c r="H557" i="6" s="1"/>
  <c r="G558" i="6"/>
  <c r="H558" i="6" s="1"/>
  <c r="G559" i="6"/>
  <c r="H559" i="6" s="1"/>
  <c r="G560" i="6"/>
  <c r="H560" i="6" s="1"/>
  <c r="G561" i="6"/>
  <c r="H561" i="6" s="1"/>
  <c r="G562" i="6"/>
  <c r="H562" i="6" s="1"/>
  <c r="G563" i="6"/>
  <c r="H563" i="6" s="1"/>
  <c r="G564" i="6"/>
  <c r="H564" i="6" s="1"/>
  <c r="G565" i="6"/>
  <c r="H565" i="6" s="1"/>
  <c r="G566" i="6"/>
  <c r="H566" i="6" s="1"/>
  <c r="G567" i="6"/>
  <c r="H567" i="6" s="1"/>
  <c r="G568" i="6"/>
  <c r="H568" i="6" s="1"/>
  <c r="G569" i="6"/>
  <c r="H569" i="6" s="1"/>
  <c r="G570" i="6"/>
  <c r="H570" i="6" s="1"/>
  <c r="G571" i="6"/>
  <c r="H571" i="6" s="1"/>
  <c r="G572" i="6"/>
  <c r="H572" i="6" s="1"/>
  <c r="G573" i="6"/>
  <c r="H573" i="6" s="1"/>
  <c r="G574" i="6"/>
  <c r="H574" i="6" s="1"/>
  <c r="G575" i="6"/>
  <c r="H575" i="6" s="1"/>
  <c r="G576" i="6"/>
  <c r="H576" i="6" s="1"/>
  <c r="G577" i="6"/>
  <c r="H577" i="6" s="1"/>
  <c r="G578" i="6"/>
  <c r="H578" i="6" s="1"/>
  <c r="G579" i="6"/>
  <c r="H579" i="6" s="1"/>
  <c r="G580" i="6"/>
  <c r="H580" i="6" s="1"/>
  <c r="G581" i="6"/>
  <c r="H581" i="6" s="1"/>
  <c r="G582" i="6"/>
  <c r="H582" i="6" s="1"/>
  <c r="G583" i="6"/>
  <c r="H583" i="6" s="1"/>
  <c r="G584" i="6"/>
  <c r="H584" i="6" s="1"/>
  <c r="G585" i="6"/>
  <c r="H585" i="6" s="1"/>
  <c r="G586" i="6"/>
  <c r="H586" i="6" s="1"/>
  <c r="G587" i="6"/>
  <c r="H587" i="6" s="1"/>
  <c r="G588" i="6"/>
  <c r="H588" i="6" s="1"/>
  <c r="G589" i="6"/>
  <c r="H589" i="6" s="1"/>
  <c r="G590" i="6"/>
  <c r="H590" i="6" s="1"/>
  <c r="G591" i="6"/>
  <c r="H591" i="6" s="1"/>
  <c r="G592" i="6"/>
  <c r="H592" i="6" s="1"/>
  <c r="G593" i="6"/>
  <c r="H593" i="6" s="1"/>
  <c r="G594" i="6"/>
  <c r="H594" i="6" s="1"/>
  <c r="G595" i="6"/>
  <c r="H595" i="6" s="1"/>
  <c r="G596" i="6"/>
  <c r="H596" i="6" s="1"/>
  <c r="G597" i="6"/>
  <c r="H597" i="6" s="1"/>
  <c r="G598" i="6"/>
  <c r="H598" i="6" s="1"/>
  <c r="G599" i="6"/>
  <c r="H599" i="6" s="1"/>
  <c r="G600" i="6"/>
  <c r="H600" i="6" s="1"/>
  <c r="G601" i="6"/>
  <c r="H601" i="6" s="1"/>
  <c r="G602" i="6"/>
  <c r="H602" i="6" s="1"/>
  <c r="G603" i="6"/>
  <c r="H603" i="6" s="1"/>
  <c r="G604" i="6"/>
  <c r="H604" i="6" s="1"/>
  <c r="G605" i="6"/>
  <c r="H605" i="6" s="1"/>
  <c r="G606" i="6"/>
  <c r="H606" i="6" s="1"/>
  <c r="G607" i="6"/>
  <c r="H607" i="6" s="1"/>
  <c r="G608" i="6"/>
  <c r="H608" i="6" s="1"/>
  <c r="G609" i="6"/>
  <c r="H609" i="6" s="1"/>
  <c r="G610" i="6"/>
  <c r="H610" i="6" s="1"/>
  <c r="G611" i="6"/>
  <c r="H611" i="6" s="1"/>
  <c r="G612" i="6"/>
  <c r="H612" i="6" s="1"/>
  <c r="G613" i="6"/>
  <c r="H613" i="6" s="1"/>
  <c r="G614" i="6"/>
  <c r="H614" i="6" s="1"/>
  <c r="G615" i="6"/>
  <c r="H615" i="6" s="1"/>
  <c r="G616" i="6"/>
  <c r="H616" i="6" s="1"/>
  <c r="G617" i="6"/>
  <c r="H617" i="6" s="1"/>
  <c r="G618" i="6"/>
  <c r="H618" i="6" s="1"/>
  <c r="G619" i="6"/>
  <c r="H619" i="6" s="1"/>
  <c r="G620" i="6"/>
  <c r="H620" i="6" s="1"/>
  <c r="G621" i="6"/>
  <c r="H621" i="6" s="1"/>
  <c r="G622" i="6"/>
  <c r="H622" i="6" s="1"/>
  <c r="G623" i="6"/>
  <c r="H623" i="6" s="1"/>
  <c r="G624" i="6"/>
  <c r="H624" i="6" s="1"/>
  <c r="G625" i="6"/>
  <c r="H625" i="6" s="1"/>
  <c r="G626" i="6"/>
  <c r="H626" i="6" s="1"/>
  <c r="G627" i="6"/>
  <c r="H627" i="6" s="1"/>
  <c r="G628" i="6"/>
  <c r="H628" i="6" s="1"/>
  <c r="G629" i="6"/>
  <c r="H629" i="6" s="1"/>
  <c r="G630" i="6"/>
  <c r="H630" i="6" s="1"/>
  <c r="G631" i="6"/>
  <c r="H631" i="6" s="1"/>
  <c r="G632" i="6"/>
  <c r="H632" i="6" s="1"/>
  <c r="G633" i="6"/>
  <c r="H633" i="6" s="1"/>
  <c r="G634" i="6"/>
  <c r="H634" i="6" s="1"/>
  <c r="G635" i="6"/>
  <c r="H635" i="6" s="1"/>
  <c r="G636" i="6"/>
  <c r="H636" i="6" s="1"/>
  <c r="G637" i="6"/>
  <c r="H637" i="6" s="1"/>
  <c r="G638" i="6"/>
  <c r="H638" i="6" s="1"/>
  <c r="G639" i="6"/>
  <c r="H639" i="6" s="1"/>
  <c r="G640" i="6"/>
  <c r="H640" i="6" s="1"/>
  <c r="G641" i="6"/>
  <c r="H641" i="6" s="1"/>
  <c r="G642" i="6"/>
  <c r="H642" i="6" s="1"/>
  <c r="G643" i="6"/>
  <c r="H643" i="6" s="1"/>
  <c r="G644" i="6"/>
  <c r="H644" i="6" s="1"/>
  <c r="G645" i="6"/>
  <c r="H645" i="6" s="1"/>
  <c r="G646" i="6"/>
  <c r="H646" i="6" s="1"/>
  <c r="G647" i="6"/>
  <c r="H647" i="6" s="1"/>
  <c r="G648" i="6"/>
  <c r="H648" i="6" s="1"/>
  <c r="G649" i="6"/>
  <c r="H649" i="6" s="1"/>
  <c r="G650" i="6"/>
  <c r="H650" i="6" s="1"/>
  <c r="G651" i="6"/>
  <c r="H651" i="6" s="1"/>
  <c r="G652" i="6"/>
  <c r="H652" i="6" s="1"/>
  <c r="G653" i="6"/>
  <c r="H653" i="6" s="1"/>
  <c r="G654" i="6"/>
  <c r="H654" i="6" s="1"/>
  <c r="G655" i="6"/>
  <c r="H655" i="6" s="1"/>
  <c r="G656" i="6"/>
  <c r="H656" i="6" s="1"/>
  <c r="G657" i="6"/>
  <c r="H657" i="6" s="1"/>
  <c r="G658" i="6"/>
  <c r="H658" i="6" s="1"/>
  <c r="G659" i="6"/>
  <c r="H659" i="6" s="1"/>
  <c r="G660" i="6"/>
  <c r="H660" i="6" s="1"/>
  <c r="G661" i="6"/>
  <c r="H661" i="6" s="1"/>
  <c r="G662" i="6"/>
  <c r="H662" i="6" s="1"/>
  <c r="G663" i="6"/>
  <c r="H663" i="6" s="1"/>
  <c r="G664" i="6"/>
  <c r="H664" i="6" s="1"/>
  <c r="G665" i="6"/>
  <c r="H665" i="6" s="1"/>
  <c r="G666" i="6"/>
  <c r="H666" i="6" s="1"/>
  <c r="G667" i="6"/>
  <c r="H667" i="6" s="1"/>
  <c r="G668" i="6"/>
  <c r="H668" i="6" s="1"/>
  <c r="G669" i="6"/>
  <c r="H669" i="6" s="1"/>
  <c r="G670" i="6"/>
  <c r="H670" i="6" s="1"/>
  <c r="G671" i="6"/>
  <c r="H671" i="6" s="1"/>
  <c r="G672" i="6"/>
  <c r="H672" i="6" s="1"/>
  <c r="G673" i="6"/>
  <c r="H673" i="6" s="1"/>
  <c r="G674" i="6"/>
  <c r="H674" i="6" s="1"/>
  <c r="G675" i="6"/>
  <c r="H675" i="6" s="1"/>
  <c r="G676" i="6"/>
  <c r="H676" i="6" s="1"/>
  <c r="G677" i="6"/>
  <c r="H677" i="6" s="1"/>
  <c r="G678" i="6"/>
  <c r="H678" i="6" s="1"/>
  <c r="G679" i="6"/>
  <c r="H679" i="6" s="1"/>
  <c r="G680" i="6"/>
  <c r="H680" i="6" s="1"/>
  <c r="G681" i="6"/>
  <c r="H681" i="6" s="1"/>
  <c r="G682" i="6"/>
  <c r="H682" i="6" s="1"/>
  <c r="G683" i="6"/>
  <c r="H683" i="6" s="1"/>
  <c r="G684" i="6"/>
  <c r="H684" i="6" s="1"/>
  <c r="G685" i="6"/>
  <c r="H685" i="6" s="1"/>
  <c r="G686" i="6"/>
  <c r="H686" i="6" s="1"/>
  <c r="G687" i="6"/>
  <c r="H687" i="6" s="1"/>
  <c r="G688" i="6"/>
  <c r="H688" i="6" s="1"/>
  <c r="G689" i="6"/>
  <c r="H689" i="6" s="1"/>
  <c r="G690" i="6"/>
  <c r="H690" i="6" s="1"/>
  <c r="G691" i="6"/>
  <c r="H691" i="6" s="1"/>
  <c r="G692" i="6"/>
  <c r="H692" i="6" s="1"/>
  <c r="G693" i="6"/>
  <c r="H693" i="6" s="1"/>
  <c r="G694" i="6"/>
  <c r="H694" i="6" s="1"/>
  <c r="G695" i="6"/>
  <c r="H695" i="6" s="1"/>
  <c r="G696" i="6"/>
  <c r="H696" i="6" s="1"/>
  <c r="G697" i="6"/>
  <c r="H697" i="6" s="1"/>
  <c r="G698" i="6"/>
  <c r="H698" i="6" s="1"/>
  <c r="G699" i="6"/>
  <c r="H699" i="6" s="1"/>
  <c r="G700" i="6"/>
  <c r="H700" i="6" s="1"/>
  <c r="G701" i="6"/>
  <c r="H701" i="6" s="1"/>
  <c r="G702" i="6"/>
  <c r="H702" i="6" s="1"/>
  <c r="G703" i="6"/>
  <c r="H703" i="6" s="1"/>
  <c r="G704" i="6"/>
  <c r="H704" i="6" s="1"/>
  <c r="G705" i="6"/>
  <c r="H705" i="6" s="1"/>
  <c r="G706" i="6"/>
  <c r="H706" i="6" s="1"/>
  <c r="G707" i="6"/>
  <c r="H707" i="6" s="1"/>
  <c r="G708" i="6"/>
  <c r="H708" i="6" s="1"/>
  <c r="G709" i="6"/>
  <c r="H709" i="6" s="1"/>
  <c r="G710" i="6"/>
  <c r="H710" i="6" s="1"/>
  <c r="G711" i="6"/>
  <c r="H711" i="6" s="1"/>
  <c r="G712" i="6"/>
  <c r="H712" i="6" s="1"/>
  <c r="G713" i="6"/>
  <c r="H713" i="6" s="1"/>
  <c r="G714" i="6"/>
  <c r="H714" i="6" s="1"/>
  <c r="G715" i="6"/>
  <c r="H715" i="6" s="1"/>
  <c r="G716" i="6"/>
  <c r="H716" i="6" s="1"/>
  <c r="G717" i="6"/>
  <c r="H717" i="6" s="1"/>
  <c r="G718" i="6"/>
  <c r="H718" i="6" s="1"/>
  <c r="G719" i="6"/>
  <c r="H719" i="6" s="1"/>
  <c r="G720" i="6"/>
  <c r="H720" i="6" s="1"/>
  <c r="G721" i="6"/>
  <c r="H721" i="6" s="1"/>
  <c r="G722" i="6"/>
  <c r="H722" i="6" s="1"/>
  <c r="G723" i="6"/>
  <c r="H723" i="6" s="1"/>
  <c r="G724" i="6"/>
  <c r="H724" i="6" s="1"/>
  <c r="G725" i="6"/>
  <c r="H725" i="6" s="1"/>
  <c r="G726" i="6"/>
  <c r="H726" i="6" s="1"/>
  <c r="G727" i="6"/>
  <c r="H727" i="6" s="1"/>
  <c r="G728" i="6"/>
  <c r="H728" i="6" s="1"/>
  <c r="G729" i="6"/>
  <c r="H729" i="6" s="1"/>
  <c r="G730" i="6"/>
  <c r="H730" i="6" s="1"/>
  <c r="G731" i="6"/>
  <c r="H731" i="6" s="1"/>
  <c r="G732" i="6"/>
  <c r="H732" i="6" s="1"/>
  <c r="G733" i="6"/>
  <c r="H733" i="6" s="1"/>
  <c r="G734" i="6"/>
  <c r="H734" i="6" s="1"/>
  <c r="G735" i="6"/>
  <c r="H735" i="6" s="1"/>
  <c r="G736" i="6"/>
  <c r="H736" i="6" s="1"/>
  <c r="G737" i="6"/>
  <c r="H737" i="6" s="1"/>
  <c r="G738" i="6"/>
  <c r="H738" i="6" s="1"/>
  <c r="G739" i="6"/>
  <c r="H739" i="6" s="1"/>
  <c r="G740" i="6"/>
  <c r="H740" i="6" s="1"/>
  <c r="G741" i="6"/>
  <c r="H741" i="6" s="1"/>
  <c r="G742" i="6"/>
  <c r="H742" i="6" s="1"/>
  <c r="G743" i="6"/>
  <c r="H743" i="6" s="1"/>
  <c r="G744" i="6"/>
  <c r="H744" i="6" s="1"/>
  <c r="G745" i="6"/>
  <c r="H745" i="6" s="1"/>
  <c r="G746" i="6"/>
  <c r="H746" i="6" s="1"/>
  <c r="G747" i="6"/>
  <c r="H747" i="6" s="1"/>
  <c r="G748" i="6"/>
  <c r="H748" i="6" s="1"/>
  <c r="G749" i="6"/>
  <c r="H749" i="6" s="1"/>
  <c r="G750" i="6"/>
  <c r="H750" i="6" s="1"/>
  <c r="G751" i="6"/>
  <c r="H751" i="6" s="1"/>
  <c r="G752" i="6"/>
  <c r="H752" i="6" s="1"/>
  <c r="G753" i="6"/>
  <c r="H753" i="6" s="1"/>
  <c r="G754" i="6"/>
  <c r="H754" i="6" s="1"/>
  <c r="G755" i="6"/>
  <c r="H755" i="6" s="1"/>
  <c r="G756" i="6"/>
  <c r="H756" i="6" s="1"/>
  <c r="G757" i="6"/>
  <c r="H757" i="6" s="1"/>
  <c r="G758" i="6"/>
  <c r="H758" i="6" s="1"/>
  <c r="G759" i="6"/>
  <c r="H759" i="6" s="1"/>
  <c r="G760" i="6"/>
  <c r="H760" i="6" s="1"/>
  <c r="G761" i="6"/>
  <c r="H761" i="6" s="1"/>
  <c r="G762" i="6"/>
  <c r="H762" i="6" s="1"/>
  <c r="G763" i="6"/>
  <c r="H763" i="6" s="1"/>
  <c r="G764" i="6"/>
  <c r="H764" i="6" s="1"/>
  <c r="G765" i="6"/>
  <c r="H765" i="6" s="1"/>
  <c r="G766" i="6"/>
  <c r="H766" i="6" s="1"/>
  <c r="G767" i="6"/>
  <c r="H767" i="6" s="1"/>
  <c r="G768" i="6"/>
  <c r="H768" i="6" s="1"/>
  <c r="G769" i="6"/>
  <c r="H769" i="6" s="1"/>
  <c r="G770" i="6"/>
  <c r="H770" i="6" s="1"/>
  <c r="G771" i="6"/>
  <c r="H771" i="6" s="1"/>
  <c r="G772" i="6"/>
  <c r="H772" i="6" s="1"/>
  <c r="G773" i="6"/>
  <c r="H773" i="6" s="1"/>
  <c r="G774" i="6"/>
  <c r="H774" i="6" s="1"/>
  <c r="G775" i="6"/>
  <c r="H775" i="6" s="1"/>
  <c r="G776" i="6"/>
  <c r="H776" i="6" s="1"/>
  <c r="G777" i="6"/>
  <c r="H777" i="6" s="1"/>
  <c r="G778" i="6"/>
  <c r="H778" i="6" s="1"/>
  <c r="G779" i="6"/>
  <c r="H779" i="6" s="1"/>
  <c r="G780" i="6"/>
  <c r="H780" i="6" s="1"/>
  <c r="G781" i="6"/>
  <c r="H781" i="6" s="1"/>
  <c r="G782" i="6"/>
  <c r="H782" i="6" s="1"/>
  <c r="G783" i="6"/>
  <c r="H783" i="6" s="1"/>
  <c r="G784" i="6"/>
  <c r="H784" i="6" s="1"/>
  <c r="G785" i="6"/>
  <c r="H785" i="6" s="1"/>
  <c r="G786" i="6"/>
  <c r="H786" i="6" s="1"/>
  <c r="G787" i="6"/>
  <c r="H787" i="6" s="1"/>
  <c r="G788" i="6"/>
  <c r="H788" i="6" s="1"/>
  <c r="G789" i="6"/>
  <c r="H789" i="6" s="1"/>
  <c r="G790" i="6"/>
  <c r="H790" i="6" s="1"/>
  <c r="G791" i="6"/>
  <c r="H791" i="6" s="1"/>
  <c r="G792" i="6"/>
  <c r="H792" i="6" s="1"/>
  <c r="G793" i="6"/>
  <c r="H793" i="6" s="1"/>
  <c r="G794" i="6"/>
  <c r="H794" i="6" s="1"/>
  <c r="G795" i="6"/>
  <c r="H795" i="6" s="1"/>
  <c r="G796" i="6"/>
  <c r="H796" i="6" s="1"/>
  <c r="G797" i="6"/>
  <c r="H797" i="6" s="1"/>
  <c r="G798" i="6"/>
  <c r="H798" i="6" s="1"/>
  <c r="G799" i="6"/>
  <c r="H799" i="6" s="1"/>
  <c r="G800" i="6"/>
  <c r="H800" i="6" s="1"/>
  <c r="G801" i="6"/>
  <c r="H801" i="6" s="1"/>
  <c r="G802" i="6"/>
  <c r="H802" i="6" s="1"/>
  <c r="G803" i="6"/>
  <c r="H803" i="6" s="1"/>
  <c r="G804" i="6"/>
  <c r="H804" i="6" s="1"/>
  <c r="G805" i="6"/>
  <c r="H805" i="6" s="1"/>
  <c r="G806" i="6"/>
  <c r="H806" i="6" s="1"/>
  <c r="G807" i="6"/>
  <c r="H807" i="6" s="1"/>
  <c r="G808" i="6"/>
  <c r="H808" i="6" s="1"/>
  <c r="G809" i="6"/>
  <c r="H809" i="6" s="1"/>
  <c r="G810" i="6"/>
  <c r="H810" i="6" s="1"/>
  <c r="G811" i="6"/>
  <c r="H811" i="6" s="1"/>
  <c r="G812" i="6"/>
  <c r="H812" i="6" s="1"/>
  <c r="G813" i="6"/>
  <c r="H813" i="6" s="1"/>
  <c r="G814" i="6"/>
  <c r="H814" i="6" s="1"/>
  <c r="G815" i="6"/>
  <c r="H815" i="6" s="1"/>
  <c r="G816" i="6"/>
  <c r="H816" i="6" s="1"/>
  <c r="G817" i="6"/>
  <c r="H817" i="6" s="1"/>
  <c r="G818" i="6"/>
  <c r="H818" i="6" s="1"/>
  <c r="G819" i="6"/>
  <c r="H819" i="6" s="1"/>
  <c r="G820" i="6"/>
  <c r="H820" i="6" s="1"/>
  <c r="G821" i="6"/>
  <c r="H821" i="6" s="1"/>
  <c r="G822" i="6"/>
  <c r="H822" i="6" s="1"/>
  <c r="G823" i="6"/>
  <c r="H823" i="6" s="1"/>
  <c r="G824" i="6"/>
  <c r="H824" i="6" s="1"/>
  <c r="G825" i="6"/>
  <c r="H825" i="6" s="1"/>
  <c r="G826" i="6"/>
  <c r="H826" i="6" s="1"/>
  <c r="G827" i="6"/>
  <c r="H827" i="6" s="1"/>
  <c r="G828" i="6"/>
  <c r="H828" i="6" s="1"/>
  <c r="G829" i="6"/>
  <c r="H829" i="6" s="1"/>
  <c r="G830" i="6"/>
  <c r="H830" i="6" s="1"/>
  <c r="G831" i="6"/>
  <c r="H831" i="6" s="1"/>
  <c r="G832" i="6"/>
  <c r="H832" i="6" s="1"/>
  <c r="G833" i="6"/>
  <c r="H833" i="6" s="1"/>
  <c r="G834" i="6"/>
  <c r="H834" i="6" s="1"/>
  <c r="G835" i="6"/>
  <c r="H835" i="6" s="1"/>
  <c r="G836" i="6"/>
  <c r="H836" i="6" s="1"/>
  <c r="G837" i="6"/>
  <c r="H837" i="6" s="1"/>
  <c r="G838" i="6"/>
  <c r="H838" i="6" s="1"/>
  <c r="G839" i="6"/>
  <c r="H839" i="6" s="1"/>
  <c r="G840" i="6"/>
  <c r="H840" i="6" s="1"/>
  <c r="G841" i="6"/>
  <c r="H841" i="6" s="1"/>
  <c r="G842" i="6"/>
  <c r="H842" i="6" s="1"/>
  <c r="G843" i="6"/>
  <c r="H843" i="6" s="1"/>
  <c r="G844" i="6"/>
  <c r="H844" i="6" s="1"/>
  <c r="G845" i="6"/>
  <c r="H845" i="6" s="1"/>
  <c r="G846" i="6"/>
  <c r="H846" i="6" s="1"/>
  <c r="G847" i="6"/>
  <c r="H847" i="6" s="1"/>
  <c r="G848" i="6"/>
  <c r="H848" i="6" s="1"/>
  <c r="G849" i="6"/>
  <c r="H849" i="6" s="1"/>
  <c r="G850" i="6"/>
  <c r="H850" i="6" s="1"/>
  <c r="G851" i="6"/>
  <c r="H851" i="6" s="1"/>
  <c r="G852" i="6"/>
  <c r="H852" i="6" s="1"/>
  <c r="G853" i="6"/>
  <c r="H853" i="6" s="1"/>
  <c r="G854" i="6"/>
  <c r="H854" i="6" s="1"/>
  <c r="G855" i="6"/>
  <c r="H855" i="6" s="1"/>
  <c r="G856" i="6"/>
  <c r="H856" i="6" s="1"/>
  <c r="G857" i="6"/>
  <c r="H857" i="6" s="1"/>
  <c r="G858" i="6"/>
  <c r="H858" i="6" s="1"/>
  <c r="G859" i="6"/>
  <c r="H859" i="6" s="1"/>
  <c r="G860" i="6"/>
  <c r="H860" i="6" s="1"/>
  <c r="G861" i="6"/>
  <c r="H861" i="6" s="1"/>
  <c r="G862" i="6"/>
  <c r="H862" i="6" s="1"/>
  <c r="G863" i="6"/>
  <c r="H863" i="6" s="1"/>
  <c r="G864" i="6"/>
  <c r="H864" i="6" s="1"/>
  <c r="G865" i="6"/>
  <c r="H865" i="6" s="1"/>
  <c r="G866" i="6"/>
  <c r="H866" i="6" s="1"/>
  <c r="G867" i="6"/>
  <c r="H867" i="6" s="1"/>
  <c r="G868" i="6"/>
  <c r="H868" i="6" s="1"/>
  <c r="G869" i="6"/>
  <c r="H869" i="6" s="1"/>
  <c r="G870" i="6"/>
  <c r="H870" i="6" s="1"/>
  <c r="G871" i="6"/>
  <c r="H871" i="6" s="1"/>
  <c r="G872" i="6"/>
  <c r="H872" i="6" s="1"/>
  <c r="G873" i="6"/>
  <c r="H873" i="6" s="1"/>
  <c r="G874" i="6"/>
  <c r="H874" i="6" s="1"/>
  <c r="G875" i="6"/>
  <c r="H875" i="6" s="1"/>
  <c r="G876" i="6"/>
  <c r="H876" i="6" s="1"/>
  <c r="G877" i="6"/>
  <c r="H877" i="6" s="1"/>
  <c r="G878" i="6"/>
  <c r="H878" i="6" s="1"/>
  <c r="G879" i="6"/>
  <c r="H879" i="6" s="1"/>
  <c r="G880" i="6"/>
  <c r="H880" i="6" s="1"/>
  <c r="G881" i="6"/>
  <c r="H881" i="6" s="1"/>
  <c r="G882" i="6"/>
  <c r="H882" i="6" s="1"/>
  <c r="G883" i="6"/>
  <c r="H883" i="6" s="1"/>
  <c r="G884" i="6"/>
  <c r="H884" i="6" s="1"/>
  <c r="G885" i="6"/>
  <c r="H885" i="6" s="1"/>
  <c r="G886" i="6"/>
  <c r="H886" i="6" s="1"/>
  <c r="G887" i="6"/>
  <c r="H887" i="6" s="1"/>
  <c r="G888" i="6"/>
  <c r="H888" i="6" s="1"/>
  <c r="G889" i="6"/>
  <c r="H889" i="6" s="1"/>
  <c r="G890" i="6"/>
  <c r="H890" i="6" s="1"/>
  <c r="G891" i="6"/>
  <c r="H891" i="6" s="1"/>
  <c r="G892" i="6"/>
  <c r="H892" i="6" s="1"/>
  <c r="G893" i="6"/>
  <c r="H893" i="6" s="1"/>
  <c r="G894" i="6"/>
  <c r="H894" i="6" s="1"/>
  <c r="G895" i="6"/>
  <c r="H895" i="6" s="1"/>
  <c r="G896" i="6"/>
  <c r="H896" i="6" s="1"/>
  <c r="G897" i="6"/>
  <c r="H897" i="6" s="1"/>
  <c r="G898" i="6"/>
  <c r="H898" i="6" s="1"/>
  <c r="G899" i="6"/>
  <c r="H899" i="6" s="1"/>
  <c r="G900" i="6"/>
  <c r="H900" i="6" s="1"/>
  <c r="G901" i="6"/>
  <c r="H901" i="6" s="1"/>
  <c r="G902" i="6"/>
  <c r="H902" i="6" s="1"/>
  <c r="G903" i="6"/>
  <c r="H903" i="6" s="1"/>
  <c r="G904" i="6"/>
  <c r="H904" i="6" s="1"/>
  <c r="G905" i="6"/>
  <c r="H905" i="6" s="1"/>
  <c r="G906" i="6"/>
  <c r="H906" i="6" s="1"/>
  <c r="G907" i="6"/>
  <c r="H907" i="6" s="1"/>
  <c r="G908" i="6"/>
  <c r="H908" i="6" s="1"/>
  <c r="G909" i="6"/>
  <c r="H909" i="6" s="1"/>
  <c r="G910" i="6"/>
  <c r="H910" i="6" s="1"/>
  <c r="G911" i="6"/>
  <c r="H911" i="6" s="1"/>
  <c r="G912" i="6"/>
  <c r="H912" i="6" s="1"/>
  <c r="G913" i="6"/>
  <c r="H913" i="6" s="1"/>
  <c r="G914" i="6"/>
  <c r="H914" i="6" s="1"/>
  <c r="G915" i="6"/>
  <c r="H915" i="6" s="1"/>
  <c r="G916" i="6"/>
  <c r="H916" i="6" s="1"/>
  <c r="G917" i="6"/>
  <c r="H917" i="6" s="1"/>
  <c r="G918" i="6"/>
  <c r="H918" i="6" s="1"/>
  <c r="G919" i="6"/>
  <c r="H919" i="6" s="1"/>
  <c r="G920" i="6"/>
  <c r="H920" i="6" s="1"/>
  <c r="G921" i="6"/>
  <c r="H921" i="6" s="1"/>
  <c r="G922" i="6"/>
  <c r="H922" i="6" s="1"/>
  <c r="G923" i="6"/>
  <c r="H923" i="6" s="1"/>
  <c r="G924" i="6"/>
  <c r="H924" i="6" s="1"/>
  <c r="G925" i="6"/>
  <c r="H925" i="6" s="1"/>
  <c r="G926" i="6"/>
  <c r="H926" i="6" s="1"/>
  <c r="G927" i="6"/>
  <c r="H927" i="6" s="1"/>
  <c r="G928" i="6"/>
  <c r="H928" i="6" s="1"/>
  <c r="G929" i="6"/>
  <c r="H929" i="6" s="1"/>
  <c r="G930" i="6"/>
  <c r="H930" i="6" s="1"/>
  <c r="G931" i="6"/>
  <c r="H931" i="6" s="1"/>
  <c r="G932" i="6"/>
  <c r="H932" i="6" s="1"/>
  <c r="G933" i="6"/>
  <c r="H933" i="6" s="1"/>
  <c r="G934" i="6"/>
  <c r="H934" i="6" s="1"/>
  <c r="G935" i="6"/>
  <c r="H935" i="6" s="1"/>
  <c r="G936" i="6"/>
  <c r="H936" i="6" s="1"/>
  <c r="G937" i="6"/>
  <c r="H937" i="6" s="1"/>
  <c r="G938" i="6"/>
  <c r="H938" i="6" s="1"/>
  <c r="G939" i="6"/>
  <c r="H939" i="6" s="1"/>
  <c r="G940" i="6"/>
  <c r="H940" i="6" s="1"/>
  <c r="G941" i="6"/>
  <c r="H941" i="6" s="1"/>
  <c r="G942" i="6"/>
  <c r="H942" i="6" s="1"/>
  <c r="G943" i="6"/>
  <c r="H943" i="6" s="1"/>
  <c r="G944" i="6"/>
  <c r="H944" i="6" s="1"/>
  <c r="G945" i="6"/>
  <c r="H945" i="6" s="1"/>
  <c r="G946" i="6"/>
  <c r="H946" i="6" s="1"/>
  <c r="G947" i="6"/>
  <c r="H947" i="6" s="1"/>
  <c r="G948" i="6"/>
  <c r="H948" i="6" s="1"/>
  <c r="G949" i="6"/>
  <c r="H949" i="6" s="1"/>
  <c r="G950" i="6"/>
  <c r="H950" i="6" s="1"/>
  <c r="G951" i="6"/>
  <c r="H951" i="6" s="1"/>
  <c r="G952" i="6"/>
  <c r="H952" i="6" s="1"/>
  <c r="G953" i="6"/>
  <c r="H953" i="6" s="1"/>
  <c r="G954" i="6"/>
  <c r="H954" i="6" s="1"/>
  <c r="G955" i="6"/>
  <c r="H955" i="6" s="1"/>
  <c r="G956" i="6"/>
  <c r="H956" i="6" s="1"/>
  <c r="G957" i="6"/>
  <c r="H957" i="6" s="1"/>
  <c r="G958" i="6"/>
  <c r="H958" i="6" s="1"/>
  <c r="G959" i="6"/>
  <c r="H959" i="6" s="1"/>
  <c r="G960" i="6"/>
  <c r="H960" i="6" s="1"/>
  <c r="G961" i="6"/>
  <c r="H961" i="6" s="1"/>
  <c r="G962" i="6"/>
  <c r="H962" i="6" s="1"/>
  <c r="G963" i="6"/>
  <c r="H963" i="6" s="1"/>
  <c r="G964" i="6"/>
  <c r="H964" i="6" s="1"/>
  <c r="G965" i="6"/>
  <c r="H965" i="6" s="1"/>
  <c r="G966" i="6"/>
  <c r="H966" i="6" s="1"/>
  <c r="G967" i="6"/>
  <c r="H967" i="6" s="1"/>
  <c r="G968" i="6"/>
  <c r="H968" i="6" s="1"/>
  <c r="G969" i="6"/>
  <c r="H969" i="6" s="1"/>
  <c r="G970" i="6"/>
  <c r="H970" i="6" s="1"/>
  <c r="G971" i="6"/>
  <c r="H971" i="6" s="1"/>
  <c r="G972" i="6"/>
  <c r="H972" i="6" s="1"/>
  <c r="G973" i="6"/>
  <c r="H973" i="6" s="1"/>
  <c r="G974" i="6"/>
  <c r="H974" i="6" s="1"/>
  <c r="G975" i="6"/>
  <c r="H975" i="6" s="1"/>
  <c r="G976" i="6"/>
  <c r="H976" i="6" s="1"/>
  <c r="G977" i="6"/>
  <c r="H977" i="6" s="1"/>
  <c r="G978" i="6"/>
  <c r="H978" i="6" s="1"/>
  <c r="G979" i="6"/>
  <c r="H979" i="6" s="1"/>
  <c r="G980" i="6"/>
  <c r="H980" i="6" s="1"/>
  <c r="G981" i="6"/>
  <c r="H981" i="6" s="1"/>
  <c r="G982" i="6"/>
  <c r="H982" i="6" s="1"/>
  <c r="G983" i="6"/>
  <c r="H983" i="6" s="1"/>
  <c r="G984" i="6"/>
  <c r="H984" i="6" s="1"/>
  <c r="G985" i="6"/>
  <c r="H985" i="6" s="1"/>
  <c r="G986" i="6"/>
  <c r="H986" i="6" s="1"/>
  <c r="G987" i="6"/>
  <c r="H987" i="6" s="1"/>
  <c r="G988" i="6"/>
  <c r="H988" i="6" s="1"/>
  <c r="G989" i="6"/>
  <c r="H989" i="6" s="1"/>
  <c r="G990" i="6"/>
  <c r="H990" i="6" s="1"/>
  <c r="G991" i="6"/>
  <c r="H991" i="6" s="1"/>
  <c r="G992" i="6"/>
  <c r="H992" i="6" s="1"/>
  <c r="G993" i="6"/>
  <c r="H993" i="6" s="1"/>
  <c r="G994" i="6"/>
  <c r="H994" i="6" s="1"/>
  <c r="G995" i="6"/>
  <c r="H995" i="6" s="1"/>
  <c r="G996" i="6"/>
  <c r="H996" i="6" s="1"/>
  <c r="G997" i="6"/>
  <c r="H997" i="6" s="1"/>
  <c r="G998" i="6"/>
  <c r="H998" i="6" s="1"/>
  <c r="G999" i="6"/>
  <c r="H999" i="6" s="1"/>
  <c r="G1000" i="6"/>
  <c r="H1000" i="6" s="1"/>
  <c r="G1001" i="6"/>
  <c r="H1001" i="6" s="1"/>
  <c r="B71" i="10"/>
  <c r="B70" i="10"/>
  <c r="B68" i="10"/>
  <c r="B67" i="10"/>
  <c r="B66" i="10"/>
  <c r="B65" i="10"/>
  <c r="B64" i="10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866" i="6"/>
  <c r="R867" i="6"/>
  <c r="R868" i="6"/>
  <c r="R869" i="6"/>
  <c r="R870" i="6"/>
  <c r="R871" i="6"/>
  <c r="R872" i="6"/>
  <c r="R873" i="6"/>
  <c r="R874" i="6"/>
  <c r="R875" i="6"/>
  <c r="R876" i="6"/>
  <c r="R877" i="6"/>
  <c r="R878" i="6"/>
  <c r="R879" i="6"/>
  <c r="R880" i="6"/>
  <c r="R881" i="6"/>
  <c r="R882" i="6"/>
  <c r="R883" i="6"/>
  <c r="R884" i="6"/>
  <c r="R885" i="6"/>
  <c r="R886" i="6"/>
  <c r="R887" i="6"/>
  <c r="R888" i="6"/>
  <c r="R889" i="6"/>
  <c r="R890" i="6"/>
  <c r="R891" i="6"/>
  <c r="R892" i="6"/>
  <c r="R893" i="6"/>
  <c r="R894" i="6"/>
  <c r="R895" i="6"/>
  <c r="R896" i="6"/>
  <c r="R897" i="6"/>
  <c r="R898" i="6"/>
  <c r="R899" i="6"/>
  <c r="R900" i="6"/>
  <c r="R901" i="6"/>
  <c r="R902" i="6"/>
  <c r="R903" i="6"/>
  <c r="R904" i="6"/>
  <c r="R905" i="6"/>
  <c r="R906" i="6"/>
  <c r="R907" i="6"/>
  <c r="R908" i="6"/>
  <c r="R909" i="6"/>
  <c r="R910" i="6"/>
  <c r="R911" i="6"/>
  <c r="R912" i="6"/>
  <c r="R913" i="6"/>
  <c r="R914" i="6"/>
  <c r="R915" i="6"/>
  <c r="R916" i="6"/>
  <c r="R917" i="6"/>
  <c r="R918" i="6"/>
  <c r="R919" i="6"/>
  <c r="R920" i="6"/>
  <c r="R921" i="6"/>
  <c r="R922" i="6"/>
  <c r="R923" i="6"/>
  <c r="R924" i="6"/>
  <c r="R925" i="6"/>
  <c r="R926" i="6"/>
  <c r="R927" i="6"/>
  <c r="R928" i="6"/>
  <c r="R929" i="6"/>
  <c r="R930" i="6"/>
  <c r="R931" i="6"/>
  <c r="R932" i="6"/>
  <c r="R933" i="6"/>
  <c r="R934" i="6"/>
  <c r="R935" i="6"/>
  <c r="R936" i="6"/>
  <c r="R937" i="6"/>
  <c r="R938" i="6"/>
  <c r="R939" i="6"/>
  <c r="R940" i="6"/>
  <c r="R941" i="6"/>
  <c r="R942" i="6"/>
  <c r="R943" i="6"/>
  <c r="R944" i="6"/>
  <c r="R945" i="6"/>
  <c r="R946" i="6"/>
  <c r="R947" i="6"/>
  <c r="R948" i="6"/>
  <c r="R949" i="6"/>
  <c r="R950" i="6"/>
  <c r="R951" i="6"/>
  <c r="R952" i="6"/>
  <c r="R953" i="6"/>
  <c r="R954" i="6"/>
  <c r="R955" i="6"/>
  <c r="R956" i="6"/>
  <c r="R957" i="6"/>
  <c r="R958" i="6"/>
  <c r="R959" i="6"/>
  <c r="R960" i="6"/>
  <c r="R961" i="6"/>
  <c r="R962" i="6"/>
  <c r="R963" i="6"/>
  <c r="R964" i="6"/>
  <c r="R965" i="6"/>
  <c r="R966" i="6"/>
  <c r="R967" i="6"/>
  <c r="R968" i="6"/>
  <c r="R969" i="6"/>
  <c r="R970" i="6"/>
  <c r="R971" i="6"/>
  <c r="R972" i="6"/>
  <c r="R973" i="6"/>
  <c r="R974" i="6"/>
  <c r="R975" i="6"/>
  <c r="R976" i="6"/>
  <c r="R977" i="6"/>
  <c r="R978" i="6"/>
  <c r="R979" i="6"/>
  <c r="R980" i="6"/>
  <c r="R981" i="6"/>
  <c r="R982" i="6"/>
  <c r="R983" i="6"/>
  <c r="R984" i="6"/>
  <c r="R985" i="6"/>
  <c r="R986" i="6"/>
  <c r="R987" i="6"/>
  <c r="R988" i="6"/>
  <c r="R989" i="6"/>
  <c r="R990" i="6"/>
  <c r="R991" i="6"/>
  <c r="R992" i="6"/>
  <c r="R993" i="6"/>
  <c r="R994" i="6"/>
  <c r="R995" i="6"/>
  <c r="R996" i="6"/>
  <c r="R997" i="6"/>
  <c r="R998" i="6"/>
  <c r="R999" i="6"/>
  <c r="R1000" i="6"/>
  <c r="R1001" i="6"/>
  <c r="P2" i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B13" i="16"/>
  <c r="B12" i="16"/>
  <c r="B9" i="16"/>
  <c r="B10" i="16"/>
  <c r="B11" i="16"/>
  <c r="D2" i="11" l="1"/>
  <c r="F4" i="11"/>
  <c r="B5" i="11"/>
  <c r="B4" i="11"/>
  <c r="G3" i="11"/>
  <c r="G2" i="11"/>
  <c r="D5" i="11"/>
  <c r="H3" i="11"/>
  <c r="C2" i="11"/>
  <c r="E4" i="11"/>
  <c r="I3" i="11"/>
  <c r="C5" i="11"/>
  <c r="H2" i="11"/>
  <c r="C4" i="11"/>
  <c r="D3" i="11"/>
  <c r="D4" i="11"/>
  <c r="E3" i="11"/>
  <c r="F3" i="11"/>
  <c r="I2" i="11"/>
  <c r="F2" i="11"/>
  <c r="G5" i="11"/>
  <c r="H5" i="11"/>
  <c r="I5" i="11"/>
  <c r="E2" i="11"/>
  <c r="B3" i="11"/>
  <c r="C3" i="11"/>
  <c r="E5" i="11"/>
  <c r="F5" i="11"/>
  <c r="G4" i="11"/>
  <c r="H4" i="11"/>
  <c r="I4" i="11"/>
  <c r="B2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<sst xmlns="http://schemas.openxmlformats.org/spreadsheetml/2006/main" count="21484" uniqueCount="279">
  <si>
    <t>Product_ID</t>
  </si>
  <si>
    <t>Sale_Date</t>
  </si>
  <si>
    <t>Sales_Rep</t>
  </si>
  <si>
    <t>Region</t>
  </si>
  <si>
    <t>Sales_Amount</t>
  </si>
  <si>
    <t>Quantity_Sold</t>
  </si>
  <si>
    <t>Product_Category</t>
  </si>
  <si>
    <t>Unit_Cost</t>
  </si>
  <si>
    <t>Unit_Price</t>
  </si>
  <si>
    <t>Customer_Type</t>
  </si>
  <si>
    <t>Discount</t>
  </si>
  <si>
    <t>Payment_Method</t>
  </si>
  <si>
    <t>Sales_Channel</t>
  </si>
  <si>
    <t>Region_and_Sales_Rep</t>
  </si>
  <si>
    <t>Bob</t>
  </si>
  <si>
    <t>North</t>
  </si>
  <si>
    <t>Furniture</t>
  </si>
  <si>
    <t>Returning</t>
  </si>
  <si>
    <t>Cash</t>
  </si>
  <si>
    <t>Online</t>
  </si>
  <si>
    <t>North-Bob</t>
  </si>
  <si>
    <t>West</t>
  </si>
  <si>
    <t>Retail</t>
  </si>
  <si>
    <t>West-Bob</t>
  </si>
  <si>
    <t>David</t>
  </si>
  <si>
    <t>South</t>
  </si>
  <si>
    <t>Food</t>
  </si>
  <si>
    <t>Bank Transfer</t>
  </si>
  <si>
    <t>South-David</t>
  </si>
  <si>
    <t>Clothing</t>
  </si>
  <si>
    <t>New</t>
  </si>
  <si>
    <t>Credit Card</t>
  </si>
  <si>
    <t>South-Bob</t>
  </si>
  <si>
    <t>Charlie</t>
  </si>
  <si>
    <t>East</t>
  </si>
  <si>
    <t>Electronics</t>
  </si>
  <si>
    <t>East-Charlie</t>
  </si>
  <si>
    <t>West-Charlie</t>
  </si>
  <si>
    <t>Eve</t>
  </si>
  <si>
    <t>South-Eve</t>
  </si>
  <si>
    <t>North-Eve</t>
  </si>
  <si>
    <t>West-Eve</t>
  </si>
  <si>
    <t>Alice</t>
  </si>
  <si>
    <t>South-Alice</t>
  </si>
  <si>
    <t>South-Charlie</t>
  </si>
  <si>
    <t>North-David</t>
  </si>
  <si>
    <t>East-Bob</t>
  </si>
  <si>
    <t>West-David</t>
  </si>
  <si>
    <t>East-Eve</t>
  </si>
  <si>
    <t>North-Alice</t>
  </si>
  <si>
    <t>East-David</t>
  </si>
  <si>
    <t>West-Alice</t>
  </si>
  <si>
    <t>East-Alice</t>
  </si>
  <si>
    <t>North-Charlie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</si>
  <si>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</si>
  <si>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</si>
  <si>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</si>
  <si>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</si>
  <si>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</si>
  <si>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</si>
  <si>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</si>
  <si>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</si>
  <si>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</si>
  <si>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</si>
  <si>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</si>
  <si>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</si>
  <si>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</si>
  <si>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</si>
  <si>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</si>
  <si>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Product ID</t>
  </si>
  <si>
    <t>Date Product was sold</t>
  </si>
  <si>
    <t>Name of the Sales rep</t>
  </si>
  <si>
    <t>region</t>
  </si>
  <si>
    <t>Sales amount</t>
  </si>
  <si>
    <t>quantity sold</t>
  </si>
  <si>
    <t>Product category</t>
  </si>
  <si>
    <t>Unit cost</t>
  </si>
  <si>
    <t>unit price</t>
  </si>
  <si>
    <t>Customer category</t>
  </si>
  <si>
    <t>Discount issued</t>
  </si>
  <si>
    <t>Mode of Payment</t>
  </si>
  <si>
    <t>Where product was sold</t>
  </si>
  <si>
    <t>Region and name of Sales rep</t>
  </si>
  <si>
    <t>1. What each column represents;</t>
  </si>
  <si>
    <t>2. Which Colums look messy?</t>
  </si>
  <si>
    <t>Columns;</t>
  </si>
  <si>
    <t>Dates are 'hashed'</t>
  </si>
  <si>
    <t>E,H,I</t>
  </si>
  <si>
    <t>Discount is in decimal instead of Percentage</t>
  </si>
  <si>
    <t>Column header has both 'region and Sales rep', which are two unrelated variables</t>
  </si>
  <si>
    <t>And overall, all headers aren't showing in full, so its difficult to know what each column represents, at a quick glance.</t>
  </si>
  <si>
    <t>3. Are there combined fields?</t>
  </si>
  <si>
    <t>Yes, Column N has combined fields</t>
  </si>
  <si>
    <t xml:space="preserve">Column N is a duplicate of Columns  C and D </t>
  </si>
  <si>
    <t>Sale Date</t>
  </si>
  <si>
    <t>Sales Rep</t>
  </si>
  <si>
    <t>Sales Amount</t>
  </si>
  <si>
    <t>Quantity Sold</t>
  </si>
  <si>
    <t>Product Category</t>
  </si>
  <si>
    <t>Unit Cost</t>
  </si>
  <si>
    <t>Unit Price</t>
  </si>
  <si>
    <t>Customer Type</t>
  </si>
  <si>
    <t>Payment Method</t>
  </si>
  <si>
    <t>Sales Channel</t>
  </si>
  <si>
    <t>Numeric Values are correct but formatting does not reflect currency</t>
  </si>
  <si>
    <t>Region2</t>
  </si>
  <si>
    <t>Sales Rep2</t>
  </si>
  <si>
    <t>Cleaned extra spaces after split</t>
  </si>
  <si>
    <t>NOTES;</t>
  </si>
  <si>
    <t>Split combined column into 'Region' and 'Sales Rep' using 'Text to Column' in 'Data Tab'</t>
  </si>
  <si>
    <t>Helper Check</t>
  </si>
  <si>
    <t>Created a 'Helper Column by typing =D2&amp;"|"&amp;C2</t>
  </si>
  <si>
    <t>Validated Split Columns against Originals</t>
  </si>
  <si>
    <t>Removed redundant 'Regions' and 'Sales Rep' columns</t>
  </si>
  <si>
    <t>Removed 'Helper' column after duplicate check</t>
  </si>
  <si>
    <t>Applied basic formatting (Currency, Percentage, Dates)</t>
  </si>
  <si>
    <t>Duplicated 'Ckeaned Working' sheet for Learning Clarity</t>
  </si>
  <si>
    <t>Duplicate sheet is labeled 'Cleaned_Final' and subseuent cleaning will happen here</t>
  </si>
  <si>
    <t>Retained 'helper' column in 'Cleaned_Working' sheet for duplicate validation, removed in final analysis sheet labeled 'Cleaned_Final'</t>
  </si>
  <si>
    <t>Grand Total</t>
  </si>
  <si>
    <t>Pivot Table number formatting must be done via 'Value Field Settings' to persist after refresh</t>
  </si>
  <si>
    <t>SALES BY REGION</t>
  </si>
  <si>
    <t>SALES BY CATEGORY</t>
  </si>
  <si>
    <t>SALES BY SALES REP</t>
  </si>
  <si>
    <t>Used IF to classify sales into High / Low based on a threshold</t>
  </si>
  <si>
    <t>TOTAL SALES AMOUNT PER REGION</t>
  </si>
  <si>
    <t>REGION</t>
  </si>
  <si>
    <t>TOTAL SALES AMOUNT</t>
  </si>
  <si>
    <t>Sales Performance</t>
  </si>
  <si>
    <t>NEW CUSTOMERS</t>
  </si>
  <si>
    <t>RETURNING CUSTOMERS</t>
  </si>
  <si>
    <t>High</t>
  </si>
  <si>
    <t>Low</t>
  </si>
  <si>
    <t>SALES PERFORMANCE KPI</t>
  </si>
  <si>
    <t>Number of Sales</t>
  </si>
  <si>
    <t>Across all regions, high-performing sales consistently generate more revenue than low-performing sales</t>
  </si>
  <si>
    <t>.From the Pivot Table;</t>
  </si>
  <si>
    <t>North is the strongest region in terms of revenue from high-performing sales.</t>
  </si>
  <si>
    <t>When 'Drag and Drop' is unreliable, Pivot tables can be buitField Check boxes and 'Add to Values / Rows' options</t>
  </si>
  <si>
    <t>REVENUE FROM NEW CUSTOMERS</t>
  </si>
  <si>
    <t>REVENUE FROM RETURNING CUSTOMERS</t>
  </si>
  <si>
    <t>Total Revenue</t>
  </si>
  <si>
    <t>% Total Revenue</t>
  </si>
  <si>
    <t>% of Region Revenue</t>
  </si>
  <si>
    <t>Sum of Sales Amount</t>
  </si>
  <si>
    <t>KPI METRICS</t>
  </si>
  <si>
    <t>Average of Sales Amount</t>
  </si>
  <si>
    <t>Count of Sales ID</t>
  </si>
  <si>
    <t>Max of Sales Amount</t>
  </si>
  <si>
    <t>Min of Sales Amount</t>
  </si>
  <si>
    <t>Average Sale</t>
  </si>
  <si>
    <t>Lowest Sale</t>
  </si>
  <si>
    <t>Highest Sale</t>
  </si>
  <si>
    <t>SUMMARY VALUES</t>
  </si>
  <si>
    <t>Median Sale</t>
  </si>
  <si>
    <t>Sales Range</t>
  </si>
  <si>
    <t>KEY PERFORMANCE INDICATORS PIVOT TABLE</t>
  </si>
  <si>
    <t>Revenue by Product Categories Across Regions</t>
  </si>
  <si>
    <t>TAX RATE</t>
  </si>
  <si>
    <t>ASSUMED TAX RATE BY REGION</t>
  </si>
  <si>
    <t>Tax Rate</t>
  </si>
  <si>
    <t>Tax Amount</t>
  </si>
  <si>
    <t>Total Tax Amount</t>
  </si>
  <si>
    <t>TOTAL TAX BY REGION</t>
  </si>
  <si>
    <t>Manager</t>
  </si>
  <si>
    <t>SALES REP_MANAGER</t>
  </si>
  <si>
    <t>SALES REP</t>
  </si>
  <si>
    <t>MANAGER</t>
  </si>
  <si>
    <t>Michael Smith</t>
  </si>
  <si>
    <t>Hogan Rock</t>
  </si>
  <si>
    <t>Susan Jerkins</t>
  </si>
  <si>
    <t>Tracy Moore</t>
  </si>
  <si>
    <t>Scott Wayne</t>
  </si>
  <si>
    <t>PRODUCTS</t>
  </si>
  <si>
    <t>PRODUCT CODE</t>
  </si>
  <si>
    <t>PRODUCT NAME</t>
  </si>
  <si>
    <t>CATEGORY</t>
  </si>
  <si>
    <t>Wooden Chair</t>
  </si>
  <si>
    <t>Office Desk</t>
  </si>
  <si>
    <t>Dining Table</t>
  </si>
  <si>
    <t>Bookshelf</t>
  </si>
  <si>
    <t>Sofa Set</t>
  </si>
  <si>
    <t>Nightstand</t>
  </si>
  <si>
    <t>Coffee Table</t>
  </si>
  <si>
    <t>Recliner</t>
  </si>
  <si>
    <t>Wardrobe</t>
  </si>
  <si>
    <t>TV Stand</t>
  </si>
  <si>
    <t>Stool</t>
  </si>
  <si>
    <t>Bed</t>
  </si>
  <si>
    <t>Bench</t>
  </si>
  <si>
    <t>Cupboard</t>
  </si>
  <si>
    <t>Console Table</t>
  </si>
  <si>
    <t>Card Table</t>
  </si>
  <si>
    <t>Game Table</t>
  </si>
  <si>
    <t>Kitchen Island</t>
  </si>
  <si>
    <t>Rocking Chair</t>
  </si>
  <si>
    <t>Glider</t>
  </si>
  <si>
    <t>Chaise Lounge</t>
  </si>
  <si>
    <t>Settee</t>
  </si>
  <si>
    <t>Cabinet</t>
  </si>
  <si>
    <t>Chest</t>
  </si>
  <si>
    <t>Armoire</t>
  </si>
  <si>
    <t>Hutch</t>
  </si>
  <si>
    <t>File Cabinet</t>
  </si>
  <si>
    <t>Lawn Chair</t>
  </si>
  <si>
    <t>Chocolate Bar</t>
  </si>
  <si>
    <t>Almond Milk</t>
  </si>
  <si>
    <t>Protein Cookies</t>
  </si>
  <si>
    <t>Pasta Pack</t>
  </si>
  <si>
    <t>Organic Honey</t>
  </si>
  <si>
    <t>Granola Bar</t>
  </si>
  <si>
    <t>Fruit Jam</t>
  </si>
  <si>
    <t>Cheese Block</t>
  </si>
  <si>
    <t>Frozen Pizza</t>
  </si>
  <si>
    <t>Coffee Beans</t>
  </si>
  <si>
    <t>Burger</t>
  </si>
  <si>
    <t>Doughnut</t>
  </si>
  <si>
    <t>Noodles</t>
  </si>
  <si>
    <t>French Fries</t>
  </si>
  <si>
    <t>Bread</t>
  </si>
  <si>
    <t>Potatoes</t>
  </si>
  <si>
    <t>Cookies</t>
  </si>
  <si>
    <t>Avocadro Pear</t>
  </si>
  <si>
    <t>Apple</t>
  </si>
  <si>
    <t>Peaches</t>
  </si>
  <si>
    <t>Grapes</t>
  </si>
  <si>
    <t>Butter</t>
  </si>
  <si>
    <t>Mayonnaise</t>
  </si>
  <si>
    <t>T-Shirt</t>
  </si>
  <si>
    <t>Jeans</t>
  </si>
  <si>
    <t>Hoodie</t>
  </si>
  <si>
    <t>Dress Shirt</t>
  </si>
  <si>
    <t>Jacket</t>
  </si>
  <si>
    <t>Skirt</t>
  </si>
  <si>
    <t>Shorts</t>
  </si>
  <si>
    <t>Sneakers</t>
  </si>
  <si>
    <t>Socks Pack</t>
  </si>
  <si>
    <t>Cap</t>
  </si>
  <si>
    <t>Camisole</t>
  </si>
  <si>
    <t>Bikers Shorts</t>
  </si>
  <si>
    <t>Pyjamas</t>
  </si>
  <si>
    <t>Tights</t>
  </si>
  <si>
    <t>Sweat Shirts</t>
  </si>
  <si>
    <t>Apron</t>
  </si>
  <si>
    <t>Suit</t>
  </si>
  <si>
    <t>Leggings</t>
  </si>
  <si>
    <t>Track Suits</t>
  </si>
  <si>
    <t>Turtleneck Top</t>
  </si>
  <si>
    <t>Jean Pants</t>
  </si>
  <si>
    <t>Head Warmer</t>
  </si>
  <si>
    <t>Polo Shirt</t>
  </si>
  <si>
    <t>Boxers</t>
  </si>
  <si>
    <t>Laptop</t>
  </si>
  <si>
    <t>Smartphone</t>
  </si>
  <si>
    <t>Headphones</t>
  </si>
  <si>
    <t>Smartwatch</t>
  </si>
  <si>
    <t>Bluetooth Speaker</t>
  </si>
  <si>
    <t>USB Drive</t>
  </si>
  <si>
    <t>Monitor</t>
  </si>
  <si>
    <t>Keyboard</t>
  </si>
  <si>
    <t>Mouse</t>
  </si>
  <si>
    <t>Tablet</t>
  </si>
  <si>
    <t>Television</t>
  </si>
  <si>
    <t>Camera</t>
  </si>
  <si>
    <t>Smart Phone</t>
  </si>
  <si>
    <t>Gaming Console</t>
  </si>
  <si>
    <t>Radio</t>
  </si>
  <si>
    <t>Microwave</t>
  </si>
  <si>
    <t>Oven</t>
  </si>
  <si>
    <t>Gas Cooker</t>
  </si>
  <si>
    <t>Refridgerator</t>
  </si>
  <si>
    <t>Freezer</t>
  </si>
  <si>
    <t>Washing Machine</t>
  </si>
  <si>
    <t>Product Name</t>
  </si>
  <si>
    <t>Row Labels</t>
  </si>
  <si>
    <t>Percentage Revenue</t>
  </si>
  <si>
    <t>REVENUE BY SALES CHANNEL</t>
  </si>
  <si>
    <t>SSss</t>
  </si>
  <si>
    <t>% REVENUE BY SALES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</si>
</sst>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[$$-1009]#,##0.00"/>
    <numFmt numFmtId="166" formatCode="[$$-409]#,##0.00"/>
    <numFmt numFmtId="167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DB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rgb="FF92D05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16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pivotButton="1"/>
    <xf numFmtId="10" fontId="0" fillId="0" borderId="0" xfId="0" applyNumberFormat="1"/>
    <xf numFmtId="10" fontId="0" fillId="0" borderId="0" xfId="0" applyNumberFormat="1" applyAlignment="1">
      <alignment horizontal="center"/>
    </xf>
    <xf numFmtId="0" fontId="1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0" fillId="0" borderId="0" xfId="0" applyFont="1" applyAlignment="1">
      <alignment horizontal="centerContinuous"/>
    </xf>
    <xf numFmtId="0" fontId="19" fillId="0" borderId="0" xfId="0" applyFont="1" applyAlignment="1">
      <alignment horizontal="centerContinuous"/>
    </xf>
    <xf numFmtId="10" fontId="16" fillId="33" borderId="0" xfId="0" applyNumberFormat="1" applyFont="1" applyFill="1" applyAlignment="1">
      <alignment horizontal="center"/>
    </xf>
    <xf numFmtId="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166" fontId="0" fillId="0" borderId="10" xfId="0" applyNumberFormat="1" applyBorder="1"/>
    <xf numFmtId="0" fontId="0" fillId="34" borderId="10" xfId="0" applyFill="1" applyBorder="1" applyAlignment="1">
      <alignment horizontal="right"/>
    </xf>
    <xf numFmtId="0" fontId="0" fillId="34" borderId="10" xfId="0" applyFill="1" applyBorder="1"/>
    <xf numFmtId="0" fontId="16" fillId="0" borderId="0" xfId="0" applyFont="1" applyAlignment="1">
      <alignment horizontal="right"/>
    </xf>
    <xf numFmtId="10" fontId="16" fillId="37" borderId="0" xfId="0" applyNumberFormat="1" applyFont="1" applyFill="1" applyAlignment="1">
      <alignment horizontal="center"/>
    </xf>
    <xf numFmtId="0" fontId="13" fillId="36" borderId="0" xfId="0" applyFont="1" applyFill="1" applyAlignment="1">
      <alignment horizontal="center"/>
    </xf>
    <xf numFmtId="0" fontId="0" fillId="0" borderId="0" xfId="0" applyAlignment="1">
      <alignment horizontal="right"/>
    </xf>
    <xf numFmtId="9" fontId="0" fillId="0" borderId="0" xfId="0" applyNumberFormat="1"/>
    <xf numFmtId="167" fontId="0" fillId="0" borderId="0" xfId="0" applyNumberFormat="1"/>
    <xf numFmtId="14" fontId="13" fillId="36" borderId="0" xfId="0" applyNumberFormat="1" applyFont="1" applyFill="1" applyAlignment="1">
      <alignment horizontal="center"/>
    </xf>
    <xf numFmtId="164" fontId="13" fillId="36" borderId="0" xfId="0" applyNumberFormat="1" applyFont="1" applyFill="1" applyAlignment="1">
      <alignment horizontal="center"/>
    </xf>
    <xf numFmtId="9" fontId="13" fillId="36" borderId="0" xfId="42" applyFon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vertical="center" indent="1"/>
    </xf>
    <xf numFmtId="0" fontId="0" fillId="35" borderId="11" xfId="0" applyFill="1" applyBorder="1" applyAlignment="1">
      <alignment horizontal="center"/>
    </xf>
    <xf numFmtId="14" fontId="0" fillId="35" borderId="11" xfId="0" applyNumberFormat="1" applyFill="1" applyBorder="1" applyAlignment="1">
      <alignment horizontal="center"/>
    </xf>
    <xf numFmtId="164" fontId="0" fillId="35" borderId="11" xfId="0" applyNumberFormat="1" applyFill="1" applyBorder="1" applyAlignment="1">
      <alignment horizontal="center"/>
    </xf>
    <xf numFmtId="9" fontId="0" fillId="35" borderId="11" xfId="42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9" fontId="0" fillId="0" borderId="11" xfId="42" applyFont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42" applyFont="1" applyAlignment="1">
      <alignment horizontal="center"/>
    </xf>
    <xf numFmtId="0" fontId="16" fillId="38" borderId="10" xfId="0" applyFont="1" applyFill="1" applyBorder="1"/>
    <xf numFmtId="0" fontId="16" fillId="38" borderId="10" xfId="0" applyFont="1" applyFill="1" applyBorder="1" applyAlignment="1">
      <alignment horizontal="right"/>
    </xf>
    <xf numFmtId="0" fontId="0" fillId="39" borderId="10" xfId="0" applyFill="1" applyBorder="1"/>
    <xf numFmtId="166" fontId="0" fillId="39" borderId="10" xfId="0" applyNumberFormat="1" applyFill="1" applyBorder="1"/>
    <xf numFmtId="0" fontId="0" fillId="0" borderId="0" xfId="0" applyAlignment="1">
      <alignment horizontal="left"/>
    </xf>
    <xf numFmtId="166" fontId="19" fillId="0" borderId="0" xfId="0" applyNumberFormat="1" applyFont="1" applyAlignment="1">
      <alignment horizontal="center"/>
    </xf>
    <xf numFmtId="0" fontId="0" fillId="0" borderId="0" xfId="0" applyAlignment="1">
      <alignment horizontal="left" vertical="top"/>
    </xf>
    <xf numFmtId="4" fontId="16" fillId="40" borderId="0" xfId="0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solid">
          <bgColor theme="7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/>
      </font>
    </dxf>
    <dxf>
      <numFmt numFmtId="4" formatCode="#,##0.00"/>
    </dxf>
    <dxf>
      <numFmt numFmtId="165" formatCode="[$$-1009]#,##0.00"/>
    </dxf>
    <dxf>
      <numFmt numFmtId="3" formatCode="#,##0"/>
    </dxf>
    <dxf>
      <numFmt numFmtId="4" formatCode="#,##0.00"/>
    </dxf>
    <dxf>
      <alignment horizontal="right"/>
    </dxf>
    <dxf>
      <alignment horizontal="right"/>
    </dxf>
    <dxf>
      <alignment horizontal="right"/>
    </dxf>
    <dxf>
      <alignment horizontal="centerContinuous"/>
    </dxf>
    <dxf>
      <alignment horizontal="centerContinuous"/>
    </dxf>
    <dxf>
      <alignment horizontal="centerContinuous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DBDBDB"/>
        </patternFill>
      </fill>
    </dxf>
    <dxf>
      <fill>
        <patternFill>
          <bgColor theme="9" tint="0.59999389629810485"/>
        </patternFill>
      </fill>
    </dxf>
    <dxf>
      <font>
        <b/>
      </font>
    </dxf>
    <dxf>
      <font>
        <b/>
      </font>
    </dxf>
    <dxf>
      <fill>
        <patternFill>
          <bgColor theme="9" tint="0.39997558519241921"/>
        </patternFill>
      </fill>
    </dxf>
    <dxf>
      <fill>
        <patternFill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>
          <f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mruColors>
      <color rgb="FFFF33CC"/>
      <color rgb="FFFFCCFF"/>
      <color rgb="FF000000"/>
      <color rgb="FFF8BAF2"/>
      <color rgb="FF6600CC"/>
      <color rgb="FF9900FF"/>
      <color rgb="FFFFFFFF"/>
      <color rgb="FF9999FF"/>
      <color rgb="FFFF99FF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 BY SALES REP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966FF"/>
          </a:solidFill>
          <a:ln>
            <a:noFill/>
          </a:ln>
          <a:effectLst/>
        </c:spPr>
      </c:pivotFmt>
      <c:pivotFmt>
        <c:idx val="7"/>
        <c:spPr>
          <a:solidFill>
            <a:srgbClr val="FF33CC"/>
          </a:solidFill>
          <a:ln>
            <a:noFill/>
          </a:ln>
          <a:effectLst/>
        </c:spPr>
      </c:pivotFmt>
      <c:pivotFmt>
        <c:idx val="8"/>
        <c:spPr>
          <a:solidFill>
            <a:srgbClr val="FF99FF"/>
          </a:solidFill>
          <a:ln>
            <a:noFill/>
          </a:ln>
          <a:effectLst/>
        </c:spPr>
      </c:pivotFmt>
      <c:pivotFmt>
        <c:idx val="9"/>
        <c:spPr>
          <a:solidFill>
            <a:srgbClr val="9999FF"/>
          </a:solidFill>
          <a:ln>
            <a:noFill/>
          </a:ln>
          <a:effectLst/>
        </c:spPr>
      </c:pivotFmt>
      <c:pivotFmt>
        <c:idx val="10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99FF"/>
          </a:solidFill>
          <a:ln>
            <a:noFill/>
          </a:ln>
          <a:effectLst/>
        </c:spPr>
      </c:pivotFmt>
      <c:pivotFmt>
        <c:idx val="12"/>
        <c:spPr>
          <a:solidFill>
            <a:srgbClr val="9966FF"/>
          </a:solidFill>
          <a:ln>
            <a:noFill/>
          </a:ln>
          <a:effectLst/>
        </c:spPr>
      </c:pivotFmt>
      <c:pivotFmt>
        <c:idx val="13"/>
        <c:spPr>
          <a:solidFill>
            <a:srgbClr val="9999FF"/>
          </a:solidFill>
          <a:ln>
            <a:noFill/>
          </a:ln>
          <a:effectLst/>
        </c:spPr>
      </c:pivotFmt>
      <c:pivotFmt>
        <c:idx val="14"/>
        <c:spPr>
          <a:solidFill>
            <a:srgbClr val="FF33CC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99FF"/>
          </a:solidFill>
          <a:ln>
            <a:noFill/>
          </a:ln>
          <a:effectLst/>
        </c:spPr>
      </c:pivotFmt>
      <c:pivotFmt>
        <c:idx val="18"/>
        <c:spPr>
          <a:solidFill>
            <a:srgbClr val="9966FF"/>
          </a:solidFill>
          <a:ln>
            <a:noFill/>
          </a:ln>
          <a:effectLst/>
        </c:spPr>
      </c:pivotFmt>
      <c:pivotFmt>
        <c:idx val="19"/>
        <c:spPr>
          <a:solidFill>
            <a:srgbClr val="9999FF"/>
          </a:solidFill>
          <a:ln>
            <a:noFill/>
          </a:ln>
          <a:effectLst/>
        </c:spPr>
      </c:pivotFmt>
      <c:pivotFmt>
        <c:idx val="20"/>
        <c:spPr>
          <a:solidFill>
            <a:srgbClr val="FF33CC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F99FF"/>
          </a:solidFill>
          <a:ln>
            <a:noFill/>
          </a:ln>
          <a:effectLst/>
        </c:spPr>
      </c:pivotFmt>
      <c:pivotFmt>
        <c:idx val="24"/>
        <c:spPr>
          <a:solidFill>
            <a:srgbClr val="9966FF"/>
          </a:solidFill>
          <a:ln>
            <a:noFill/>
          </a:ln>
          <a:effectLst/>
        </c:spPr>
      </c:pivotFmt>
      <c:pivotFmt>
        <c:idx val="25"/>
        <c:spPr>
          <a:solidFill>
            <a:srgbClr val="9999FF"/>
          </a:solidFill>
          <a:ln>
            <a:noFill/>
          </a:ln>
          <a:effectLst/>
        </c:spPr>
      </c:pivotFmt>
      <c:pivotFmt>
        <c:idx val="26"/>
        <c:spPr>
          <a:solidFill>
            <a:srgbClr val="FF33CC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FF99FF"/>
          </a:solidFill>
          <a:ln>
            <a:noFill/>
          </a:ln>
          <a:effectLst/>
        </c:spPr>
      </c:pivotFmt>
      <c:pivotFmt>
        <c:idx val="30"/>
        <c:spPr>
          <a:solidFill>
            <a:srgbClr val="9966FF"/>
          </a:solidFill>
          <a:ln>
            <a:noFill/>
          </a:ln>
          <a:effectLst/>
        </c:spPr>
      </c:pivotFmt>
      <c:pivotFmt>
        <c:idx val="31"/>
        <c:spPr>
          <a:solidFill>
            <a:srgbClr val="9999FF"/>
          </a:solidFill>
          <a:ln>
            <a:noFill/>
          </a:ln>
          <a:effectLst/>
        </c:spPr>
      </c:pivotFmt>
      <c:pivotFmt>
        <c:idx val="32"/>
        <c:spPr>
          <a:solidFill>
            <a:srgbClr val="FF33CC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rgbClr val="6600CC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92A-463C-8908-1E151255B67A}"/>
              </c:ext>
            </c:extLst>
          </c:dPt>
          <c:dPt>
            <c:idx val="1"/>
            <c:invertIfNegative val="0"/>
            <c:bubble3D val="0"/>
            <c:spPr>
              <a:solidFill>
                <a:srgbClr val="99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2A-463C-8908-1E151255B67A}"/>
              </c:ext>
            </c:extLst>
          </c:dPt>
          <c:dPt>
            <c:idx val="2"/>
            <c:invertIfNegative val="0"/>
            <c:bubble3D val="0"/>
            <c:spPr>
              <a:solidFill>
                <a:srgbClr val="99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92A-463C-8908-1E151255B67A}"/>
              </c:ext>
            </c:extLst>
          </c:dPt>
          <c:dPt>
            <c:idx val="4"/>
            <c:invertIfNegative val="0"/>
            <c:bubble3D val="0"/>
            <c:spPr>
              <a:solidFill>
                <a:srgbClr val="FF33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92A-463C-8908-1E151255B67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Alice</c:v>
              </c:pt>
              <c:pt idx="1">
                <c:v>Bob</c:v>
              </c:pt>
              <c:pt idx="2">
                <c:v>Charlie</c:v>
              </c:pt>
              <c:pt idx="3">
                <c:v>David</c:v>
              </c:pt>
              <c:pt idx="4">
                <c:v>Eve</c:v>
              </c:pt>
            </c:strLit>
          </c:cat>
          <c:val>
            <c:numLit>
              <c:formatCode>General</c:formatCode>
              <c:ptCount val="5"/>
              <c:pt idx="0">
                <c:v>965541.77000000048</c:v>
              </c:pt>
              <c:pt idx="1">
                <c:v>1080990.6300000006</c:v>
              </c:pt>
              <c:pt idx="2">
                <c:v>860811.48</c:v>
              </c:pt>
              <c:pt idx="3">
                <c:v>1141737.3599999996</c:v>
              </c:pt>
              <c:pt idx="4">
                <c:v>970183.99000000022</c:v>
              </c:pt>
            </c:numLit>
          </c:val>
          <c:extLst>
            <c:ext xmlns:c16="http://schemas.microsoft.com/office/drawing/2014/chart" uri="{C3380CC4-5D6E-409C-BE32-E72D297353CC}">
              <c16:uniqueId val="{00000008-592A-463C-8908-1E151255B67A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Alice</c:v>
              </c:pt>
              <c:pt idx="1">
                <c:v>Bob</c:v>
              </c:pt>
              <c:pt idx="2">
                <c:v>Charlie</c:v>
              </c:pt>
              <c:pt idx="3">
                <c:v>David</c:v>
              </c:pt>
              <c:pt idx="4">
                <c:v>Eve</c:v>
              </c:pt>
            </c:strLit>
          </c:cat>
          <c:val>
            <c:numLit>
              <c:formatCode>General</c:formatCode>
              <c:ptCount val="5"/>
              <c:pt idx="0">
                <c:v>0.19236715450480396</c:v>
              </c:pt>
              <c:pt idx="1">
                <c:v>0.21536830202535451</c:v>
              </c:pt>
              <c:pt idx="2">
                <c:v>0.17150149285894578</c:v>
              </c:pt>
              <c:pt idx="3">
                <c:v>0.2274710157127918</c:v>
              </c:pt>
              <c:pt idx="4">
                <c:v>0.19329203489810404</c:v>
              </c:pt>
            </c:numLit>
          </c:val>
          <c:extLst>
            <c:ext xmlns:c16="http://schemas.microsoft.com/office/drawing/2014/chart" uri="{C3380CC4-5D6E-409C-BE32-E72D297353CC}">
              <c16:uniqueId val="{00000009-592A-463C-8908-1E151255B6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7943760"/>
        <c:axId val="1647929840"/>
      </c:barChart>
      <c:catAx>
        <c:axId val="1647943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929840"/>
        <c:crosses val="autoZero"/>
        <c:auto val="1"/>
        <c:lblAlgn val="ctr"/>
        <c:lblOffset val="100"/>
        <c:noMultiLvlLbl val="0"/>
      </c:catAx>
      <c:valAx>
        <c:axId val="16479298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7943760"/>
        <c:crosses val="autoZero"/>
        <c:crossBetween val="between"/>
      </c:valAx>
      <c:spPr>
        <a:noFill/>
        <a:ln>
          <a:solidFill>
            <a:srgbClr val="F8BAF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[sales_data_cleaned_portfolio.xlsx]Pivot_Analysis!PivotTable1</c:name>
    <c:fmtId val="3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TAX BY REGION</a:t>
            </a:r>
          </a:p>
        </c:rich>
      </c:tx>
      <c:layout>
        <c:manualLayout>
          <c:xMode val="edge"/>
          <c:yMode val="edge"/>
          <c:x val="0.31500214417247552"/>
          <c:y val="1.00793650793650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4.2614542613079301E-2"/>
          <c:y val="0.17171302103608865"/>
          <c:w val="0.88623918919242495"/>
          <c:h val="0.70012177795818953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Pivot_Analysis!$B$49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9C-47AE-A98D-B709E72205EF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9C-47AE-A98D-B709E72205EF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99C-47AE-A98D-B709E72205EF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99C-47AE-A98D-B709E7220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Pivot_Analysis!$A$50:$A$54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Pivot_Analysis!$B$50:$B$54</c:f>
              <c:numCache>
                <c:formatCode>_-[$$-409]* #,##0.00_ ;_-[$$-409]* \-#,##0.00\ ;_-[$$-409]* "-"??_ ;_-@_ </c:formatCode>
                <c:ptCount val="4"/>
                <c:pt idx="0">
                  <c:v>75587.575800000035</c:v>
                </c:pt>
                <c:pt idx="1">
                  <c:v>102720.93824999999</c:v>
                </c:pt>
                <c:pt idx="2">
                  <c:v>57712.543000000012</c:v>
                </c:pt>
                <c:pt idx="3">
                  <c:v>98848.714400000026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99C-47AE-A98D-B709E72205E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62570976"/>
        <c:axId val="762558976"/>
      </c:lineChart>
      <c:catAx>
        <c:axId val="76257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58976"/>
        <c:crosses val="autoZero"/>
        <c:auto val="1"/>
        <c:lblAlgn val="ctr"/>
        <c:lblOffset val="100"/>
        <c:noMultiLvlLbl val="0"/>
      </c:catAx>
      <c:valAx>
        <c:axId val="762558976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76257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[sales_data_cleaned_portfolio.xlsx]Pivot_Analysis!PivotTable5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1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1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2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23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24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25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2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2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3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Pivot_Analysis!$B$18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9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FF-4A31-8EE3-C0FEF278D957}"/>
              </c:ext>
            </c:extLst>
          </c:dPt>
          <c:dPt>
            <c:idx val="1"/>
            <c:bubble3D val="0"/>
            <c:spPr>
              <a:solidFill>
                <a:srgbClr val="CC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FF-4A31-8EE3-C0FEF278D957}"/>
              </c:ext>
            </c:extLst>
          </c:dPt>
          <c:dPt>
            <c:idx val="2"/>
            <c:bubble3D val="0"/>
            <c:spPr>
              <a:solidFill>
                <a:srgbClr val="FF99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FF-4A31-8EE3-C0FEF278D957}"/>
              </c:ext>
            </c:extLst>
          </c:dPt>
          <c:dPt>
            <c:idx val="3"/>
            <c:bubble3D val="0"/>
            <c:spPr>
              <a:solidFill>
                <a:srgbClr val="FF33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FF-4A31-8EE3-C0FEF278D957}"/>
              </c:ext>
            </c:extLst>
          </c:dPt>
          <c:dLbls>
            <c:dLbl>
              <c:idx val="0"/>
              <c:layout>
                <c:manualLayout>
                  <c:x val="-3.7228397884640188E-3"/>
                  <c:y val="2.9999947322304709E-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363949766067469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AFF-4A31-8EE3-C0FEF278D957}"/>
                </c:ext>
              </c:extLst>
            </c:dLbl>
            <c:dLbl>
              <c:idx val="1"/>
              <c:layout>
                <c:manualLayout>
                  <c:x val="1.4891945450921073E-2"/>
                  <c:y val="-6.158373734198886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247053857248392"/>
                      <c:h val="0.1700392097643375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AFF-4A31-8EE3-C0FEF278D957}"/>
                </c:ext>
              </c:extLst>
            </c:dLbl>
            <c:dLbl>
              <c:idx val="2"/>
              <c:layout>
                <c:manualLayout>
                  <c:x val="3.722986362730251E-3"/>
                  <c:y val="1.715273546490699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85560675883255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AFF-4A31-8EE3-C0FEF278D957}"/>
                </c:ext>
              </c:extLst>
            </c:dLbl>
            <c:dLbl>
              <c:idx val="3"/>
              <c:layout>
                <c:manualLayout>
                  <c:x val="3.7229863627302683E-3"/>
                  <c:y val="1.94490439876312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13262039610231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AFF-4A31-8EE3-C0FEF278D9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Pivot_Analysis!$A$19:$A$23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Pivot_Analysis!$B$19:$B$23</c:f>
              <c:numCache>
                <c:formatCode>_-[$$-409]* #,##0.00_ ;_-[$$-409]* \-#,##0.00\ ;_-[$$-409]* "-"??_ ;_-@_ </c:formatCode>
                <c:ptCount val="4"/>
                <c:pt idx="0">
                  <c:v>1259792.93</c:v>
                </c:pt>
                <c:pt idx="1">
                  <c:v>1369612.5100000009</c:v>
                </c:pt>
                <c:pt idx="2">
                  <c:v>1154250.8600000006</c:v>
                </c:pt>
                <c:pt idx="3">
                  <c:v>1235608.9299999997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FF-4A31-8EE3-C0FEF278D95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[sales_data_cleaned_portfolio.xlsx]Pivot_Analysis!PivotTable7</c:name>
    <c:fmtId val="4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2D050"/>
          </a:solidFill>
          <a:ln>
            <a:noFill/>
          </a:ln>
          <a:effectLst/>
        </c:spPr>
      </c:pivotFmt>
      <c:pivotFmt>
        <c:idx val="5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</c:spPr>
      </c:pivotFmt>
      <c:pivotFmt>
        <c:idx val="7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2D050"/>
          </a:solidFill>
          <a:ln>
            <a:noFill/>
          </a:ln>
          <a:effectLst/>
        </c:spPr>
      </c:pivotFmt>
      <c:pivotFmt>
        <c:idx val="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600CC"/>
          </a:solidFill>
          <a:ln>
            <a:noFill/>
          </a:ln>
          <a:effectLst/>
        </c:spPr>
      </c:pivotFmt>
      <c:pivotFmt>
        <c:idx val="11"/>
        <c:spPr>
          <a:solidFill>
            <a:srgbClr val="9966FF"/>
          </a:solidFill>
          <a:ln>
            <a:noFill/>
          </a:ln>
          <a:effectLst/>
        </c:spPr>
      </c:pivotFmt>
      <c:pivotFmt>
        <c:idx val="12"/>
        <c:spPr>
          <a:solidFill>
            <a:srgbClr val="FF33CC"/>
          </a:solidFill>
          <a:ln>
            <a:noFill/>
          </a:ln>
          <a:effectLst/>
        </c:spPr>
      </c:pivotFmt>
      <c:pivotFmt>
        <c:idx val="13"/>
        <c:spPr>
          <a:solidFill>
            <a:srgbClr val="FF99FF"/>
          </a:solidFill>
          <a:ln>
            <a:noFill/>
          </a:ln>
          <a:effectLst/>
        </c:spPr>
      </c:pivotFmt>
      <c:pivotFmt>
        <c:idx val="1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6600CC"/>
          </a:solidFill>
          <a:ln>
            <a:noFill/>
          </a:ln>
          <a:effectLst/>
        </c:spPr>
      </c:pivotFmt>
      <c:pivotFmt>
        <c:idx val="16"/>
        <c:spPr>
          <a:solidFill>
            <a:srgbClr val="9966FF"/>
          </a:solidFill>
          <a:ln>
            <a:noFill/>
          </a:ln>
          <a:effectLst/>
        </c:spPr>
      </c:pivotFmt>
      <c:pivotFmt>
        <c:idx val="17"/>
        <c:spPr>
          <a:solidFill>
            <a:srgbClr val="FF33CC"/>
          </a:solidFill>
          <a:ln>
            <a:noFill/>
          </a:ln>
          <a:effectLst/>
        </c:spPr>
      </c:pivotFmt>
      <c:pivotFmt>
        <c:idx val="18"/>
        <c:spPr>
          <a:solidFill>
            <a:srgbClr val="FF99FF"/>
          </a:solidFill>
          <a:ln>
            <a:noFill/>
          </a:ln>
          <a:effectLst/>
        </c:spPr>
      </c:pivotFmt>
      <c:pivotFmt>
        <c:idx val="1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6600CC"/>
          </a:solidFill>
          <a:ln>
            <a:noFill/>
          </a:ln>
          <a:effectLst/>
        </c:spPr>
      </c:pivotFmt>
      <c:pivotFmt>
        <c:idx val="21"/>
        <c:spPr>
          <a:solidFill>
            <a:srgbClr val="9966FF"/>
          </a:solidFill>
          <a:ln>
            <a:noFill/>
          </a:ln>
          <a:effectLst/>
        </c:spPr>
      </c:pivotFmt>
      <c:pivotFmt>
        <c:idx val="22"/>
        <c:spPr>
          <a:solidFill>
            <a:srgbClr val="FF33CC"/>
          </a:solidFill>
          <a:ln>
            <a:noFill/>
          </a:ln>
          <a:effectLst/>
        </c:spPr>
      </c:pivotFmt>
      <c:pivotFmt>
        <c:idx val="23"/>
        <c:spPr>
          <a:solidFill>
            <a:srgbClr val="FF99FF"/>
          </a:solidFill>
          <a:ln>
            <a:noFill/>
          </a:ln>
          <a:effectLst/>
        </c:spPr>
      </c:pivotFmt>
      <c:pivotFmt>
        <c:idx val="2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6600CC"/>
          </a:solidFill>
          <a:ln>
            <a:noFill/>
          </a:ln>
          <a:effectLst/>
        </c:spPr>
      </c:pivotFmt>
      <c:pivotFmt>
        <c:idx val="26"/>
        <c:spPr>
          <a:solidFill>
            <a:srgbClr val="9966FF"/>
          </a:solidFill>
          <a:ln>
            <a:noFill/>
          </a:ln>
          <a:effectLst/>
        </c:spPr>
      </c:pivotFmt>
      <c:pivotFmt>
        <c:idx val="27"/>
        <c:spPr>
          <a:solidFill>
            <a:srgbClr val="FF33CC"/>
          </a:solidFill>
          <a:ln>
            <a:noFill/>
          </a:ln>
          <a:effectLst/>
        </c:spPr>
      </c:pivotFmt>
      <c:pivotFmt>
        <c:idx val="28"/>
        <c:spPr>
          <a:solidFill>
            <a:srgbClr val="FF99FF"/>
          </a:solidFill>
          <a:ln>
            <a:noFill/>
          </a:ln>
          <a:effectLst/>
        </c:spPr>
      </c:pivotFmt>
      <c:pivotFmt>
        <c:idx val="2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6600CC"/>
          </a:solidFill>
          <a:ln>
            <a:noFill/>
          </a:ln>
          <a:effectLst/>
        </c:spPr>
      </c:pivotFmt>
      <c:pivotFmt>
        <c:idx val="31"/>
        <c:spPr>
          <a:solidFill>
            <a:srgbClr val="9966FF"/>
          </a:solidFill>
          <a:ln>
            <a:noFill/>
          </a:ln>
          <a:effectLst/>
        </c:spPr>
      </c:pivotFmt>
      <c:pivotFmt>
        <c:idx val="32"/>
        <c:spPr>
          <a:solidFill>
            <a:srgbClr val="FF33CC"/>
          </a:solidFill>
          <a:ln>
            <a:noFill/>
          </a:ln>
          <a:effectLst/>
        </c:spPr>
      </c:pivotFmt>
      <c:pivotFmt>
        <c:idx val="33"/>
        <c:spPr>
          <a:solidFill>
            <a:srgbClr val="FF99FF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640197920879226"/>
          <c:y val="0.21395998975098121"/>
          <c:w val="0.79158955206127946"/>
          <c:h val="0.58775336078288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600CC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600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492-450F-8E59-9DC5E393725E}"/>
              </c:ext>
            </c:extLst>
          </c:dPt>
          <c:dPt>
            <c:idx val="1"/>
            <c:invertIfNegative val="0"/>
            <c:bubble3D val="0"/>
            <c:spPr>
              <a:solidFill>
                <a:srgbClr val="99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492-450F-8E59-9DC5E393725E}"/>
              </c:ext>
            </c:extLst>
          </c:dPt>
          <c:dPt>
            <c:idx val="2"/>
            <c:invertIfNegative val="0"/>
            <c:bubble3D val="0"/>
            <c:spPr>
              <a:solidFill>
                <a:srgbClr val="FF33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492-450F-8E59-9DC5E393725E}"/>
              </c:ext>
            </c:extLst>
          </c:dPt>
          <c:dPt>
            <c:idx val="3"/>
            <c:invertIfNegative val="0"/>
            <c:bubble3D val="0"/>
            <c:spPr>
              <a:solidFill>
                <a:srgbClr val="FF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492-450F-8E59-9DC5E393725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Pivot_Analysis!$A$29:$A$33</c:f>
              <c:strCache>
                <c:ptCount val="4"/>
                <c:pt idx="0">
                  <c:v>Clothing</c:v>
                </c:pt>
                <c:pt idx="1">
                  <c:v>Furniture</c:v>
                </c:pt>
                <c:pt idx="2">
                  <c:v>Electronics</c:v>
                </c:pt>
                <c:pt idx="3">
                  <c:v>Food</c:v>
                </c:pt>
              </c:strCache>
            </c:strRef>
          </c:cat>
          <c:val>
            <c:numRef>
              <c:f>Pivot_Analysis!$B$29:$B$33</c:f>
              <c:numCache>
                <c:formatCode>_-[$$-409]* #,##0.00_ ;_-[$$-409]* \-#,##0.00\ ;_-[$$-409]* "-"??_ ;_-@_ </c:formatCode>
                <c:ptCount val="4"/>
                <c:pt idx="0">
                  <c:v>1313474.3599999999</c:v>
                </c:pt>
                <c:pt idx="1">
                  <c:v>1260517.6900000002</c:v>
                </c:pt>
                <c:pt idx="2">
                  <c:v>1243499.6400000006</c:v>
                </c:pt>
                <c:pt idx="3">
                  <c:v>1201773.5399999998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92-450F-8E59-9DC5E3937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2525376"/>
        <c:axId val="762552736"/>
      </c:barChart>
      <c:catAx>
        <c:axId val="76252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52736"/>
        <c:crosses val="autoZero"/>
        <c:auto val="1"/>
        <c:lblAlgn val="ctr"/>
        <c:lblOffset val="100"/>
        <c:noMultiLvlLbl val="0"/>
      </c:catAx>
      <c:valAx>
        <c:axId val="762552736"/>
        <c:scaling>
          <c:orientation val="minMax"/>
          <c:max val="1400000"/>
          <c:min val="1000000"/>
        </c:scaling>
        <c:delete val="1"/>
        <c:axPos val="l"/>
        <c:numFmt formatCode="[$$-409]#,##0" sourceLinked="0"/>
        <c:majorTickMark val="none"/>
        <c:minorTickMark val="none"/>
        <c:tickLblPos val="nextTo"/>
        <c:crossAx val="762525376"/>
        <c:crosses val="autoZero"/>
        <c:crossBetween val="between"/>
      </c:valAx>
      <c:spPr>
        <a:solidFill>
          <a:srgbClr val="F8BAF2">
            <a:alpha val="34902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F8BAF2">
        <a:alpha val="34902"/>
      </a:srgbClr>
    </a:solidFill>
    <a:ln w="12700" cap="flat" cmpd="sng" algn="ctr">
      <a:solidFill>
        <a:schemeClr val="bg1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Product Categories </a:t>
            </a:r>
          </a:p>
          <a:p>
            <a:pPr>
              <a:defRPr/>
            </a:pPr>
            <a:r>
              <a:rPr lang="en-US" b="1"/>
              <a:t>Across Regions</a:t>
            </a:r>
          </a:p>
        </c:rich>
      </c:tx>
      <c:layout>
        <c:manualLayout>
          <c:xMode val="edge"/>
          <c:yMode val="edge"/>
          <c:x val="0.32846999162277762"/>
          <c:y val="0.12310541176143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</c:pivotFmt>
      <c:pivotFmt>
        <c:idx val="13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4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5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7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1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2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3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4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9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0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1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2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7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8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9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0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5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7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8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East</c:v>
          </c:tx>
          <c:spPr>
            <a:solidFill>
              <a:srgbClr val="9966FF"/>
            </a:solidFill>
            <a:ln>
              <a:solidFill>
                <a:srgbClr val="9966FF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356670.40000000008</c:v>
              </c:pt>
              <c:pt idx="1">
                <c:v>303101.42</c:v>
              </c:pt>
              <c:pt idx="2">
                <c:v>325864.87</c:v>
              </c:pt>
              <c:pt idx="3">
                <c:v>274156.24</c:v>
              </c:pt>
            </c:numLit>
          </c:val>
          <c:extLst>
            <c:ext xmlns:c16="http://schemas.microsoft.com/office/drawing/2014/chart" uri="{C3380CC4-5D6E-409C-BE32-E72D297353CC}">
              <c16:uniqueId val="{00000000-6E30-4F29-9FE3-0A70E60BBC56}"/>
            </c:ext>
          </c:extLst>
        </c:ser>
        <c:ser>
          <c:idx val="1"/>
          <c:order val="1"/>
          <c:tx>
            <c:v>North</c:v>
          </c:tx>
          <c:spPr>
            <a:solidFill>
              <a:srgbClr val="CC66FF"/>
            </a:solidFill>
            <a:ln>
              <a:solidFill>
                <a:srgbClr val="CC66FF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372977.22</c:v>
              </c:pt>
              <c:pt idx="1">
                <c:v>342666.29000000015</c:v>
              </c:pt>
              <c:pt idx="2">
                <c:v>258985.65</c:v>
              </c:pt>
              <c:pt idx="3">
                <c:v>394983.35</c:v>
              </c:pt>
            </c:numLit>
          </c:val>
          <c:extLst>
            <c:ext xmlns:c16="http://schemas.microsoft.com/office/drawing/2014/chart" uri="{C3380CC4-5D6E-409C-BE32-E72D297353CC}">
              <c16:uniqueId val="{00000001-6E30-4F29-9FE3-0A70E60BBC56}"/>
            </c:ext>
          </c:extLst>
        </c:ser>
        <c:ser>
          <c:idx val="2"/>
          <c:order val="2"/>
          <c:tx>
            <c:v>South</c:v>
          </c:tx>
          <c:spPr>
            <a:solidFill>
              <a:schemeClr val="accent3"/>
            </a:solidFill>
            <a:ln>
              <a:solidFill>
                <a:srgbClr val="FF99FF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30-4F29-9FE3-0A70E60BBC56}"/>
              </c:ext>
            </c:extLst>
          </c:dPt>
          <c:dPt>
            <c:idx val="1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30-4F29-9FE3-0A70E60BBC56}"/>
              </c:ext>
            </c:extLst>
          </c:dPt>
          <c:dPt>
            <c:idx val="2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30-4F29-9FE3-0A70E60BBC56}"/>
              </c:ext>
            </c:extLst>
          </c:dPt>
          <c:dPt>
            <c:idx val="3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30-4F29-9FE3-0A70E60BBC56}"/>
              </c:ext>
            </c:extLst>
          </c:dPt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269517.74</c:v>
              </c:pt>
              <c:pt idx="1">
                <c:v>293663.96000000002</c:v>
              </c:pt>
              <c:pt idx="2">
                <c:v>301187.51</c:v>
              </c:pt>
              <c:pt idx="3">
                <c:v>289881.65000000008</c:v>
              </c:pt>
            </c:numLit>
          </c:val>
          <c:extLst>
            <c:ext xmlns:c16="http://schemas.microsoft.com/office/drawing/2014/chart" uri="{C3380CC4-5D6E-409C-BE32-E72D297353CC}">
              <c16:uniqueId val="{0000000A-6E30-4F29-9FE3-0A70E60BBC56}"/>
            </c:ext>
          </c:extLst>
        </c:ser>
        <c:ser>
          <c:idx val="3"/>
          <c:order val="3"/>
          <c:tx>
            <c:v>West</c:v>
          </c:tx>
          <c:spPr>
            <a:solidFill>
              <a:srgbClr val="FF33CC"/>
            </a:solidFill>
            <a:ln>
              <a:solidFill>
                <a:srgbClr val="FF33CC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314309.00000000006</c:v>
              </c:pt>
              <c:pt idx="1">
                <c:v>304067.97000000003</c:v>
              </c:pt>
              <c:pt idx="2">
                <c:v>315735.50999999995</c:v>
              </c:pt>
              <c:pt idx="3">
                <c:v>301496.45</c:v>
              </c:pt>
            </c:numLit>
          </c:val>
          <c:extLst>
            <c:ext xmlns:c16="http://schemas.microsoft.com/office/drawing/2014/chart" uri="{C3380CC4-5D6E-409C-BE32-E72D297353CC}">
              <c16:uniqueId val="{0000000B-6E30-4F29-9FE3-0A70E60BB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16814384"/>
        <c:axId val="1570232768"/>
      </c:barChart>
      <c:catAx>
        <c:axId val="1716814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0232768"/>
        <c:crosses val="autoZero"/>
        <c:auto val="1"/>
        <c:lblAlgn val="ctr"/>
        <c:lblOffset val="100"/>
        <c:noMultiLvlLbl val="0"/>
      </c:catAx>
      <c:valAx>
        <c:axId val="157023276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168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3088457803002624"/>
          <c:y val="0.35445533222333159"/>
          <c:w val="0.32220278038524003"/>
          <c:h val="8.28688777510631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SALES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16245912769329"/>
          <c:y val="0.27871526368482291"/>
          <c:w val="0.32699250056577417"/>
          <c:h val="0.5668993695375707"/>
        </c:manualLayout>
      </c:layout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rgbClr val="6600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28-44C4-AFF6-72E234941C41}"/>
              </c:ext>
            </c:extLst>
          </c:dPt>
          <c:dPt>
            <c:idx val="1"/>
            <c:bubble3D val="0"/>
            <c:spPr>
              <a:solidFill>
                <a:srgbClr val="FF33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28-44C4-AFF6-72E234941C41}"/>
              </c:ext>
            </c:extLst>
          </c:dPt>
          <c:dLbls>
            <c:dLbl>
              <c:idx val="0"/>
              <c:layout>
                <c:manualLayout>
                  <c:x val="4.3607532210108949E-2"/>
                  <c:y val="0.219931271477663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28-44C4-AFF6-72E234941C41}"/>
                </c:ext>
              </c:extLst>
            </c:dLbl>
            <c:dLbl>
              <c:idx val="1"/>
              <c:layout>
                <c:manualLayout>
                  <c:x val="-5.9464816650148661E-2"/>
                  <c:y val="-0.240549828178694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28-44C4-AFF6-72E234941C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Online</c:v>
              </c:pt>
              <c:pt idx="1">
                <c:v>Retail</c:v>
              </c:pt>
            </c:strLit>
          </c:cat>
          <c:val>
            <c:numLit>
              <c:formatCode>General</c:formatCode>
              <c:ptCount val="2"/>
              <c:pt idx="0">
                <c:v>0.48987925868185339</c:v>
              </c:pt>
              <c:pt idx="1">
                <c:v>0.51012074131814655</c:v>
              </c:pt>
            </c:numLit>
          </c:val>
          <c:extLst>
            <c:ext xmlns:c16="http://schemas.microsoft.com/office/drawing/2014/chart" uri="{C3380CC4-5D6E-409C-BE32-E72D297353CC}">
              <c16:uniqueId val="{00000004-6428-44C4-AFF6-72E234941C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114300</xdr:colOff>
          <xdr:row>58</xdr:row>
          <xdr:rowOff>0</xdr:rowOff>
        </xdr:from>
        <xdr:to>
          <xdr:col>4</xdr:col>
          <xdr:colOff>844550</xdr:colOff>
          <xdr:row>74</xdr:row>
          <xdr:rowOff>31750</xdr:rowOff>
        </xdr:to>
        <xdr:sp macro="" textlink="">
          <xdr:nvSpPr>
            <xdr:cNvPr id="5121" name="Object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12</xdr:row>
      <xdr:rowOff>31751</xdr:rowOff>
    </xdr:from>
    <xdr:to>
      <xdr:col>34</xdr:col>
      <xdr:colOff>225778</xdr:colOff>
      <xdr:row>71</xdr:row>
      <xdr:rowOff>50801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19EBFD9A-441D-4200-9333-30CCBAD781CC}"/>
            </a:ext>
          </a:extLst>
        </xdr:cNvPr>
        <xdr:cNvSpPr/>
      </xdr:nvSpPr>
      <xdr:spPr>
        <a:xfrm>
          <a:off x="4679950" y="2317751"/>
          <a:ext cx="16056328" cy="11258550"/>
        </a:xfrm>
        <a:prstGeom prst="roundRect">
          <a:avLst/>
        </a:prstGeom>
        <a:solidFill>
          <a:srgbClr val="FFCCFF">
            <a:alpha val="34902"/>
          </a:srgbClr>
        </a:solidFill>
        <a:effectLst>
          <a:softEdge rad="254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399142</xdr:colOff>
      <xdr:row>18</xdr:row>
      <xdr:rowOff>63500</xdr:rowOff>
    </xdr:from>
    <xdr:to>
      <xdr:col>34</xdr:col>
      <xdr:colOff>177800</xdr:colOff>
      <xdr:row>66</xdr:row>
      <xdr:rowOff>25400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B45F9A3-5F04-4399-9210-23CFAE1B0B71}"/>
            </a:ext>
          </a:extLst>
        </xdr:cNvPr>
        <xdr:cNvSpPr/>
      </xdr:nvSpPr>
      <xdr:spPr>
        <a:xfrm>
          <a:off x="4621892" y="3492500"/>
          <a:ext cx="16066408" cy="9105900"/>
        </a:xfrm>
        <a:prstGeom prst="roundRect">
          <a:avLst>
            <a:gd name="adj" fmla="val 3402"/>
          </a:avLst>
        </a:prstGeom>
        <a:solidFill>
          <a:srgbClr val="FFFF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27</xdr:col>
      <xdr:colOff>161719</xdr:colOff>
      <xdr:row>37</xdr:row>
      <xdr:rowOff>25400</xdr:rowOff>
    </xdr:from>
    <xdr:to>
      <xdr:col>34</xdr:col>
      <xdr:colOff>209409</xdr:colOff>
      <xdr:row>64</xdr:row>
      <xdr:rowOff>84442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62ABE-FC3D-4FE7-9059-8AB555624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508000</xdr:colOff>
      <xdr:row>37</xdr:row>
      <xdr:rowOff>38100</xdr:rowOff>
    </xdr:from>
    <xdr:to>
      <xdr:col>26</xdr:col>
      <xdr:colOff>411170</xdr:colOff>
      <xdr:row>49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5F9C1E-AFF7-4895-BF6C-F031A3968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297901</xdr:colOff>
      <xdr:row>37</xdr:row>
      <xdr:rowOff>63500</xdr:rowOff>
    </xdr:from>
    <xdr:to>
      <xdr:col>19</xdr:col>
      <xdr:colOff>165684</xdr:colOff>
      <xdr:row>49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5244CC-8A79-43ED-87FF-3DC7506AA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517318</xdr:colOff>
      <xdr:row>51</xdr:row>
      <xdr:rowOff>101600</xdr:rowOff>
    </xdr:from>
    <xdr:to>
      <xdr:col>26</xdr:col>
      <xdr:colOff>344713</xdr:colOff>
      <xdr:row>64</xdr:row>
      <xdr:rowOff>78680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7B7C8F-0BE7-4DBD-8DD6-CEF152B37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217713</xdr:colOff>
      <xdr:row>51</xdr:row>
      <xdr:rowOff>107558</xdr:rowOff>
    </xdr:from>
    <xdr:to>
      <xdr:col>19</xdr:col>
      <xdr:colOff>160189</xdr:colOff>
      <xdr:row>64</xdr:row>
      <xdr:rowOff>83471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77A75F-A1D9-4A47-B126-5134B44FD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217714</xdr:colOff>
      <xdr:row>37</xdr:row>
      <xdr:rowOff>70556</xdr:rowOff>
    </xdr:from>
    <xdr:to>
      <xdr:col>12</xdr:col>
      <xdr:colOff>580125</xdr:colOff>
      <xdr:row>50</xdr:row>
      <xdr:rowOff>16698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A944288-0E0E-40E7-8D09-4E65824E2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30</xdr:col>
      <xdr:colOff>414868</xdr:colOff>
      <xdr:row>14</xdr:row>
      <xdr:rowOff>125238</xdr:rowOff>
    </xdr:from>
    <xdr:to>
      <xdr:col>32</xdr:col>
      <xdr:colOff>265577</xdr:colOff>
      <xdr:row>16</xdr:row>
      <xdr:rowOff>111126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E97E925-FAC0-4D3E-9B19-4A53CC96A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636607" y="2637629"/>
          <a:ext cx="1065492" cy="344801"/>
        </a:xfrm>
        <a:prstGeom prst="rect">
          <a:avLst/>
        </a:prstGeom>
        <a:solidFill>
          <a:srgbClr val="FFCCFF"/>
        </a:solidFill>
      </xdr:spPr>
    </xdr:pic>
    <xdr:clientData/>
  </xdr:twoCellAnchor>
  <xdr:twoCellAnchor>
    <xdr:from>
      <xdr:col>9</xdr:col>
      <xdr:colOff>509765</xdr:colOff>
      <xdr:row>12</xdr:row>
      <xdr:rowOff>105834</xdr:rowOff>
    </xdr:from>
    <xdr:to>
      <xdr:col>12</xdr:col>
      <xdr:colOff>190500</xdr:colOff>
      <xdr:row>17</xdr:row>
      <xdr:rowOff>169333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9EE288CC-745A-4542-8ABD-F1F987812E58}"/>
            </a:ext>
          </a:extLst>
        </xdr:cNvPr>
        <xdr:cNvSpPr/>
      </xdr:nvSpPr>
      <xdr:spPr>
        <a:xfrm>
          <a:off x="5939015" y="2391834"/>
          <a:ext cx="1490485" cy="1015999"/>
        </a:xfrm>
        <a:prstGeom prst="ellipse">
          <a:avLst/>
        </a:prstGeom>
        <a:solidFill>
          <a:srgbClr val="FFCCFF"/>
        </a:solidFill>
        <a:effectLst>
          <a:softEdge rad="254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10</xdr:col>
      <xdr:colOff>72323</xdr:colOff>
      <xdr:row>12</xdr:row>
      <xdr:rowOff>63502</xdr:rowOff>
    </xdr:from>
    <xdr:to>
      <xdr:col>12</xdr:col>
      <xdr:colOff>44098</xdr:colOff>
      <xdr:row>18</xdr:row>
      <xdr:rowOff>105834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BD81934-DEDD-4217-A003-BD0C0C0E5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duotone>
            <a:prstClr val="black"/>
            <a:srgbClr val="FF33CC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6104823" y="2349502"/>
          <a:ext cx="1178275" cy="1185332"/>
        </a:xfrm>
        <a:prstGeom prst="rect">
          <a:avLst/>
        </a:prstGeom>
      </xdr:spPr>
    </xdr:pic>
    <xdr:clientData/>
  </xdr:twoCellAnchor>
  <xdr:twoCellAnchor>
    <xdr:from>
      <xdr:col>14</xdr:col>
      <xdr:colOff>47625</xdr:colOff>
      <xdr:row>19</xdr:row>
      <xdr:rowOff>174625</xdr:rowOff>
    </xdr:from>
    <xdr:to>
      <xdr:col>28</xdr:col>
      <xdr:colOff>95250</xdr:colOff>
      <xdr:row>22</xdr:row>
      <xdr:rowOff>95250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FE42D0CE-F890-B3E6-78C6-20D5E76FC161}"/>
            </a:ext>
          </a:extLst>
        </xdr:cNvPr>
        <xdr:cNvSpPr/>
      </xdr:nvSpPr>
      <xdr:spPr>
        <a:xfrm>
          <a:off x="8493125" y="3794125"/>
          <a:ext cx="8493125" cy="49212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15</xdr:col>
      <xdr:colOff>396875</xdr:colOff>
      <xdr:row>19</xdr:row>
      <xdr:rowOff>111125</xdr:rowOff>
    </xdr:from>
    <xdr:ext cx="6542560" cy="593304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71FA754-A1BE-146B-3E91-FED5F047AE7F}"/>
            </a:ext>
          </a:extLst>
        </xdr:cNvPr>
        <xdr:cNvSpPr txBox="1"/>
      </xdr:nvSpPr>
      <xdr:spPr>
        <a:xfrm>
          <a:off x="9445625" y="3730625"/>
          <a:ext cx="6542560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3200" b="1">
              <a:solidFill>
                <a:srgbClr val="FF33CC"/>
              </a:solidFill>
            </a:rPr>
            <a:t>SALES PERFORMANCE KPI OVERVIEW</a:t>
          </a:r>
        </a:p>
      </xdr:txBody>
    </xdr:sp>
    <xdr:clientData/>
  </xdr:oneCellAnchor>
  <xdr:twoCellAnchor>
    <xdr:from>
      <xdr:col>8</xdr:col>
      <xdr:colOff>174625</xdr:colOff>
      <xdr:row>24</xdr:row>
      <xdr:rowOff>95250</xdr:rowOff>
    </xdr:from>
    <xdr:to>
      <xdr:col>13</xdr:col>
      <xdr:colOff>269874</xdr:colOff>
      <xdr:row>35</xdr:row>
      <xdr:rowOff>174625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5A64BDA9-DBE2-144A-A74C-1DBA3F96C733}"/>
            </a:ext>
          </a:extLst>
        </xdr:cNvPr>
        <xdr:cNvSpPr/>
      </xdr:nvSpPr>
      <xdr:spPr>
        <a:xfrm>
          <a:off x="5033755" y="4402207"/>
          <a:ext cx="3132206" cy="2053396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508001</xdr:colOff>
      <xdr:row>24</xdr:row>
      <xdr:rowOff>104775</xdr:rowOff>
    </xdr:from>
    <xdr:to>
      <xdr:col>18</xdr:col>
      <xdr:colOff>602151</xdr:colOff>
      <xdr:row>35</xdr:row>
      <xdr:rowOff>184150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3BC6EC1-6002-397F-BDD4-ED052001F468}"/>
            </a:ext>
          </a:extLst>
        </xdr:cNvPr>
        <xdr:cNvSpPr/>
      </xdr:nvSpPr>
      <xdr:spPr>
        <a:xfrm>
          <a:off x="8350251" y="4676775"/>
          <a:ext cx="3110400" cy="217487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19</xdr:col>
      <xdr:colOff>273051</xdr:colOff>
      <xdr:row>24</xdr:row>
      <xdr:rowOff>66675</xdr:rowOff>
    </xdr:from>
    <xdr:to>
      <xdr:col>24</xdr:col>
      <xdr:colOff>367201</xdr:colOff>
      <xdr:row>35</xdr:row>
      <xdr:rowOff>146050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80ECC30E-9630-C4C9-4365-92C962F3B60F}"/>
            </a:ext>
          </a:extLst>
        </xdr:cNvPr>
        <xdr:cNvSpPr/>
      </xdr:nvSpPr>
      <xdr:spPr>
        <a:xfrm>
          <a:off x="11734801" y="4638675"/>
          <a:ext cx="3110400" cy="217487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25</xdr:col>
      <xdr:colOff>1434</xdr:colOff>
      <xdr:row>24</xdr:row>
      <xdr:rowOff>28882</xdr:rowOff>
    </xdr:from>
    <xdr:to>
      <xdr:col>30</xdr:col>
      <xdr:colOff>483152</xdr:colOff>
      <xdr:row>35</xdr:row>
      <xdr:rowOff>175379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7229728C-A484-4A08-4952-979C5EDD0A4E}"/>
            </a:ext>
          </a:extLst>
        </xdr:cNvPr>
        <xdr:cNvSpPr/>
      </xdr:nvSpPr>
      <xdr:spPr>
        <a:xfrm>
          <a:off x="15186217" y="4335839"/>
          <a:ext cx="3518674" cy="2120518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14</xdr:col>
      <xdr:colOff>151848</xdr:colOff>
      <xdr:row>27</xdr:row>
      <xdr:rowOff>138044</xdr:rowOff>
    </xdr:from>
    <xdr:ext cx="2108719" cy="984693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924D3DA7-E827-CCD2-7958-91CB38BAFC46}"/>
            </a:ext>
          </a:extLst>
        </xdr:cNvPr>
        <xdr:cNvSpPr txBox="1"/>
      </xdr:nvSpPr>
      <xdr:spPr>
        <a:xfrm>
          <a:off x="8655326" y="4983370"/>
          <a:ext cx="2108719" cy="984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AVERAGE</a:t>
          </a:r>
          <a:r>
            <a:rPr lang="en-US" sz="1800">
              <a:solidFill>
                <a:srgbClr val="FF33CC"/>
              </a:solidFill>
            </a:rPr>
            <a:t> </a:t>
          </a:r>
          <a:r>
            <a:rPr lang="en-US" sz="1800" b="1">
              <a:solidFill>
                <a:srgbClr val="FF33CC"/>
              </a:solidFill>
            </a:rPr>
            <a:t>REVENUE</a:t>
          </a:r>
          <a:r>
            <a:rPr lang="en-US" sz="1800">
              <a:solidFill>
                <a:srgbClr val="FF33CC"/>
              </a:solidFill>
            </a:rPr>
            <a:t>:</a:t>
          </a:r>
          <a:endParaRPr lang="en-US" sz="1800">
            <a:solidFill>
              <a:srgbClr val="FF33CC"/>
            </a:solidFill>
            <a:effectLst/>
          </a:endParaRPr>
        </a:p>
        <a:p>
          <a:endParaRPr lang="en-US" sz="1100">
            <a:effectLst/>
          </a:endParaRPr>
        </a:p>
        <a:p>
          <a:r>
            <a:rPr lang="en-US" sz="2800" b="1" i="0" u="none" strike="noStrike">
              <a:solidFill>
                <a:srgbClr val="FF33CC"/>
              </a:solidFill>
              <a:effectLst/>
              <a:latin typeface="+mn-lt"/>
              <a:ea typeface="+mn-ea"/>
              <a:cs typeface="+mn-cs"/>
            </a:rPr>
            <a:t>$5,019.27</a:t>
          </a:r>
          <a:r>
            <a:rPr lang="en-US" sz="2800">
              <a:solidFill>
                <a:srgbClr val="FF33CC"/>
              </a:solidFill>
              <a:effectLst/>
            </a:rPr>
            <a:t> </a:t>
          </a:r>
          <a:endParaRPr lang="en-US" sz="2800">
            <a:solidFill>
              <a:srgbClr val="FF33CC"/>
            </a:solidFill>
          </a:endParaRPr>
        </a:p>
      </xdr:txBody>
    </xdr:sp>
    <xdr:clientData/>
  </xdr:oneCellAnchor>
  <xdr:oneCellAnchor>
    <xdr:from>
      <xdr:col>19</xdr:col>
      <xdr:colOff>510761</xdr:colOff>
      <xdr:row>27</xdr:row>
      <xdr:rowOff>151848</xdr:rowOff>
    </xdr:from>
    <xdr:ext cx="2111668" cy="984693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9EC20EA6-33C2-DD79-3DF3-6A775E55CD0E}"/>
            </a:ext>
          </a:extLst>
        </xdr:cNvPr>
        <xdr:cNvSpPr txBox="1"/>
      </xdr:nvSpPr>
      <xdr:spPr>
        <a:xfrm>
          <a:off x="12051196" y="4997174"/>
          <a:ext cx="2111668" cy="984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NUMBER</a:t>
          </a:r>
          <a:r>
            <a:rPr lang="en-US" sz="1800" b="1" baseline="0">
              <a:solidFill>
                <a:srgbClr val="FF33CC"/>
              </a:solidFill>
            </a:rPr>
            <a:t> OF SALES:</a:t>
          </a:r>
          <a:r>
            <a:rPr lang="en-US" sz="1800" b="1">
              <a:solidFill>
                <a:srgbClr val="FF33CC"/>
              </a:solidFill>
              <a:effectLst/>
            </a:rPr>
            <a:t> </a:t>
          </a:r>
        </a:p>
        <a:p>
          <a:endParaRPr lang="en-US" sz="1100">
            <a:effectLst/>
          </a:endParaRPr>
        </a:p>
        <a:p>
          <a:r>
            <a:rPr lang="en-US" sz="2800" b="1">
              <a:solidFill>
                <a:srgbClr val="FF33CC"/>
              </a:solidFill>
              <a:effectLst/>
            </a:rPr>
            <a:t>1000</a:t>
          </a:r>
          <a:endParaRPr lang="en-US" sz="2800" b="1">
            <a:solidFill>
              <a:srgbClr val="FF33CC"/>
            </a:solidFill>
          </a:endParaRPr>
        </a:p>
      </xdr:txBody>
    </xdr:sp>
    <xdr:clientData/>
  </xdr:oneCellAnchor>
  <xdr:oneCellAnchor>
    <xdr:from>
      <xdr:col>8</xdr:col>
      <xdr:colOff>524566</xdr:colOff>
      <xdr:row>27</xdr:row>
      <xdr:rowOff>151848</xdr:rowOff>
    </xdr:from>
    <xdr:ext cx="2285497" cy="115692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1695E7-E98E-3A47-0B76-461CC229A334}"/>
            </a:ext>
          </a:extLst>
        </xdr:cNvPr>
        <xdr:cNvSpPr txBox="1"/>
      </xdr:nvSpPr>
      <xdr:spPr>
        <a:xfrm>
          <a:off x="5383696" y="4997174"/>
          <a:ext cx="2285497" cy="11569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TOTAL</a:t>
          </a:r>
          <a:r>
            <a:rPr lang="en-US" sz="1100" b="1">
              <a:solidFill>
                <a:srgbClr val="FF33CC"/>
              </a:solidFill>
            </a:rPr>
            <a:t> </a:t>
          </a:r>
          <a:r>
            <a:rPr lang="en-US" sz="1800" b="1">
              <a:solidFill>
                <a:srgbClr val="FF33CC"/>
              </a:solidFill>
            </a:rPr>
            <a:t>REVENUE</a:t>
          </a:r>
          <a:r>
            <a:rPr lang="en-US" sz="1100" b="1">
              <a:solidFill>
                <a:srgbClr val="FF33CC"/>
              </a:solidFill>
            </a:rPr>
            <a:t>: </a:t>
          </a:r>
        </a:p>
        <a:p>
          <a:endParaRPr lang="en-US" sz="1100"/>
        </a:p>
        <a:p>
          <a:r>
            <a:rPr lang="en-US" sz="2800" b="1">
              <a:solidFill>
                <a:srgbClr val="FF33CC"/>
              </a:solidFill>
            </a:rPr>
            <a:t>$5,019,265.23</a:t>
          </a:r>
        </a:p>
        <a:p>
          <a:endParaRPr lang="en-US" sz="1100"/>
        </a:p>
      </xdr:txBody>
    </xdr:sp>
    <xdr:clientData/>
  </xdr:oneCellAnchor>
  <xdr:oneCellAnchor>
    <xdr:from>
      <xdr:col>25</xdr:col>
      <xdr:colOff>220870</xdr:colOff>
      <xdr:row>27</xdr:row>
      <xdr:rowOff>151847</xdr:rowOff>
    </xdr:from>
    <xdr:ext cx="3037113" cy="115692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6993E0F7-80E3-2554-53F0-C8F13AAAE301}"/>
            </a:ext>
          </a:extLst>
        </xdr:cNvPr>
        <xdr:cNvSpPr txBox="1"/>
      </xdr:nvSpPr>
      <xdr:spPr>
        <a:xfrm>
          <a:off x="15405653" y="4997173"/>
          <a:ext cx="3037113" cy="11569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HIGHEST REVENUE PRODUCT:</a:t>
          </a:r>
        </a:p>
        <a:p>
          <a:endParaRPr lang="en-US" sz="1100"/>
        </a:p>
        <a:p>
          <a:r>
            <a:rPr lang="en-US" sz="2800" b="1">
              <a:solidFill>
                <a:srgbClr val="FF33CC"/>
              </a:solidFill>
            </a:rPr>
            <a:t>CLOTHING</a:t>
          </a:r>
        </a:p>
        <a:p>
          <a:endParaRPr lang="en-US" sz="110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18865741" createdVersion="7" refreshedVersion="8" minRefreshableVersion="3" recordCount="1000" xr:uid="{EC81732E-0DA5-4ED7-AD95-AEF319476A1E}">
  <cacheSource type="worksheet">
    <worksheetSource ref="A1:R1001" sheet="Cleaned_Final"/>
  </cacheSource>
  <cacheFields count="18">
    <cacheField name="Product ID" numFmtId="0">
      <sharedItems containsSemiMixedTypes="0" containsString="0" containsNumber="1" containsInteger="1" minValue="1001" maxValue="1100"/>
    </cacheField>
    <cacheField name="Product Name" numFmtId="0">
      <sharedItems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 count="5">
        <s v="Bob"/>
        <s v="David"/>
        <s v="Charlie"/>
        <s v="Eve"/>
        <s v="Alice"/>
      </sharedItems>
    </cacheField>
    <cacheField name="Manager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Tax Rate" numFmtId="0">
      <sharedItems containsSemiMixedTypes="0" containsString="0" containsNumber="1" minValue="0.05" maxValue="0.08"/>
    </cacheField>
    <cacheField name="Tax Amount" numFmtId="164">
      <sharedItems containsSemiMixedTypes="0" containsString="0" containsNumber="1" minValue="5.7295000000000007" maxValue="794.6576" count="1000">
        <n v="379.04775000000001"/>
        <n v="350.72160000000002"/>
        <n v="231.5615"/>
        <n v="108.39700000000001"/>
        <n v="225.01199999999997"/>
        <n v="300.892"/>
        <n v="49.464799999999997"/>
        <n v="384.94600000000003"/>
        <n v="211.16950000000003"/>
        <n v="659.16639999999995"/>
        <n v="638.88375000000008"/>
        <n v="175.89919999999998"/>
        <n v="528.62400000000002"/>
        <n v="238.77950000000001"/>
        <n v="440.67750000000001"/>
        <n v="167.68724999999998"/>
        <n v="510.77625"/>
        <n v="367.005"/>
        <n v="241.8784"/>
        <n v="72.617499999999993"/>
        <n v="491.34224999999992"/>
        <n v="444.72659999999996"/>
        <n v="193.48259999999999"/>
        <n v="324.19200000000001"/>
        <n v="200.59000000000003"/>
        <n v="429.64499999999998"/>
        <n v="155.41725"/>
        <n v="534.78779999999995"/>
        <n v="235.62880000000001"/>
        <n v="299.28640000000001"/>
        <n v="33.755500000000005"/>
        <n v="90.297749999999994"/>
        <n v="390.52724999999998"/>
        <n v="219.93360000000001"/>
        <n v="502.27499999999998"/>
        <n v="12.273000000000001"/>
        <n v="231.18180000000001"/>
        <n v="206.38319999999999"/>
        <n v="17.480399999999999"/>
        <n v="99.84375"/>
        <n v="335.60480000000001"/>
        <n v="373.45199999999994"/>
        <n v="328.19760000000002"/>
        <n v="267.81400000000002"/>
        <n v="299.59000000000003"/>
        <n v="11.895"/>
        <n v="375.56319999999999"/>
        <n v="771.09119999999996"/>
        <n v="419.0736"/>
        <n v="408.46019999999999"/>
        <n v="191.24699999999999"/>
        <n v="388.12550000000005"/>
        <n v="581.39400000000001"/>
        <n v="420.8664"/>
        <n v="781.00320000000011"/>
        <n v="100.72125"/>
        <n v="21.4224"/>
        <n v="463.47419999999994"/>
        <n v="485.4504"/>
        <n v="103.20399999999999"/>
        <n v="163.75620000000001"/>
        <n v="16.426199999999998"/>
        <n v="240.30080000000001"/>
        <n v="387.70500000000004"/>
        <n v="392.08575000000002"/>
        <n v="212.76900000000001"/>
        <n v="189.011"/>
        <n v="6.8040000000000003"/>
        <n v="184.08180000000002"/>
        <n v="487.49549999999994"/>
        <n v="584.6712"/>
        <n v="636.4425"/>
        <n v="25.019249999999996"/>
        <n v="674.68124999999998"/>
        <n v="392.68299999999999"/>
        <n v="626.05759999999998"/>
        <n v="231.708"/>
        <n v="323.22000000000003"/>
        <n v="247.90959999999998"/>
        <n v="56.278500000000001"/>
        <n v="141.5718"/>
        <n v="190.6035"/>
        <n v="293.54159999999996"/>
        <n v="599.976"/>
        <n v="359.30400000000003"/>
        <n v="40.359599999999993"/>
        <n v="479.10600000000005"/>
        <n v="565.9781999999999"/>
        <n v="590.50350000000003"/>
        <n v="495.70749999999998"/>
        <n v="329.4228"/>
        <n v="577.88459999999998"/>
        <n v="50.909399999999998"/>
        <n v="223.21439999999998"/>
        <n v="139.87619999999998"/>
        <n v="101.9375"/>
        <n v="119.51600000000001"/>
        <n v="313.09500000000003"/>
        <n v="391.75450000000001"/>
        <n v="291.25749999999999"/>
        <n v="124.3944"/>
        <n v="609.75974999999994"/>
        <n v="511.67599999999999"/>
        <n v="197.14200000000002"/>
        <n v="406.43340000000001"/>
        <n v="160.3836"/>
        <n v="175.87"/>
        <n v="550.98660000000007"/>
        <n v="148.79949999999999"/>
        <n v="285.1728"/>
        <n v="712.99199999999996"/>
        <n v="532.98299999999995"/>
        <n v="53.685749999999992"/>
        <n v="124.664"/>
        <n v="14.2104"/>
        <n v="317.30650000000003"/>
        <n v="226.59850000000003"/>
        <n v="71.465999999999994"/>
        <n v="575.01299999999992"/>
        <n v="267.18150000000003"/>
        <n v="199.57919999999999"/>
        <n v="379.19849999999997"/>
        <n v="409.69439999999997"/>
        <n v="42.738500000000002"/>
        <n v="169.17420000000001"/>
        <n v="485.33760000000001"/>
        <n v="232.53400000000002"/>
        <n v="330.66659999999996"/>
        <n v="328.86599999999999"/>
        <n v="42.768799999999999"/>
        <n v="139.27360000000002"/>
        <n v="338.31449999999995"/>
        <n v="130.25639999999999"/>
        <n v="29.7395"/>
        <n v="507.12779999999992"/>
        <n v="736.03574999999989"/>
        <n v="477.12659999999994"/>
        <n v="684.19759999999997"/>
        <n v="149.73420000000002"/>
        <n v="720.76574999999991"/>
        <n v="163.9648"/>
        <n v="571.14959999999996"/>
        <n v="596.92259999999987"/>
        <n v="571.6848"/>
        <n v="490.666"/>
        <n v="459.0752"/>
        <n v="133.47300000000001"/>
        <n v="331.96949999999998"/>
        <n v="448.21875"/>
        <n v="65.880799999999994"/>
        <n v="500.89600000000002"/>
        <n v="736.02449999999999"/>
        <n v="99.103499999999997"/>
        <n v="596.0017499999999"/>
        <n v="727.05600000000004"/>
        <n v="708.1987499999999"/>
        <n v="768.42720000000008"/>
        <n v="420.99599999999998"/>
        <n v="733.15125"/>
        <n v="379.86850000000004"/>
        <n v="102.03299999999999"/>
        <n v="361.59825000000001"/>
        <n v="432.68879999999996"/>
        <n v="191.15025"/>
        <n v="386.52539999999999"/>
        <n v="334.96700000000004"/>
        <n v="85.536500000000004"/>
        <n v="427.07549999999998"/>
        <n v="619.12879999999996"/>
        <n v="302.34419999999994"/>
        <n v="17.585599999999999"/>
        <n v="15.1584"/>
        <n v="290.7672"/>
        <n v="463.46600000000001"/>
        <n v="177.29249999999999"/>
        <n v="478.51499999999999"/>
        <n v="114.92750000000001"/>
        <n v="164.22650000000002"/>
        <n v="637.17150000000004"/>
        <n v="585.25839999999994"/>
        <n v="62.667000000000002"/>
        <n v="260.64899999999994"/>
        <n v="23.326799999999999"/>
        <n v="388.86480000000006"/>
        <n v="499.35750000000002"/>
        <n v="63.659000000000006"/>
        <n v="221.99699999999999"/>
        <n v="323.08640000000003"/>
        <n v="460.16800000000006"/>
        <n v="794.6576"/>
        <n v="32.677199999999999"/>
        <n v="458.03879999999998"/>
        <n v="302.40559999999999"/>
        <n v="199.26700000000002"/>
        <n v="378.36100000000005"/>
        <n v="689.43150000000003"/>
        <n v="570.85140000000001"/>
        <n v="436.01325000000003"/>
        <n v="272.66249999999997"/>
        <n v="631.73919999999998"/>
        <n v="206.7928"/>
        <n v="426.32474999999999"/>
        <n v="218.99579999999997"/>
        <n v="528.05200000000002"/>
        <n v="185.99624999999997"/>
        <n v="149.75774999999999"/>
        <n v="689.29274999999996"/>
        <n v="83.089499999999987"/>
        <n v="383.17349999999993"/>
        <n v="171.483"/>
        <n v="38.832800000000006"/>
        <n v="27.395399999999999"/>
        <n v="137.60249999999999"/>
        <n v="434.05150000000003"/>
        <n v="231.72319999999999"/>
        <n v="760.76400000000001"/>
        <n v="439.35450000000003"/>
        <n v="353.79839999999996"/>
        <n v="438.21600000000001"/>
        <n v="312.91860000000003"/>
        <n v="456.71280000000002"/>
        <n v="231.73680000000002"/>
        <n v="287.61599999999999"/>
        <n v="447.57650000000007"/>
        <n v="757.59360000000004"/>
        <n v="446.81650000000002"/>
        <n v="255.1524"/>
        <n v="469.53719999999998"/>
        <n v="361.17900000000003"/>
        <n v="301.53840000000002"/>
        <n v="106.3165"/>
        <n v="476.17519999999996"/>
        <n v="145.70624999999998"/>
        <n v="169.12450000000001"/>
        <n v="685.18399999999997"/>
        <n v="161.25375"/>
        <n v="48.2682"/>
        <n v="39.158999999999999"/>
        <n v="753.10160000000008"/>
        <n v="383.88825000000003"/>
        <n v="311.48849999999999"/>
        <n v="487.66199999999998"/>
        <n v="669.97440000000006"/>
        <n v="203.32139999999998"/>
        <n v="418.00919999999996"/>
        <n v="618.7296"/>
        <n v="526.48320000000001"/>
        <n v="128.06319999999999"/>
        <n v="438.56200000000001"/>
        <n v="434.96320000000003"/>
        <n v="217.23599999999999"/>
        <n v="258.5856"/>
        <n v="23.5975"/>
        <n v="109.27040000000001"/>
        <n v="383.94550000000004"/>
        <n v="8.0096000000000007"/>
        <n v="211.20000000000002"/>
        <n v="316.37100000000004"/>
        <n v="38.452799999999996"/>
        <n v="730.01024999999993"/>
        <n v="175.398"/>
        <n v="248.92560000000003"/>
        <n v="186.54179999999999"/>
        <n v="119.056"/>
        <n v="5.7295000000000007"/>
        <n v="366.02550000000002"/>
        <n v="725.38274999999999"/>
        <n v="116.02550000000002"/>
        <n v="499.81274999999999"/>
        <n v="558.35775000000001"/>
        <n v="679.95280000000002"/>
        <n v="214.20150000000001"/>
        <n v="154.95100000000002"/>
        <n v="199.2252"/>
        <n v="572.39599999999996"/>
        <n v="491.16719999999998"/>
        <n v="151.83840000000001"/>
        <n v="188.61600000000001"/>
        <n v="677.19074999999987"/>
        <n v="606.47024999999996"/>
        <n v="738.75750000000005"/>
        <n v="567.52949999999998"/>
        <n v="299.44725"/>
        <n v="356.83859999999999"/>
        <n v="531.52319999999997"/>
        <n v="43.835500000000003"/>
        <n v="329.43119999999999"/>
        <n v="569.78239999999994"/>
        <n v="131.73599999999999"/>
        <n v="626.26"/>
        <n v="470.34800000000001"/>
        <n v="714.52499999999998"/>
        <n v="38.9985"/>
        <n v="204.50475"/>
        <n v="302.76900000000001"/>
        <n v="227.69550000000001"/>
        <n v="358.64000000000004"/>
        <n v="571.06124999999997"/>
        <n v="55.745500000000007"/>
        <n v="414.97280000000001"/>
        <n v="308.28120000000001"/>
        <n v="300.47040000000004"/>
        <n v="746.87679999999989"/>
        <n v="621.92324999999994"/>
        <n v="350.11850000000004"/>
        <n v="430.3098"/>
        <n v="350.32424999999995"/>
        <n v="691.33875"/>
        <n v="523.23674999999992"/>
        <n v="585.3528"/>
        <n v="431.53700000000003"/>
        <n v="140.66550000000001"/>
        <n v="485.4"/>
        <n v="101.64400000000001"/>
        <n v="175.94450000000001"/>
        <n v="256.69049999999999"/>
        <n v="734.05499999999995"/>
        <n v="686.37759999999992"/>
        <n v="528.11849999999993"/>
        <n v="547.33949999999993"/>
        <n v="424.839"/>
        <n v="710.71500000000003"/>
        <n v="401.03680000000003"/>
        <n v="290.03474999999997"/>
        <n v="102.84299999999999"/>
        <n v="473.00639999999999"/>
        <n v="442.25939999999997"/>
        <n v="234.3066"/>
        <n v="26.205750000000002"/>
        <n v="504.36419999999998"/>
        <n v="15.977999999999998"/>
        <n v="565.33040000000005"/>
        <n v="582.33299999999997"/>
        <n v="221.64250000000004"/>
        <n v="145.57439999999997"/>
        <n v="424.69319999999999"/>
        <n v="614.21774999999991"/>
        <n v="330.57959999999997"/>
        <n v="483.6825"/>
        <n v="45.863999999999997"/>
        <n v="382.31099999999998"/>
        <n v="577.01519999999994"/>
        <n v="691.21119999999996"/>
        <n v="112.4778"/>
        <n v="641.60239999999999"/>
        <n v="445.74400000000003"/>
        <n v="322.07040000000001"/>
        <n v="105.2985"/>
        <n v="649.98225000000002"/>
        <n v="124.27499999999999"/>
        <n v="253.352"/>
        <n v="222.85874999999999"/>
        <n v="698.16"/>
        <n v="506.98199999999997"/>
        <n v="599.03625"/>
        <n v="128.98150000000001"/>
        <n v="377.17500000000001"/>
        <n v="460.82319999999999"/>
        <n v="417.25100000000003"/>
        <n v="680.26949999999999"/>
        <n v="17.628"/>
        <n v="507.96"/>
        <n v="36.790199999999999"/>
        <n v="276.685"/>
        <n v="176.8536"/>
        <n v="156.85450000000003"/>
        <n v="269.57175000000001"/>
        <n v="375.048"/>
        <n v="204.4254"/>
        <n v="551.529"/>
        <n v="246.28919999999997"/>
        <n v="62.136000000000003"/>
        <n v="392.96100000000001"/>
        <n v="146.45050000000001"/>
        <n v="219.21950000000004"/>
        <n v="550.87120000000004"/>
        <n v="169.56600000000003"/>
        <n v="49.515000000000001"/>
        <n v="228.10920000000002"/>
        <n v="756.00320000000011"/>
        <n v="322.6585"/>
        <n v="506.07299999999998"/>
        <n v="381.5754"/>
        <n v="124.2012"/>
        <n v="339.32080000000002"/>
        <n v="602.74400000000003"/>
        <n v="88.287199999999999"/>
        <n v="213.80549999999997"/>
        <n v="212.667"/>
        <n v="350.1592"/>
        <n v="490.28250000000003"/>
        <n v="46.096799999999995"/>
        <n v="314.10840000000002"/>
        <n v="140.67824999999999"/>
        <n v="582.58199999999999"/>
        <n v="61.085000000000008"/>
        <n v="245.739"/>
        <n v="555.37950000000001"/>
        <n v="530.63175000000001"/>
        <n v="214.25050000000002"/>
        <n v="176.52950000000001"/>
        <n v="242.1816"/>
        <n v="162.9804"/>
        <n v="159.96"/>
        <n v="244.10450000000003"/>
        <n v="137.92400000000001"/>
        <n v="147.29349999999999"/>
        <n v="396.11340000000001"/>
        <n v="484.42600000000004"/>
        <n v="455.70075000000003"/>
        <n v="64.657499999999999"/>
        <n v="50.896799999999999"/>
        <n v="761.52719999999999"/>
        <n v="182.59079999999997"/>
        <n v="80.916800000000009"/>
        <n v="301.52699999999999"/>
        <n v="376.44719999999995"/>
        <n v="489.01499999999999"/>
        <n v="137.364"/>
        <n v="18.72"/>
        <n v="482.6825"/>
        <n v="155.03040000000001"/>
        <n v="543.41279999999995"/>
        <n v="354.78200000000004"/>
        <n v="491.12559999999996"/>
        <n v="159.88900000000001"/>
        <n v="208.78874999999999"/>
        <n v="451.26900000000001"/>
        <n v="433.71750000000003"/>
        <n v="757.81280000000004"/>
        <n v="68.908199999999994"/>
        <n v="97.967999999999989"/>
        <n v="708.96674999999993"/>
        <n v="443.50199999999995"/>
        <n v="663.12299999999993"/>
        <n v="126.36359999999999"/>
        <n v="295.85500000000002"/>
        <n v="528.096"/>
        <n v="512.48325"/>
        <n v="207.035"/>
        <n v="18.93075"/>
        <n v="352.25819999999999"/>
        <n v="156.3426"/>
        <n v="341.81400000000002"/>
        <n v="574.80299999999988"/>
        <n v="324.036"/>
        <n v="631.053"/>
        <n v="98.327500000000001"/>
        <n v="540.58879999999999"/>
        <n v="732.92775000000006"/>
        <n v="55.437000000000005"/>
        <n v="10.9422"/>
        <n v="219.62350000000004"/>
        <n v="81.359200000000001"/>
        <n v="450.54059999999998"/>
        <n v="686.55225000000007"/>
        <n v="263.80860000000001"/>
        <n v="199.59375"/>
        <n v="330.04424999999998"/>
        <n v="363.10650000000004"/>
        <n v="9.4819999999999993"/>
        <n v="296.77950000000004"/>
        <n v="493.72720000000004"/>
        <n v="513.04880000000003"/>
        <n v="124.801"/>
        <n v="573.52959999999996"/>
        <n v="60.286799999999999"/>
        <n v="124.36680000000001"/>
        <n v="702.95600000000002"/>
        <n v="593.06880000000001"/>
        <n v="14.1648"/>
        <n v="191.91900000000001"/>
        <n v="133.35719999999998"/>
        <n v="166.8588"/>
        <n v="204.06720000000001"/>
        <n v="43.140599999999999"/>
        <n v="371.48080000000004"/>
        <n v="588.3248000000001"/>
        <n v="305.33200000000005"/>
        <n v="405.68580000000003"/>
        <n v="67.753500000000003"/>
        <n v="475.98800000000006"/>
        <n v="672.0856"/>
        <n v="645.63120000000004"/>
        <n v="618.56550000000004"/>
        <n v="746.70640000000003"/>
        <n v="329.28659999999996"/>
        <n v="104.1395"/>
        <n v="496.49279999999999"/>
        <n v="596.36239999999998"/>
        <n v="555.40350000000001"/>
        <n v="315.74099999999999"/>
        <n v="62.219200000000001"/>
        <n v="283.05149999999998"/>
        <n v="737.24720000000002"/>
        <n v="441.45299999999997"/>
        <n v="407.21174999999999"/>
        <n v="165.69900000000001"/>
        <n v="299.81119999999999"/>
        <n v="537.83579999999995"/>
        <n v="502.34849999999994"/>
        <n v="394.75650000000002"/>
        <n v="367.84160000000003"/>
        <n v="316.97250000000003"/>
        <n v="204.72"/>
        <n v="425.04360000000003"/>
        <n v="259.995"/>
        <n v="268.87199999999996"/>
        <n v="391.69739999999996"/>
        <n v="562.1508"/>
        <n v="36.683"/>
        <n v="495.89759999999995"/>
        <n v="224.59425000000002"/>
        <n v="337.11"/>
        <n v="15.847000000000001"/>
        <n v="246.42880000000002"/>
        <n v="380.70375000000001"/>
        <n v="52.491199999999999"/>
        <n v="248.09250000000003"/>
        <n v="742.27199999999993"/>
        <n v="91.47120000000001"/>
        <n v="613.43680000000006"/>
        <n v="332.45920000000001"/>
        <n v="329.31100000000004"/>
        <n v="200.72550000000001"/>
        <n v="100.73819999999999"/>
        <n v="135.0864"/>
        <n v="59.840249999999997"/>
        <n v="145.3425"/>
        <n v="333.78850000000006"/>
        <n v="662.15549999999996"/>
        <n v="407.99200000000002"/>
        <n v="550.62639999999999"/>
        <n v="95.462400000000002"/>
        <n v="177.77760000000001"/>
        <n v="190.02539999999999"/>
        <n v="154.4742"/>
        <n v="389.892"/>
        <n v="432.15839999999997"/>
        <n v="181.6585"/>
        <n v="216.1506"/>
        <n v="415.13500000000005"/>
        <n v="395.70000000000005"/>
        <n v="188.83079999999998"/>
        <n v="731.72080000000005"/>
        <n v="571.97220000000004"/>
        <n v="166.73750000000001"/>
        <n v="216.52859999999998"/>
        <n v="255.28899999999999"/>
        <n v="470.85500000000002"/>
        <n v="526.53359999999998"/>
        <n v="83.656500000000008"/>
        <n v="239.2818"/>
        <n v="418.37774999999999"/>
        <n v="254.05050000000003"/>
        <n v="100.962"/>
        <n v="645.17175000000009"/>
        <n v="340.08550000000002"/>
        <n v="629.64675"/>
        <n v="645.13274999999999"/>
        <n v="375.43600000000004"/>
        <n v="355.85440000000006"/>
        <n v="460.83074999999997"/>
        <n v="101.25719999999998"/>
        <n v="406.1454"/>
        <n v="93.730500000000006"/>
        <n v="557.60800000000006"/>
        <n v="118.65100000000001"/>
        <n v="101.10080000000001"/>
        <n v="130.22399999999999"/>
        <n v="8.9789999999999992"/>
        <n v="541.16399999999999"/>
        <n v="551.30775000000006"/>
        <n v="311.87040000000002"/>
        <n v="101.8494"/>
        <n v="46.359500000000004"/>
        <n v="23.150400000000001"/>
        <n v="130.56825000000001"/>
        <n v="668.96024999999997"/>
        <n v="199.29680000000002"/>
        <n v="288.58319999999998"/>
        <n v="57.146000000000008"/>
        <n v="184.1104"/>
        <n v="393.02399999999994"/>
        <n v="458.75624999999997"/>
        <n v="189.67424999999997"/>
        <n v="50.366249999999994"/>
        <n v="297.84224999999998"/>
        <n v="120.93050000000001"/>
        <n v="170.51849999999999"/>
        <n v="480.13200000000001"/>
        <n v="465.10274999999996"/>
        <n v="336.786"/>
        <n v="252.97020000000001"/>
        <n v="260.79300000000001"/>
        <n v="327.29759999999999"/>
        <n v="349.733"/>
        <n v="352.5625"/>
        <n v="143.98160000000001"/>
        <n v="378.834"/>
        <n v="250.70340000000002"/>
        <n v="435.911"/>
        <n v="476.32875000000001"/>
        <n v="402.88425000000001"/>
        <n v="62.120500000000007"/>
        <n v="365.74919999999997"/>
        <n v="100.82559999999999"/>
        <n v="257.87624999999997"/>
        <n v="121.13120000000001"/>
        <n v="417.09179999999998"/>
        <n v="128.51400000000001"/>
        <n v="318.3528"/>
        <n v="538.0308"/>
        <n v="159.20474999999999"/>
        <n v="410.18160000000006"/>
        <n v="255.04739999999998"/>
        <n v="22.354400000000002"/>
        <n v="596.12324999999998"/>
        <n v="47.012999999999998"/>
        <n v="359.63399999999996"/>
        <n v="339.04320000000001"/>
        <n v="316.07100000000003"/>
        <n v="415.04699999999997"/>
        <n v="208.59200000000001"/>
        <n v="11.927399999999999"/>
        <n v="544.65674999999999"/>
        <n v="405.22499999999997"/>
        <n v="502.65419999999995"/>
        <n v="658.53920000000005"/>
        <n v="422.44650000000001"/>
        <n v="392.1952"/>
        <n v="170.14600000000002"/>
        <n v="595.23225000000002"/>
        <n v="365.42480000000006"/>
        <n v="95.804000000000002"/>
        <n v="513.85439999999994"/>
        <n v="662.80049999999994"/>
        <n v="282.98820000000001"/>
        <n v="63.707249999999995"/>
        <n v="315.15840000000003"/>
        <n v="644.40160000000003"/>
        <n v="677.06699999999989"/>
        <n v="158.57849999999999"/>
        <n v="57.227999999999994"/>
        <n v="702.86160000000007"/>
        <n v="197.75550000000001"/>
        <n v="327.80580000000003"/>
        <n v="581.03099999999995"/>
        <n v="60.719200000000001"/>
        <n v="391.101"/>
        <n v="62.522999999999996"/>
        <n v="190.857"/>
        <n v="483.46559999999999"/>
        <n v="219.56900000000002"/>
        <n v="747.90825000000007"/>
        <n v="338.08139999999997"/>
        <n v="262.36080000000004"/>
        <n v="113.955"/>
        <n v="267.76125000000002"/>
        <n v="189.404"/>
        <n v="46.816199999999995"/>
        <n v="225.52680000000001"/>
        <n v="375.67680000000001"/>
        <n v="544.13250000000005"/>
        <n v="495.12149999999997"/>
        <n v="569.3424"/>
        <n v="14.624000000000001"/>
        <n v="169.11824999999999"/>
        <n v="332.5335"/>
        <n v="244.5745"/>
        <n v="12.208"/>
        <n v="403.22500000000002"/>
        <n v="581.31074999999998"/>
        <n v="331.76100000000002"/>
        <n v="45.479399999999998"/>
        <n v="384.42500000000001"/>
        <n v="470.30080000000004"/>
        <n v="627.31200000000001"/>
        <n v="603.38400000000001"/>
        <n v="643.97760000000005"/>
        <n v="418.26240000000001"/>
        <n v="74.46050000000001"/>
        <n v="404.66759999999999"/>
        <n v="374.56139999999994"/>
        <n v="372.41550000000007"/>
        <n v="142.54560000000001"/>
        <n v="101.5125"/>
        <n v="534.90299999999991"/>
        <n v="564.35849999999994"/>
        <n v="454.57299999999998"/>
        <n v="608.90239999999994"/>
        <n v="360.71039999999999"/>
        <n v="394.55459999999999"/>
        <n v="534.1422"/>
        <n v="349.81139999999994"/>
        <n v="508.85360000000003"/>
        <n v="123.68399999999998"/>
        <n v="287.50919999999996"/>
        <n v="359.61650000000003"/>
        <n v="208.67474999999999"/>
        <n v="126.1392"/>
        <n v="240.51674999999997"/>
        <n v="124.54300000000001"/>
        <n v="133.6584"/>
        <n v="215.30100000000004"/>
        <n v="727.00800000000004"/>
        <n v="307.1934"/>
        <n v="117.6246"/>
        <n v="51.721199999999996"/>
        <n v="419.517"/>
        <n v="311.17680000000001"/>
        <n v="494.16779999999994"/>
        <n v="497.18699999999995"/>
        <n v="478.9674"/>
        <n v="223.38159999999999"/>
        <n v="417.26100000000002"/>
        <n v="203.56575000000001"/>
        <n v="751.74240000000009"/>
        <n v="512.00879999999995"/>
        <n v="248.45024999999998"/>
        <n v="207.61275000000001"/>
        <n v="149.26275000000001"/>
        <n v="523.27125000000001"/>
        <n v="169.89600000000002"/>
        <n v="479.48"/>
        <n v="217.59119999999999"/>
        <n v="399.20939999999996"/>
        <n v="490.07399999999996"/>
        <n v="390.1225"/>
        <n v="457.94580000000002"/>
        <n v="117.50700000000001"/>
        <n v="73.125749999999996"/>
        <n v="526.46924999999999"/>
        <n v="224.79839999999999"/>
        <n v="219.01149999999998"/>
        <n v="30.628499999999999"/>
        <n v="160.18859999999998"/>
        <n v="26.003999999999998"/>
        <n v="704.3152"/>
        <n v="125.48150000000001"/>
        <n v="449.41120000000001"/>
        <n v="24.295000000000002"/>
        <n v="502.63424999999995"/>
        <n v="164.89850000000001"/>
        <n v="539.36399999999992"/>
        <n v="533.54219999999998"/>
        <n v="166.01900000000001"/>
        <n v="450.97550000000001"/>
        <n v="498.09799999999996"/>
        <n v="661.72960000000012"/>
        <n v="423.2115"/>
        <n v="192.38925"/>
        <n v="464.74800000000005"/>
        <n v="61.266400000000004"/>
        <n v="51.984500000000004"/>
        <n v="749.178"/>
        <n v="266.69839999999999"/>
        <n v="450.4212"/>
        <n v="646.87839999999994"/>
        <n v="429.72150000000005"/>
        <n v="748.23900000000003"/>
        <n v="124.54100000000001"/>
        <n v="29.9682"/>
        <n v="250.24799999999999"/>
        <n v="83.268000000000001"/>
        <n v="16.100999999999999"/>
        <n v="293.45839999999998"/>
        <n v="392.95050000000003"/>
        <n v="427.88924999999995"/>
        <n v="255.72"/>
        <n v="394.67939999999999"/>
        <n v="119.849"/>
        <n v="14.5428"/>
        <n v="460.02600000000001"/>
        <n v="470.62950000000001"/>
        <n v="611.74400000000003"/>
        <n v="36.411749999999998"/>
        <n v="629.06099999999992"/>
        <n v="467.49824999999998"/>
        <n v="340.65659999999997"/>
        <n v="471.27600000000001"/>
        <n v="649.34174999999993"/>
        <n v="472.85360000000003"/>
        <n v="468.11279999999999"/>
        <n v="743.07899999999995"/>
        <n v="607.33040000000005"/>
        <n v="358.29680000000002"/>
        <n v="532.7422499999999"/>
        <n v="237.2028"/>
        <n v="177.44024999999999"/>
        <n v="480.70640000000003"/>
        <n v="557.34"/>
        <n v="464.92399999999998"/>
        <n v="209.0916"/>
        <n v="425.92080000000004"/>
        <n v="131.71199999999999"/>
        <n v="746.75625000000002"/>
        <n v="490.65350000000001"/>
        <n v="326.50700000000006"/>
        <n v="403.185"/>
        <n v="574.35919999999999"/>
        <n v="477.78160000000003"/>
        <n v="31.407499999999999"/>
        <n v="276.1302"/>
        <n v="339.01900000000001"/>
        <n v="408.45359999999999"/>
        <n v="227.63459999999998"/>
        <n v="753.82"/>
        <n v="105.40979999999999"/>
        <n v="252.67800000000003"/>
        <n v="555.18000000000006"/>
        <n v="525.12300000000005"/>
        <n v="489.11474999999996"/>
        <n v="226.02799999999999"/>
        <n v="82.322500000000005"/>
        <n v="479.68574999999998"/>
        <n v="452.48174999999998"/>
        <n v="112.53719999999998"/>
        <n v="424.8528"/>
        <n v="230.31"/>
        <n v="536.8664"/>
        <n v="419.49650000000003"/>
        <n v="142.4248"/>
        <n v="21.714749999999999"/>
        <n v="468.78719999999998"/>
        <n v="306.8"/>
        <n v="351.32150000000001"/>
        <n v="671.8184"/>
        <n v="643.82640000000004"/>
        <n v="480.65550000000007"/>
        <n v="432.46080000000001"/>
        <n v="246.80549999999999"/>
        <n v="203.934"/>
        <n v="81.076999999999998"/>
        <n v="432.66075000000001"/>
        <n v="227.39360000000002"/>
        <n v="553.25639999999999"/>
        <n v="352.41539999999998"/>
        <n v="477.52960000000002"/>
        <n v="180.6875"/>
        <n v="36.881399999999999"/>
        <n v="24.855599999999999"/>
        <n v="343.28160000000003"/>
        <n v="56.231999999999999"/>
        <n v="305.38900000000001"/>
        <n v="705.73039999999992"/>
        <n v="442.04300000000006"/>
        <n v="397.47300000000001"/>
        <n v="131.47199999999998"/>
        <n v="432.18350000000004"/>
        <n v="665.42475000000002"/>
        <n v="122.81219999999999"/>
        <n v="555.03899999999999"/>
        <n v="176.19239999999999"/>
        <n v="603.46050000000002"/>
        <n v="747.94949999999994"/>
        <n v="29.794499999999999"/>
        <n v="449.19600000000003"/>
        <n v="469.803"/>
        <n v="730.23674999999992"/>
        <n v="352.76925"/>
        <n v="509.34839999999997"/>
        <n v="53.827500000000001"/>
        <n v="205.15559999999999"/>
        <n v="57.259500000000003"/>
        <n v="731.6925"/>
        <n v="409.40200000000004"/>
        <n v="512.41319999999996"/>
        <n v="703.93950000000007"/>
        <n v="56.551199999999994"/>
        <n v="235.04519999999999"/>
        <n v="64.260000000000005"/>
        <n v="109.3425"/>
        <n v="118.536"/>
        <n v="237.208"/>
        <n v="220.70160000000001"/>
        <n v="87.974400000000003"/>
        <n v="87.908000000000015"/>
        <n v="124.64239999999999"/>
        <n v="778.67679999999996"/>
        <n v="609.36"/>
        <n v="484.04200000000003"/>
        <n v="222.67150000000004"/>
        <n v="142.79249999999999"/>
        <n v="640.24800000000005"/>
        <n v="166.49549999999999"/>
        <n v="245.11200000000002"/>
        <n v="180.13575"/>
        <n v="110.7056"/>
        <n v="158.33879999999999"/>
        <n v="180.88350000000003"/>
        <n v="338.62700000000001"/>
        <n v="43.163399999999996"/>
        <n v="174.7216"/>
        <n v="608.19974999999999"/>
        <n v="93.271799999999999"/>
        <n v="209.53139999999999"/>
        <n v="692.80960000000005"/>
        <n v="81.688000000000002"/>
        <n v="73.527200000000008"/>
        <n v="293.81580000000002"/>
        <n v="185.63699999999997"/>
        <n v="283.887"/>
        <n v="402.88350000000003"/>
        <n v="72.888500000000008"/>
        <n v="467.91360000000003"/>
        <n v="255.227"/>
        <n v="91.582800000000006"/>
        <n v="376.65539999999999"/>
        <n v="210.678"/>
        <n v="394.36480000000006"/>
        <n v="68.587499999999991"/>
        <n v="278.99279999999999"/>
        <n v="235.04924999999997"/>
        <n v="494.49419999999998"/>
        <n v="49.806750000000001"/>
        <n v="212.21050000000002"/>
        <n v="347.88524999999998"/>
        <n v="363.87800000000004"/>
        <n v="289.27249999999998"/>
        <n v="536.43200000000002"/>
        <n v="389.6395"/>
        <n v="431.79050000000001"/>
        <n v="240.55274999999997"/>
        <n v="325.58519999999999"/>
        <n v="673.36559999999997"/>
        <n v="494.77850000000001"/>
        <n v="712.49919999999997"/>
        <n v="283.31475"/>
        <n v="101.60750000000002"/>
        <n v="370.87424999999996"/>
        <n v="595.38"/>
        <n v="373.23225000000002"/>
        <n v="390.67919999999998"/>
        <n v="629.88599999999997"/>
        <n v="294.23200000000003"/>
        <n v="516.71819999999991"/>
        <n v="309.55275"/>
        <n v="251.21325000000002"/>
        <n v="275.67"/>
        <n v="458.89319999999998"/>
        <n v="101.0565"/>
        <n v="122.67299999999999"/>
        <n v="475.96499999999997"/>
        <n v="146.9896"/>
        <n v="457.64"/>
        <n v="466.8168"/>
        <n v="247.364"/>
        <n v="388.97879999999998"/>
        <n v="142.51680000000002"/>
        <n v="417.85199999999998"/>
        <n v="227.0712"/>
        <n v="498.78825000000001"/>
        <n v="74.905500000000004"/>
        <n v="460.1352"/>
        <n v="154.73440000000002"/>
        <n v="228.68560000000002"/>
        <n v="135.91380000000001"/>
        <n v="143.25674999999998"/>
        <n v="620.59050000000002"/>
        <n v="146.42500000000001"/>
        <n v="556.71180000000004"/>
        <n v="485.11350000000004"/>
        <n v="431.66099999999994"/>
        <n v="113.67825000000001"/>
        <n v="304.64240000000001"/>
        <n v="479.85300000000001"/>
        <n v="280.28775000000002"/>
        <n v="76.917600000000007"/>
        <n v="336.73019999999997"/>
        <n v="423.33500000000004"/>
        <n v="478.78019999999998"/>
        <n v="110.0232"/>
        <n v="507.02774999999997"/>
        <n v="171.22424999999998"/>
        <n v="135.61500000000001"/>
        <n v="656.49824999999998"/>
        <n v="192.87899999999999"/>
        <n v="202.96125000000001"/>
        <n v="8.5175999999999998"/>
        <n v="697.56960000000004"/>
        <n v="476.80139999999994"/>
        <n v="473.29200000000003"/>
        <n v="602.21040000000005"/>
        <n v="96.316800000000001"/>
        <n v="347.80499999999995"/>
        <n v="178.85350000000003"/>
        <n v="77.129249999999999"/>
        <n v="368.45174999999995"/>
        <n v="737.22559999999999"/>
        <n v="29.795399999999997"/>
        <n v="179.1276"/>
        <n v="172.37279999999998"/>
        <n v="184.32374999999999"/>
        <n v="454.67500000000001"/>
        <n v="355.041"/>
        <n v="353.72699999999998"/>
        <n v="381.48500000000001"/>
        <n v="130.35759999999999"/>
        <n v="295.43580000000003"/>
      </sharedItems>
    </cacheField>
    <cacheField name="Sales Amount" numFmtId="164">
      <sharedItems containsSemiMixedTypes="0" containsString="0" containsNumber="1" minValue="100.12" maxValue="9989.0400000000009" count="998">
        <n v="5053.97"/>
        <n v="4384.0200000000004"/>
        <n v="4631.2299999999996"/>
        <n v="2167.94"/>
        <n v="3750.2"/>
        <n v="3761.15"/>
        <n v="618.30999999999995"/>
        <n v="7698.92"/>
        <n v="4223.3900000000003"/>
        <n v="8239.58"/>
        <n v="8518.4500000000007"/>
        <n v="2198.7399999999998"/>
        <n v="6607.8"/>
        <n v="4775.59"/>
        <n v="8813.5499999999993"/>
        <n v="2235.83"/>
        <n v="6810.35"/>
        <n v="6116.75"/>
        <n v="3023.48"/>
        <n v="1452.35"/>
        <n v="6551.23"/>
        <n v="7412.11"/>
        <n v="3224.71"/>
        <n v="6483.84"/>
        <n v="4011.8"/>
        <n v="7160.75"/>
        <n v="2072.23"/>
        <n v="8913.1299999999992"/>
        <n v="2945.36"/>
        <n v="3741.08"/>
        <n v="675.11"/>
        <n v="1203.97"/>
        <n v="5207.03"/>
        <n v="2749.17"/>
        <n v="8371.25"/>
        <n v="245.46"/>
        <n v="3853.03"/>
        <n v="3439.72"/>
        <n v="291.33999999999997"/>
        <n v="1331.25"/>
        <n v="4195.0600000000004"/>
        <n v="4979.3599999999997"/>
        <n v="4102.47"/>
        <n v="5356.28"/>
        <n v="5991.8"/>
        <n v="198.25"/>
        <n v="4694.54"/>
        <n v="9638.64"/>
        <n v="5238.42"/>
        <n v="6807.67"/>
        <n v="3187.45"/>
        <n v="7762.51"/>
        <n v="7751.92"/>
        <n v="5260.83"/>
        <n v="9762.5400000000009"/>
        <n v="1342.95"/>
        <n v="267.77999999999997"/>
        <n v="7724.57"/>
        <n v="8090.84"/>
        <n v="1290.05"/>
        <n v="2729.27"/>
        <n v="273.77"/>
        <n v="3003.76"/>
        <n v="7754.1"/>
        <n v="5227.8100000000004"/>
        <n v="3546.15"/>
        <n v="3780.22"/>
        <n v="113.4"/>
        <n v="3068.03"/>
        <n v="6499.94"/>
        <n v="9744.52"/>
        <n v="8485.9"/>
        <n v="333.59"/>
        <n v="8995.75"/>
        <n v="7853.66"/>
        <n v="7825.72"/>
        <n v="4634.16"/>
        <n v="4040.25"/>
        <n v="3098.87"/>
        <n v="750.38"/>
        <n v="2359.5300000000002"/>
        <n v="2541.38"/>
        <n v="4892.3599999999997"/>
        <n v="7499.7"/>
        <n v="4790.72"/>
        <n v="672.66"/>
        <n v="9582.1200000000008"/>
        <n v="9432.9699999999993"/>
        <n v="7873.38"/>
        <n v="9914.15"/>
        <n v="5490.38"/>
        <n v="9631.41"/>
        <n v="848.49"/>
        <n v="3720.24"/>
        <n v="2331.27"/>
        <n v="2038.75"/>
        <n v="1493.95"/>
        <n v="6261.9"/>
        <n v="7835.09"/>
        <n v="5825.15"/>
        <n v="1554.93"/>
        <n v="8130.13"/>
        <n v="6395.95"/>
        <n v="3942.84"/>
        <n v="6773.89"/>
        <n v="2673.06"/>
        <n v="3517.4"/>
        <n v="9183.11"/>
        <n v="2975.99"/>
        <n v="4752.88"/>
        <n v="8912.4"/>
        <n v="7106.44"/>
        <n v="715.81"/>
        <n v="1558.3"/>
        <n v="177.63"/>
        <n v="6346.13"/>
        <n v="4531.97"/>
        <n v="1429.32"/>
        <n v="9583.5499999999993"/>
        <n v="5343.63"/>
        <n v="2494.7399999999998"/>
        <n v="5055.9799999999996"/>
        <n v="6828.24"/>
        <n v="854.77"/>
        <n v="2819.57"/>
        <n v="8088.96"/>
        <n v="4650.68"/>
        <n v="5511.11"/>
        <n v="4384.88"/>
        <n v="534.61"/>
        <n v="1740.92"/>
        <n v="4510.8599999999997"/>
        <n v="2170.94"/>
        <n v="594.79"/>
        <n v="8452.1299999999992"/>
        <n v="9813.81"/>
        <n v="7952.11"/>
        <n v="8552.4699999999993"/>
        <n v="2495.5700000000002"/>
        <n v="9610.2099999999991"/>
        <n v="2049.56"/>
        <n v="9519.16"/>
        <n v="9948.7099999999991"/>
        <n v="7146.06"/>
        <n v="9813.32"/>
        <n v="5738.44"/>
        <n v="2669.46"/>
        <n v="4426.26"/>
        <n v="5976.25"/>
        <n v="823.51"/>
        <n v="6261.2"/>
        <n v="9813.66"/>
        <n v="1982.07"/>
        <n v="7946.69"/>
        <n v="9088.2000000000007"/>
        <n v="9442.65"/>
        <n v="9605.34"/>
        <n v="5262.45"/>
        <n v="9775.35"/>
        <n v="7597.37"/>
        <n v="1700.55"/>
        <n v="4821.3100000000004"/>
        <n v="7211.48"/>
        <n v="2548.67"/>
        <n v="6442.09"/>
        <n v="6699.34"/>
        <n v="1710.73"/>
        <n v="5694.34"/>
        <n v="7739.11"/>
        <n v="5039.07"/>
        <n v="219.82"/>
        <n v="189.48"/>
        <n v="3634.59"/>
        <n v="9269.32"/>
        <n v="2363.9"/>
        <n v="6380.2"/>
        <n v="2298.5500000000002"/>
        <n v="3284.53"/>
        <n v="8495.6200000000008"/>
        <n v="7315.73"/>
        <n v="1044.45"/>
        <n v="4344.1499999999996"/>
        <n v="388.78"/>
        <n v="4860.8100000000004"/>
        <n v="6658.1"/>
        <n v="1273.18"/>
        <n v="2959.96"/>
        <n v="4038.58"/>
        <n v="9203.36"/>
        <n v="9933.2199999999993"/>
        <n v="544.62"/>
        <n v="7633.98"/>
        <n v="3780.07"/>
        <n v="3985.34"/>
        <n v="7567.22"/>
        <n v="9192.42"/>
        <n v="9514.19"/>
        <n v="5813.51"/>
        <n v="3635.5"/>
        <n v="7896.74"/>
        <n v="2584.91"/>
        <n v="5684.33"/>
        <n v="3649.93"/>
        <n v="6600.65"/>
        <n v="2479.9499999999998"/>
        <n v="1996.77"/>
        <n v="9190.57"/>
        <n v="1107.8599999999999"/>
        <n v="5108.9799999999996"/>
        <n v="2286.44"/>
        <n v="485.41"/>
        <n v="456.59"/>
        <n v="1834.7"/>
        <n v="8681.0300000000007"/>
        <n v="2896.54"/>
        <n v="9509.5499999999993"/>
        <n v="5858.06"/>
        <n v="4422.4799999999996"/>
        <n v="5842.88"/>
        <n v="5215.3100000000004"/>
        <n v="7611.88"/>
        <n v="2896.71"/>
        <n v="3595.2"/>
        <n v="8951.5300000000007"/>
        <n v="9469.92"/>
        <n v="8936.33"/>
        <n v="4252.54"/>
        <n v="7825.62"/>
        <n v="4815.72"/>
        <n v="5025.6400000000003"/>
        <n v="2126.33"/>
        <n v="5952.19"/>
        <n v="1942.75"/>
        <n v="3382.49"/>
        <n v="8564.7999999999993"/>
        <n v="2150.0500000000002"/>
        <n v="804.47"/>
        <n v="783.18"/>
        <n v="9413.77"/>
        <n v="5118.51"/>
        <n v="4153.18"/>
        <n v="8127.7"/>
        <n v="8374.68"/>
        <n v="3388.69"/>
        <n v="6966.82"/>
        <n v="7734.12"/>
        <n v="6581.04"/>
        <n v="1600.79"/>
        <n v="8771.24"/>
        <n v="5437.04"/>
        <n v="2896.48"/>
        <n v="4309.76"/>
        <n v="471.95"/>
        <n v="1365.88"/>
        <n v="7678.91"/>
        <n v="100.12"/>
        <n v="4224"/>
        <n v="5272.85"/>
        <n v="640.88"/>
        <n v="9733.4699999999993"/>
        <n v="2338.64"/>
        <n v="3111.57"/>
        <n v="3109.03"/>
        <n v="2381.12"/>
        <n v="114.59"/>
        <n v="7320.51"/>
        <n v="9671.77"/>
        <n v="2320.5100000000002"/>
        <n v="6664.17"/>
        <n v="7444.77"/>
        <n v="8499.41"/>
        <n v="4284.03"/>
        <n v="3099.02"/>
        <n v="3320.42"/>
        <n v="7154.95"/>
        <n v="8186.12"/>
        <n v="1897.98"/>
        <n v="3772.32"/>
        <n v="9029.2099999999991"/>
        <n v="8086.27"/>
        <n v="9850.1"/>
        <n v="7567.06"/>
        <n v="3992.63"/>
        <n v="5947.31"/>
        <n v="6644.04"/>
        <n v="876.71"/>
        <n v="5490.52"/>
        <n v="7122.28"/>
        <n v="1756.48"/>
        <n v="7828.25"/>
        <n v="5879.35"/>
        <n v="9527"/>
        <n v="519.98"/>
        <n v="2726.73"/>
        <n v="6055.38"/>
        <n v="3035.94"/>
        <n v="7172.8"/>
        <n v="7614.15"/>
        <n v="1114.9100000000001"/>
        <n v="5187.16"/>
        <n v="5138.0200000000004"/>
        <n v="3755.88"/>
        <n v="9335.9599999999991"/>
        <n v="8292.31"/>
        <n v="7002.37"/>
        <n v="7171.83"/>
        <n v="4670.99"/>
        <n v="9217.85"/>
        <n v="6976.49"/>
        <n v="7316.91"/>
        <n v="8630.74"/>
        <n v="2813.31"/>
        <n v="8090"/>
        <n v="2032.88"/>
        <n v="3518.89"/>
        <n v="3422.54"/>
        <n v="9787.4"/>
        <n v="8579.7199999999993"/>
        <n v="7041.58"/>
        <n v="7297.86"/>
        <n v="5664.52"/>
        <n v="9476.2000000000007"/>
        <n v="5012.96"/>
        <n v="3867.13"/>
        <n v="1714.05"/>
        <n v="7883.44"/>
        <n v="7370.99"/>
        <n v="3905.11"/>
        <n v="349.41"/>
        <n v="8406.07"/>
        <n v="213.04"/>
        <n v="7066.63"/>
        <n v="9705.5499999999993"/>
        <n v="4432.8500000000004"/>
        <n v="2426.2399999999998"/>
        <n v="7078.22"/>
        <n v="8189.57"/>
        <n v="5509.66"/>
        <n v="9673.65"/>
        <n v="611.52"/>
        <n v="5097.4799999999996"/>
        <n v="7212.69"/>
        <n v="8640.14"/>
        <n v="1874.63"/>
        <n v="8020.03"/>
        <n v="5571.8"/>
        <n v="4025.88"/>
        <n v="1403.98"/>
        <n v="8666.43"/>
        <n v="1657"/>
        <n v="3166.9"/>
        <n v="2971.45"/>
        <n v="8727"/>
        <n v="6759.76"/>
        <n v="7987.15"/>
        <n v="2579.63"/>
        <n v="6286.25"/>
        <n v="5760.29"/>
        <n v="8345.02"/>
        <n v="9070.26"/>
        <n v="220.35"/>
        <n v="6772.8"/>
        <n v="613.16999999999996"/>
        <n v="5533.7"/>
        <n v="2947.56"/>
        <n v="3137.09"/>
        <n v="3594.29"/>
        <n v="6250.8"/>
        <n v="3407.09"/>
        <n v="7353.72"/>
        <n v="4104.82"/>
        <n v="776.7"/>
        <n v="7859.22"/>
        <n v="2929.01"/>
        <n v="4384.3900000000003"/>
        <n v="6885.89"/>
        <n v="3391.32"/>
        <n v="660.2"/>
        <n v="3801.82"/>
        <n v="9450.0400000000009"/>
        <n v="6453.17"/>
        <n v="6747.64"/>
        <n v="6359.59"/>
        <n v="2070.02"/>
        <n v="4241.51"/>
        <n v="7534.3"/>
        <n v="1103.5899999999999"/>
        <n v="2850.74"/>
        <n v="2835.56"/>
        <n v="4376.99"/>
        <n v="9805.65"/>
        <n v="768.28"/>
        <n v="5235.1400000000003"/>
        <n v="1875.71"/>
        <n v="9709.7000000000007"/>
        <n v="1221.7"/>
        <n v="4095.65"/>
        <n v="7405.06"/>
        <n v="7075.09"/>
        <n v="4285.01"/>
        <n v="3530.59"/>
        <n v="4036.36"/>
        <n v="2716.34"/>
        <n v="2132.8000000000002"/>
        <n v="4882.09"/>
        <n v="2758.48"/>
        <n v="2945.87"/>
        <n v="6601.89"/>
        <n v="9688.52"/>
        <n v="6076.01"/>
        <n v="862.1"/>
        <n v="848.28"/>
        <n v="9519.09"/>
        <n v="3043.18"/>
        <n v="1011.46"/>
        <n v="6030.54"/>
        <n v="6274.12"/>
        <n v="6520.2"/>
        <n v="2747.28"/>
        <n v="249.6"/>
        <n v="9653.65"/>
        <n v="2583.84"/>
        <n v="6792.66"/>
        <n v="7095.64"/>
        <n v="6139.07"/>
        <n v="3197.78"/>
        <n v="2783.85"/>
        <n v="6016.92"/>
        <n v="8674.35"/>
        <n v="9472.66"/>
        <n v="1148.47"/>
        <n v="1632.8"/>
        <n v="9452.89"/>
        <n v="7391.7"/>
        <n v="8841.64"/>
        <n v="2106.06"/>
        <n v="5917.1"/>
        <n v="7041.28"/>
        <n v="6833.11"/>
        <n v="4140.7"/>
        <n v="252.41"/>
        <n v="5870.97"/>
        <n v="2605.71"/>
        <n v="4557.5200000000004"/>
        <n v="9580.0499999999993"/>
        <n v="4050.45"/>
        <n v="8414.0400000000009"/>
        <n v="1966.55"/>
        <n v="6757.36"/>
        <n v="9772.3700000000008"/>
        <n v="1108.74"/>
        <n v="182.37"/>
        <n v="4392.47"/>
        <n v="1016.99"/>
        <n v="7509.01"/>
        <n v="9154.0300000000007"/>
        <n v="4396.8100000000004"/>
        <n v="2661.25"/>
        <n v="4400.59"/>
        <n v="7262.13"/>
        <n v="189.64"/>
        <n v="5935.59"/>
        <n v="6171.59"/>
        <n v="6413.11"/>
        <n v="2496.02"/>
        <n v="7169.12"/>
        <n v="1004.78"/>
        <n v="2072.7800000000002"/>
        <n v="8786.9500000000007"/>
        <n v="7413.36"/>
        <n v="236.08"/>
        <n v="2558.92"/>
        <n v="2222.62"/>
        <n v="2780.98"/>
        <n v="2550.84"/>
        <n v="719.01"/>
        <n v="4643.51"/>
        <n v="7354.06"/>
        <n v="6106.64"/>
        <n v="6761.43"/>
        <n v="903.38"/>
        <n v="9519.76"/>
        <n v="8401.07"/>
        <n v="8070.39"/>
        <n v="8247.5400000000009"/>
        <n v="9333.83"/>
        <n v="5488.11"/>
        <n v="2082.79"/>
        <n v="6206.16"/>
        <n v="7454.53"/>
        <n v="7405.38"/>
        <n v="5262.35"/>
        <n v="777.74"/>
        <n v="3774.02"/>
        <n v="9215.59"/>
        <n v="5886.04"/>
        <n v="5429.49"/>
        <n v="2761.65"/>
        <n v="3747.64"/>
        <n v="8963.93"/>
        <n v="6697.98"/>
        <n v="7895.13"/>
        <n v="4598.0200000000004"/>
        <n v="6339.45"/>
        <n v="2559"/>
        <n v="7084.06"/>
        <n v="4333.25"/>
        <n v="4481.2"/>
        <n v="6528.29"/>
        <n v="9369.18"/>
        <n v="733.66"/>
        <n v="8264.9599999999991"/>
        <n v="2994.59"/>
        <n v="4494.8"/>
        <n v="316.94"/>
        <n v="3080.36"/>
        <n v="5076.05"/>
        <n v="656.14"/>
        <n v="4961.8500000000004"/>
        <n v="9278.4"/>
        <n v="1143.3900000000001"/>
        <n v="7667.96"/>
        <n v="4155.74"/>
        <n v="6586.22"/>
        <n v="2676.34"/>
        <n v="1678.97"/>
        <n v="1688.58"/>
        <n v="797.87"/>
        <n v="1937.9"/>
        <n v="6675.77"/>
        <n v="8828.74"/>
        <n v="8159.84"/>
        <n v="6882.83"/>
        <n v="1193.28"/>
        <n v="2962.96"/>
        <n v="3167.09"/>
        <n v="2574.5700000000002"/>
        <n v="5198.5600000000004"/>
        <n v="5401.98"/>
        <n v="3633.17"/>
        <n v="3602.51"/>
        <n v="8302.7000000000007"/>
        <n v="7914"/>
        <n v="3147.18"/>
        <n v="9146.51"/>
        <n v="9532.8700000000008"/>
        <n v="3334.75"/>
        <n v="3608.81"/>
        <n v="5105.78"/>
        <n v="9417.1"/>
        <n v="8775.56"/>
        <n v="1115.42"/>
        <n v="3988.03"/>
        <n v="5578.37"/>
        <n v="5081.01"/>
        <n v="2019.24"/>
        <n v="8602.2900000000009"/>
        <n v="6801.71"/>
        <n v="8395.2900000000009"/>
        <n v="8601.77"/>
        <n v="7508.72"/>
        <n v="4448.18"/>
        <n v="6144.41"/>
        <n v="1687.62"/>
        <n v="6769.09"/>
        <n v="1874.61"/>
        <n v="6970.1"/>
        <n v="2373.02"/>
        <n v="1263.76"/>
        <n v="1736.32"/>
        <n v="119.72"/>
        <n v="7215.52"/>
        <n v="7350.77"/>
        <n v="5197.84"/>
        <n v="1697.49"/>
        <n v="927.19"/>
        <n v="289.38"/>
        <n v="1740.91"/>
        <n v="8919.4699999999993"/>
        <n v="2491.21"/>
        <n v="3607.29"/>
        <n v="1142.92"/>
        <n v="2301.38"/>
        <n v="5240.32"/>
        <n v="2528.9899999999998"/>
        <n v="671.55"/>
        <n v="3971.23"/>
        <n v="2418.61"/>
        <n v="2273.58"/>
        <n v="9602.64"/>
        <n v="6201.37"/>
        <n v="5613.1"/>
        <n v="4216.17"/>
        <n v="4346.55"/>
        <n v="5454.96"/>
        <n v="6994.66"/>
        <n v="7051.25"/>
        <n v="1799.77"/>
        <n v="5051.12"/>
        <n v="4178.3900000000003"/>
        <n v="8718.2199999999993"/>
        <n v="6351.05"/>
        <n v="5371.79"/>
        <n v="1242.4100000000001"/>
        <n v="6095.82"/>
        <n v="1260.32"/>
        <n v="3438.35"/>
        <n v="1514.14"/>
        <n v="6951.53"/>
        <n v="2141.9"/>
        <n v="3979.41"/>
        <n v="8967.18"/>
        <n v="2122.73"/>
        <n v="5127.2700000000004"/>
        <n v="4250.79"/>
        <n v="279.43"/>
        <n v="7948.31"/>
        <n v="783.55"/>
        <n v="4795.12"/>
        <n v="5650.72"/>
        <n v="6321.42"/>
        <n v="6917.45"/>
        <n v="2607.4"/>
        <n v="198.79"/>
        <n v="7262.09"/>
        <n v="5403"/>
        <n v="8377.57"/>
        <n v="8231.74"/>
        <n v="8448.93"/>
        <n v="4902.4399999999996"/>
        <n v="3402.92"/>
        <n v="7936.43"/>
        <n v="4567.8100000000004"/>
        <n v="1916.08"/>
        <n v="8564.24"/>
        <n v="8837.34"/>
        <n v="4716.47"/>
        <n v="849.43"/>
        <n v="3939.48"/>
        <n v="8055.02"/>
        <n v="9027.56"/>
        <n v="2114.38"/>
        <n v="763.04"/>
        <n v="8785.77"/>
        <n v="3955.11"/>
        <n v="5463.43"/>
        <n v="9683.85"/>
        <n v="758.99"/>
        <n v="6518.35"/>
        <n v="833.64"/>
        <n v="3817.14"/>
        <n v="8057.76"/>
        <n v="4391.38"/>
        <n v="9972.11"/>
        <n v="5634.69"/>
        <n v="3279.51"/>
        <n v="2279.1"/>
        <n v="3570.15"/>
        <n v="3788.08"/>
        <n v="780.27"/>
        <n v="3758.78"/>
        <n v="4695.96"/>
        <n v="7255.1"/>
        <n v="6601.62"/>
        <n v="7116.78"/>
        <n v="182.8"/>
        <n v="2254.91"/>
        <n v="6650.67"/>
        <n v="4891.49"/>
        <n v="152.6"/>
        <n v="8064.5"/>
        <n v="7750.81"/>
        <n v="5529.35"/>
        <n v="757.99"/>
        <n v="7688.5"/>
        <n v="5878.76"/>
        <n v="7841.4"/>
        <n v="7542.3"/>
        <n v="8049.72"/>
        <n v="5228.28"/>
        <n v="1489.21"/>
        <n v="6744.46"/>
        <n v="6242.69"/>
        <n v="7448.31"/>
        <n v="1781.82"/>
        <n v="2030.25"/>
        <n v="8915.0499999999993"/>
        <n v="7524.78"/>
        <n v="9091.4599999999991"/>
        <n v="7611.28"/>
        <n v="6011.84"/>
        <n v="6575.91"/>
        <n v="8902.3700000000008"/>
        <n v="5830.19"/>
        <n v="6360.67"/>
        <n v="1649.12"/>
        <n v="4791.82"/>
        <n v="7192.33"/>
        <n v="2782.33"/>
        <n v="2102.3200000000002"/>
        <n v="3206.89"/>
        <n v="2490.86"/>
        <n v="2227.64"/>
        <n v="4306.0200000000004"/>
        <n v="9087.6"/>
        <n v="5119.8900000000003"/>
        <n v="1960.41"/>
        <n v="862.02"/>
        <n v="6991.95"/>
        <n v="3889.71"/>
        <n v="8236.1299999999992"/>
        <n v="6629.16"/>
        <n v="7982.79"/>
        <n v="2792.27"/>
        <n v="6954.35"/>
        <n v="2714.21"/>
        <n v="9396.7800000000007"/>
        <n v="6400.11"/>
        <n v="3312.67"/>
        <n v="2768.17"/>
        <n v="1990.17"/>
        <n v="6976.95"/>
        <n v="2265.2800000000002"/>
        <n v="5993.5"/>
        <n v="2719.89"/>
        <n v="6653.49"/>
        <n v="8167.9"/>
        <n v="7802.45"/>
        <n v="7632.43"/>
        <n v="1958.45"/>
        <n v="975.01"/>
        <n v="7019.59"/>
        <n v="3746.64"/>
        <n v="4380.2299999999996"/>
        <n v="408.38"/>
        <n v="2669.81"/>
        <n v="433.4"/>
        <n v="8803.94"/>
        <n v="2509.63"/>
        <n v="5617.64"/>
        <n v="485.9"/>
        <n v="6701.79"/>
        <n v="3297.97"/>
        <n v="8989.4"/>
        <n v="8892.3700000000008"/>
        <n v="3320.38"/>
        <n v="9019.51"/>
        <n v="9961.9599999999991"/>
        <n v="8271.6200000000008"/>
        <n v="8464.23"/>
        <n v="2565.19"/>
        <n v="5809.35"/>
        <n v="765.83"/>
        <n v="1039.69"/>
        <n v="9989.0400000000009"/>
        <n v="3333.73"/>
        <n v="7507.02"/>
        <n v="8085.98"/>
        <n v="8594.43"/>
        <n v="9976.52"/>
        <n v="2490.8200000000002"/>
        <n v="499.47"/>
        <n v="4170.8"/>
        <n v="1387.8"/>
        <n v="322.02"/>
        <n v="3668.23"/>
        <n v="7859.01"/>
        <n v="5705.19"/>
        <n v="3196.5"/>
        <n v="6577.99"/>
        <n v="2396.98"/>
        <n v="242.38"/>
        <n v="7667.1"/>
        <n v="6275.06"/>
        <n v="7646.8"/>
        <n v="485.49"/>
        <n v="8387.48"/>
        <n v="6233.31"/>
        <n v="5677.61"/>
        <n v="6283.68"/>
        <n v="8657.89"/>
        <n v="5910.67"/>
        <n v="5851.41"/>
        <n v="9907.7199999999993"/>
        <n v="7591.63"/>
        <n v="4478.71"/>
        <n v="7103.23"/>
        <n v="3953.38"/>
        <n v="2365.87"/>
        <n v="6008.83"/>
        <n v="9289"/>
        <n v="9298.48"/>
        <n v="3484.86"/>
        <n v="5324.01"/>
        <n v="2195.1999999999998"/>
        <n v="9956.75"/>
        <n v="9813.07"/>
        <n v="6530.14"/>
        <n v="8063.7"/>
        <n v="7179.49"/>
        <n v="5972.27"/>
        <n v="628.15"/>
        <n v="4602.17"/>
        <n v="6780.38"/>
        <n v="6807.56"/>
        <n v="3793.91"/>
        <n v="9422.75"/>
        <n v="1756.83"/>
        <n v="5053.5600000000004"/>
        <n v="6939.75"/>
        <n v="7001.64"/>
        <n v="6521.53"/>
        <n v="2825.35"/>
        <n v="1646.45"/>
        <n v="6395.81"/>
        <n v="6033.09"/>
        <n v="1875.62"/>
        <n v="7080.88"/>
        <n v="4606.2"/>
        <n v="6710.83"/>
        <n v="8389.93"/>
        <n v="1780.31"/>
        <n v="289.52999999999997"/>
        <n v="7813.12"/>
        <n v="6136"/>
        <n v="7026.43"/>
        <n v="8397.73"/>
        <n v="8047.83"/>
        <n v="9613.11"/>
        <n v="5405.76"/>
        <n v="4936.1099999999997"/>
        <n v="4078.68"/>
        <n v="1621.54"/>
        <n v="5768.81"/>
        <n v="2842.42"/>
        <n v="9220.94"/>
        <n v="5873.59"/>
        <n v="5969.12"/>
        <n v="3613.75"/>
        <n v="614.69000000000005"/>
        <n v="414.26"/>
        <n v="4291.0200000000004"/>
        <n v="937.2"/>
        <n v="6107.78"/>
        <n v="8821.6299999999992"/>
        <n v="8840.86"/>
        <n v="6624.55"/>
        <n v="2191.1999999999998"/>
        <n v="8643.67"/>
        <n v="8872.33"/>
        <n v="2046.87"/>
        <n v="7400.52"/>
        <n v="2936.54"/>
        <n v="8046.14"/>
        <n v="9972.66"/>
        <n v="397.26"/>
        <n v="8983.92"/>
        <n v="6264.04"/>
        <n v="9736.49"/>
        <n v="4703.59"/>
        <n v="8489.14"/>
        <n v="717.7"/>
        <n v="3419.26"/>
        <n v="763.46"/>
        <n v="9755.9"/>
        <n v="8188.04"/>
        <n v="8540.2199999999993"/>
        <n v="9385.86"/>
        <n v="942.52"/>
        <n v="3917.42"/>
        <n v="803.25"/>
        <n v="2186.85"/>
        <n v="2370.7199999999998"/>
        <n v="4744.16"/>
        <n v="2758.77"/>
        <n v="1099.68"/>
        <n v="1758.16"/>
        <n v="1558.03"/>
        <n v="9733.4599999999991"/>
        <n v="7617"/>
        <n v="9680.84"/>
        <n v="4453.43"/>
        <n v="2855.85"/>
        <n v="8003.1"/>
        <n v="3329.91"/>
        <n v="3063.9"/>
        <n v="2401.81"/>
        <n v="1383.82"/>
        <n v="2638.98"/>
        <n v="3617.67"/>
        <n v="6772.54"/>
        <n v="719.39"/>
        <n v="2184.02"/>
        <n v="8109.33"/>
        <n v="1554.53"/>
        <n v="3492.19"/>
        <n v="8660.1200000000008"/>
        <n v="1633.76"/>
        <n v="919.09"/>
        <n v="4896.93"/>
        <n v="3093.95"/>
        <n v="5677.74"/>
        <n v="8057.67"/>
        <n v="1457.77"/>
        <n v="5848.92"/>
        <n v="5104.54"/>
        <n v="1526.38"/>
        <n v="6277.59"/>
        <n v="2809.04"/>
        <n v="4929.5600000000004"/>
        <n v="914.5"/>
        <n v="4649.88"/>
        <n v="3133.99"/>
        <n v="8241.57"/>
        <n v="664.09"/>
        <n v="4244.21"/>
        <n v="4638.47"/>
        <n v="7277.56"/>
        <n v="5785.45"/>
        <n v="6705.4"/>
        <n v="7792.79"/>
        <n v="8635.81"/>
        <n v="3207.37"/>
        <n v="5426.42"/>
        <n v="8417.07"/>
        <n v="9895.57"/>
        <n v="8906.24"/>
        <n v="3777.53"/>
        <n v="2032.15"/>
        <n v="4944.99"/>
        <n v="7442.25"/>
        <n v="4976.43"/>
        <n v="4883.49"/>
        <n v="8398.48"/>
        <n v="3677.9"/>
        <n v="8611.9699999999993"/>
        <n v="4127.37"/>
        <n v="3349.51"/>
        <n v="4594.5"/>
        <n v="7648.22"/>
        <n v="1347.42"/>
        <n v="2044.55"/>
        <n v="9519.2999999999993"/>
        <n v="1837.37"/>
        <n v="5720.5"/>
        <n v="5835.21"/>
        <n v="4947.28"/>
        <n v="6482.98"/>
        <n v="2375.2800000000002"/>
        <n v="5571.36"/>
        <n v="3784.52"/>
        <n v="6650.51"/>
        <n v="1498.11"/>
        <n v="5751.69"/>
        <n v="1934.18"/>
        <n v="2858.57"/>
        <n v="2265.23"/>
        <n v="1910.09"/>
        <n v="8274.5400000000009"/>
        <n v="2928.5"/>
        <n v="9278.5300000000007"/>
        <n v="9702.27"/>
        <n v="5755.48"/>
        <n v="1515.71"/>
        <n v="3808.03"/>
        <n v="7997.55"/>
        <n v="3737.17"/>
        <n v="961.47"/>
        <n v="5612.17"/>
        <n v="8466.7000000000007"/>
        <n v="7979.67"/>
        <n v="1833.72"/>
        <n v="6760.37"/>
        <n v="2282.9899999999998"/>
        <n v="2260.25"/>
        <n v="8753.31"/>
        <n v="2571.7199999999998"/>
        <n v="2706.15"/>
        <n v="106.47"/>
        <n v="8719.6200000000008"/>
        <n v="6310.56"/>
        <n v="7527.63"/>
        <n v="1605.28"/>
        <n v="4637.3999999999996"/>
        <n v="3577.07"/>
        <n v="1028.3900000000001"/>
        <n v="4912.6899999999996"/>
        <n v="9215.32"/>
        <n v="496.59"/>
        <n v="2985.46"/>
        <n v="2154.66"/>
        <n v="2457.65"/>
        <n v="9093.5"/>
        <n v="4733.88"/>
        <n v="4716.3599999999997"/>
        <n v="7629.7"/>
        <n v="1629.47"/>
        <n v="4923.93"/>
      </sharedItems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 count="4">
        <s v="Furniture"/>
        <s v="Food"/>
        <s v="Clothing"/>
        <s v="Electronics"/>
      </sharedItems>
    </cacheField>
    <cacheField name="Unit Cost" numFmtId="164">
      <sharedItems containsSemiMixedTypes="0" containsString="0" containsNumber="1" minValue="60.28" maxValue="4995.3"/>
    </cacheField>
    <cacheField name="Unit Price" numFmtId="164">
      <sharedItems containsSemiMixedTypes="0" containsString="0" containsNumber="1" minValue="167.12" maxValue="5442.15"/>
    </cacheField>
    <cacheField name="Customer Type" numFmtId="0">
      <sharedItems/>
    </cacheField>
    <cacheField name="Discount" numFmtId="9">
      <sharedItems containsSemiMixedTypes="0" containsString="0" containsNumber="1" minValue="0" maxValue="0.3"/>
    </cacheField>
    <cacheField name="Payment Method" numFmtId="0">
      <sharedItems/>
    </cacheField>
    <cacheField name="Sales Channel" numFmtId="0">
      <sharedItems/>
    </cacheField>
    <cacheField name="Sales Performance" numFmtId="0">
      <sharedItems count="2">
        <s v="High"/>
        <s v="Low"/>
      </sharedItems>
    </cacheField>
  </cacheFields>
  <extLst>
    <ext xmlns:x14="http://schemas.microsoft.com/office/spreadsheetml/2009/9/main" uri="{725AE2AE-9491-48be-B2B4-4EB974FC3084}">
      <x14:pivotCacheDefinition pivotCacheId="93431555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20138888" createdVersion="8" refreshedVersion="8" minRefreshableVersion="3" recordCount="1000" xr:uid="{B8ED9FBD-1856-413B-AD97-10AED3862B7C}">
  <cacheSource type="worksheet">
    <worksheetSource name="Table2"/>
  </cacheSource>
  <cacheFields count="18">
    <cacheField name="Product ID" numFmtId="0">
      <sharedItems containsSemiMixedTypes="0" containsString="0" containsNumber="1" containsInteger="1" minValue="1001" maxValue="1100"/>
    </cacheField>
    <cacheField name="Product Name" numFmtId="0">
      <sharedItems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/>
    </cacheField>
    <cacheField name="Manager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Tax Rate" numFmtId="0">
      <sharedItems containsSemiMixedTypes="0" containsString="0" containsNumber="1" minValue="0.05" maxValue="0.08"/>
    </cacheField>
    <cacheField name="Tax Amount" numFmtId="164">
      <sharedItems containsSemiMixedTypes="0" containsString="0" containsNumber="1" minValue="5.7295000000000007" maxValue="794.6576"/>
    </cacheField>
    <cacheField name="Sales Amount" numFmtId="164">
      <sharedItems containsSemiMixedTypes="0" containsString="0" containsNumber="1" minValue="100.12" maxValue="9989.0400000000009" count="998">
        <n v="5053.97"/>
        <n v="4384.0200000000004"/>
        <n v="4631.2299999999996"/>
        <n v="2167.94"/>
        <n v="3750.2"/>
        <n v="3761.15"/>
        <n v="618.30999999999995"/>
        <n v="7698.92"/>
        <n v="4223.3900000000003"/>
        <n v="8239.58"/>
        <n v="8518.4500000000007"/>
        <n v="2198.7399999999998"/>
        <n v="6607.8"/>
        <n v="4775.59"/>
        <n v="8813.5499999999993"/>
        <n v="2235.83"/>
        <n v="6810.35"/>
        <n v="6116.75"/>
        <n v="3023.48"/>
        <n v="1452.35"/>
        <n v="6551.23"/>
        <n v="7412.11"/>
        <n v="3224.71"/>
        <n v="6483.84"/>
        <n v="4011.8"/>
        <n v="7160.75"/>
        <n v="2072.23"/>
        <n v="8913.1299999999992"/>
        <n v="2945.36"/>
        <n v="3741.08"/>
        <n v="675.11"/>
        <n v="1203.97"/>
        <n v="5207.03"/>
        <n v="2749.17"/>
        <n v="8371.25"/>
        <n v="245.46"/>
        <n v="3853.03"/>
        <n v="3439.72"/>
        <n v="291.33999999999997"/>
        <n v="1331.25"/>
        <n v="4195.0600000000004"/>
        <n v="4979.3599999999997"/>
        <n v="4102.47"/>
        <n v="5356.28"/>
        <n v="5991.8"/>
        <n v="198.25"/>
        <n v="4694.54"/>
        <n v="9638.64"/>
        <n v="5238.42"/>
        <n v="6807.67"/>
        <n v="3187.45"/>
        <n v="7762.51"/>
        <n v="7751.92"/>
        <n v="5260.83"/>
        <n v="9762.5400000000009"/>
        <n v="1342.95"/>
        <n v="267.77999999999997"/>
        <n v="7724.57"/>
        <n v="8090.84"/>
        <n v="1290.05"/>
        <n v="2729.27"/>
        <n v="273.77"/>
        <n v="3003.76"/>
        <n v="7754.1"/>
        <n v="5227.8100000000004"/>
        <n v="3546.15"/>
        <n v="3780.22"/>
        <n v="113.4"/>
        <n v="3068.03"/>
        <n v="6499.94"/>
        <n v="9744.52"/>
        <n v="8485.9"/>
        <n v="333.59"/>
        <n v="8995.75"/>
        <n v="7853.66"/>
        <n v="7825.72"/>
        <n v="4634.16"/>
        <n v="4040.25"/>
        <n v="3098.87"/>
        <n v="750.38"/>
        <n v="2359.5300000000002"/>
        <n v="2541.38"/>
        <n v="4892.3599999999997"/>
        <n v="7499.7"/>
        <n v="4790.72"/>
        <n v="672.66"/>
        <n v="9582.1200000000008"/>
        <n v="9432.9699999999993"/>
        <n v="7873.38"/>
        <n v="9914.15"/>
        <n v="5490.38"/>
        <n v="9631.41"/>
        <n v="848.49"/>
        <n v="3720.24"/>
        <n v="2331.27"/>
        <n v="2038.75"/>
        <n v="1493.95"/>
        <n v="6261.9"/>
        <n v="7835.09"/>
        <n v="5825.15"/>
        <n v="1554.93"/>
        <n v="8130.13"/>
        <n v="6395.95"/>
        <n v="3942.84"/>
        <n v="6773.89"/>
        <n v="2673.06"/>
        <n v="3517.4"/>
        <n v="9183.11"/>
        <n v="2975.99"/>
        <n v="4752.88"/>
        <n v="8912.4"/>
        <n v="7106.44"/>
        <n v="715.81"/>
        <n v="1558.3"/>
        <n v="177.63"/>
        <n v="6346.13"/>
        <n v="4531.97"/>
        <n v="1429.32"/>
        <n v="9583.5499999999993"/>
        <n v="5343.63"/>
        <n v="2494.7399999999998"/>
        <n v="5055.9799999999996"/>
        <n v="6828.24"/>
        <n v="854.77"/>
        <n v="2819.57"/>
        <n v="8088.96"/>
        <n v="4650.68"/>
        <n v="5511.11"/>
        <n v="4384.88"/>
        <n v="534.61"/>
        <n v="1740.92"/>
        <n v="4510.8599999999997"/>
        <n v="2170.94"/>
        <n v="594.79"/>
        <n v="8452.1299999999992"/>
        <n v="9813.81"/>
        <n v="7952.11"/>
        <n v="8552.4699999999993"/>
        <n v="2495.5700000000002"/>
        <n v="9610.2099999999991"/>
        <n v="2049.56"/>
        <n v="9519.16"/>
        <n v="9948.7099999999991"/>
        <n v="7146.06"/>
        <n v="9813.32"/>
        <n v="5738.44"/>
        <n v="2669.46"/>
        <n v="4426.26"/>
        <n v="5976.25"/>
        <n v="823.51"/>
        <n v="6261.2"/>
        <n v="9813.66"/>
        <n v="1982.07"/>
        <n v="7946.69"/>
        <n v="9088.2000000000007"/>
        <n v="9442.65"/>
        <n v="9605.34"/>
        <n v="5262.45"/>
        <n v="9775.35"/>
        <n v="7597.37"/>
        <n v="1700.55"/>
        <n v="4821.3100000000004"/>
        <n v="7211.48"/>
        <n v="2548.67"/>
        <n v="6442.09"/>
        <n v="6699.34"/>
        <n v="1710.73"/>
        <n v="5694.34"/>
        <n v="7739.11"/>
        <n v="5039.07"/>
        <n v="219.82"/>
        <n v="189.48"/>
        <n v="3634.59"/>
        <n v="9269.32"/>
        <n v="2363.9"/>
        <n v="6380.2"/>
        <n v="2298.5500000000002"/>
        <n v="3284.53"/>
        <n v="8495.6200000000008"/>
        <n v="7315.73"/>
        <n v="1044.45"/>
        <n v="4344.1499999999996"/>
        <n v="388.78"/>
        <n v="4860.8100000000004"/>
        <n v="6658.1"/>
        <n v="1273.18"/>
        <n v="2959.96"/>
        <n v="4038.58"/>
        <n v="9203.36"/>
        <n v="9933.2199999999993"/>
        <n v="544.62"/>
        <n v="7633.98"/>
        <n v="3780.07"/>
        <n v="3985.34"/>
        <n v="7567.22"/>
        <n v="9192.42"/>
        <n v="9514.19"/>
        <n v="5813.51"/>
        <n v="3635.5"/>
        <n v="7896.74"/>
        <n v="2584.91"/>
        <n v="5684.33"/>
        <n v="3649.93"/>
        <n v="6600.65"/>
        <n v="2479.9499999999998"/>
        <n v="1996.77"/>
        <n v="9190.57"/>
        <n v="1107.8599999999999"/>
        <n v="5108.9799999999996"/>
        <n v="2286.44"/>
        <n v="485.41"/>
        <n v="456.59"/>
        <n v="1834.7"/>
        <n v="8681.0300000000007"/>
        <n v="2896.54"/>
        <n v="9509.5499999999993"/>
        <n v="5858.06"/>
        <n v="4422.4799999999996"/>
        <n v="5842.88"/>
        <n v="5215.3100000000004"/>
        <n v="7611.88"/>
        <n v="2896.71"/>
        <n v="3595.2"/>
        <n v="8951.5300000000007"/>
        <n v="9469.92"/>
        <n v="8936.33"/>
        <n v="4252.54"/>
        <n v="7825.62"/>
        <n v="4815.72"/>
        <n v="5025.6400000000003"/>
        <n v="2126.33"/>
        <n v="5952.19"/>
        <n v="1942.75"/>
        <n v="3382.49"/>
        <n v="8564.7999999999993"/>
        <n v="2150.0500000000002"/>
        <n v="804.47"/>
        <n v="783.18"/>
        <n v="9413.77"/>
        <n v="5118.51"/>
        <n v="4153.18"/>
        <n v="8127.7"/>
        <n v="8374.68"/>
        <n v="3388.69"/>
        <n v="6966.82"/>
        <n v="7734.12"/>
        <n v="6581.04"/>
        <n v="1600.79"/>
        <n v="8771.24"/>
        <n v="5437.04"/>
        <n v="2896.48"/>
        <n v="4309.76"/>
        <n v="471.95"/>
        <n v="1365.88"/>
        <n v="7678.91"/>
        <n v="100.12"/>
        <n v="4224"/>
        <n v="5272.85"/>
        <n v="640.88"/>
        <n v="9733.4699999999993"/>
        <n v="2338.64"/>
        <n v="3111.57"/>
        <n v="3109.03"/>
        <n v="2381.12"/>
        <n v="114.59"/>
        <n v="7320.51"/>
        <n v="9671.77"/>
        <n v="2320.5100000000002"/>
        <n v="6664.17"/>
        <n v="7444.77"/>
        <n v="8499.41"/>
        <n v="4284.03"/>
        <n v="3099.02"/>
        <n v="3320.42"/>
        <n v="7154.95"/>
        <n v="8186.12"/>
        <n v="1897.98"/>
        <n v="3772.32"/>
        <n v="9029.2099999999991"/>
        <n v="8086.27"/>
        <n v="9850.1"/>
        <n v="7567.06"/>
        <n v="3992.63"/>
        <n v="5947.31"/>
        <n v="6644.04"/>
        <n v="876.71"/>
        <n v="5490.52"/>
        <n v="7122.28"/>
        <n v="1756.48"/>
        <n v="7828.25"/>
        <n v="5879.35"/>
        <n v="9527"/>
        <n v="519.98"/>
        <n v="2726.73"/>
        <n v="6055.38"/>
        <n v="3035.94"/>
        <n v="7172.8"/>
        <n v="7614.15"/>
        <n v="1114.9100000000001"/>
        <n v="5187.16"/>
        <n v="5138.0200000000004"/>
        <n v="3755.88"/>
        <n v="9335.9599999999991"/>
        <n v="8292.31"/>
        <n v="7002.37"/>
        <n v="7171.83"/>
        <n v="4670.99"/>
        <n v="9217.85"/>
        <n v="6976.49"/>
        <n v="7316.91"/>
        <n v="8630.74"/>
        <n v="2813.31"/>
        <n v="8090"/>
        <n v="2032.88"/>
        <n v="3518.89"/>
        <n v="3422.54"/>
        <n v="9787.4"/>
        <n v="8579.7199999999993"/>
        <n v="7041.58"/>
        <n v="7297.86"/>
        <n v="5664.52"/>
        <n v="9476.2000000000007"/>
        <n v="5012.96"/>
        <n v="3867.13"/>
        <n v="1714.05"/>
        <n v="7883.44"/>
        <n v="7370.99"/>
        <n v="3905.11"/>
        <n v="349.41"/>
        <n v="8406.07"/>
        <n v="213.04"/>
        <n v="7066.63"/>
        <n v="9705.5499999999993"/>
        <n v="4432.8500000000004"/>
        <n v="2426.2399999999998"/>
        <n v="7078.22"/>
        <n v="8189.57"/>
        <n v="5509.66"/>
        <n v="9673.65"/>
        <n v="611.52"/>
        <n v="5097.4799999999996"/>
        <n v="7212.69"/>
        <n v="8640.14"/>
        <n v="1874.63"/>
        <n v="8020.03"/>
        <n v="5571.8"/>
        <n v="4025.88"/>
        <n v="1403.98"/>
        <n v="8666.43"/>
        <n v="1657"/>
        <n v="3166.9"/>
        <n v="2971.45"/>
        <n v="8727"/>
        <n v="6759.76"/>
        <n v="7987.15"/>
        <n v="2579.63"/>
        <n v="6286.25"/>
        <n v="5760.29"/>
        <n v="8345.02"/>
        <n v="9070.26"/>
        <n v="220.35"/>
        <n v="6772.8"/>
        <n v="613.16999999999996"/>
        <n v="5533.7"/>
        <n v="2947.56"/>
        <n v="3137.09"/>
        <n v="3594.29"/>
        <n v="6250.8"/>
        <n v="3407.09"/>
        <n v="7353.72"/>
        <n v="4104.82"/>
        <n v="776.7"/>
        <n v="7859.22"/>
        <n v="2929.01"/>
        <n v="4384.3900000000003"/>
        <n v="6885.89"/>
        <n v="3391.32"/>
        <n v="660.2"/>
        <n v="3801.82"/>
        <n v="9450.0400000000009"/>
        <n v="6453.17"/>
        <n v="6747.64"/>
        <n v="6359.59"/>
        <n v="2070.02"/>
        <n v="4241.51"/>
        <n v="7534.3"/>
        <n v="1103.5899999999999"/>
        <n v="2850.74"/>
        <n v="2835.56"/>
        <n v="4376.99"/>
        <n v="9805.65"/>
        <n v="768.28"/>
        <n v="5235.1400000000003"/>
        <n v="1875.71"/>
        <n v="9709.7000000000007"/>
        <n v="1221.7"/>
        <n v="4095.65"/>
        <n v="7405.06"/>
        <n v="7075.09"/>
        <n v="4285.01"/>
        <n v="3530.59"/>
        <n v="4036.36"/>
        <n v="2716.34"/>
        <n v="2132.8000000000002"/>
        <n v="4882.09"/>
        <n v="2758.48"/>
        <n v="2945.87"/>
        <n v="6601.89"/>
        <n v="9688.52"/>
        <n v="6076.01"/>
        <n v="862.1"/>
        <n v="848.28"/>
        <n v="9519.09"/>
        <n v="3043.18"/>
        <n v="1011.46"/>
        <n v="6030.54"/>
        <n v="6274.12"/>
        <n v="6520.2"/>
        <n v="2747.28"/>
        <n v="249.6"/>
        <n v="9653.65"/>
        <n v="2583.84"/>
        <n v="6792.66"/>
        <n v="7095.64"/>
        <n v="6139.07"/>
        <n v="3197.78"/>
        <n v="2783.85"/>
        <n v="6016.92"/>
        <n v="8674.35"/>
        <n v="9472.66"/>
        <n v="1148.47"/>
        <n v="1632.8"/>
        <n v="9452.89"/>
        <n v="7391.7"/>
        <n v="8841.64"/>
        <n v="2106.06"/>
        <n v="5917.1"/>
        <n v="7041.28"/>
        <n v="6833.11"/>
        <n v="4140.7"/>
        <n v="252.41"/>
        <n v="5870.97"/>
        <n v="2605.71"/>
        <n v="4557.5200000000004"/>
        <n v="9580.0499999999993"/>
        <n v="4050.45"/>
        <n v="8414.0400000000009"/>
        <n v="1966.55"/>
        <n v="6757.36"/>
        <n v="9772.3700000000008"/>
        <n v="1108.74"/>
        <n v="182.37"/>
        <n v="4392.47"/>
        <n v="1016.99"/>
        <n v="7509.01"/>
        <n v="9154.0300000000007"/>
        <n v="4396.8100000000004"/>
        <n v="2661.25"/>
        <n v="4400.59"/>
        <n v="7262.13"/>
        <n v="189.64"/>
        <n v="5935.59"/>
        <n v="6171.59"/>
        <n v="6413.11"/>
        <n v="2496.02"/>
        <n v="7169.12"/>
        <n v="1004.78"/>
        <n v="2072.7800000000002"/>
        <n v="8786.9500000000007"/>
        <n v="7413.36"/>
        <n v="236.08"/>
        <n v="2558.92"/>
        <n v="2222.62"/>
        <n v="2780.98"/>
        <n v="2550.84"/>
        <n v="719.01"/>
        <n v="4643.51"/>
        <n v="7354.06"/>
        <n v="6106.64"/>
        <n v="6761.43"/>
        <n v="903.38"/>
        <n v="9519.76"/>
        <n v="8401.07"/>
        <n v="8070.39"/>
        <n v="8247.5400000000009"/>
        <n v="9333.83"/>
        <n v="5488.11"/>
        <n v="2082.79"/>
        <n v="6206.16"/>
        <n v="7454.53"/>
        <n v="7405.38"/>
        <n v="5262.35"/>
        <n v="777.74"/>
        <n v="3774.02"/>
        <n v="9215.59"/>
        <n v="5886.04"/>
        <n v="5429.49"/>
        <n v="2761.65"/>
        <n v="3747.64"/>
        <n v="8963.93"/>
        <n v="6697.98"/>
        <n v="7895.13"/>
        <n v="4598.0200000000004"/>
        <n v="6339.45"/>
        <n v="2559"/>
        <n v="7084.06"/>
        <n v="4333.25"/>
        <n v="4481.2"/>
        <n v="6528.29"/>
        <n v="9369.18"/>
        <n v="733.66"/>
        <n v="8264.9599999999991"/>
        <n v="2994.59"/>
        <n v="4494.8"/>
        <n v="316.94"/>
        <n v="3080.36"/>
        <n v="5076.05"/>
        <n v="656.14"/>
        <n v="4961.8500000000004"/>
        <n v="9278.4"/>
        <n v="1143.3900000000001"/>
        <n v="7667.96"/>
        <n v="4155.74"/>
        <n v="6586.22"/>
        <n v="2676.34"/>
        <n v="1678.97"/>
        <n v="1688.58"/>
        <n v="797.87"/>
        <n v="1937.9"/>
        <n v="6675.77"/>
        <n v="8828.74"/>
        <n v="8159.84"/>
        <n v="6882.83"/>
        <n v="1193.28"/>
        <n v="2962.96"/>
        <n v="3167.09"/>
        <n v="2574.5700000000002"/>
        <n v="5198.5600000000004"/>
        <n v="5401.98"/>
        <n v="3633.17"/>
        <n v="3602.51"/>
        <n v="8302.7000000000007"/>
        <n v="7914"/>
        <n v="3147.18"/>
        <n v="9146.51"/>
        <n v="9532.8700000000008"/>
        <n v="3334.75"/>
        <n v="3608.81"/>
        <n v="5105.78"/>
        <n v="9417.1"/>
        <n v="8775.56"/>
        <n v="1115.42"/>
        <n v="3988.03"/>
        <n v="5578.37"/>
        <n v="5081.01"/>
        <n v="2019.24"/>
        <n v="8602.2900000000009"/>
        <n v="6801.71"/>
        <n v="8395.2900000000009"/>
        <n v="8601.77"/>
        <n v="7508.72"/>
        <n v="4448.18"/>
        <n v="6144.41"/>
        <n v="1687.62"/>
        <n v="6769.09"/>
        <n v="1874.61"/>
        <n v="6970.1"/>
        <n v="2373.02"/>
        <n v="1263.76"/>
        <n v="1736.32"/>
        <n v="119.72"/>
        <n v="7215.52"/>
        <n v="7350.77"/>
        <n v="5197.84"/>
        <n v="1697.49"/>
        <n v="927.19"/>
        <n v="289.38"/>
        <n v="1740.91"/>
        <n v="8919.4699999999993"/>
        <n v="2491.21"/>
        <n v="3607.29"/>
        <n v="1142.92"/>
        <n v="2301.38"/>
        <n v="5240.32"/>
        <n v="2528.9899999999998"/>
        <n v="671.55"/>
        <n v="3971.23"/>
        <n v="2418.61"/>
        <n v="2273.58"/>
        <n v="9602.64"/>
        <n v="6201.37"/>
        <n v="5613.1"/>
        <n v="4216.17"/>
        <n v="4346.55"/>
        <n v="5454.96"/>
        <n v="6994.66"/>
        <n v="7051.25"/>
        <n v="1799.77"/>
        <n v="5051.12"/>
        <n v="4178.3900000000003"/>
        <n v="8718.2199999999993"/>
        <n v="6351.05"/>
        <n v="5371.79"/>
        <n v="1242.4100000000001"/>
        <n v="6095.82"/>
        <n v="1260.32"/>
        <n v="3438.35"/>
        <n v="1514.14"/>
        <n v="6951.53"/>
        <n v="2141.9"/>
        <n v="3979.41"/>
        <n v="8967.18"/>
        <n v="2122.73"/>
        <n v="5127.2700000000004"/>
        <n v="4250.79"/>
        <n v="279.43"/>
        <n v="7948.31"/>
        <n v="783.55"/>
        <n v="4795.12"/>
        <n v="5650.72"/>
        <n v="6321.42"/>
        <n v="6917.45"/>
        <n v="2607.4"/>
        <n v="198.79"/>
        <n v="7262.09"/>
        <n v="5403"/>
        <n v="8377.57"/>
        <n v="8231.74"/>
        <n v="8448.93"/>
        <n v="4902.4399999999996"/>
        <n v="3402.92"/>
        <n v="7936.43"/>
        <n v="4567.8100000000004"/>
        <n v="1916.08"/>
        <n v="8564.24"/>
        <n v="8837.34"/>
        <n v="4716.47"/>
        <n v="849.43"/>
        <n v="3939.48"/>
        <n v="8055.02"/>
        <n v="9027.56"/>
        <n v="2114.38"/>
        <n v="763.04"/>
        <n v="8785.77"/>
        <n v="3955.11"/>
        <n v="5463.43"/>
        <n v="9683.85"/>
        <n v="758.99"/>
        <n v="6518.35"/>
        <n v="833.64"/>
        <n v="3817.14"/>
        <n v="8057.76"/>
        <n v="4391.38"/>
        <n v="9972.11"/>
        <n v="5634.69"/>
        <n v="3279.51"/>
        <n v="2279.1"/>
        <n v="3570.15"/>
        <n v="3788.08"/>
        <n v="780.27"/>
        <n v="3758.78"/>
        <n v="4695.96"/>
        <n v="7255.1"/>
        <n v="6601.62"/>
        <n v="7116.78"/>
        <n v="182.8"/>
        <n v="2254.91"/>
        <n v="6650.67"/>
        <n v="4891.49"/>
        <n v="152.6"/>
        <n v="8064.5"/>
        <n v="7750.81"/>
        <n v="5529.35"/>
        <n v="757.99"/>
        <n v="7688.5"/>
        <n v="5878.76"/>
        <n v="7841.4"/>
        <n v="7542.3"/>
        <n v="8049.72"/>
        <n v="5228.28"/>
        <n v="1489.21"/>
        <n v="6744.46"/>
        <n v="6242.69"/>
        <n v="7448.31"/>
        <n v="1781.82"/>
        <n v="2030.25"/>
        <n v="8915.0499999999993"/>
        <n v="7524.78"/>
        <n v="9091.4599999999991"/>
        <n v="7611.28"/>
        <n v="6011.84"/>
        <n v="6575.91"/>
        <n v="8902.3700000000008"/>
        <n v="5830.19"/>
        <n v="6360.67"/>
        <n v="1649.12"/>
        <n v="4791.82"/>
        <n v="7192.33"/>
        <n v="2782.33"/>
        <n v="2102.3200000000002"/>
        <n v="3206.89"/>
        <n v="2490.86"/>
        <n v="2227.64"/>
        <n v="4306.0200000000004"/>
        <n v="9087.6"/>
        <n v="5119.8900000000003"/>
        <n v="1960.41"/>
        <n v="862.02"/>
        <n v="6991.95"/>
        <n v="3889.71"/>
        <n v="8236.1299999999992"/>
        <n v="6629.16"/>
        <n v="7982.79"/>
        <n v="2792.27"/>
        <n v="6954.35"/>
        <n v="2714.21"/>
        <n v="9396.7800000000007"/>
        <n v="6400.11"/>
        <n v="3312.67"/>
        <n v="2768.17"/>
        <n v="1990.17"/>
        <n v="6976.95"/>
        <n v="2265.2800000000002"/>
        <n v="5993.5"/>
        <n v="2719.89"/>
        <n v="6653.49"/>
        <n v="8167.9"/>
        <n v="7802.45"/>
        <n v="7632.43"/>
        <n v="1958.45"/>
        <n v="975.01"/>
        <n v="7019.59"/>
        <n v="3746.64"/>
        <n v="4380.2299999999996"/>
        <n v="408.38"/>
        <n v="2669.81"/>
        <n v="433.4"/>
        <n v="8803.94"/>
        <n v="2509.63"/>
        <n v="5617.64"/>
        <n v="485.9"/>
        <n v="6701.79"/>
        <n v="3297.97"/>
        <n v="8989.4"/>
        <n v="8892.3700000000008"/>
        <n v="3320.38"/>
        <n v="9019.51"/>
        <n v="9961.9599999999991"/>
        <n v="8271.6200000000008"/>
        <n v="8464.23"/>
        <n v="2565.19"/>
        <n v="5809.35"/>
        <n v="765.83"/>
        <n v="1039.69"/>
        <n v="9989.0400000000009"/>
        <n v="3333.73"/>
        <n v="7507.02"/>
        <n v="8085.98"/>
        <n v="8594.43"/>
        <n v="9976.52"/>
        <n v="2490.8200000000002"/>
        <n v="499.47"/>
        <n v="4170.8"/>
        <n v="1387.8"/>
        <n v="322.02"/>
        <n v="3668.23"/>
        <n v="7859.01"/>
        <n v="5705.19"/>
        <n v="3196.5"/>
        <n v="6577.99"/>
        <n v="2396.98"/>
        <n v="242.38"/>
        <n v="7667.1"/>
        <n v="6275.06"/>
        <n v="7646.8"/>
        <n v="485.49"/>
        <n v="8387.48"/>
        <n v="6233.31"/>
        <n v="5677.61"/>
        <n v="6283.68"/>
        <n v="8657.89"/>
        <n v="5910.67"/>
        <n v="5851.41"/>
        <n v="9907.7199999999993"/>
        <n v="7591.63"/>
        <n v="4478.71"/>
        <n v="7103.23"/>
        <n v="3953.38"/>
        <n v="2365.87"/>
        <n v="6008.83"/>
        <n v="9289"/>
        <n v="9298.48"/>
        <n v="3484.86"/>
        <n v="5324.01"/>
        <n v="2195.1999999999998"/>
        <n v="9956.75"/>
        <n v="9813.07"/>
        <n v="6530.14"/>
        <n v="8063.7"/>
        <n v="7179.49"/>
        <n v="5972.27"/>
        <n v="628.15"/>
        <n v="4602.17"/>
        <n v="6780.38"/>
        <n v="6807.56"/>
        <n v="3793.91"/>
        <n v="9422.75"/>
        <n v="1756.83"/>
        <n v="5053.5600000000004"/>
        <n v="6939.75"/>
        <n v="7001.64"/>
        <n v="6521.53"/>
        <n v="2825.35"/>
        <n v="1646.45"/>
        <n v="6395.81"/>
        <n v="6033.09"/>
        <n v="1875.62"/>
        <n v="7080.88"/>
        <n v="4606.2"/>
        <n v="6710.83"/>
        <n v="8389.93"/>
        <n v="1780.31"/>
        <n v="289.52999999999997"/>
        <n v="7813.12"/>
        <n v="6136"/>
        <n v="7026.43"/>
        <n v="8397.73"/>
        <n v="8047.83"/>
        <n v="9613.11"/>
        <n v="5405.76"/>
        <n v="4936.1099999999997"/>
        <n v="4078.68"/>
        <n v="1621.54"/>
        <n v="5768.81"/>
        <n v="2842.42"/>
        <n v="9220.94"/>
        <n v="5873.59"/>
        <n v="5969.12"/>
        <n v="3613.75"/>
        <n v="614.69000000000005"/>
        <n v="414.26"/>
        <n v="4291.0200000000004"/>
        <n v="937.2"/>
        <n v="6107.78"/>
        <n v="8821.6299999999992"/>
        <n v="8840.86"/>
        <n v="6624.55"/>
        <n v="2191.1999999999998"/>
        <n v="8643.67"/>
        <n v="8872.33"/>
        <n v="2046.87"/>
        <n v="7400.52"/>
        <n v="2936.54"/>
        <n v="8046.14"/>
        <n v="9972.66"/>
        <n v="397.26"/>
        <n v="8983.92"/>
        <n v="6264.04"/>
        <n v="9736.49"/>
        <n v="4703.59"/>
        <n v="8489.14"/>
        <n v="717.7"/>
        <n v="3419.26"/>
        <n v="763.46"/>
        <n v="9755.9"/>
        <n v="8188.04"/>
        <n v="8540.2199999999993"/>
        <n v="9385.86"/>
        <n v="942.52"/>
        <n v="3917.42"/>
        <n v="803.25"/>
        <n v="2186.85"/>
        <n v="2370.7199999999998"/>
        <n v="4744.16"/>
        <n v="2758.77"/>
        <n v="1099.68"/>
        <n v="1758.16"/>
        <n v="1558.03"/>
        <n v="9733.4599999999991"/>
        <n v="7617"/>
        <n v="9680.84"/>
        <n v="4453.43"/>
        <n v="2855.85"/>
        <n v="8003.1"/>
        <n v="3329.91"/>
        <n v="3063.9"/>
        <n v="2401.81"/>
        <n v="1383.82"/>
        <n v="2638.98"/>
        <n v="3617.67"/>
        <n v="6772.54"/>
        <n v="719.39"/>
        <n v="2184.02"/>
        <n v="8109.33"/>
        <n v="1554.53"/>
        <n v="3492.19"/>
        <n v="8660.1200000000008"/>
        <n v="1633.76"/>
        <n v="919.09"/>
        <n v="4896.93"/>
        <n v="3093.95"/>
        <n v="5677.74"/>
        <n v="8057.67"/>
        <n v="1457.77"/>
        <n v="5848.92"/>
        <n v="5104.54"/>
        <n v="1526.38"/>
        <n v="6277.59"/>
        <n v="2809.04"/>
        <n v="4929.5600000000004"/>
        <n v="914.5"/>
        <n v="4649.88"/>
        <n v="3133.99"/>
        <n v="8241.57"/>
        <n v="664.09"/>
        <n v="4244.21"/>
        <n v="4638.47"/>
        <n v="7277.56"/>
        <n v="5785.45"/>
        <n v="6705.4"/>
        <n v="7792.79"/>
        <n v="8635.81"/>
        <n v="3207.37"/>
        <n v="5426.42"/>
        <n v="8417.07"/>
        <n v="9895.57"/>
        <n v="8906.24"/>
        <n v="3777.53"/>
        <n v="2032.15"/>
        <n v="4944.99"/>
        <n v="7442.25"/>
        <n v="4976.43"/>
        <n v="4883.49"/>
        <n v="8398.48"/>
        <n v="3677.9"/>
        <n v="8611.9699999999993"/>
        <n v="4127.37"/>
        <n v="3349.51"/>
        <n v="4594.5"/>
        <n v="7648.22"/>
        <n v="1347.42"/>
        <n v="2044.55"/>
        <n v="9519.2999999999993"/>
        <n v="1837.37"/>
        <n v="5720.5"/>
        <n v="5835.21"/>
        <n v="4947.28"/>
        <n v="6482.98"/>
        <n v="2375.2800000000002"/>
        <n v="5571.36"/>
        <n v="3784.52"/>
        <n v="6650.51"/>
        <n v="1498.11"/>
        <n v="5751.69"/>
        <n v="1934.18"/>
        <n v="2858.57"/>
        <n v="2265.23"/>
        <n v="1910.09"/>
        <n v="8274.5400000000009"/>
        <n v="2928.5"/>
        <n v="9278.5300000000007"/>
        <n v="9702.27"/>
        <n v="5755.48"/>
        <n v="1515.71"/>
        <n v="3808.03"/>
        <n v="7997.55"/>
        <n v="3737.17"/>
        <n v="961.47"/>
        <n v="5612.17"/>
        <n v="8466.7000000000007"/>
        <n v="7979.67"/>
        <n v="1833.72"/>
        <n v="6760.37"/>
        <n v="2282.9899999999998"/>
        <n v="2260.25"/>
        <n v="8753.31"/>
        <n v="2571.7199999999998"/>
        <n v="2706.15"/>
        <n v="106.47"/>
        <n v="8719.6200000000008"/>
        <n v="6310.56"/>
        <n v="7527.63"/>
        <n v="1605.28"/>
        <n v="4637.3999999999996"/>
        <n v="3577.07"/>
        <n v="1028.3900000000001"/>
        <n v="4912.6899999999996"/>
        <n v="9215.32"/>
        <n v="496.59"/>
        <n v="2985.46"/>
        <n v="2154.66"/>
        <n v="2457.65"/>
        <n v="9093.5"/>
        <n v="4733.88"/>
        <n v="4716.3599999999997"/>
        <n v="7629.7"/>
        <n v="1629.47"/>
        <n v="4923.93"/>
      </sharedItems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 count="4">
        <s v="Furniture"/>
        <s v="Food"/>
        <s v="Clothing"/>
        <s v="Electronics"/>
      </sharedItems>
    </cacheField>
    <cacheField name="Unit Cost" numFmtId="164">
      <sharedItems containsSemiMixedTypes="0" containsString="0" containsNumber="1" minValue="60.28" maxValue="4995.3"/>
    </cacheField>
    <cacheField name="Unit Price" numFmtId="164">
      <sharedItems containsSemiMixedTypes="0" containsString="0" containsNumber="1" minValue="167.12" maxValue="5442.15"/>
    </cacheField>
    <cacheField name="Customer Type" numFmtId="0">
      <sharedItems/>
    </cacheField>
    <cacheField name="Discount" numFmtId="9">
      <sharedItems containsSemiMixedTypes="0" containsString="0" containsNumber="1" minValue="0" maxValue="0.3"/>
    </cacheField>
    <cacheField name="Payment Method" numFmtId="0">
      <sharedItems/>
    </cacheField>
    <cacheField name="Sales Channel" numFmtId="0">
      <sharedItems/>
    </cacheField>
    <cacheField name="Sales Performance" numFmtId="0">
      <sharedItems/>
    </cacheField>
  </cacheFields>
  <extLst>
    <ext xmlns:x14="http://schemas.microsoft.com/office/spreadsheetml/2009/9/main" uri="{725AE2AE-9491-48be-B2B4-4EB974FC3084}">
      <x14:pivotCacheDefinition pivotCacheId="746477438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20833335" createdVersion="8" refreshedVersion="8" minRefreshableVersion="3" recordCount="1001" xr:uid="{265114BC-079C-4B6A-A4B8-854B4BE417DF}">
  <cacheSource type="worksheet">
    <worksheetSource ref="A1:R1048576" sheet="Cleaned_Final"/>
  </cacheSource>
  <cacheFields count="18">
    <cacheField name="Product ID" numFmtId="0">
      <sharedItems containsString="0" containsBlank="1" containsNumber="1" containsInteger="1" minValue="1001" maxValue="1100"/>
    </cacheField>
    <cacheField name="Product Name" numFmtId="0">
      <sharedItems containsBlank="1"/>
    </cacheField>
    <cacheField name="Sale Date" numFmtId="14">
      <sharedItems containsNonDate="0" containsDate="1" containsString="0" containsBlank="1" minDate="2023-01-01T00:00:00" maxDate="2024-01-02T00:00:00"/>
    </cacheField>
    <cacheField name="Sales Rep" numFmtId="0">
      <sharedItems containsBlank="1"/>
    </cacheField>
    <cacheField name="Manager" numFmtId="0">
      <sharedItems containsBlank="1"/>
    </cacheField>
    <cacheField name="Region" numFmtId="0">
      <sharedItems containsBlank="1"/>
    </cacheField>
    <cacheField name="Tax Rate" numFmtId="0">
      <sharedItems containsString="0" containsBlank="1" containsNumber="1" minValue="0.05" maxValue="0.08"/>
    </cacheField>
    <cacheField name="Tax Amount" numFmtId="0">
      <sharedItems containsString="0" containsBlank="1" containsNumber="1" minValue="5.7295000000000007" maxValue="794.6576"/>
    </cacheField>
    <cacheField name="Sales Amount" numFmtId="164">
      <sharedItems containsString="0" containsBlank="1" containsNumber="1" minValue="100.12" maxValue="9989.0400000000009"/>
    </cacheField>
    <cacheField name="Quantity Sold" numFmtId="0">
      <sharedItems containsString="0" containsBlank="1" containsNumber="1" containsInteger="1" minValue="1" maxValue="49"/>
    </cacheField>
    <cacheField name="Product Category" numFmtId="0">
      <sharedItems containsBlank="1"/>
    </cacheField>
    <cacheField name="Unit Cost" numFmtId="164">
      <sharedItems containsString="0" containsBlank="1" containsNumber="1" minValue="60.28" maxValue="4995.3"/>
    </cacheField>
    <cacheField name="Unit Price" numFmtId="164">
      <sharedItems containsString="0" containsBlank="1" containsNumber="1" minValue="167.12" maxValue="5442.15"/>
    </cacheField>
    <cacheField name="Customer Type" numFmtId="0">
      <sharedItems containsBlank="1"/>
    </cacheField>
    <cacheField name="Discount" numFmtId="9">
      <sharedItems containsString="0" containsBlank="1" containsNumber="1" minValue="0" maxValue="0.3"/>
    </cacheField>
    <cacheField name="Payment Method" numFmtId="0">
      <sharedItems containsBlank="1"/>
    </cacheField>
    <cacheField name="Sales Channel" numFmtId="0">
      <sharedItems containsBlank="1"/>
    </cacheField>
    <cacheField name="Sales Performan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63.918363425924" createdVersion="8" refreshedVersion="8" minRefreshableVersion="3" recordCount="1000" xr:uid="{8F79102C-1329-4CA4-99A4-D14321A92964}">
  <cacheSource type="worksheet">
    <worksheetSource name="Table1"/>
  </cacheSource>
  <cacheFields count="16">
    <cacheField name="Product ID" numFmtId="0">
      <sharedItems containsSemiMixedTypes="0" containsString="0" containsNumber="1" containsInteger="1" minValue="1001" maxValue="1100"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/>
    </cacheField>
    <cacheField name="Region" numFmtId="0">
      <sharedItems/>
    </cacheField>
    <cacheField name="Sales Amount" numFmtId="0">
      <sharedItems containsSemiMixedTypes="0" containsString="0" containsNumber="1" minValue="100.12" maxValue="9989.0400000000009"/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/>
    </cacheField>
    <cacheField name="Unit Cost" numFmtId="0">
      <sharedItems containsSemiMixedTypes="0" containsString="0" containsNumber="1" minValue="60.28" maxValue="4995.3"/>
    </cacheField>
    <cacheField name="Unit Price" numFmtId="0">
      <sharedItems containsSemiMixedTypes="0" containsString="0" containsNumber="1" minValue="167.12" maxValue="5442.15"/>
    </cacheField>
    <cacheField name="Customer Type" numFmtId="0">
      <sharedItems/>
    </cacheField>
    <cacheField name="Discount" numFmtId="0">
      <sharedItems containsSemiMixedTypes="0" containsString="0" containsNumber="1" minValue="0" maxValue="0.3"/>
    </cacheField>
    <cacheField name="Payment Method" numFmtId="0">
      <sharedItems count="3">
        <s v="Cash"/>
        <s v="Bank Transfer"/>
        <s v="Credit Card"/>
      </sharedItems>
    </cacheField>
    <cacheField name="Sales Channel" numFmtId="0">
      <sharedItems count="2">
        <s v="Online"/>
        <s v="Retail"/>
      </sharedItems>
    </cacheField>
    <cacheField name="Region2" numFmtId="0">
      <sharedItems/>
    </cacheField>
    <cacheField name="Sales Rep2" numFmtId="0">
      <sharedItems/>
    </cacheField>
    <cacheField name="Helper 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s v="Wooden Chair"/>
    <d v="2023-02-03T00:00:00"/>
    <x v="0"/>
    <s v="Michael Smith"/>
    <x v="0"/>
    <n v="7.4999999999999997E-2"/>
    <x v="0"/>
    <x v="0"/>
    <n v="18"/>
    <x v="0"/>
    <n v="152.75"/>
    <n v="267.22000000000003"/>
    <s v="Returning"/>
    <n v="0.09"/>
    <s v="Cash"/>
    <s v="Online"/>
    <x v="0"/>
  </r>
  <r>
    <n v="1093"/>
    <s v="Dining Table"/>
    <d v="2023-04-21T00:00:00"/>
    <x v="0"/>
    <s v="Michael Smith"/>
    <x v="1"/>
    <n v="0.08"/>
    <x v="1"/>
    <x v="1"/>
    <n v="17"/>
    <x v="0"/>
    <n v="3816.39"/>
    <n v="4209.4399999999996"/>
    <s v="Returning"/>
    <n v="0.11"/>
    <s v="Cash"/>
    <s v="Retail"/>
    <x v="1"/>
  </r>
  <r>
    <n v="1015"/>
    <s v="Chocolate Bar"/>
    <d v="2023-09-21T00:00:00"/>
    <x v="1"/>
    <s v="Hogan Rock"/>
    <x v="2"/>
    <n v="0.05"/>
    <x v="2"/>
    <x v="2"/>
    <n v="30"/>
    <x v="1"/>
    <n v="261.56"/>
    <n v="371.4"/>
    <s v="Returning"/>
    <n v="0.2"/>
    <s v="Bank Transfer"/>
    <s v="Retail"/>
    <x v="1"/>
  </r>
  <r>
    <n v="1072"/>
    <s v="T-Shirt"/>
    <d v="2023-08-24T00:00:00"/>
    <x v="0"/>
    <s v="Michael Smith"/>
    <x v="2"/>
    <n v="0.05"/>
    <x v="3"/>
    <x v="3"/>
    <n v="39"/>
    <x v="2"/>
    <n v="4330.03"/>
    <n v="4467.75"/>
    <s v="New"/>
    <n v="0.02"/>
    <s v="Credit Card"/>
    <s v="Retail"/>
    <x v="1"/>
  </r>
  <r>
    <n v="1061"/>
    <s v="Laptop"/>
    <d v="2023-03-24T00:00:00"/>
    <x v="2"/>
    <s v="Susan Jerkins"/>
    <x v="3"/>
    <n v="0.06"/>
    <x v="4"/>
    <x v="4"/>
    <n v="13"/>
    <x v="3"/>
    <n v="637.37"/>
    <n v="692.71"/>
    <s v="New"/>
    <n v="0.08"/>
    <s v="Credit Card"/>
    <s v="Online"/>
    <x v="1"/>
  </r>
  <r>
    <n v="1021"/>
    <s v="Almond Milk"/>
    <d v="2023-02-11T00:00:00"/>
    <x v="2"/>
    <s v="Susan Jerkins"/>
    <x v="1"/>
    <n v="0.08"/>
    <x v="5"/>
    <x v="5"/>
    <n v="32"/>
    <x v="1"/>
    <n v="900.79"/>
    <n v="1106.51"/>
    <s v="New"/>
    <n v="0.21"/>
    <s v="Cash"/>
    <s v="Online"/>
    <x v="1"/>
  </r>
  <r>
    <n v="1083"/>
    <s v="Nightstand"/>
    <d v="2023-04-11T00:00:00"/>
    <x v="0"/>
    <s v="Michael Smith"/>
    <x v="1"/>
    <n v="0.08"/>
    <x v="6"/>
    <x v="6"/>
    <n v="29"/>
    <x v="0"/>
    <n v="2408.81"/>
    <n v="2624.09"/>
    <s v="Returning"/>
    <n v="0.14000000000000001"/>
    <s v="Cash"/>
    <s v="Online"/>
    <x v="1"/>
  </r>
  <r>
    <n v="1087"/>
    <s v="Sofa Set"/>
    <d v="2023-01-06T00:00:00"/>
    <x v="3"/>
    <s v="Tracy Moore"/>
    <x v="2"/>
    <n v="0.05"/>
    <x v="7"/>
    <x v="7"/>
    <n v="46"/>
    <x v="0"/>
    <n v="3702.51"/>
    <n v="3964.65"/>
    <s v="New"/>
    <n v="0.12"/>
    <s v="Bank Transfer"/>
    <s v="Online"/>
    <x v="0"/>
  </r>
  <r>
    <n v="1075"/>
    <s v="Bookshelf"/>
    <d v="2023-06-29T00:00:00"/>
    <x v="1"/>
    <s v="Hogan Rock"/>
    <x v="2"/>
    <n v="0.05"/>
    <x v="8"/>
    <x v="8"/>
    <n v="30"/>
    <x v="0"/>
    <n v="738.06"/>
    <n v="1095.44999999999"/>
    <s v="New"/>
    <n v="0.05"/>
    <s v="Bank Transfer"/>
    <s v="Online"/>
    <x v="1"/>
  </r>
  <r>
    <n v="1075"/>
    <s v="Bookshelf"/>
    <d v="2023-10-09T00:00:00"/>
    <x v="2"/>
    <s v="Susan Jerkins"/>
    <x v="1"/>
    <n v="0.08"/>
    <x v="9"/>
    <x v="9"/>
    <n v="18"/>
    <x v="2"/>
    <n v="2228.35"/>
    <n v="2682.34"/>
    <s v="New"/>
    <n v="0.13"/>
    <s v="Bank Transfer"/>
    <s v="Online"/>
    <x v="0"/>
  </r>
  <r>
    <n v="1088"/>
    <s v="Office Desk"/>
    <d v="2023-11-16T00:00:00"/>
    <x v="3"/>
    <s v="Tracy Moore"/>
    <x v="0"/>
    <n v="7.4999999999999997E-2"/>
    <x v="10"/>
    <x v="10"/>
    <n v="13"/>
    <x v="0"/>
    <n v="2440.11"/>
    <n v="2517.6"/>
    <s v="New"/>
    <n v="0.23"/>
    <s v="Bank Transfer"/>
    <s v="Retail"/>
    <x v="0"/>
  </r>
  <r>
    <n v="1100"/>
    <s v="Protein Cookies"/>
    <d v="2023-08-14T00:00:00"/>
    <x v="0"/>
    <s v="Michael Smith"/>
    <x v="1"/>
    <n v="0.08"/>
    <x v="11"/>
    <x v="11"/>
    <n v="43"/>
    <x v="1"/>
    <n v="1100.81"/>
    <n v="1137.44"/>
    <s v="Returning"/>
    <n v="0.08"/>
    <s v="Bank Transfer"/>
    <s v="Online"/>
    <x v="1"/>
  </r>
  <r>
    <n v="1024"/>
    <s v="Pasta Pack"/>
    <d v="2023-11-11T00:00:00"/>
    <x v="3"/>
    <s v="Tracy Moore"/>
    <x v="1"/>
    <n v="0.08"/>
    <x v="12"/>
    <x v="12"/>
    <n v="21"/>
    <x v="1"/>
    <n v="622.01"/>
    <n v="641.09"/>
    <s v="Returning"/>
    <n v="0"/>
    <s v="Bank Transfer"/>
    <s v="Retail"/>
    <x v="0"/>
  </r>
  <r>
    <n v="1003"/>
    <s v="Stool"/>
    <d v="2023-12-31T00:00:00"/>
    <x v="4"/>
    <s v="Scott Wayne"/>
    <x v="2"/>
    <n v="0.05"/>
    <x v="13"/>
    <x v="13"/>
    <n v="30"/>
    <x v="0"/>
    <n v="4190.28"/>
    <n v="4270.6499999999996"/>
    <s v="New"/>
    <n v="0.2"/>
    <s v="Cash"/>
    <s v="Online"/>
    <x v="1"/>
  </r>
  <r>
    <n v="1022"/>
    <s v="Organic Honey"/>
    <d v="2023-08-17T00:00:00"/>
    <x v="2"/>
    <s v="Susan Jerkins"/>
    <x v="2"/>
    <n v="0.05"/>
    <x v="14"/>
    <x v="14"/>
    <n v="21"/>
    <x v="1"/>
    <n v="2537.1999999999998"/>
    <n v="2869.6"/>
    <s v="New"/>
    <n v="0.28999999999999998"/>
    <s v="Bank Transfer"/>
    <s v="Retail"/>
    <x v="0"/>
  </r>
  <r>
    <n v="1053"/>
    <s v="Bed"/>
    <d v="2023-10-16T00:00:00"/>
    <x v="0"/>
    <s v="Michael Smith"/>
    <x v="0"/>
    <n v="7.4999999999999997E-2"/>
    <x v="15"/>
    <x v="15"/>
    <n v="48"/>
    <x v="0"/>
    <n v="121.19"/>
    <n v="487.65"/>
    <s v="New"/>
    <n v="0.18"/>
    <s v="Cash"/>
    <s v="Retail"/>
    <x v="1"/>
  </r>
  <r>
    <n v="1002"/>
    <s v="Bench"/>
    <d v="2023-05-30T00:00:00"/>
    <x v="1"/>
    <s v="Hogan Rock"/>
    <x v="0"/>
    <n v="7.4999999999999997E-2"/>
    <x v="16"/>
    <x v="16"/>
    <n v="17"/>
    <x v="0"/>
    <n v="4024.76"/>
    <n v="4420.1499999999996"/>
    <s v="Returning"/>
    <n v="0.04"/>
    <s v="Cash"/>
    <s v="Online"/>
    <x v="0"/>
  </r>
  <r>
    <n v="1088"/>
    <s v="Office Desk"/>
    <d v="2023-10-04T00:00:00"/>
    <x v="0"/>
    <s v="Michael Smith"/>
    <x v="3"/>
    <n v="0.06"/>
    <x v="17"/>
    <x v="17"/>
    <n v="40"/>
    <x v="3"/>
    <n v="4904.93"/>
    <n v="5034.3500000000004"/>
    <s v="New"/>
    <n v="0.1"/>
    <s v="Credit Card"/>
    <s v="Retail"/>
    <x v="0"/>
  </r>
  <r>
    <n v="1030"/>
    <s v="Jeans"/>
    <d v="2023-07-17T00:00:00"/>
    <x v="1"/>
    <s v="Hogan Rock"/>
    <x v="1"/>
    <n v="0.08"/>
    <x v="18"/>
    <x v="18"/>
    <n v="19"/>
    <x v="2"/>
    <n v="3049.33"/>
    <n v="3209.22"/>
    <s v="Returning"/>
    <n v="0.26"/>
    <s v="Cash"/>
    <s v="Online"/>
    <x v="1"/>
  </r>
  <r>
    <n v="1038"/>
    <s v="Jean Pants"/>
    <d v="2023-03-11T00:00:00"/>
    <x v="0"/>
    <s v="Michael Smith"/>
    <x v="2"/>
    <n v="0.05"/>
    <x v="19"/>
    <x v="19"/>
    <n v="15"/>
    <x v="2"/>
    <n v="2543.36"/>
    <n v="2790.1"/>
    <s v="Returning"/>
    <n v="7.0000000000000007E-2"/>
    <s v="Cash"/>
    <s v="Online"/>
    <x v="1"/>
  </r>
  <r>
    <n v="1002"/>
    <s v="Bench"/>
    <d v="2023-04-22T00:00:00"/>
    <x v="3"/>
    <s v="Tracy Moore"/>
    <x v="0"/>
    <n v="7.4999999999999997E-2"/>
    <x v="20"/>
    <x v="20"/>
    <n v="9"/>
    <x v="3"/>
    <n v="4398.16"/>
    <n v="4439.12"/>
    <s v="New"/>
    <n v="0.18"/>
    <s v="Bank Transfer"/>
    <s v="Online"/>
    <x v="0"/>
  </r>
  <r>
    <n v="1064"/>
    <s v="Smartphone"/>
    <d v="2023-01-04T00:00:00"/>
    <x v="3"/>
    <s v="Tracy Moore"/>
    <x v="3"/>
    <n v="0.06"/>
    <x v="21"/>
    <x v="21"/>
    <n v="10"/>
    <x v="3"/>
    <n v="4764.96"/>
    <n v="5074.42"/>
    <s v="New"/>
    <n v="0.12"/>
    <s v="Cash"/>
    <s v="Online"/>
    <x v="0"/>
  </r>
  <r>
    <n v="1060"/>
    <s v="Head Warmer"/>
    <d v="2023-12-16T00:00:00"/>
    <x v="3"/>
    <s v="Tracy Moore"/>
    <x v="3"/>
    <n v="0.06"/>
    <x v="22"/>
    <x v="22"/>
    <n v="44"/>
    <x v="2"/>
    <n v="3784.96"/>
    <n v="4276.99"/>
    <s v="New"/>
    <n v="0.06"/>
    <s v="Bank Transfer"/>
    <s v="Retail"/>
    <x v="1"/>
  </r>
  <r>
    <n v="1021"/>
    <s v="Almond Milk"/>
    <d v="2023-11-27T00:00:00"/>
    <x v="4"/>
    <s v="Scott Wayne"/>
    <x v="2"/>
    <n v="0.05"/>
    <x v="23"/>
    <x v="23"/>
    <n v="31"/>
    <x v="0"/>
    <n v="2254.9899999999998"/>
    <n v="2441.79"/>
    <s v="Returning"/>
    <n v="0.24"/>
    <s v="Bank Transfer"/>
    <s v="Online"/>
    <x v="0"/>
  </r>
  <r>
    <n v="1033"/>
    <s v="TV Stand"/>
    <d v="2023-11-14T00:00:00"/>
    <x v="1"/>
    <s v="Hogan Rock"/>
    <x v="2"/>
    <n v="0.05"/>
    <x v="24"/>
    <x v="24"/>
    <n v="23"/>
    <x v="0"/>
    <n v="2981.5"/>
    <n v="3360.4"/>
    <s v="Returning"/>
    <n v="0.22"/>
    <s v="Bank Transfer"/>
    <s v="Retail"/>
    <x v="1"/>
  </r>
  <r>
    <n v="1076"/>
    <s v="Polo Shirt"/>
    <d v="2023-12-16T00:00:00"/>
    <x v="3"/>
    <s v="Tracy Moore"/>
    <x v="3"/>
    <n v="0.06"/>
    <x v="25"/>
    <x v="25"/>
    <n v="30"/>
    <x v="2"/>
    <n v="3519.63"/>
    <n v="3774.65"/>
    <s v="New"/>
    <n v="0.2"/>
    <s v="Credit Card"/>
    <s v="Retail"/>
    <x v="0"/>
  </r>
  <r>
    <n v="1058"/>
    <s v="Wardrobe"/>
    <d v="2023-04-05T00:00:00"/>
    <x v="4"/>
    <s v="Scott Wayne"/>
    <x v="0"/>
    <n v="7.4999999999999997E-2"/>
    <x v="26"/>
    <x v="26"/>
    <n v="33"/>
    <x v="0"/>
    <n v="1011.65"/>
    <n v="1084.28"/>
    <s v="Returning"/>
    <n v="7.0000000000000007E-2"/>
    <s v="Bank Transfer"/>
    <s v="Retail"/>
    <x v="1"/>
  </r>
  <r>
    <n v="1022"/>
    <s v="Organic Honey"/>
    <d v="2023-06-01T00:00:00"/>
    <x v="1"/>
    <s v="Hogan Rock"/>
    <x v="3"/>
    <n v="0.06"/>
    <x v="27"/>
    <x v="27"/>
    <n v="9"/>
    <x v="3"/>
    <n v="2263.65"/>
    <n v="2558.9499999999998"/>
    <s v="New"/>
    <n v="0.03"/>
    <s v="Cash"/>
    <s v="Online"/>
    <x v="0"/>
  </r>
  <r>
    <n v="1089"/>
    <s v="Recliner"/>
    <d v="2023-11-07T00:00:00"/>
    <x v="0"/>
    <s v="Michael Smith"/>
    <x v="1"/>
    <n v="0.08"/>
    <x v="28"/>
    <x v="28"/>
    <n v="47"/>
    <x v="0"/>
    <n v="4157.62"/>
    <n v="4314.5599999999904"/>
    <s v="New"/>
    <n v="0.17"/>
    <s v="Bank Transfer"/>
    <s v="Retail"/>
    <x v="1"/>
  </r>
  <r>
    <n v="1049"/>
    <s v="Coffee Table"/>
    <d v="2023-05-17T00:00:00"/>
    <x v="4"/>
    <s v="Scott Wayne"/>
    <x v="1"/>
    <n v="0.08"/>
    <x v="29"/>
    <x v="29"/>
    <n v="1"/>
    <x v="0"/>
    <n v="3290.89"/>
    <n v="3317.75"/>
    <s v="Returning"/>
    <n v="0.17"/>
    <s v="Bank Transfer"/>
    <s v="Online"/>
    <x v="1"/>
  </r>
  <r>
    <n v="1091"/>
    <s v="Granola Bar"/>
    <d v="2023-09-04T00:00:00"/>
    <x v="2"/>
    <s v="Susan Jerkins"/>
    <x v="2"/>
    <n v="0.05"/>
    <x v="30"/>
    <x v="30"/>
    <n v="44"/>
    <x v="1"/>
    <n v="2085.46"/>
    <n v="2406.58"/>
    <s v="Returning"/>
    <n v="0.06"/>
    <s v="Bank Transfer"/>
    <s v="Retail"/>
    <x v="1"/>
  </r>
  <r>
    <n v="1059"/>
    <s v="Coffee Beans"/>
    <d v="2023-08-31T00:00:00"/>
    <x v="4"/>
    <s v="Scott Wayne"/>
    <x v="0"/>
    <n v="7.4999999999999997E-2"/>
    <x v="31"/>
    <x v="31"/>
    <n v="35"/>
    <x v="1"/>
    <n v="3333.64"/>
    <n v="3764.52"/>
    <s v="Returning"/>
    <n v="0.02"/>
    <s v="Credit Card"/>
    <s v="Online"/>
    <x v="1"/>
  </r>
  <r>
    <n v="1042"/>
    <s v="Frozen Pizza"/>
    <d v="2023-01-31T00:00:00"/>
    <x v="4"/>
    <s v="Scott Wayne"/>
    <x v="0"/>
    <n v="7.4999999999999997E-2"/>
    <x v="32"/>
    <x v="32"/>
    <n v="11"/>
    <x v="1"/>
    <n v="635.20000000000005"/>
    <n v="814.14"/>
    <s v="Returning"/>
    <n v="0.02"/>
    <s v="Cash"/>
    <s v="Online"/>
    <x v="0"/>
  </r>
  <r>
    <n v="1092"/>
    <s v="Recliner"/>
    <d v="2023-02-09T00:00:00"/>
    <x v="1"/>
    <s v="Hogan Rock"/>
    <x v="1"/>
    <n v="0.08"/>
    <x v="33"/>
    <x v="33"/>
    <n v="34"/>
    <x v="0"/>
    <n v="2037.41"/>
    <n v="2238.65"/>
    <s v="New"/>
    <n v="0.3"/>
    <s v="Credit Card"/>
    <s v="Online"/>
    <x v="1"/>
  </r>
  <r>
    <n v="1060"/>
    <s v="Head Warmer"/>
    <d v="2023-08-17T00:00:00"/>
    <x v="0"/>
    <s v="Michael Smith"/>
    <x v="3"/>
    <n v="0.06"/>
    <x v="34"/>
    <x v="34"/>
    <n v="16"/>
    <x v="2"/>
    <n v="3975.99"/>
    <n v="4422.59"/>
    <s v="New"/>
    <n v="0.24"/>
    <s v="Cash"/>
    <s v="Online"/>
    <x v="0"/>
  </r>
  <r>
    <n v="1080"/>
    <s v="Headphones"/>
    <d v="2023-02-05T00:00:00"/>
    <x v="2"/>
    <s v="Susan Jerkins"/>
    <x v="2"/>
    <n v="0.05"/>
    <x v="35"/>
    <x v="35"/>
    <n v="9"/>
    <x v="3"/>
    <n v="1141.52"/>
    <n v="1550.19"/>
    <s v="New"/>
    <n v="0.28000000000000003"/>
    <s v="Credit Card"/>
    <s v="Retail"/>
    <x v="1"/>
  </r>
  <r>
    <n v="1015"/>
    <s v="Chocolate Bar"/>
    <d v="2023-08-11T00:00:00"/>
    <x v="3"/>
    <s v="Tracy Moore"/>
    <x v="3"/>
    <n v="0.06"/>
    <x v="36"/>
    <x v="36"/>
    <n v="32"/>
    <x v="0"/>
    <n v="970.51"/>
    <n v="1330.84"/>
    <s v="Returning"/>
    <n v="0.06"/>
    <s v="Cash"/>
    <s v="Retail"/>
    <x v="1"/>
  </r>
  <r>
    <n v="1062"/>
    <s v="Boxers"/>
    <d v="2023-01-06T00:00:00"/>
    <x v="3"/>
    <s v="Tracy Moore"/>
    <x v="3"/>
    <n v="0.06"/>
    <x v="37"/>
    <x v="37"/>
    <n v="15"/>
    <x v="2"/>
    <n v="4756.55"/>
    <n v="4888.46"/>
    <s v="New"/>
    <n v="0.28999999999999998"/>
    <s v="Credit Card"/>
    <s v="Online"/>
    <x v="1"/>
  </r>
  <r>
    <n v="1062"/>
    <s v="Boxers"/>
    <d v="2023-11-18T00:00:00"/>
    <x v="4"/>
    <s v="Scott Wayne"/>
    <x v="3"/>
    <n v="0.06"/>
    <x v="38"/>
    <x v="38"/>
    <n v="12"/>
    <x v="0"/>
    <n v="1088.99"/>
    <n v="1545"/>
    <s v="Returning"/>
    <n v="0.04"/>
    <s v="Bank Transfer"/>
    <s v="Retail"/>
    <x v="1"/>
  </r>
  <r>
    <n v="1047"/>
    <s v="Mouse"/>
    <d v="2023-08-08T00:00:00"/>
    <x v="1"/>
    <s v="Hogan Rock"/>
    <x v="0"/>
    <n v="7.4999999999999997E-2"/>
    <x v="39"/>
    <x v="39"/>
    <n v="33"/>
    <x v="3"/>
    <n v="1341.55"/>
    <n v="1427.21"/>
    <s v="Returning"/>
    <n v="0.15"/>
    <s v="Credit Card"/>
    <s v="Online"/>
    <x v="1"/>
  </r>
  <r>
    <n v="1062"/>
    <s v="Boxers"/>
    <d v="2023-03-16T00:00:00"/>
    <x v="1"/>
    <s v="Hogan Rock"/>
    <x v="1"/>
    <n v="0.08"/>
    <x v="40"/>
    <x v="40"/>
    <n v="45"/>
    <x v="0"/>
    <n v="4849.6000000000004"/>
    <n v="5166.72"/>
    <s v="Returning"/>
    <n v="0.25"/>
    <s v="Credit Card"/>
    <s v="Online"/>
    <x v="1"/>
  </r>
  <r>
    <n v="1051"/>
    <s v="Tablet"/>
    <d v="2023-01-04T00:00:00"/>
    <x v="3"/>
    <s v="Tracy Moore"/>
    <x v="0"/>
    <n v="7.4999999999999997E-2"/>
    <x v="41"/>
    <x v="41"/>
    <n v="14"/>
    <x v="3"/>
    <n v="3686.81"/>
    <n v="3710.92"/>
    <s v="New"/>
    <n v="0.1"/>
    <s v="Bank Transfer"/>
    <s v="Retail"/>
    <x v="1"/>
  </r>
  <r>
    <n v="1055"/>
    <s v="Cupboard"/>
    <d v="2023-12-01T00:00:00"/>
    <x v="2"/>
    <s v="Susan Jerkins"/>
    <x v="1"/>
    <n v="0.08"/>
    <x v="42"/>
    <x v="42"/>
    <n v="8"/>
    <x v="0"/>
    <n v="3513"/>
    <n v="3838.42"/>
    <s v="Returning"/>
    <n v="0.13"/>
    <s v="Bank Transfer"/>
    <s v="Online"/>
    <x v="1"/>
  </r>
  <r>
    <n v="1064"/>
    <s v="Smartphone"/>
    <d v="2023-05-14T00:00:00"/>
    <x v="0"/>
    <s v="Michael Smith"/>
    <x v="2"/>
    <n v="0.05"/>
    <x v="43"/>
    <x v="43"/>
    <n v="8"/>
    <x v="3"/>
    <n v="4271.99"/>
    <n v="4417.79"/>
    <s v="Returning"/>
    <n v="0.04"/>
    <s v="Cash"/>
    <s v="Online"/>
    <x v="0"/>
  </r>
  <r>
    <n v="1003"/>
    <s v="Stool"/>
    <d v="2023-04-28T00:00:00"/>
    <x v="2"/>
    <s v="Susan Jerkins"/>
    <x v="2"/>
    <n v="0.05"/>
    <x v="44"/>
    <x v="44"/>
    <n v="27"/>
    <x v="0"/>
    <n v="623.32000000000005"/>
    <n v="853.66"/>
    <s v="Returning"/>
    <n v="0.04"/>
    <s v="Cash"/>
    <s v="Online"/>
    <x v="0"/>
  </r>
  <r>
    <n v="1051"/>
    <s v="Tablet"/>
    <d v="2023-04-04T00:00:00"/>
    <x v="0"/>
    <s v="Michael Smith"/>
    <x v="3"/>
    <n v="0.06"/>
    <x v="45"/>
    <x v="45"/>
    <n v="12"/>
    <x v="3"/>
    <n v="3544.48"/>
    <n v="3723.66"/>
    <s v="Returning"/>
    <n v="0.19"/>
    <s v="Cash"/>
    <s v="Online"/>
    <x v="1"/>
  </r>
  <r>
    <n v="1007"/>
    <s v="Fruit Jam"/>
    <d v="2023-03-03T00:00:00"/>
    <x v="3"/>
    <s v="Tracy Moore"/>
    <x v="1"/>
    <n v="0.08"/>
    <x v="46"/>
    <x v="46"/>
    <n v="1"/>
    <x v="1"/>
    <n v="2543.2600000000002"/>
    <n v="2637.91"/>
    <s v="Returning"/>
    <n v="0.2"/>
    <s v="Credit Card"/>
    <s v="Online"/>
    <x v="1"/>
  </r>
  <r>
    <n v="1021"/>
    <s v="Almond Milk"/>
    <d v="2023-07-13T00:00:00"/>
    <x v="0"/>
    <s v="Michael Smith"/>
    <x v="1"/>
    <n v="0.08"/>
    <x v="47"/>
    <x v="47"/>
    <n v="43"/>
    <x v="0"/>
    <n v="4154.3"/>
    <n v="4469.07"/>
    <s v="Returning"/>
    <n v="0.23"/>
    <s v="Cash"/>
    <s v="Retail"/>
    <x v="0"/>
  </r>
  <r>
    <n v="1073"/>
    <s v="Console Table"/>
    <d v="2023-12-01T00:00:00"/>
    <x v="1"/>
    <s v="Hogan Rock"/>
    <x v="1"/>
    <n v="0.08"/>
    <x v="48"/>
    <x v="48"/>
    <n v="40"/>
    <x v="0"/>
    <n v="2565.3000000000002"/>
    <n v="3007.47"/>
    <s v="Returning"/>
    <n v="0.17"/>
    <s v="Credit Card"/>
    <s v="Retail"/>
    <x v="0"/>
  </r>
  <r>
    <n v="1039"/>
    <s v="Hoodie"/>
    <d v="2023-07-22T00:00:00"/>
    <x v="4"/>
    <s v="Scott Wayne"/>
    <x v="3"/>
    <n v="0.06"/>
    <x v="49"/>
    <x v="49"/>
    <n v="42"/>
    <x v="2"/>
    <n v="3120.19"/>
    <n v="3600.14"/>
    <s v="Returning"/>
    <n v="0.19"/>
    <s v="Credit Card"/>
    <s v="Retail"/>
    <x v="0"/>
  </r>
  <r>
    <n v="1018"/>
    <s v="Dress Shirt"/>
    <d v="2023-01-26T00:00:00"/>
    <x v="4"/>
    <s v="Scott Wayne"/>
    <x v="3"/>
    <n v="0.06"/>
    <x v="50"/>
    <x v="50"/>
    <n v="11"/>
    <x v="2"/>
    <n v="2414.8200000000002"/>
    <n v="2519.0700000000002"/>
    <s v="Returning"/>
    <n v="0"/>
    <s v="Cash"/>
    <s v="Online"/>
    <x v="1"/>
  </r>
  <r>
    <n v="1004"/>
    <s v="Smartwatch"/>
    <d v="2023-06-22T00:00:00"/>
    <x v="3"/>
    <s v="Tracy Moore"/>
    <x v="2"/>
    <n v="0.05"/>
    <x v="51"/>
    <x v="51"/>
    <n v="39"/>
    <x v="3"/>
    <n v="2416.89"/>
    <n v="2778.3999999999901"/>
    <s v="Returning"/>
    <n v="0.05"/>
    <s v="Cash"/>
    <s v="Online"/>
    <x v="0"/>
  </r>
  <r>
    <n v="1089"/>
    <s v="Recliner"/>
    <d v="2023-10-27T00:00:00"/>
    <x v="1"/>
    <s v="Hogan Rock"/>
    <x v="0"/>
    <n v="7.4999999999999997E-2"/>
    <x v="52"/>
    <x v="52"/>
    <n v="43"/>
    <x v="0"/>
    <n v="3851.45"/>
    <n v="4186.9799999999996"/>
    <s v="Returning"/>
    <n v="0.3"/>
    <s v="Credit Card"/>
    <s v="Online"/>
    <x v="0"/>
  </r>
  <r>
    <n v="1060"/>
    <s v="Head Warmer"/>
    <d v="2023-05-13T00:00:00"/>
    <x v="2"/>
    <s v="Susan Jerkins"/>
    <x v="1"/>
    <n v="0.08"/>
    <x v="53"/>
    <x v="53"/>
    <n v="31"/>
    <x v="3"/>
    <n v="3161.4"/>
    <n v="3339.66"/>
    <s v="Returning"/>
    <n v="0.02"/>
    <s v="Bank Transfer"/>
    <s v="Online"/>
    <x v="0"/>
  </r>
  <r>
    <n v="1014"/>
    <s v="Cheese Block"/>
    <d v="2023-11-22T00:00:00"/>
    <x v="1"/>
    <s v="Hogan Rock"/>
    <x v="1"/>
    <n v="0.08"/>
    <x v="54"/>
    <x v="54"/>
    <n v="17"/>
    <x v="1"/>
    <n v="3184.65"/>
    <n v="3204.01"/>
    <s v="New"/>
    <n v="0.2"/>
    <s v="Bank Transfer"/>
    <s v="Online"/>
    <x v="0"/>
  </r>
  <r>
    <n v="1009"/>
    <s v="Jacket"/>
    <d v="2023-04-28T00:00:00"/>
    <x v="4"/>
    <s v="Scott Wayne"/>
    <x v="0"/>
    <n v="7.4999999999999997E-2"/>
    <x v="55"/>
    <x v="55"/>
    <n v="33"/>
    <x v="2"/>
    <n v="2278.9"/>
    <n v="2626.9"/>
    <s v="New"/>
    <n v="0.05"/>
    <s v="Credit Card"/>
    <s v="Online"/>
    <x v="1"/>
  </r>
  <r>
    <n v="1090"/>
    <s v="Keyboard"/>
    <d v="2023-11-20T00:00:00"/>
    <x v="4"/>
    <s v="Scott Wayne"/>
    <x v="1"/>
    <n v="0.08"/>
    <x v="56"/>
    <x v="56"/>
    <n v="32"/>
    <x v="3"/>
    <n v="2678.99"/>
    <n v="3152.2799999999902"/>
    <s v="Returning"/>
    <n v="0.22"/>
    <s v="Cash"/>
    <s v="Retail"/>
    <x v="1"/>
  </r>
  <r>
    <n v="1053"/>
    <s v="Bed"/>
    <d v="2023-10-02T00:00:00"/>
    <x v="1"/>
    <s v="Hogan Rock"/>
    <x v="3"/>
    <n v="0.06"/>
    <x v="57"/>
    <x v="57"/>
    <n v="29"/>
    <x v="3"/>
    <n v="3741.3"/>
    <n v="4061.04"/>
    <s v="Returning"/>
    <n v="0.21"/>
    <s v="Credit Card"/>
    <s v="Online"/>
    <x v="0"/>
  </r>
  <r>
    <n v="1002"/>
    <s v="Bench"/>
    <d v="2023-07-31T00:00:00"/>
    <x v="1"/>
    <s v="Hogan Rock"/>
    <x v="3"/>
    <n v="0.06"/>
    <x v="58"/>
    <x v="58"/>
    <n v="21"/>
    <x v="2"/>
    <n v="4138.41"/>
    <n v="4361.7"/>
    <s v="Returning"/>
    <n v="7.0000000000000007E-2"/>
    <s v="Credit Card"/>
    <s v="Retail"/>
    <x v="0"/>
  </r>
  <r>
    <n v="1084"/>
    <s v="Card Table"/>
    <d v="2023-08-13T00:00:00"/>
    <x v="4"/>
    <s v="Scott Wayne"/>
    <x v="1"/>
    <n v="0.08"/>
    <x v="59"/>
    <x v="59"/>
    <n v="21"/>
    <x v="0"/>
    <n v="3497.98"/>
    <n v="3765.31"/>
    <s v="New"/>
    <n v="0.08"/>
    <s v="Cash"/>
    <s v="Online"/>
    <x v="1"/>
  </r>
  <r>
    <n v="1092"/>
    <s v="Recliner"/>
    <d v="2023-01-20T00:00:00"/>
    <x v="2"/>
    <s v="Susan Jerkins"/>
    <x v="3"/>
    <n v="0.06"/>
    <x v="60"/>
    <x v="60"/>
    <n v="40"/>
    <x v="3"/>
    <n v="4624.16"/>
    <n v="4731.9799999999996"/>
    <s v="New"/>
    <n v="0.2"/>
    <s v="Bank Transfer"/>
    <s v="Retail"/>
    <x v="1"/>
  </r>
  <r>
    <n v="1060"/>
    <s v="Head Warmer"/>
    <d v="2023-04-23T00:00:00"/>
    <x v="3"/>
    <s v="Tracy Moore"/>
    <x v="3"/>
    <n v="0.06"/>
    <x v="61"/>
    <x v="61"/>
    <n v="23"/>
    <x v="2"/>
    <n v="4110.6000000000004"/>
    <n v="4488.37"/>
    <s v="New"/>
    <n v="0.12"/>
    <s v="Credit Card"/>
    <s v="Online"/>
    <x v="1"/>
  </r>
  <r>
    <n v="1071"/>
    <s v="Game Table"/>
    <d v="2023-05-20T00:00:00"/>
    <x v="3"/>
    <s v="Tracy Moore"/>
    <x v="1"/>
    <n v="0.08"/>
    <x v="62"/>
    <x v="62"/>
    <n v="6"/>
    <x v="0"/>
    <n v="2831.23"/>
    <n v="3206.98"/>
    <s v="Returning"/>
    <n v="0.06"/>
    <s v="Bank Transfer"/>
    <s v="Retail"/>
    <x v="1"/>
  </r>
  <r>
    <n v="1044"/>
    <s v="Burger"/>
    <d v="2023-02-16T00:00:00"/>
    <x v="1"/>
    <s v="Hogan Rock"/>
    <x v="2"/>
    <n v="0.05"/>
    <x v="63"/>
    <x v="63"/>
    <n v="22"/>
    <x v="1"/>
    <n v="3373.46"/>
    <n v="3454.76"/>
    <s v="Returning"/>
    <n v="0.22"/>
    <s v="Bank Transfer"/>
    <s v="Retail"/>
    <x v="0"/>
  </r>
  <r>
    <n v="1008"/>
    <s v="Skirt"/>
    <d v="2023-01-01T00:00:00"/>
    <x v="3"/>
    <s v="Tracy Moore"/>
    <x v="0"/>
    <n v="7.4999999999999997E-2"/>
    <x v="64"/>
    <x v="64"/>
    <n v="38"/>
    <x v="2"/>
    <n v="4635.2299999999996"/>
    <n v="5075.4399999999996"/>
    <s v="Returning"/>
    <n v="0.05"/>
    <s v="Cash"/>
    <s v="Online"/>
    <x v="0"/>
  </r>
  <r>
    <n v="1047"/>
    <s v="Mouse"/>
    <d v="2023-03-31T00:00:00"/>
    <x v="4"/>
    <s v="Scott Wayne"/>
    <x v="3"/>
    <n v="0.06"/>
    <x v="65"/>
    <x v="65"/>
    <n v="37"/>
    <x v="3"/>
    <n v="3114.88"/>
    <n v="3256.78"/>
    <s v="Returning"/>
    <n v="0.26"/>
    <s v="Credit Card"/>
    <s v="Online"/>
    <x v="1"/>
  </r>
  <r>
    <n v="1035"/>
    <s v="Doughnut"/>
    <d v="2023-05-22T00:00:00"/>
    <x v="4"/>
    <s v="Scott Wayne"/>
    <x v="2"/>
    <n v="0.05"/>
    <x v="66"/>
    <x v="66"/>
    <n v="45"/>
    <x v="1"/>
    <n v="4132.79"/>
    <n v="4624.1000000000004"/>
    <s v="New"/>
    <n v="0.15"/>
    <s v="Credit Card"/>
    <s v="Retail"/>
    <x v="1"/>
  </r>
  <r>
    <n v="1078"/>
    <s v="Kitchen Island"/>
    <d v="2023-11-16T00:00:00"/>
    <x v="1"/>
    <s v="Hogan Rock"/>
    <x v="3"/>
    <n v="0.06"/>
    <x v="67"/>
    <x v="67"/>
    <n v="8"/>
    <x v="0"/>
    <n v="3459.61"/>
    <n v="3657.23"/>
    <s v="Returning"/>
    <n v="0.03"/>
    <s v="Bank Transfer"/>
    <s v="Online"/>
    <x v="1"/>
  </r>
  <r>
    <n v="1081"/>
    <s v="Rocking Chair"/>
    <d v="2023-02-07T00:00:00"/>
    <x v="1"/>
    <s v="Hogan Rock"/>
    <x v="3"/>
    <n v="0.06"/>
    <x v="68"/>
    <x v="68"/>
    <n v="41"/>
    <x v="0"/>
    <n v="2782.08"/>
    <n v="2879.24"/>
    <s v="New"/>
    <n v="0.21"/>
    <s v="Bank Transfer"/>
    <s v="Online"/>
    <x v="1"/>
  </r>
  <r>
    <n v="1036"/>
    <s v="Shorts"/>
    <d v="2023-10-20T00:00:00"/>
    <x v="1"/>
    <s v="Hogan Rock"/>
    <x v="0"/>
    <n v="7.4999999999999997E-2"/>
    <x v="69"/>
    <x v="69"/>
    <n v="49"/>
    <x v="2"/>
    <n v="1247.0999999999999"/>
    <n v="1429.4399999999901"/>
    <s v="New"/>
    <n v="0.16"/>
    <s v="Cash"/>
    <s v="Online"/>
    <x v="0"/>
  </r>
  <r>
    <n v="1050"/>
    <s v="Sneakers"/>
    <d v="2023-05-19T00:00:00"/>
    <x v="2"/>
    <s v="Susan Jerkins"/>
    <x v="3"/>
    <n v="0.06"/>
    <x v="70"/>
    <x v="70"/>
    <n v="35"/>
    <x v="2"/>
    <n v="2158.69"/>
    <n v="2384.38"/>
    <s v="Returning"/>
    <n v="0.09"/>
    <s v="Bank Transfer"/>
    <s v="Retail"/>
    <x v="0"/>
  </r>
  <r>
    <n v="1004"/>
    <s v="Smartwatch"/>
    <d v="2023-12-22T00:00:00"/>
    <x v="3"/>
    <s v="Tracy Moore"/>
    <x v="0"/>
    <n v="7.4999999999999997E-2"/>
    <x v="71"/>
    <x v="71"/>
    <n v="11"/>
    <x v="2"/>
    <n v="4840.33"/>
    <n v="4884.29"/>
    <s v="New"/>
    <n v="0.13"/>
    <s v="Cash"/>
    <s v="Online"/>
    <x v="0"/>
  </r>
  <r>
    <n v="1002"/>
    <s v="Bench"/>
    <d v="2023-11-29T00:00:00"/>
    <x v="1"/>
    <s v="Hogan Rock"/>
    <x v="0"/>
    <n v="7.4999999999999997E-2"/>
    <x v="72"/>
    <x v="72"/>
    <n v="24"/>
    <x v="0"/>
    <n v="3305.94"/>
    <n v="3599.27"/>
    <s v="New"/>
    <n v="0.09"/>
    <s v="Credit Card"/>
    <s v="Retail"/>
    <x v="1"/>
  </r>
  <r>
    <n v="1006"/>
    <s v="Monitor"/>
    <d v="2023-09-16T00:00:00"/>
    <x v="0"/>
    <s v="Michael Smith"/>
    <x v="0"/>
    <n v="7.4999999999999997E-2"/>
    <x v="73"/>
    <x v="73"/>
    <n v="49"/>
    <x v="1"/>
    <n v="2843.76"/>
    <n v="3146.6"/>
    <s v="New"/>
    <n v="0.08"/>
    <s v="Cash"/>
    <s v="Retail"/>
    <x v="0"/>
  </r>
  <r>
    <n v="1054"/>
    <s v="Glider"/>
    <d v="2023-06-10T00:00:00"/>
    <x v="0"/>
    <s v="Michael Smith"/>
    <x v="2"/>
    <n v="0.05"/>
    <x v="74"/>
    <x v="74"/>
    <n v="21"/>
    <x v="0"/>
    <n v="4668.1400000000003"/>
    <n v="5040.22"/>
    <s v="New"/>
    <n v="0.05"/>
    <s v="Bank Transfer"/>
    <s v="Online"/>
    <x v="0"/>
  </r>
  <r>
    <n v="1004"/>
    <s v="Smartwatch"/>
    <d v="2023-06-27T00:00:00"/>
    <x v="4"/>
    <s v="Scott Wayne"/>
    <x v="1"/>
    <n v="0.08"/>
    <x v="75"/>
    <x v="75"/>
    <n v="2"/>
    <x v="3"/>
    <n v="2953.23"/>
    <n v="2977.52"/>
    <s v="Returning"/>
    <n v="0.11"/>
    <s v="Credit Card"/>
    <s v="Retail"/>
    <x v="0"/>
  </r>
  <r>
    <n v="1054"/>
    <s v="Glider"/>
    <d v="2023-01-10T00:00:00"/>
    <x v="3"/>
    <s v="Tracy Moore"/>
    <x v="2"/>
    <n v="0.05"/>
    <x v="76"/>
    <x v="76"/>
    <n v="40"/>
    <x v="0"/>
    <n v="2654.11"/>
    <n v="2929.32"/>
    <s v="Returning"/>
    <n v="0.08"/>
    <s v="Cash"/>
    <s v="Online"/>
    <x v="1"/>
  </r>
  <r>
    <n v="1093"/>
    <s v="Dining Table"/>
    <d v="2023-09-18T00:00:00"/>
    <x v="1"/>
    <s v="Hogan Rock"/>
    <x v="1"/>
    <n v="0.08"/>
    <x v="77"/>
    <x v="77"/>
    <n v="19"/>
    <x v="3"/>
    <n v="3808.59"/>
    <n v="3844.51"/>
    <s v="New"/>
    <n v="0.21"/>
    <s v="Credit Card"/>
    <s v="Online"/>
    <x v="1"/>
  </r>
  <r>
    <n v="1063"/>
    <s v="Noodles"/>
    <d v="2023-05-18T00:00:00"/>
    <x v="0"/>
    <s v="Michael Smith"/>
    <x v="1"/>
    <n v="0.08"/>
    <x v="78"/>
    <x v="78"/>
    <n v="39"/>
    <x v="1"/>
    <n v="3577.69"/>
    <n v="3931.25"/>
    <s v="Returning"/>
    <n v="0.21"/>
    <s v="Cash"/>
    <s v="Retail"/>
    <x v="1"/>
  </r>
  <r>
    <n v="1018"/>
    <s v="Dress Shirt"/>
    <d v="2023-06-21T00:00:00"/>
    <x v="3"/>
    <s v="Tracy Moore"/>
    <x v="0"/>
    <n v="7.4999999999999997E-2"/>
    <x v="79"/>
    <x v="79"/>
    <n v="28"/>
    <x v="2"/>
    <n v="1006.14"/>
    <n v="1043.45"/>
    <s v="New"/>
    <n v="0.15"/>
    <s v="Bank Transfer"/>
    <s v="Retail"/>
    <x v="1"/>
  </r>
  <r>
    <n v="1090"/>
    <s v="Keyboard"/>
    <d v="2023-01-13T00:00:00"/>
    <x v="4"/>
    <s v="Scott Wayne"/>
    <x v="3"/>
    <n v="0.06"/>
    <x v="80"/>
    <x v="80"/>
    <n v="17"/>
    <x v="2"/>
    <n v="2382.98"/>
    <n v="2839.73"/>
    <s v="Returning"/>
    <n v="0.23"/>
    <s v="Bank Transfer"/>
    <s v="Retail"/>
    <x v="1"/>
  </r>
  <r>
    <n v="1044"/>
    <s v="Burger"/>
    <d v="2023-06-17T00:00:00"/>
    <x v="2"/>
    <s v="Susan Jerkins"/>
    <x v="0"/>
    <n v="7.4999999999999997E-2"/>
    <x v="81"/>
    <x v="81"/>
    <n v="6"/>
    <x v="0"/>
    <n v="2388.9499999999998"/>
    <n v="2742.97"/>
    <s v="Returning"/>
    <n v="0.25"/>
    <s v="Credit Card"/>
    <s v="Retail"/>
    <x v="1"/>
  </r>
  <r>
    <n v="1034"/>
    <s v="Socks Pack"/>
    <d v="2023-05-10T00:00:00"/>
    <x v="3"/>
    <s v="Tracy Moore"/>
    <x v="3"/>
    <n v="0.06"/>
    <x v="82"/>
    <x v="82"/>
    <n v="19"/>
    <x v="2"/>
    <n v="1922.21"/>
    <n v="2180.83"/>
    <s v="Returning"/>
    <n v="0.17"/>
    <s v="Credit Card"/>
    <s v="Retail"/>
    <x v="1"/>
  </r>
  <r>
    <n v="1074"/>
    <s v="French Fries"/>
    <d v="2023-03-25T00:00:00"/>
    <x v="3"/>
    <s v="Tracy Moore"/>
    <x v="1"/>
    <n v="0.08"/>
    <x v="83"/>
    <x v="83"/>
    <n v="38"/>
    <x v="1"/>
    <n v="2610.6"/>
    <n v="2836.94"/>
    <s v="Returning"/>
    <n v="0.19"/>
    <s v="Credit Card"/>
    <s v="Online"/>
    <x v="0"/>
  </r>
  <r>
    <n v="1062"/>
    <s v="Boxers"/>
    <d v="2023-11-17T00:00:00"/>
    <x v="2"/>
    <s v="Susan Jerkins"/>
    <x v="0"/>
    <n v="7.4999999999999997E-2"/>
    <x v="84"/>
    <x v="84"/>
    <n v="28"/>
    <x v="2"/>
    <n v="2094.88"/>
    <n v="2168.91"/>
    <s v="Returning"/>
    <n v="0.08"/>
    <s v="Cash"/>
    <s v="Retail"/>
    <x v="1"/>
  </r>
  <r>
    <n v="1100"/>
    <s v="Protein Cookies"/>
    <d v="2023-11-15T00:00:00"/>
    <x v="3"/>
    <s v="Tracy Moore"/>
    <x v="3"/>
    <n v="0.06"/>
    <x v="85"/>
    <x v="85"/>
    <n v="2"/>
    <x v="0"/>
    <n v="1036.76"/>
    <n v="1189.3499999999999"/>
    <s v="New"/>
    <n v="0.27"/>
    <s v="Bank Transfer"/>
    <s v="Online"/>
    <x v="1"/>
  </r>
  <r>
    <n v="1014"/>
    <s v="Cheese Block"/>
    <d v="2023-04-11T00:00:00"/>
    <x v="4"/>
    <s v="Scott Wayne"/>
    <x v="2"/>
    <n v="0.05"/>
    <x v="86"/>
    <x v="86"/>
    <n v="38"/>
    <x v="1"/>
    <n v="2091.21"/>
    <n v="2527"/>
    <s v="Returning"/>
    <n v="0.01"/>
    <s v="Credit Card"/>
    <s v="Online"/>
    <x v="0"/>
  </r>
  <r>
    <n v="1095"/>
    <s v="Bluetooth Speaker"/>
    <d v="2023-11-25T00:00:00"/>
    <x v="4"/>
    <s v="Scott Wayne"/>
    <x v="3"/>
    <n v="0.06"/>
    <x v="87"/>
    <x v="87"/>
    <n v="37"/>
    <x v="3"/>
    <n v="407.77"/>
    <n v="860.95"/>
    <s v="New"/>
    <n v="0.1"/>
    <s v="Credit Card"/>
    <s v="Retail"/>
    <x v="0"/>
  </r>
  <r>
    <n v="1048"/>
    <s v="Chaise Lounge"/>
    <d v="2023-09-30T00:00:00"/>
    <x v="2"/>
    <s v="Susan Jerkins"/>
    <x v="0"/>
    <n v="7.4999999999999997E-2"/>
    <x v="88"/>
    <x v="88"/>
    <n v="4"/>
    <x v="0"/>
    <n v="2900.14"/>
    <n v="2910.5099999999902"/>
    <s v="New"/>
    <n v="0.22"/>
    <s v="Credit Card"/>
    <s v="Retail"/>
    <x v="0"/>
  </r>
  <r>
    <n v="1015"/>
    <s v="Chocolate Bar"/>
    <d v="2023-09-22T00:00:00"/>
    <x v="1"/>
    <s v="Hogan Rock"/>
    <x v="2"/>
    <n v="0.05"/>
    <x v="89"/>
    <x v="89"/>
    <n v="22"/>
    <x v="3"/>
    <n v="4275.59"/>
    <n v="4576.72"/>
    <s v="Returning"/>
    <n v="0.02"/>
    <s v="Cash"/>
    <s v="Retail"/>
    <x v="0"/>
  </r>
  <r>
    <n v="1072"/>
    <s v="T-Shirt"/>
    <d v="2023-02-07T00:00:00"/>
    <x v="0"/>
    <s v="Michael Smith"/>
    <x v="3"/>
    <n v="0.06"/>
    <x v="90"/>
    <x v="90"/>
    <n v="26"/>
    <x v="1"/>
    <n v="3640.17"/>
    <n v="4002.63"/>
    <s v="New"/>
    <n v="0.05"/>
    <s v="Credit Card"/>
    <s v="Retail"/>
    <x v="0"/>
  </r>
  <r>
    <n v="1078"/>
    <s v="Kitchen Island"/>
    <d v="2023-04-04T00:00:00"/>
    <x v="1"/>
    <s v="Hogan Rock"/>
    <x v="3"/>
    <n v="0.06"/>
    <x v="91"/>
    <x v="91"/>
    <n v="49"/>
    <x v="0"/>
    <n v="1833.95"/>
    <n v="2147.14"/>
    <s v="Returning"/>
    <n v="0.18"/>
    <s v="Credit Card"/>
    <s v="Retail"/>
    <x v="0"/>
  </r>
  <r>
    <n v="1087"/>
    <s v="Sofa Set"/>
    <d v="2023-04-05T00:00:00"/>
    <x v="3"/>
    <s v="Tracy Moore"/>
    <x v="3"/>
    <n v="0.06"/>
    <x v="92"/>
    <x v="92"/>
    <n v="43"/>
    <x v="0"/>
    <n v="481"/>
    <n v="531.02"/>
    <s v="New"/>
    <n v="0.17"/>
    <s v="Cash"/>
    <s v="Online"/>
    <x v="1"/>
  </r>
  <r>
    <n v="1062"/>
    <s v="Boxers"/>
    <d v="2023-11-01T00:00:00"/>
    <x v="0"/>
    <s v="Michael Smith"/>
    <x v="3"/>
    <n v="0.06"/>
    <x v="93"/>
    <x v="93"/>
    <n v="36"/>
    <x v="1"/>
    <n v="1050.6400000000001"/>
    <n v="1167.33"/>
    <s v="New"/>
    <n v="0.22"/>
    <s v="Cash"/>
    <s v="Online"/>
    <x v="1"/>
  </r>
  <r>
    <n v="1040"/>
    <s v="Cap"/>
    <d v="2023-03-10T00:00:00"/>
    <x v="2"/>
    <s v="Susan Jerkins"/>
    <x v="3"/>
    <n v="0.06"/>
    <x v="94"/>
    <x v="94"/>
    <n v="13"/>
    <x v="2"/>
    <n v="2750.18"/>
    <n v="2882.85"/>
    <s v="Returning"/>
    <n v="0.24"/>
    <s v="Credit Card"/>
    <s v="Online"/>
    <x v="1"/>
  </r>
  <r>
    <n v="1085"/>
    <s v="Settee"/>
    <d v="2023-11-14T00:00:00"/>
    <x v="2"/>
    <s v="Susan Jerkins"/>
    <x v="2"/>
    <n v="0.05"/>
    <x v="95"/>
    <x v="95"/>
    <n v="32"/>
    <x v="0"/>
    <n v="1074.93"/>
    <n v="1492.48"/>
    <s v="Returning"/>
    <n v="0.04"/>
    <s v="Credit Card"/>
    <s v="Retail"/>
    <x v="1"/>
  </r>
  <r>
    <n v="1080"/>
    <s v="Headphones"/>
    <d v="2023-08-24T00:00:00"/>
    <x v="0"/>
    <s v="Michael Smith"/>
    <x v="1"/>
    <n v="0.08"/>
    <x v="96"/>
    <x v="96"/>
    <n v="17"/>
    <x v="0"/>
    <n v="2742.67"/>
    <n v="2979.64"/>
    <s v="Returning"/>
    <n v="0.01"/>
    <s v="Cash"/>
    <s v="Retail"/>
    <x v="1"/>
  </r>
  <r>
    <n v="1082"/>
    <s v="USB Drive"/>
    <d v="2023-11-30T00:00:00"/>
    <x v="4"/>
    <s v="Scott Wayne"/>
    <x v="2"/>
    <n v="0.05"/>
    <x v="97"/>
    <x v="97"/>
    <n v="41"/>
    <x v="3"/>
    <n v="1196.42"/>
    <n v="1444.97"/>
    <s v="Returning"/>
    <n v="0.21"/>
    <s v="Bank Transfer"/>
    <s v="Online"/>
    <x v="0"/>
  </r>
  <r>
    <n v="1053"/>
    <s v="Bed"/>
    <d v="2023-05-17T00:00:00"/>
    <x v="0"/>
    <s v="Michael Smith"/>
    <x v="2"/>
    <n v="0.05"/>
    <x v="98"/>
    <x v="98"/>
    <n v="36"/>
    <x v="2"/>
    <n v="4252.17"/>
    <n v="4720.2700000000004"/>
    <s v="New"/>
    <n v="0.09"/>
    <s v="Cash"/>
    <s v="Retail"/>
    <x v="0"/>
  </r>
  <r>
    <n v="1024"/>
    <s v="Pasta Pack"/>
    <d v="2023-03-17T00:00:00"/>
    <x v="3"/>
    <s v="Tracy Moore"/>
    <x v="2"/>
    <n v="0.05"/>
    <x v="99"/>
    <x v="99"/>
    <n v="46"/>
    <x v="3"/>
    <n v="2016.49"/>
    <n v="2338.66"/>
    <s v="Returning"/>
    <n v="0.19"/>
    <s v="Bank Transfer"/>
    <s v="Retail"/>
    <x v="0"/>
  </r>
  <r>
    <n v="1026"/>
    <s v="Television"/>
    <d v="2023-02-04T00:00:00"/>
    <x v="4"/>
    <s v="Scott Wayne"/>
    <x v="1"/>
    <n v="0.08"/>
    <x v="100"/>
    <x v="100"/>
    <n v="19"/>
    <x v="3"/>
    <n v="1265.48"/>
    <n v="1715.83"/>
    <s v="New"/>
    <n v="0.05"/>
    <s v="Credit Card"/>
    <s v="Retail"/>
    <x v="1"/>
  </r>
  <r>
    <n v="1089"/>
    <s v="Recliner"/>
    <d v="2023-01-01T00:00:00"/>
    <x v="2"/>
    <s v="Susan Jerkins"/>
    <x v="0"/>
    <n v="7.4999999999999997E-2"/>
    <x v="101"/>
    <x v="101"/>
    <n v="35"/>
    <x v="2"/>
    <n v="4071.01"/>
    <n v="4304.7"/>
    <s v="New"/>
    <n v="0.14000000000000001"/>
    <s v="Credit Card"/>
    <s v="Online"/>
    <x v="0"/>
  </r>
  <r>
    <n v="1060"/>
    <s v="Head Warmer"/>
    <d v="2023-10-23T00:00:00"/>
    <x v="0"/>
    <s v="Michael Smith"/>
    <x v="1"/>
    <n v="0.08"/>
    <x v="102"/>
    <x v="102"/>
    <n v="46"/>
    <x v="2"/>
    <n v="1747.05"/>
    <n v="1830.27"/>
    <s v="New"/>
    <n v="0.15"/>
    <s v="Bank Transfer"/>
    <s v="Retail"/>
    <x v="0"/>
  </r>
  <r>
    <n v="1041"/>
    <s v="Bread"/>
    <d v="2023-11-16T00:00:00"/>
    <x v="1"/>
    <s v="Hogan Rock"/>
    <x v="2"/>
    <n v="0.05"/>
    <x v="103"/>
    <x v="103"/>
    <n v="40"/>
    <x v="1"/>
    <n v="601.86"/>
    <n v="1067.53"/>
    <s v="New"/>
    <n v="0.18"/>
    <s v="Cash"/>
    <s v="Online"/>
    <x v="1"/>
  </r>
  <r>
    <n v="1029"/>
    <s v="Camisole"/>
    <d v="2023-03-01T00:00:00"/>
    <x v="1"/>
    <s v="Hogan Rock"/>
    <x v="3"/>
    <n v="0.06"/>
    <x v="104"/>
    <x v="104"/>
    <n v="28"/>
    <x v="2"/>
    <n v="2873.53"/>
    <n v="3108.3"/>
    <s v="New"/>
    <n v="0.15"/>
    <s v="Credit Card"/>
    <s v="Retail"/>
    <x v="0"/>
  </r>
  <r>
    <n v="1015"/>
    <s v="Chocolate Bar"/>
    <d v="2023-11-16T00:00:00"/>
    <x v="3"/>
    <s v="Tracy Moore"/>
    <x v="3"/>
    <n v="0.06"/>
    <x v="105"/>
    <x v="105"/>
    <n v="1"/>
    <x v="0"/>
    <n v="2928.74"/>
    <n v="3027.74"/>
    <s v="New"/>
    <n v="0.15"/>
    <s v="Bank Transfer"/>
    <s v="Retail"/>
    <x v="1"/>
  </r>
  <r>
    <n v="1045"/>
    <s v="Bikers Shorts"/>
    <d v="2023-12-15T00:00:00"/>
    <x v="1"/>
    <s v="Hogan Rock"/>
    <x v="2"/>
    <n v="0.05"/>
    <x v="106"/>
    <x v="106"/>
    <n v="42"/>
    <x v="2"/>
    <n v="3587.74"/>
    <n v="3745.91"/>
    <s v="Returning"/>
    <n v="0.1"/>
    <s v="Cash"/>
    <s v="Online"/>
    <x v="1"/>
  </r>
  <r>
    <n v="1065"/>
    <s v="Potatoes"/>
    <d v="2023-11-24T00:00:00"/>
    <x v="0"/>
    <s v="Michael Smith"/>
    <x v="3"/>
    <n v="0.06"/>
    <x v="107"/>
    <x v="107"/>
    <n v="18"/>
    <x v="1"/>
    <n v="1239.0899999999999"/>
    <n v="1273.98"/>
    <s v="New"/>
    <n v="0.02"/>
    <s v="Bank Transfer"/>
    <s v="Retail"/>
    <x v="0"/>
  </r>
  <r>
    <n v="1089"/>
    <s v="Recliner"/>
    <d v="2023-09-24T00:00:00"/>
    <x v="0"/>
    <s v="Michael Smith"/>
    <x v="2"/>
    <n v="0.05"/>
    <x v="108"/>
    <x v="108"/>
    <n v="48"/>
    <x v="1"/>
    <n v="2246.67"/>
    <n v="2486.14"/>
    <s v="New"/>
    <n v="0.03"/>
    <s v="Cash"/>
    <s v="Retail"/>
    <x v="1"/>
  </r>
  <r>
    <n v="1071"/>
    <s v="Game Table"/>
    <d v="2023-12-27T00:00:00"/>
    <x v="1"/>
    <s v="Hogan Rock"/>
    <x v="3"/>
    <n v="0.06"/>
    <x v="109"/>
    <x v="109"/>
    <n v="40"/>
    <x v="1"/>
    <n v="1447.72"/>
    <n v="1875.75"/>
    <s v="New"/>
    <n v="0.13"/>
    <s v="Cash"/>
    <s v="Retail"/>
    <x v="1"/>
  </r>
  <r>
    <n v="1009"/>
    <s v="Jacket"/>
    <d v="2023-08-17T00:00:00"/>
    <x v="0"/>
    <s v="Michael Smith"/>
    <x v="1"/>
    <n v="0.08"/>
    <x v="110"/>
    <x v="110"/>
    <n v="33"/>
    <x v="2"/>
    <n v="450.72"/>
    <n v="918.17"/>
    <s v="Returning"/>
    <n v="0.11"/>
    <s v="Cash"/>
    <s v="Online"/>
    <x v="0"/>
  </r>
  <r>
    <n v="1088"/>
    <s v="Office Desk"/>
    <d v="2023-09-27T00:00:00"/>
    <x v="3"/>
    <s v="Tracy Moore"/>
    <x v="0"/>
    <n v="7.4999999999999997E-2"/>
    <x v="111"/>
    <x v="111"/>
    <n v="12"/>
    <x v="2"/>
    <n v="4389.24"/>
    <n v="4856.2199999999903"/>
    <s v="Returning"/>
    <n v="0.15"/>
    <s v="Cash"/>
    <s v="Retail"/>
    <x v="0"/>
  </r>
  <r>
    <n v="1001"/>
    <s v="Camera"/>
    <d v="2023-11-12T00:00:00"/>
    <x v="4"/>
    <s v="Scott Wayne"/>
    <x v="0"/>
    <n v="7.4999999999999997E-2"/>
    <x v="112"/>
    <x v="112"/>
    <n v="8"/>
    <x v="3"/>
    <n v="3657.91"/>
    <n v="3729.27"/>
    <s v="New"/>
    <n v="0.09"/>
    <s v="Bank Transfer"/>
    <s v="Retail"/>
    <x v="1"/>
  </r>
  <r>
    <n v="1008"/>
    <s v="Skirt"/>
    <d v="2023-10-13T00:00:00"/>
    <x v="3"/>
    <s v="Tracy Moore"/>
    <x v="1"/>
    <n v="0.08"/>
    <x v="113"/>
    <x v="113"/>
    <n v="24"/>
    <x v="3"/>
    <n v="1542.24"/>
    <n v="1739.45"/>
    <s v="Returning"/>
    <n v="0.21"/>
    <s v="Bank Transfer"/>
    <s v="Retail"/>
    <x v="1"/>
  </r>
  <r>
    <n v="1088"/>
    <s v="Office Desk"/>
    <d v="2023-10-18T00:00:00"/>
    <x v="3"/>
    <s v="Tracy Moore"/>
    <x v="1"/>
    <n v="0.08"/>
    <x v="114"/>
    <x v="114"/>
    <n v="16"/>
    <x v="0"/>
    <n v="3016.9"/>
    <n v="3040.73"/>
    <s v="New"/>
    <n v="0.26"/>
    <s v="Bank Transfer"/>
    <s v="Retail"/>
    <x v="1"/>
  </r>
  <r>
    <n v="1063"/>
    <s v="Noodles"/>
    <d v="2023-08-01T00:00:00"/>
    <x v="0"/>
    <s v="Michael Smith"/>
    <x v="2"/>
    <n v="0.05"/>
    <x v="115"/>
    <x v="115"/>
    <n v="4"/>
    <x v="3"/>
    <n v="1046.26"/>
    <n v="1475.29"/>
    <s v="Returning"/>
    <n v="0.09"/>
    <s v="Bank Transfer"/>
    <s v="Retail"/>
    <x v="0"/>
  </r>
  <r>
    <n v="1011"/>
    <s v="Coffee Table"/>
    <d v="2023-06-14T00:00:00"/>
    <x v="4"/>
    <s v="Scott Wayne"/>
    <x v="2"/>
    <n v="0.05"/>
    <x v="116"/>
    <x v="116"/>
    <n v="38"/>
    <x v="0"/>
    <n v="4456.67"/>
    <n v="4642.46"/>
    <s v="New"/>
    <n v="0.06"/>
    <s v="Bank Transfer"/>
    <s v="Online"/>
    <x v="1"/>
  </r>
  <r>
    <n v="1081"/>
    <s v="Rocking Chair"/>
    <d v="2023-01-05T00:00:00"/>
    <x v="0"/>
    <s v="Michael Smith"/>
    <x v="2"/>
    <n v="0.05"/>
    <x v="117"/>
    <x v="117"/>
    <n v="44"/>
    <x v="1"/>
    <n v="618.79"/>
    <n v="938.04"/>
    <s v="Returning"/>
    <n v="0.03"/>
    <s v="Cash"/>
    <s v="Online"/>
    <x v="1"/>
  </r>
  <r>
    <n v="1008"/>
    <s v="Skirt"/>
    <d v="2023-12-05T00:00:00"/>
    <x v="2"/>
    <s v="Susan Jerkins"/>
    <x v="3"/>
    <n v="0.06"/>
    <x v="118"/>
    <x v="118"/>
    <n v="27"/>
    <x v="3"/>
    <n v="68.989999999999995"/>
    <n v="429.29"/>
    <s v="Returning"/>
    <n v="0.18"/>
    <s v="Credit Card"/>
    <s v="Retail"/>
    <x v="0"/>
  </r>
  <r>
    <n v="1035"/>
    <s v="Doughnut"/>
    <d v="2023-03-19T00:00:00"/>
    <x v="0"/>
    <s v="Michael Smith"/>
    <x v="2"/>
    <n v="0.05"/>
    <x v="119"/>
    <x v="119"/>
    <n v="9"/>
    <x v="2"/>
    <n v="2534.94"/>
    <n v="2755.56"/>
    <s v="Returning"/>
    <n v="0.13"/>
    <s v="Credit Card"/>
    <s v="Retail"/>
    <x v="0"/>
  </r>
  <r>
    <n v="1035"/>
    <s v="Doughnut"/>
    <d v="2023-03-03T00:00:00"/>
    <x v="0"/>
    <s v="Michael Smith"/>
    <x v="1"/>
    <n v="0.08"/>
    <x v="120"/>
    <x v="120"/>
    <n v="47"/>
    <x v="3"/>
    <n v="2936.48"/>
    <n v="3096.64"/>
    <s v="New"/>
    <n v="0.06"/>
    <s v="Bank Transfer"/>
    <s v="Online"/>
    <x v="1"/>
  </r>
  <r>
    <n v="1033"/>
    <s v="TV Stand"/>
    <d v="2023-05-12T00:00:00"/>
    <x v="0"/>
    <s v="Michael Smith"/>
    <x v="0"/>
    <n v="7.4999999999999997E-2"/>
    <x v="121"/>
    <x v="121"/>
    <n v="16"/>
    <x v="0"/>
    <n v="2915.88"/>
    <n v="3397.36"/>
    <s v="New"/>
    <n v="0.2"/>
    <s v="Bank Transfer"/>
    <s v="Retail"/>
    <x v="0"/>
  </r>
  <r>
    <n v="1005"/>
    <s v="Smart Phone"/>
    <d v="2023-03-30T00:00:00"/>
    <x v="4"/>
    <s v="Scott Wayne"/>
    <x v="3"/>
    <n v="0.06"/>
    <x v="122"/>
    <x v="122"/>
    <n v="12"/>
    <x v="3"/>
    <n v="319.83"/>
    <n v="802.43"/>
    <s v="New"/>
    <n v="0.04"/>
    <s v="Credit Card"/>
    <s v="Retail"/>
    <x v="0"/>
  </r>
  <r>
    <n v="1041"/>
    <s v="Bread"/>
    <d v="2023-08-25T00:00:00"/>
    <x v="0"/>
    <s v="Michael Smith"/>
    <x v="2"/>
    <n v="0.05"/>
    <x v="123"/>
    <x v="123"/>
    <n v="31"/>
    <x v="1"/>
    <n v="1604.52"/>
    <n v="1756.34"/>
    <s v="Returning"/>
    <n v="0.17"/>
    <s v="Cash"/>
    <s v="Retail"/>
    <x v="1"/>
  </r>
  <r>
    <n v="1028"/>
    <s v="Pyjamas"/>
    <d v="2023-02-11T00:00:00"/>
    <x v="4"/>
    <s v="Scott Wayne"/>
    <x v="3"/>
    <n v="0.06"/>
    <x v="124"/>
    <x v="124"/>
    <n v="24"/>
    <x v="2"/>
    <n v="2521.0300000000002"/>
    <n v="2766.05"/>
    <s v="Returning"/>
    <n v="0.16"/>
    <s v="Bank Transfer"/>
    <s v="Retail"/>
    <x v="1"/>
  </r>
  <r>
    <n v="1007"/>
    <s v="Fruit Jam"/>
    <d v="2023-03-30T00:00:00"/>
    <x v="1"/>
    <s v="Hogan Rock"/>
    <x v="3"/>
    <n v="0.06"/>
    <x v="125"/>
    <x v="125"/>
    <n v="14"/>
    <x v="0"/>
    <n v="1122.07"/>
    <n v="1608.76"/>
    <s v="New"/>
    <n v="0.22"/>
    <s v="Cash"/>
    <s v="Retail"/>
    <x v="0"/>
  </r>
  <r>
    <n v="1073"/>
    <s v="Console Table"/>
    <d v="2023-10-23T00:00:00"/>
    <x v="2"/>
    <s v="Susan Jerkins"/>
    <x v="2"/>
    <n v="0.05"/>
    <x v="126"/>
    <x v="126"/>
    <n v="45"/>
    <x v="2"/>
    <n v="4369.5"/>
    <n v="4381.8900000000003"/>
    <s v="Returning"/>
    <n v="0.02"/>
    <s v="Credit Card"/>
    <s v="Retail"/>
    <x v="1"/>
  </r>
  <r>
    <n v="1072"/>
    <s v="T-Shirt"/>
    <d v="2023-11-24T00:00:00"/>
    <x v="4"/>
    <s v="Scott Wayne"/>
    <x v="3"/>
    <n v="0.06"/>
    <x v="127"/>
    <x v="127"/>
    <n v="25"/>
    <x v="2"/>
    <n v="481.19"/>
    <n v="693.4"/>
    <s v="New"/>
    <n v="0.27"/>
    <s v="Credit Card"/>
    <s v="Retail"/>
    <x v="0"/>
  </r>
  <r>
    <n v="1012"/>
    <s v="Cabinet"/>
    <d v="2023-10-22T00:00:00"/>
    <x v="1"/>
    <s v="Hogan Rock"/>
    <x v="0"/>
    <n v="7.4999999999999997E-2"/>
    <x v="128"/>
    <x v="128"/>
    <n v="34"/>
    <x v="0"/>
    <n v="2462.5500000000002"/>
    <n v="2521.77"/>
    <s v="New"/>
    <n v="0.21"/>
    <s v="Bank Transfer"/>
    <s v="Retail"/>
    <x v="1"/>
  </r>
  <r>
    <n v="1034"/>
    <s v="Socks Pack"/>
    <d v="2023-04-14T00:00:00"/>
    <x v="4"/>
    <s v="Scott Wayne"/>
    <x v="1"/>
    <n v="0.08"/>
    <x v="129"/>
    <x v="129"/>
    <n v="3"/>
    <x v="2"/>
    <n v="3472.51"/>
    <n v="3732"/>
    <s v="New"/>
    <n v="0.06"/>
    <s v="Cash"/>
    <s v="Online"/>
    <x v="1"/>
  </r>
  <r>
    <n v="1033"/>
    <s v="TV Stand"/>
    <d v="2023-01-14T00:00:00"/>
    <x v="4"/>
    <s v="Scott Wayne"/>
    <x v="1"/>
    <n v="0.08"/>
    <x v="130"/>
    <x v="130"/>
    <n v="24"/>
    <x v="2"/>
    <n v="1345.67"/>
    <n v="1367.76"/>
    <s v="New"/>
    <n v="0.06"/>
    <s v="Bank Transfer"/>
    <s v="Online"/>
    <x v="1"/>
  </r>
  <r>
    <n v="1048"/>
    <s v="Chaise Lounge"/>
    <d v="2023-10-15T00:00:00"/>
    <x v="2"/>
    <s v="Susan Jerkins"/>
    <x v="0"/>
    <n v="7.4999999999999997E-2"/>
    <x v="131"/>
    <x v="131"/>
    <n v="42"/>
    <x v="3"/>
    <n v="3139.99"/>
    <n v="3349.37"/>
    <s v="Returning"/>
    <n v="0.13"/>
    <s v="Credit Card"/>
    <s v="Retail"/>
    <x v="1"/>
  </r>
  <r>
    <n v="1023"/>
    <s v="Tights"/>
    <d v="2023-06-28T00:00:00"/>
    <x v="3"/>
    <s v="Tracy Moore"/>
    <x v="3"/>
    <n v="0.06"/>
    <x v="132"/>
    <x v="132"/>
    <n v="9"/>
    <x v="2"/>
    <n v="4155.46"/>
    <n v="4273.6000000000004"/>
    <s v="Returning"/>
    <n v="0.25"/>
    <s v="Cash"/>
    <s v="Retail"/>
    <x v="1"/>
  </r>
  <r>
    <n v="1062"/>
    <s v="Boxers"/>
    <d v="2023-05-05T00:00:00"/>
    <x v="3"/>
    <s v="Tracy Moore"/>
    <x v="2"/>
    <n v="0.05"/>
    <x v="133"/>
    <x v="133"/>
    <n v="26"/>
    <x v="2"/>
    <n v="992.17"/>
    <n v="1263.49"/>
    <s v="Returning"/>
    <n v="0.25"/>
    <s v="Bank Transfer"/>
    <s v="Retail"/>
    <x v="1"/>
  </r>
  <r>
    <n v="1088"/>
    <s v="Office Desk"/>
    <d v="2023-12-19T00:00:00"/>
    <x v="4"/>
    <s v="Scott Wayne"/>
    <x v="3"/>
    <n v="0.06"/>
    <x v="134"/>
    <x v="134"/>
    <n v="20"/>
    <x v="2"/>
    <n v="4590.24"/>
    <n v="5088.28"/>
    <s v="New"/>
    <n v="0.16"/>
    <s v="Bank Transfer"/>
    <s v="Retail"/>
    <x v="0"/>
  </r>
  <r>
    <n v="1037"/>
    <s v="Turtleneck Top"/>
    <d v="2023-01-23T00:00:00"/>
    <x v="0"/>
    <s v="Michael Smith"/>
    <x v="0"/>
    <n v="7.4999999999999997E-2"/>
    <x v="135"/>
    <x v="135"/>
    <n v="40"/>
    <x v="2"/>
    <n v="2790.11"/>
    <n v="3192.37"/>
    <s v="Returning"/>
    <n v="0.26"/>
    <s v="Bank Transfer"/>
    <s v="Online"/>
    <x v="0"/>
  </r>
  <r>
    <n v="1099"/>
    <s v="Chest"/>
    <d v="2023-03-04T00:00:00"/>
    <x v="1"/>
    <s v="Hogan Rock"/>
    <x v="3"/>
    <n v="0.06"/>
    <x v="136"/>
    <x v="136"/>
    <n v="10"/>
    <x v="0"/>
    <n v="1531.2"/>
    <n v="1955.56"/>
    <s v="New"/>
    <n v="0"/>
    <s v="Credit Card"/>
    <s v="Online"/>
    <x v="0"/>
  </r>
  <r>
    <n v="1044"/>
    <s v="Burger"/>
    <d v="2023-05-23T00:00:00"/>
    <x v="0"/>
    <s v="Michael Smith"/>
    <x v="1"/>
    <n v="0.08"/>
    <x v="137"/>
    <x v="137"/>
    <n v="19"/>
    <x v="1"/>
    <n v="2182.75"/>
    <n v="2504.0299999999902"/>
    <s v="New"/>
    <n v="0.01"/>
    <s v="Bank Transfer"/>
    <s v="Online"/>
    <x v="0"/>
  </r>
  <r>
    <n v="1086"/>
    <s v="Gaming Console"/>
    <d v="2023-06-02T00:00:00"/>
    <x v="0"/>
    <s v="Michael Smith"/>
    <x v="3"/>
    <n v="0.06"/>
    <x v="138"/>
    <x v="138"/>
    <n v="3"/>
    <x v="3"/>
    <n v="1595.35"/>
    <n v="1625.70999999999"/>
    <s v="New"/>
    <n v="0.27"/>
    <s v="Cash"/>
    <s v="Online"/>
    <x v="1"/>
  </r>
  <r>
    <n v="1091"/>
    <s v="Granola Bar"/>
    <d v="2023-05-25T00:00:00"/>
    <x v="4"/>
    <s v="Scott Wayne"/>
    <x v="0"/>
    <n v="7.4999999999999997E-2"/>
    <x v="139"/>
    <x v="139"/>
    <n v="24"/>
    <x v="2"/>
    <n v="3639.3"/>
    <n v="3750.63"/>
    <s v="New"/>
    <n v="0.23"/>
    <s v="Bank Transfer"/>
    <s v="Retail"/>
    <x v="0"/>
  </r>
  <r>
    <n v="1035"/>
    <s v="Doughnut"/>
    <d v="2023-08-13T00:00:00"/>
    <x v="4"/>
    <s v="Scott Wayne"/>
    <x v="1"/>
    <n v="0.08"/>
    <x v="140"/>
    <x v="140"/>
    <n v="5"/>
    <x v="2"/>
    <n v="3991.69"/>
    <n v="4454.97"/>
    <s v="New"/>
    <n v="0.14000000000000001"/>
    <s v="Credit Card"/>
    <s v="Retail"/>
    <x v="1"/>
  </r>
  <r>
    <n v="1065"/>
    <s v="Potatoes"/>
    <d v="2023-11-05T00:00:00"/>
    <x v="4"/>
    <s v="Scott Wayne"/>
    <x v="3"/>
    <n v="0.06"/>
    <x v="141"/>
    <x v="141"/>
    <n v="3"/>
    <x v="0"/>
    <n v="4173.04"/>
    <n v="4362.4399999999996"/>
    <s v="New"/>
    <n v="0.23"/>
    <s v="Bank Transfer"/>
    <s v="Retail"/>
    <x v="0"/>
  </r>
  <r>
    <n v="1099"/>
    <s v="Chest"/>
    <d v="2023-04-14T00:00:00"/>
    <x v="4"/>
    <s v="Scott Wayne"/>
    <x v="3"/>
    <n v="0.06"/>
    <x v="142"/>
    <x v="142"/>
    <n v="27"/>
    <x v="1"/>
    <n v="4929.55"/>
    <n v="4990.33"/>
    <s v="Returning"/>
    <n v="0.28999999999999998"/>
    <s v="Credit Card"/>
    <s v="Online"/>
    <x v="0"/>
  </r>
  <r>
    <n v="1047"/>
    <s v="Mouse"/>
    <d v="2023-04-14T00:00:00"/>
    <x v="3"/>
    <s v="Tracy Moore"/>
    <x v="1"/>
    <n v="0.08"/>
    <x v="143"/>
    <x v="143"/>
    <n v="16"/>
    <x v="2"/>
    <n v="3966.86"/>
    <n v="4321.04"/>
    <s v="Returning"/>
    <n v="0.23"/>
    <s v="Credit Card"/>
    <s v="Retail"/>
    <x v="0"/>
  </r>
  <r>
    <n v="1078"/>
    <s v="Kitchen Island"/>
    <d v="2023-02-08T00:00:00"/>
    <x v="4"/>
    <s v="Scott Wayne"/>
    <x v="2"/>
    <n v="0.05"/>
    <x v="144"/>
    <x v="144"/>
    <n v="49"/>
    <x v="0"/>
    <n v="3026.85"/>
    <n v="3183.58"/>
    <s v="Returning"/>
    <n v="0.25"/>
    <s v="Cash"/>
    <s v="Retail"/>
    <x v="0"/>
  </r>
  <r>
    <n v="1003"/>
    <s v="Stool"/>
    <d v="2023-07-17T00:00:00"/>
    <x v="3"/>
    <s v="Tracy Moore"/>
    <x v="1"/>
    <n v="0.08"/>
    <x v="145"/>
    <x v="145"/>
    <n v="15"/>
    <x v="3"/>
    <n v="1729.14"/>
    <n v="1870.88"/>
    <s v="Returning"/>
    <n v="0.23"/>
    <s v="Cash"/>
    <s v="Online"/>
    <x v="0"/>
  </r>
  <r>
    <n v="1001"/>
    <s v="Camera"/>
    <d v="2023-05-14T00:00:00"/>
    <x v="3"/>
    <s v="Tracy Moore"/>
    <x v="2"/>
    <n v="0.05"/>
    <x v="146"/>
    <x v="146"/>
    <n v="35"/>
    <x v="3"/>
    <n v="2745.75"/>
    <n v="3244.76"/>
    <s v="New"/>
    <n v="0.05"/>
    <s v="Bank Transfer"/>
    <s v="Online"/>
    <x v="1"/>
  </r>
  <r>
    <n v="1005"/>
    <s v="Smart Phone"/>
    <d v="2023-03-08T00:00:00"/>
    <x v="4"/>
    <s v="Scott Wayne"/>
    <x v="0"/>
    <n v="7.4999999999999997E-2"/>
    <x v="147"/>
    <x v="147"/>
    <n v="12"/>
    <x v="2"/>
    <n v="253.29"/>
    <n v="683.78"/>
    <s v="New"/>
    <n v="0.25"/>
    <s v="Credit Card"/>
    <s v="Online"/>
    <x v="1"/>
  </r>
  <r>
    <n v="1090"/>
    <s v="Keyboard"/>
    <d v="2023-06-28T00:00:00"/>
    <x v="2"/>
    <s v="Susan Jerkins"/>
    <x v="0"/>
    <n v="7.4999999999999997E-2"/>
    <x v="148"/>
    <x v="148"/>
    <n v="41"/>
    <x v="2"/>
    <n v="3736.88"/>
    <n v="3946.77"/>
    <s v="Returning"/>
    <n v="0.06"/>
    <s v="Credit Card"/>
    <s v="Online"/>
    <x v="0"/>
  </r>
  <r>
    <n v="1014"/>
    <s v="Cheese Block"/>
    <d v="2023-02-11T00:00:00"/>
    <x v="1"/>
    <s v="Hogan Rock"/>
    <x v="1"/>
    <n v="0.08"/>
    <x v="149"/>
    <x v="149"/>
    <n v="44"/>
    <x v="1"/>
    <n v="2257.48"/>
    <n v="2747.81"/>
    <s v="Returning"/>
    <n v="0.27"/>
    <s v="Cash"/>
    <s v="Online"/>
    <x v="1"/>
  </r>
  <r>
    <n v="1027"/>
    <s v="Cookies"/>
    <d v="2023-01-15T00:00:00"/>
    <x v="0"/>
    <s v="Michael Smith"/>
    <x v="1"/>
    <n v="0.08"/>
    <x v="150"/>
    <x v="150"/>
    <n v="26"/>
    <x v="1"/>
    <n v="149.11000000000001"/>
    <n v="477.67"/>
    <s v="Returning"/>
    <n v="0.14000000000000001"/>
    <s v="Cash"/>
    <s v="Retail"/>
    <x v="0"/>
  </r>
  <r>
    <n v="1009"/>
    <s v="Jacket"/>
    <d v="2023-04-21T00:00:00"/>
    <x v="3"/>
    <s v="Tracy Moore"/>
    <x v="0"/>
    <n v="7.4999999999999997E-2"/>
    <x v="151"/>
    <x v="151"/>
    <n v="47"/>
    <x v="2"/>
    <n v="359.41"/>
    <n v="733"/>
    <s v="Returning"/>
    <n v="0.2"/>
    <s v="Bank Transfer"/>
    <s v="Retail"/>
    <x v="0"/>
  </r>
  <r>
    <n v="1079"/>
    <s v="Wardrobe"/>
    <d v="2023-06-06T00:00:00"/>
    <x v="1"/>
    <s v="Hogan Rock"/>
    <x v="2"/>
    <n v="0.05"/>
    <x v="152"/>
    <x v="152"/>
    <n v="34"/>
    <x v="0"/>
    <n v="1967.96"/>
    <n v="1993.4"/>
    <s v="Returning"/>
    <n v="0.15"/>
    <s v="Credit Card"/>
    <s v="Online"/>
    <x v="1"/>
  </r>
  <r>
    <n v="1015"/>
    <s v="Chocolate Bar"/>
    <d v="2023-10-16T00:00:00"/>
    <x v="2"/>
    <s v="Susan Jerkins"/>
    <x v="0"/>
    <n v="7.4999999999999997E-2"/>
    <x v="153"/>
    <x v="153"/>
    <n v="23"/>
    <x v="1"/>
    <n v="2937.94"/>
    <n v="3007.53"/>
    <s v="Returning"/>
    <n v="0.03"/>
    <s v="Cash"/>
    <s v="Retail"/>
    <x v="0"/>
  </r>
  <r>
    <n v="1090"/>
    <s v="Keyboard"/>
    <d v="2023-08-19T00:00:00"/>
    <x v="0"/>
    <s v="Michael Smith"/>
    <x v="1"/>
    <n v="0.08"/>
    <x v="154"/>
    <x v="154"/>
    <n v="31"/>
    <x v="2"/>
    <n v="2347.81"/>
    <n v="2668.02"/>
    <s v="Returning"/>
    <n v="0.09"/>
    <s v="Bank Transfer"/>
    <s v="Retail"/>
    <x v="0"/>
  </r>
  <r>
    <n v="1042"/>
    <s v="Frozen Pizza"/>
    <d v="2023-06-06T00:00:00"/>
    <x v="0"/>
    <s v="Michael Smith"/>
    <x v="0"/>
    <n v="7.4999999999999997E-2"/>
    <x v="155"/>
    <x v="155"/>
    <n v="20"/>
    <x v="1"/>
    <n v="3115.06"/>
    <n v="3565.58"/>
    <s v="Returning"/>
    <n v="0.3"/>
    <s v="Credit Card"/>
    <s v="Retail"/>
    <x v="0"/>
  </r>
  <r>
    <n v="1077"/>
    <s v="Skirt"/>
    <d v="2023-02-07T00:00:00"/>
    <x v="3"/>
    <s v="Tracy Moore"/>
    <x v="1"/>
    <n v="0.08"/>
    <x v="156"/>
    <x v="156"/>
    <n v="12"/>
    <x v="2"/>
    <n v="2427.46"/>
    <n v="2743.09"/>
    <s v="New"/>
    <n v="0.28999999999999998"/>
    <s v="Credit Card"/>
    <s v="Retail"/>
    <x v="0"/>
  </r>
  <r>
    <n v="1051"/>
    <s v="Tablet"/>
    <d v="2023-04-07T00:00:00"/>
    <x v="4"/>
    <s v="Scott Wayne"/>
    <x v="1"/>
    <n v="0.08"/>
    <x v="157"/>
    <x v="157"/>
    <n v="23"/>
    <x v="3"/>
    <n v="3325.43"/>
    <n v="3401.1"/>
    <s v="New"/>
    <n v="0.1"/>
    <s v="Cash"/>
    <s v="Online"/>
    <x v="0"/>
  </r>
  <r>
    <n v="1063"/>
    <s v="Noodles"/>
    <d v="2023-10-16T00:00:00"/>
    <x v="2"/>
    <s v="Susan Jerkins"/>
    <x v="0"/>
    <n v="7.4999999999999997E-2"/>
    <x v="158"/>
    <x v="158"/>
    <n v="4"/>
    <x v="2"/>
    <n v="1134.67"/>
    <n v="1201.3900000000001"/>
    <s v="New"/>
    <n v="0.3"/>
    <s v="Bank Transfer"/>
    <s v="Retail"/>
    <x v="0"/>
  </r>
  <r>
    <n v="1096"/>
    <s v="Radio"/>
    <d v="2023-09-11T00:00:00"/>
    <x v="3"/>
    <s v="Tracy Moore"/>
    <x v="2"/>
    <n v="0.05"/>
    <x v="159"/>
    <x v="159"/>
    <n v="23"/>
    <x v="3"/>
    <n v="608.57000000000005"/>
    <n v="1032.22"/>
    <s v="New"/>
    <n v="0.25"/>
    <s v="Cash"/>
    <s v="Retail"/>
    <x v="0"/>
  </r>
  <r>
    <n v="1052"/>
    <s v="Wooden Chair"/>
    <d v="2023-07-15T00:00:00"/>
    <x v="2"/>
    <s v="Susan Jerkins"/>
    <x v="3"/>
    <n v="0.06"/>
    <x v="160"/>
    <x v="160"/>
    <n v="48"/>
    <x v="1"/>
    <n v="3002.35"/>
    <n v="3080.61"/>
    <s v="Returning"/>
    <n v="0.18"/>
    <s v="Bank Transfer"/>
    <s v="Retail"/>
    <x v="1"/>
  </r>
  <r>
    <n v="1096"/>
    <s v="Radio"/>
    <d v="2023-03-27T00:00:00"/>
    <x v="4"/>
    <s v="Scott Wayne"/>
    <x v="0"/>
    <n v="7.4999999999999997E-2"/>
    <x v="161"/>
    <x v="161"/>
    <n v="48"/>
    <x v="2"/>
    <n v="2449.21"/>
    <n v="2714.12"/>
    <s v="New"/>
    <n v="0.01"/>
    <s v="Credit Card"/>
    <s v="Online"/>
    <x v="1"/>
  </r>
  <r>
    <n v="1004"/>
    <s v="Smartwatch"/>
    <d v="2023-11-18T00:00:00"/>
    <x v="4"/>
    <s v="Scott Wayne"/>
    <x v="3"/>
    <n v="0.06"/>
    <x v="162"/>
    <x v="162"/>
    <n v="1"/>
    <x v="1"/>
    <n v="182.99"/>
    <n v="211.18"/>
    <s v="Returning"/>
    <n v="0.27"/>
    <s v="Bank Transfer"/>
    <s v="Retail"/>
    <x v="0"/>
  </r>
  <r>
    <n v="1094"/>
    <s v="Microwave"/>
    <d v="2023-01-10T00:00:00"/>
    <x v="3"/>
    <s v="Tracy Moore"/>
    <x v="0"/>
    <n v="7.4999999999999997E-2"/>
    <x v="163"/>
    <x v="163"/>
    <n v="25"/>
    <x v="3"/>
    <n v="1933.39"/>
    <n v="1982.92"/>
    <s v="New"/>
    <n v="0.17"/>
    <s v="Bank Transfer"/>
    <s v="Online"/>
    <x v="1"/>
  </r>
  <r>
    <n v="1023"/>
    <s v="Tights"/>
    <d v="2023-01-05T00:00:00"/>
    <x v="4"/>
    <s v="Scott Wayne"/>
    <x v="3"/>
    <n v="0.06"/>
    <x v="164"/>
    <x v="164"/>
    <n v="2"/>
    <x v="2"/>
    <n v="575.32000000000005"/>
    <n v="914.77"/>
    <s v="Returning"/>
    <n v="0.26"/>
    <s v="Bank Transfer"/>
    <s v="Online"/>
    <x v="0"/>
  </r>
  <r>
    <n v="1015"/>
    <s v="Chocolate Bar"/>
    <d v="2023-05-03T00:00:00"/>
    <x v="1"/>
    <s v="Hogan Rock"/>
    <x v="2"/>
    <n v="0.05"/>
    <x v="165"/>
    <x v="165"/>
    <n v="30"/>
    <x v="1"/>
    <n v="2680.22"/>
    <n v="3027.9199999999901"/>
    <s v="Returning"/>
    <n v="0.25"/>
    <s v="Bank Transfer"/>
    <s v="Online"/>
    <x v="0"/>
  </r>
  <r>
    <n v="1043"/>
    <s v="Oven"/>
    <d v="2023-11-26T00:00:00"/>
    <x v="0"/>
    <s v="Michael Smith"/>
    <x v="2"/>
    <n v="0.05"/>
    <x v="166"/>
    <x v="166"/>
    <n v="3"/>
    <x v="3"/>
    <n v="2009.1"/>
    <n v="2186.42"/>
    <s v="New"/>
    <n v="0.25"/>
    <s v="Bank Transfer"/>
    <s v="Online"/>
    <x v="1"/>
  </r>
  <r>
    <n v="1029"/>
    <s v="Camisole"/>
    <d v="2023-12-19T00:00:00"/>
    <x v="3"/>
    <s v="Tracy Moore"/>
    <x v="0"/>
    <n v="7.4999999999999997E-2"/>
    <x v="167"/>
    <x v="167"/>
    <n v="21"/>
    <x v="1"/>
    <n v="3085.1"/>
    <n v="3200.75"/>
    <s v="New"/>
    <n v="0.21"/>
    <s v="Cash"/>
    <s v="Retail"/>
    <x v="0"/>
  </r>
  <r>
    <n v="1036"/>
    <s v="Shorts"/>
    <d v="2023-04-28T00:00:00"/>
    <x v="2"/>
    <s v="Susan Jerkins"/>
    <x v="1"/>
    <n v="0.08"/>
    <x v="168"/>
    <x v="168"/>
    <n v="25"/>
    <x v="0"/>
    <n v="4037.73"/>
    <n v="4446.45"/>
    <s v="Returning"/>
    <n v="0.09"/>
    <s v="Bank Transfer"/>
    <s v="Online"/>
    <x v="0"/>
  </r>
  <r>
    <n v="1013"/>
    <s v="Gas Cooker"/>
    <d v="2023-10-21T00:00:00"/>
    <x v="1"/>
    <s v="Hogan Rock"/>
    <x v="3"/>
    <n v="0.06"/>
    <x v="169"/>
    <x v="169"/>
    <n v="20"/>
    <x v="3"/>
    <n v="1533.36"/>
    <n v="1649.73999999999"/>
    <s v="Returning"/>
    <n v="0.1"/>
    <s v="Bank Transfer"/>
    <s v="Online"/>
    <x v="0"/>
  </r>
  <r>
    <n v="1032"/>
    <s v="Refridgerator"/>
    <d v="2023-06-08T00:00:00"/>
    <x v="3"/>
    <s v="Tracy Moore"/>
    <x v="1"/>
    <n v="0.08"/>
    <x v="170"/>
    <x v="170"/>
    <n v="49"/>
    <x v="3"/>
    <n v="4812.41"/>
    <n v="5088"/>
    <s v="Returning"/>
    <n v="0.09"/>
    <s v="Credit Card"/>
    <s v="Online"/>
    <x v="1"/>
  </r>
  <r>
    <n v="1071"/>
    <s v="Game Table"/>
    <d v="2023-10-30T00:00:00"/>
    <x v="4"/>
    <s v="Scott Wayne"/>
    <x v="1"/>
    <n v="0.08"/>
    <x v="171"/>
    <x v="171"/>
    <n v="22"/>
    <x v="3"/>
    <n v="2701.39"/>
    <n v="3185.81"/>
    <s v="New"/>
    <n v="0.01"/>
    <s v="Bank Transfer"/>
    <s v="Online"/>
    <x v="1"/>
  </r>
  <r>
    <n v="1059"/>
    <s v="Coffee Beans"/>
    <d v="2023-08-16T00:00:00"/>
    <x v="4"/>
    <s v="Scott Wayne"/>
    <x v="1"/>
    <n v="0.08"/>
    <x v="172"/>
    <x v="172"/>
    <n v="21"/>
    <x v="2"/>
    <n v="3110.54"/>
    <n v="3192.99"/>
    <s v="New"/>
    <n v="0.17"/>
    <s v="Credit Card"/>
    <s v="Online"/>
    <x v="1"/>
  </r>
  <r>
    <n v="1086"/>
    <s v="Gaming Console"/>
    <d v="2023-12-31T00:00:00"/>
    <x v="4"/>
    <s v="Scott Wayne"/>
    <x v="2"/>
    <n v="0.05"/>
    <x v="173"/>
    <x v="173"/>
    <n v="33"/>
    <x v="2"/>
    <n v="3419.33"/>
    <n v="3890.3599999999901"/>
    <s v="Returning"/>
    <n v="0.21"/>
    <s v="Cash"/>
    <s v="Retail"/>
    <x v="0"/>
  </r>
  <r>
    <n v="1028"/>
    <s v="Pyjamas"/>
    <d v="2023-08-04T00:00:00"/>
    <x v="4"/>
    <s v="Scott Wayne"/>
    <x v="0"/>
    <n v="7.4999999999999997E-2"/>
    <x v="174"/>
    <x v="174"/>
    <n v="38"/>
    <x v="2"/>
    <n v="3350.32"/>
    <n v="3449.94"/>
    <s v="New"/>
    <n v="0.26"/>
    <s v="Cash"/>
    <s v="Online"/>
    <x v="1"/>
  </r>
  <r>
    <n v="1066"/>
    <s v="Armoire"/>
    <d v="2023-07-03T00:00:00"/>
    <x v="2"/>
    <s v="Susan Jerkins"/>
    <x v="0"/>
    <n v="7.4999999999999997E-2"/>
    <x v="175"/>
    <x v="175"/>
    <n v="15"/>
    <x v="0"/>
    <n v="2579.31"/>
    <n v="2867.36"/>
    <s v="Returning"/>
    <n v="0.04"/>
    <s v="Bank Transfer"/>
    <s v="Retail"/>
    <x v="0"/>
  </r>
  <r>
    <n v="1042"/>
    <s v="Frozen Pizza"/>
    <d v="2023-01-15T00:00:00"/>
    <x v="1"/>
    <s v="Hogan Rock"/>
    <x v="2"/>
    <n v="0.05"/>
    <x v="176"/>
    <x v="176"/>
    <n v="46"/>
    <x v="0"/>
    <n v="2172.38"/>
    <n v="2367.11"/>
    <s v="New"/>
    <n v="0.16"/>
    <s v="Cash"/>
    <s v="Retail"/>
    <x v="1"/>
  </r>
  <r>
    <n v="1045"/>
    <s v="Bikers Shorts"/>
    <d v="2023-06-06T00:00:00"/>
    <x v="0"/>
    <s v="Michael Smith"/>
    <x v="2"/>
    <n v="0.05"/>
    <x v="177"/>
    <x v="177"/>
    <n v="15"/>
    <x v="3"/>
    <n v="316.22000000000003"/>
    <n v="799.04"/>
    <s v="New"/>
    <n v="0"/>
    <s v="Bank Transfer"/>
    <s v="Online"/>
    <x v="1"/>
  </r>
  <r>
    <n v="1062"/>
    <s v="Boxers"/>
    <d v="2023-05-16T00:00:00"/>
    <x v="2"/>
    <s v="Susan Jerkins"/>
    <x v="0"/>
    <n v="7.4999999999999997E-2"/>
    <x v="178"/>
    <x v="178"/>
    <n v="46"/>
    <x v="0"/>
    <n v="159.32"/>
    <n v="303.36"/>
    <s v="New"/>
    <n v="0.03"/>
    <s v="Cash"/>
    <s v="Retail"/>
    <x v="0"/>
  </r>
  <r>
    <n v="1057"/>
    <s v="Avocadro Pear"/>
    <d v="2023-09-18T00:00:00"/>
    <x v="2"/>
    <s v="Susan Jerkins"/>
    <x v="1"/>
    <n v="0.08"/>
    <x v="179"/>
    <x v="179"/>
    <n v="25"/>
    <x v="1"/>
    <n v="1821.91"/>
    <n v="2027.74"/>
    <s v="New"/>
    <n v="0.02"/>
    <s v="Bank Transfer"/>
    <s v="Retail"/>
    <x v="0"/>
  </r>
  <r>
    <n v="1006"/>
    <s v="Monitor"/>
    <d v="2023-06-06T00:00:00"/>
    <x v="0"/>
    <s v="Michael Smith"/>
    <x v="3"/>
    <n v="0.06"/>
    <x v="180"/>
    <x v="180"/>
    <n v="21"/>
    <x v="3"/>
    <n v="1701.62"/>
    <n v="2193.2199999999998"/>
    <s v="New"/>
    <n v="0.22"/>
    <s v="Bank Transfer"/>
    <s v="Retail"/>
    <x v="1"/>
  </r>
  <r>
    <n v="1028"/>
    <s v="Pyjamas"/>
    <d v="2023-02-16T00:00:00"/>
    <x v="0"/>
    <s v="Michael Smith"/>
    <x v="3"/>
    <n v="0.06"/>
    <x v="181"/>
    <x v="181"/>
    <n v="24"/>
    <x v="3"/>
    <n v="1969.09"/>
    <n v="2241.96"/>
    <s v="Returning"/>
    <n v="0.02"/>
    <s v="Credit Card"/>
    <s v="Online"/>
    <x v="1"/>
  </r>
  <r>
    <n v="1028"/>
    <s v="Pyjamas"/>
    <d v="2023-11-20T00:00:00"/>
    <x v="4"/>
    <s v="Scott Wayne"/>
    <x v="3"/>
    <n v="0.06"/>
    <x v="182"/>
    <x v="182"/>
    <n v="5"/>
    <x v="1"/>
    <n v="734.92"/>
    <n v="991.21"/>
    <s v="Returning"/>
    <n v="0.21"/>
    <s v="Credit Card"/>
    <s v="Online"/>
    <x v="1"/>
  </r>
  <r>
    <n v="1044"/>
    <s v="Burger"/>
    <d v="2023-11-28T00:00:00"/>
    <x v="2"/>
    <s v="Susan Jerkins"/>
    <x v="1"/>
    <n v="0.08"/>
    <x v="183"/>
    <x v="183"/>
    <n v="6"/>
    <x v="3"/>
    <n v="3703.93"/>
    <n v="3840.24"/>
    <s v="New"/>
    <n v="7.0000000000000007E-2"/>
    <s v="Credit Card"/>
    <s v="Online"/>
    <x v="1"/>
  </r>
  <r>
    <n v="1084"/>
    <s v="Card Table"/>
    <d v="2023-06-22T00:00:00"/>
    <x v="3"/>
    <s v="Tracy Moore"/>
    <x v="0"/>
    <n v="7.4999999999999997E-2"/>
    <x v="184"/>
    <x v="184"/>
    <n v="49"/>
    <x v="0"/>
    <n v="4291.97"/>
    <n v="4645.6400000000003"/>
    <s v="Returning"/>
    <n v="0.26"/>
    <s v="Credit Card"/>
    <s v="Online"/>
    <x v="0"/>
  </r>
  <r>
    <n v="1030"/>
    <s v="Jeans"/>
    <d v="2023-05-10T00:00:00"/>
    <x v="0"/>
    <s v="Michael Smith"/>
    <x v="2"/>
    <n v="0.05"/>
    <x v="185"/>
    <x v="185"/>
    <n v="43"/>
    <x v="2"/>
    <n v="4696.6400000000003"/>
    <n v="4713.68"/>
    <s v="Returning"/>
    <n v="0.24"/>
    <s v="Bank Transfer"/>
    <s v="Online"/>
    <x v="1"/>
  </r>
  <r>
    <n v="1062"/>
    <s v="Boxers"/>
    <d v="2023-04-05T00:00:00"/>
    <x v="0"/>
    <s v="Michael Smith"/>
    <x v="0"/>
    <n v="7.4999999999999997E-2"/>
    <x v="186"/>
    <x v="186"/>
    <n v="48"/>
    <x v="1"/>
    <n v="2487.19"/>
    <n v="2521.4499999999998"/>
    <s v="New"/>
    <n v="0.28999999999999998"/>
    <s v="Cash"/>
    <s v="Online"/>
    <x v="1"/>
  </r>
  <r>
    <n v="1075"/>
    <s v="Bookshelf"/>
    <d v="2023-04-25T00:00:00"/>
    <x v="1"/>
    <s v="Hogan Rock"/>
    <x v="1"/>
    <n v="0.08"/>
    <x v="187"/>
    <x v="187"/>
    <n v="44"/>
    <x v="0"/>
    <n v="3519.29"/>
    <n v="3822.98"/>
    <s v="Returning"/>
    <n v="0.27"/>
    <s v="Bank Transfer"/>
    <s v="Online"/>
    <x v="1"/>
  </r>
  <r>
    <n v="1092"/>
    <s v="Recliner"/>
    <d v="2023-08-31T00:00:00"/>
    <x v="3"/>
    <s v="Tracy Moore"/>
    <x v="2"/>
    <n v="0.05"/>
    <x v="188"/>
    <x v="188"/>
    <n v="47"/>
    <x v="1"/>
    <n v="4284.9799999999996"/>
    <n v="4462.3999999999996"/>
    <s v="New"/>
    <n v="0.28000000000000003"/>
    <s v="Credit Card"/>
    <s v="Retail"/>
    <x v="0"/>
  </r>
  <r>
    <n v="1089"/>
    <s v="Recliner"/>
    <d v="2023-10-19T00:00:00"/>
    <x v="3"/>
    <s v="Tracy Moore"/>
    <x v="1"/>
    <n v="0.08"/>
    <x v="189"/>
    <x v="189"/>
    <n v="23"/>
    <x v="1"/>
    <n v="2120.54"/>
    <n v="2597.67"/>
    <s v="Returning"/>
    <n v="0.26"/>
    <s v="Credit Card"/>
    <s v="Retail"/>
    <x v="0"/>
  </r>
  <r>
    <n v="1062"/>
    <s v="Boxers"/>
    <d v="2023-10-09T00:00:00"/>
    <x v="0"/>
    <s v="Michael Smith"/>
    <x v="3"/>
    <n v="0.06"/>
    <x v="190"/>
    <x v="190"/>
    <n v="4"/>
    <x v="3"/>
    <n v="1581.59"/>
    <n v="2034.1499999999901"/>
    <s v="Returning"/>
    <n v="0.21"/>
    <s v="Cash"/>
    <s v="Online"/>
    <x v="1"/>
  </r>
  <r>
    <n v="1097"/>
    <s v="Freezer"/>
    <d v="2023-10-26T00:00:00"/>
    <x v="4"/>
    <s v="Scott Wayne"/>
    <x v="3"/>
    <n v="0.06"/>
    <x v="191"/>
    <x v="191"/>
    <n v="27"/>
    <x v="3"/>
    <n v="4686.79"/>
    <n v="5046.51"/>
    <s v="Returning"/>
    <n v="0.05"/>
    <s v="Credit Card"/>
    <s v="Retail"/>
    <x v="0"/>
  </r>
  <r>
    <n v="1001"/>
    <s v="Camera"/>
    <d v="2023-10-10T00:00:00"/>
    <x v="1"/>
    <s v="Hogan Rock"/>
    <x v="1"/>
    <n v="0.08"/>
    <x v="192"/>
    <x v="192"/>
    <n v="18"/>
    <x v="0"/>
    <n v="2602.6"/>
    <n v="3013.49"/>
    <s v="Returning"/>
    <n v="0.08"/>
    <s v="Bank Transfer"/>
    <s v="Online"/>
    <x v="1"/>
  </r>
  <r>
    <n v="1027"/>
    <s v="Cookies"/>
    <d v="2023-03-10T00:00:00"/>
    <x v="3"/>
    <s v="Tracy Moore"/>
    <x v="2"/>
    <n v="0.05"/>
    <x v="193"/>
    <x v="193"/>
    <n v="21"/>
    <x v="1"/>
    <n v="2511.41"/>
    <n v="2848.3999999999901"/>
    <s v="Returning"/>
    <n v="0.06"/>
    <s v="Bank Transfer"/>
    <s v="Online"/>
    <x v="1"/>
  </r>
  <r>
    <n v="1062"/>
    <s v="Boxers"/>
    <d v="2023-05-28T00:00:00"/>
    <x v="0"/>
    <s v="Michael Smith"/>
    <x v="2"/>
    <n v="0.05"/>
    <x v="194"/>
    <x v="194"/>
    <n v="28"/>
    <x v="3"/>
    <n v="933.16"/>
    <n v="1004.69999999999"/>
    <s v="Returning"/>
    <n v="0.18"/>
    <s v="Bank Transfer"/>
    <s v="Online"/>
    <x v="0"/>
  </r>
  <r>
    <n v="1077"/>
    <s v="Skirt"/>
    <d v="2023-01-11T00:00:00"/>
    <x v="3"/>
    <s v="Tracy Moore"/>
    <x v="0"/>
    <n v="7.4999999999999997E-2"/>
    <x v="195"/>
    <x v="195"/>
    <n v="35"/>
    <x v="3"/>
    <n v="585.37"/>
    <n v="970.49"/>
    <s v="Returning"/>
    <n v="0.15"/>
    <s v="Bank Transfer"/>
    <s v="Retail"/>
    <x v="0"/>
  </r>
  <r>
    <n v="1003"/>
    <s v="Stool"/>
    <d v="2023-09-11T00:00:00"/>
    <x v="1"/>
    <s v="Hogan Rock"/>
    <x v="3"/>
    <n v="0.06"/>
    <x v="196"/>
    <x v="196"/>
    <n v="22"/>
    <x v="1"/>
    <n v="4218.43"/>
    <n v="4331.42"/>
    <s v="New"/>
    <n v="0.26"/>
    <s v="Bank Transfer"/>
    <s v="Online"/>
    <x v="0"/>
  </r>
  <r>
    <n v="1070"/>
    <s v="Hutch"/>
    <d v="2023-11-26T00:00:00"/>
    <x v="1"/>
    <s v="Hogan Rock"/>
    <x v="0"/>
    <n v="7.4999999999999997E-2"/>
    <x v="197"/>
    <x v="197"/>
    <n v="40"/>
    <x v="0"/>
    <n v="3089.96"/>
    <n v="3258.45"/>
    <s v="New"/>
    <n v="0.28999999999999998"/>
    <s v="Cash"/>
    <s v="Online"/>
    <x v="0"/>
  </r>
  <r>
    <n v="1072"/>
    <s v="T-Shirt"/>
    <d v="2023-12-26T00:00:00"/>
    <x v="2"/>
    <s v="Susan Jerkins"/>
    <x v="0"/>
    <n v="7.4999999999999997E-2"/>
    <x v="198"/>
    <x v="198"/>
    <n v="23"/>
    <x v="0"/>
    <n v="1662.83"/>
    <n v="2074.25"/>
    <s v="New"/>
    <n v="0.12"/>
    <s v="Bank Transfer"/>
    <s v="Online"/>
    <x v="1"/>
  </r>
  <r>
    <n v="1027"/>
    <s v="Cookies"/>
    <d v="2023-02-07T00:00:00"/>
    <x v="0"/>
    <s v="Michael Smith"/>
    <x v="1"/>
    <n v="0.08"/>
    <x v="199"/>
    <x v="199"/>
    <n v="3"/>
    <x v="1"/>
    <n v="999.09"/>
    <n v="1271.99"/>
    <s v="New"/>
    <n v="0.15"/>
    <s v="Credit Card"/>
    <s v="Online"/>
    <x v="0"/>
  </r>
  <r>
    <n v="1009"/>
    <s v="Jacket"/>
    <d v="2023-05-14T00:00:00"/>
    <x v="1"/>
    <s v="Hogan Rock"/>
    <x v="1"/>
    <n v="0.08"/>
    <x v="200"/>
    <x v="200"/>
    <n v="40"/>
    <x v="0"/>
    <n v="2799.71"/>
    <n v="3231.08"/>
    <s v="Returning"/>
    <n v="0.28999999999999998"/>
    <s v="Credit Card"/>
    <s v="Retail"/>
    <x v="1"/>
  </r>
  <r>
    <n v="1062"/>
    <s v="Boxers"/>
    <d v="2023-07-19T00:00:00"/>
    <x v="2"/>
    <s v="Susan Jerkins"/>
    <x v="0"/>
    <n v="7.4999999999999997E-2"/>
    <x v="201"/>
    <x v="201"/>
    <n v="10"/>
    <x v="3"/>
    <n v="2940.4"/>
    <n v="3054.79"/>
    <s v="Returning"/>
    <n v="0.08"/>
    <s v="Credit Card"/>
    <s v="Online"/>
    <x v="0"/>
  </r>
  <r>
    <n v="1037"/>
    <s v="Turtleneck Top"/>
    <d v="2023-01-23T00:00:00"/>
    <x v="2"/>
    <s v="Susan Jerkins"/>
    <x v="3"/>
    <n v="0.06"/>
    <x v="202"/>
    <x v="202"/>
    <n v="25"/>
    <x v="1"/>
    <n v="1074.6199999999999"/>
    <n v="1382.4299999999901"/>
    <s v="Returning"/>
    <n v="0.24"/>
    <s v="Credit Card"/>
    <s v="Retail"/>
    <x v="1"/>
  </r>
  <r>
    <n v="1097"/>
    <s v="Freezer"/>
    <d v="2023-10-30T00:00:00"/>
    <x v="3"/>
    <s v="Tracy Moore"/>
    <x v="1"/>
    <n v="0.08"/>
    <x v="203"/>
    <x v="203"/>
    <n v="49"/>
    <x v="3"/>
    <n v="4264.46"/>
    <n v="4315.5200000000004"/>
    <s v="New"/>
    <n v="7.0000000000000007E-2"/>
    <s v="Cash"/>
    <s v="Retail"/>
    <x v="0"/>
  </r>
  <r>
    <n v="1051"/>
    <s v="Tablet"/>
    <d v="2023-12-12T00:00:00"/>
    <x v="3"/>
    <s v="Tracy Moore"/>
    <x v="0"/>
    <n v="7.4999999999999997E-2"/>
    <x v="204"/>
    <x v="204"/>
    <n v="8"/>
    <x v="2"/>
    <n v="467.11"/>
    <n v="792.21"/>
    <s v="New"/>
    <n v="0.2"/>
    <s v="Credit Card"/>
    <s v="Online"/>
    <x v="1"/>
  </r>
  <r>
    <n v="1044"/>
    <s v="Burger"/>
    <d v="2023-10-29T00:00:00"/>
    <x v="2"/>
    <s v="Susan Jerkins"/>
    <x v="0"/>
    <n v="7.4999999999999997E-2"/>
    <x v="205"/>
    <x v="205"/>
    <n v="11"/>
    <x v="2"/>
    <n v="1812.66"/>
    <n v="2196.3000000000002"/>
    <s v="New"/>
    <n v="0.08"/>
    <s v="Cash"/>
    <s v="Online"/>
    <x v="1"/>
  </r>
  <r>
    <n v="1024"/>
    <s v="Pasta Pack"/>
    <d v="2023-12-29T00:00:00"/>
    <x v="3"/>
    <s v="Tracy Moore"/>
    <x v="0"/>
    <n v="7.4999999999999997E-2"/>
    <x v="206"/>
    <x v="206"/>
    <n v="5"/>
    <x v="0"/>
    <n v="3417.9"/>
    <n v="3714.52"/>
    <s v="Returning"/>
    <n v="0.27"/>
    <s v="Credit Card"/>
    <s v="Retail"/>
    <x v="0"/>
  </r>
  <r>
    <n v="1079"/>
    <s v="Wardrobe"/>
    <d v="2023-08-06T00:00:00"/>
    <x v="1"/>
    <s v="Hogan Rock"/>
    <x v="0"/>
    <n v="7.4999999999999997E-2"/>
    <x v="207"/>
    <x v="207"/>
    <n v="45"/>
    <x v="2"/>
    <n v="1406.9"/>
    <n v="1547.35"/>
    <s v="New"/>
    <n v="0.17"/>
    <s v="Cash"/>
    <s v="Retail"/>
    <x v="1"/>
  </r>
  <r>
    <n v="1059"/>
    <s v="Coffee Beans"/>
    <d v="2023-05-21T00:00:00"/>
    <x v="4"/>
    <s v="Scott Wayne"/>
    <x v="0"/>
    <n v="7.4999999999999997E-2"/>
    <x v="208"/>
    <x v="208"/>
    <n v="37"/>
    <x v="3"/>
    <n v="4146.99"/>
    <n v="4172.3499999999904"/>
    <s v="Returning"/>
    <n v="0.06"/>
    <s v="Cash"/>
    <s v="Retail"/>
    <x v="0"/>
  </r>
  <r>
    <n v="1032"/>
    <s v="Refridgerator"/>
    <d v="2023-04-14T00:00:00"/>
    <x v="1"/>
    <s v="Hogan Rock"/>
    <x v="0"/>
    <n v="7.4999999999999997E-2"/>
    <x v="209"/>
    <x v="209"/>
    <n v="45"/>
    <x v="2"/>
    <n v="3712.35"/>
    <n v="3780.88"/>
    <s v="New"/>
    <n v="7.0000000000000007E-2"/>
    <s v="Cash"/>
    <s v="Retail"/>
    <x v="1"/>
  </r>
  <r>
    <n v="1096"/>
    <s v="Radio"/>
    <d v="2023-07-29T00:00:00"/>
    <x v="2"/>
    <s v="Susan Jerkins"/>
    <x v="1"/>
    <n v="0.08"/>
    <x v="210"/>
    <x v="210"/>
    <n v="38"/>
    <x v="3"/>
    <n v="3955.66"/>
    <n v="4270.59"/>
    <s v="Returning"/>
    <n v="0.15"/>
    <s v="Credit Card"/>
    <s v="Online"/>
    <x v="1"/>
  </r>
  <r>
    <n v="1088"/>
    <s v="Office Desk"/>
    <d v="2023-04-21T00:00:00"/>
    <x v="2"/>
    <s v="Susan Jerkins"/>
    <x v="3"/>
    <n v="0.06"/>
    <x v="211"/>
    <x v="211"/>
    <n v="29"/>
    <x v="0"/>
    <n v="639.58000000000004"/>
    <n v="1107.45"/>
    <s v="New"/>
    <n v="0.28999999999999998"/>
    <s v="Cash"/>
    <s v="Retail"/>
    <x v="1"/>
  </r>
  <r>
    <n v="1052"/>
    <s v="Wooden Chair"/>
    <d v="2023-04-14T00:00:00"/>
    <x v="1"/>
    <s v="Hogan Rock"/>
    <x v="0"/>
    <n v="7.4999999999999997E-2"/>
    <x v="212"/>
    <x v="212"/>
    <n v="5"/>
    <x v="0"/>
    <n v="745.71"/>
    <n v="856.91"/>
    <s v="Returning"/>
    <n v="0.23"/>
    <s v="Bank Transfer"/>
    <s v="Retail"/>
    <x v="1"/>
  </r>
  <r>
    <n v="1062"/>
    <s v="Boxers"/>
    <d v="2023-11-12T00:00:00"/>
    <x v="3"/>
    <s v="Tracy Moore"/>
    <x v="2"/>
    <n v="0.05"/>
    <x v="213"/>
    <x v="213"/>
    <n v="9"/>
    <x v="3"/>
    <n v="1468.05"/>
    <n v="1838.21"/>
    <s v="New"/>
    <n v="0.15"/>
    <s v="Bank Transfer"/>
    <s v="Retail"/>
    <x v="0"/>
  </r>
  <r>
    <n v="1058"/>
    <s v="Wardrobe"/>
    <d v="2023-06-20T00:00:00"/>
    <x v="3"/>
    <s v="Tracy Moore"/>
    <x v="1"/>
    <n v="0.08"/>
    <x v="214"/>
    <x v="214"/>
    <n v="48"/>
    <x v="2"/>
    <n v="2614.48"/>
    <n v="3049.04"/>
    <s v="New"/>
    <n v="0.1"/>
    <s v="Credit Card"/>
    <s v="Retail"/>
    <x v="1"/>
  </r>
  <r>
    <n v="1052"/>
    <s v="Wooden Chair"/>
    <d v="2023-12-22T00:00:00"/>
    <x v="2"/>
    <s v="Susan Jerkins"/>
    <x v="1"/>
    <n v="0.08"/>
    <x v="215"/>
    <x v="215"/>
    <n v="2"/>
    <x v="0"/>
    <n v="3752.68"/>
    <n v="4017.91"/>
    <s v="Returning"/>
    <n v="0.16"/>
    <s v="Bank Transfer"/>
    <s v="Online"/>
    <x v="0"/>
  </r>
  <r>
    <n v="1012"/>
    <s v="Cabinet"/>
    <d v="2023-11-20T00:00:00"/>
    <x v="0"/>
    <s v="Michael Smith"/>
    <x v="0"/>
    <n v="7.4999999999999997E-2"/>
    <x v="216"/>
    <x v="216"/>
    <n v="1"/>
    <x v="1"/>
    <n v="4190.83"/>
    <n v="4528.7699999999904"/>
    <s v="Returning"/>
    <n v="0.22"/>
    <s v="Bank Transfer"/>
    <s v="Online"/>
    <x v="0"/>
  </r>
  <r>
    <n v="1039"/>
    <s v="Hoodie"/>
    <d v="2023-05-13T00:00:00"/>
    <x v="3"/>
    <s v="Tracy Moore"/>
    <x v="1"/>
    <n v="0.08"/>
    <x v="217"/>
    <x v="217"/>
    <n v="40"/>
    <x v="0"/>
    <n v="3536.46"/>
    <n v="3945.82"/>
    <s v="New"/>
    <n v="0.24"/>
    <s v="Bank Transfer"/>
    <s v="Online"/>
    <x v="1"/>
  </r>
  <r>
    <n v="1002"/>
    <s v="Bench"/>
    <d v="2023-10-20T00:00:00"/>
    <x v="1"/>
    <s v="Hogan Rock"/>
    <x v="0"/>
    <n v="7.4999999999999997E-2"/>
    <x v="218"/>
    <x v="218"/>
    <n v="30"/>
    <x v="2"/>
    <n v="4646.55"/>
    <n v="4784.28"/>
    <s v="Returning"/>
    <n v="0.1"/>
    <s v="Credit Card"/>
    <s v="Retail"/>
    <x v="0"/>
  </r>
  <r>
    <n v="1003"/>
    <s v="Stool"/>
    <d v="2023-11-24T00:00:00"/>
    <x v="3"/>
    <s v="Tracy Moore"/>
    <x v="3"/>
    <n v="0.06"/>
    <x v="219"/>
    <x v="219"/>
    <n v="11"/>
    <x v="1"/>
    <n v="3706.78"/>
    <n v="3862.26"/>
    <s v="New"/>
    <n v="0.22"/>
    <s v="Credit Card"/>
    <s v="Retail"/>
    <x v="0"/>
  </r>
  <r>
    <n v="1056"/>
    <s v="Track Suits"/>
    <d v="2023-05-07T00:00:00"/>
    <x v="1"/>
    <s v="Hogan Rock"/>
    <x v="3"/>
    <n v="0.06"/>
    <x v="220"/>
    <x v="220"/>
    <n v="28"/>
    <x v="2"/>
    <n v="1566.03"/>
    <n v="1576.34"/>
    <s v="Returning"/>
    <n v="0.2"/>
    <s v="Bank Transfer"/>
    <s v="Online"/>
    <x v="0"/>
  </r>
  <r>
    <n v="1081"/>
    <s v="Rocking Chair"/>
    <d v="2023-04-16T00:00:00"/>
    <x v="2"/>
    <s v="Susan Jerkins"/>
    <x v="1"/>
    <n v="0.08"/>
    <x v="221"/>
    <x v="221"/>
    <n v="44"/>
    <x v="3"/>
    <n v="1362.15"/>
    <n v="1844.07"/>
    <s v="New"/>
    <n v="0.28999999999999998"/>
    <s v="Credit Card"/>
    <s v="Online"/>
    <x v="1"/>
  </r>
  <r>
    <n v="1059"/>
    <s v="Coffee Beans"/>
    <d v="2023-04-02T00:00:00"/>
    <x v="3"/>
    <s v="Tracy Moore"/>
    <x v="1"/>
    <n v="0.08"/>
    <x v="222"/>
    <x v="222"/>
    <n v="12"/>
    <x v="1"/>
    <n v="3496.15"/>
    <n v="3955.75"/>
    <s v="Returning"/>
    <n v="0.28000000000000003"/>
    <s v="Cash"/>
    <s v="Retail"/>
    <x v="1"/>
  </r>
  <r>
    <n v="1002"/>
    <s v="Bench"/>
    <d v="2023-10-14T00:00:00"/>
    <x v="1"/>
    <s v="Hogan Rock"/>
    <x v="2"/>
    <n v="0.05"/>
    <x v="223"/>
    <x v="223"/>
    <n v="39"/>
    <x v="2"/>
    <n v="1004.71"/>
    <n v="1389.35"/>
    <s v="New"/>
    <n v="0.24"/>
    <s v="Bank Transfer"/>
    <s v="Online"/>
    <x v="0"/>
  </r>
  <r>
    <n v="1002"/>
    <s v="Bench"/>
    <d v="2023-02-20T00:00:00"/>
    <x v="2"/>
    <s v="Susan Jerkins"/>
    <x v="1"/>
    <n v="0.08"/>
    <x v="224"/>
    <x v="224"/>
    <n v="26"/>
    <x v="1"/>
    <n v="508.94"/>
    <n v="557.69000000000005"/>
    <s v="New"/>
    <n v="0.22"/>
    <s v="Credit Card"/>
    <s v="Retail"/>
    <x v="0"/>
  </r>
  <r>
    <n v="1092"/>
    <s v="Recliner"/>
    <d v="2023-01-29T00:00:00"/>
    <x v="0"/>
    <s v="Michael Smith"/>
    <x v="2"/>
    <n v="0.05"/>
    <x v="225"/>
    <x v="225"/>
    <n v="13"/>
    <x v="2"/>
    <n v="2684.5"/>
    <n v="2913.78"/>
    <s v="New"/>
    <n v="0.08"/>
    <s v="Credit Card"/>
    <s v="Retail"/>
    <x v="0"/>
  </r>
  <r>
    <n v="1054"/>
    <s v="Glider"/>
    <d v="2023-10-23T00:00:00"/>
    <x v="1"/>
    <s v="Hogan Rock"/>
    <x v="3"/>
    <n v="0.06"/>
    <x v="226"/>
    <x v="226"/>
    <n v="8"/>
    <x v="1"/>
    <n v="4117.13"/>
    <n v="4177.0600000000004"/>
    <s v="Returning"/>
    <n v="0.25"/>
    <s v="Bank Transfer"/>
    <s v="Retail"/>
    <x v="1"/>
  </r>
  <r>
    <n v="1087"/>
    <s v="Sofa Set"/>
    <d v="2023-10-24T00:00:00"/>
    <x v="0"/>
    <s v="Michael Smith"/>
    <x v="3"/>
    <n v="0.06"/>
    <x v="227"/>
    <x v="227"/>
    <n v="28"/>
    <x v="2"/>
    <n v="551.83000000000004"/>
    <n v="569.63"/>
    <s v="New"/>
    <n v="0.13"/>
    <s v="Credit Card"/>
    <s v="Retail"/>
    <x v="0"/>
  </r>
  <r>
    <n v="1096"/>
    <s v="Radio"/>
    <d v="2023-08-02T00:00:00"/>
    <x v="0"/>
    <s v="Michael Smith"/>
    <x v="0"/>
    <n v="7.4999999999999997E-2"/>
    <x v="228"/>
    <x v="228"/>
    <n v="30"/>
    <x v="3"/>
    <n v="3969.86"/>
    <n v="4281.79"/>
    <s v="Returning"/>
    <n v="0.08"/>
    <s v="Bank Transfer"/>
    <s v="Retail"/>
    <x v="1"/>
  </r>
  <r>
    <n v="1097"/>
    <s v="Freezer"/>
    <d v="2023-09-24T00:00:00"/>
    <x v="4"/>
    <s v="Scott Wayne"/>
    <x v="3"/>
    <n v="0.06"/>
    <x v="229"/>
    <x v="229"/>
    <n v="9"/>
    <x v="1"/>
    <n v="4067.28"/>
    <n v="4548.09"/>
    <s v="Returning"/>
    <n v="0.12"/>
    <s v="Credit Card"/>
    <s v="Retail"/>
    <x v="0"/>
  </r>
  <r>
    <n v="1001"/>
    <s v="Camera"/>
    <d v="2023-09-14T00:00:00"/>
    <x v="3"/>
    <s v="Tracy Moore"/>
    <x v="2"/>
    <n v="0.05"/>
    <x v="230"/>
    <x v="230"/>
    <n v="39"/>
    <x v="1"/>
    <n v="2437.2600000000002"/>
    <n v="2889.67"/>
    <s v="Returning"/>
    <n v="0.25"/>
    <s v="Cash"/>
    <s v="Online"/>
    <x v="1"/>
  </r>
  <r>
    <n v="1019"/>
    <s v="Apple"/>
    <d v="2023-10-29T00:00:00"/>
    <x v="1"/>
    <s v="Hogan Rock"/>
    <x v="1"/>
    <n v="0.08"/>
    <x v="231"/>
    <x v="231"/>
    <n v="31"/>
    <x v="1"/>
    <n v="333.69"/>
    <n v="685.1"/>
    <s v="New"/>
    <n v="0.04"/>
    <s v="Bank Transfer"/>
    <s v="Online"/>
    <x v="0"/>
  </r>
  <r>
    <n v="1002"/>
    <s v="Bench"/>
    <d v="2023-04-11T00:00:00"/>
    <x v="0"/>
    <s v="Michael Smith"/>
    <x v="0"/>
    <n v="7.4999999999999997E-2"/>
    <x v="232"/>
    <x v="232"/>
    <n v="21"/>
    <x v="1"/>
    <n v="914.22"/>
    <n v="971.57"/>
    <s v="Returning"/>
    <n v="0.14000000000000001"/>
    <s v="Cash"/>
    <s v="Online"/>
    <x v="1"/>
  </r>
  <r>
    <n v="1053"/>
    <s v="Bed"/>
    <d v="2023-12-12T00:00:00"/>
    <x v="4"/>
    <s v="Scott Wayne"/>
    <x v="2"/>
    <n v="0.05"/>
    <x v="233"/>
    <x v="233"/>
    <n v="47"/>
    <x v="3"/>
    <n v="3551.76"/>
    <n v="3696.1"/>
    <s v="Returning"/>
    <n v="0.15"/>
    <s v="Bank Transfer"/>
    <s v="Retail"/>
    <x v="1"/>
  </r>
  <r>
    <n v="1044"/>
    <s v="Burger"/>
    <d v="2023-04-20T00:00:00"/>
    <x v="2"/>
    <s v="Susan Jerkins"/>
    <x v="1"/>
    <n v="0.08"/>
    <x v="234"/>
    <x v="234"/>
    <n v="34"/>
    <x v="1"/>
    <n v="3573.3"/>
    <n v="3740.13"/>
    <s v="Returning"/>
    <n v="0.01"/>
    <s v="Credit Card"/>
    <s v="Online"/>
    <x v="0"/>
  </r>
  <r>
    <n v="1090"/>
    <s v="Keyboard"/>
    <d v="2023-07-01T00:00:00"/>
    <x v="1"/>
    <s v="Hogan Rock"/>
    <x v="0"/>
    <n v="7.4999999999999997E-2"/>
    <x v="235"/>
    <x v="235"/>
    <n v="31"/>
    <x v="0"/>
    <n v="4496.8599999999997"/>
    <n v="4880.7999999999902"/>
    <s v="New"/>
    <n v="0.06"/>
    <s v="Cash"/>
    <s v="Retail"/>
    <x v="1"/>
  </r>
  <r>
    <n v="1032"/>
    <s v="Refridgerator"/>
    <d v="2023-11-09T00:00:00"/>
    <x v="0"/>
    <s v="Michael Smith"/>
    <x v="3"/>
    <n v="0.06"/>
    <x v="236"/>
    <x v="236"/>
    <n v="25"/>
    <x v="3"/>
    <n v="2934.3"/>
    <n v="3337.4"/>
    <s v="Returning"/>
    <n v="0.25"/>
    <s v="Credit Card"/>
    <s v="Retail"/>
    <x v="1"/>
  </r>
  <r>
    <n v="1070"/>
    <s v="Hutch"/>
    <d v="2023-01-01T00:00:00"/>
    <x v="3"/>
    <s v="Tracy Moore"/>
    <x v="2"/>
    <n v="0.05"/>
    <x v="237"/>
    <x v="237"/>
    <n v="12"/>
    <x v="0"/>
    <n v="664.33"/>
    <n v="863.03"/>
    <s v="Returning"/>
    <n v="0.25"/>
    <s v="Bank Transfer"/>
    <s v="Retail"/>
    <x v="1"/>
  </r>
  <r>
    <n v="1032"/>
    <s v="Refridgerator"/>
    <d v="2023-11-15T00:00:00"/>
    <x v="4"/>
    <s v="Scott Wayne"/>
    <x v="1"/>
    <n v="0.08"/>
    <x v="238"/>
    <x v="238"/>
    <n v="1"/>
    <x v="1"/>
    <n v="651"/>
    <n v="865.76"/>
    <s v="Returning"/>
    <n v="0.09"/>
    <s v="Bank Transfer"/>
    <s v="Retail"/>
    <x v="0"/>
  </r>
  <r>
    <n v="1068"/>
    <s v="Leggings"/>
    <d v="2023-02-24T00:00:00"/>
    <x v="0"/>
    <s v="Michael Smith"/>
    <x v="0"/>
    <n v="7.4999999999999997E-2"/>
    <x v="239"/>
    <x v="239"/>
    <n v="22"/>
    <x v="2"/>
    <n v="3619.61"/>
    <n v="3651.42"/>
    <s v="Returning"/>
    <n v="0.26"/>
    <s v="Bank Transfer"/>
    <s v="Online"/>
    <x v="0"/>
  </r>
  <r>
    <n v="1055"/>
    <s v="Cupboard"/>
    <d v="2023-05-29T00:00:00"/>
    <x v="3"/>
    <s v="Tracy Moore"/>
    <x v="0"/>
    <n v="7.4999999999999997E-2"/>
    <x v="240"/>
    <x v="240"/>
    <n v="40"/>
    <x v="0"/>
    <n v="959.73"/>
    <n v="1111.4100000000001"/>
    <s v="New"/>
    <n v="0.23"/>
    <s v="Bank Transfer"/>
    <s v="Online"/>
    <x v="1"/>
  </r>
  <r>
    <n v="1075"/>
    <s v="Bookshelf"/>
    <d v="2023-11-05T00:00:00"/>
    <x v="0"/>
    <s v="Michael Smith"/>
    <x v="3"/>
    <n v="0.06"/>
    <x v="241"/>
    <x v="241"/>
    <n v="37"/>
    <x v="1"/>
    <n v="1675.51"/>
    <n v="1906.6399999999901"/>
    <s v="New"/>
    <n v="0.13"/>
    <s v="Bank Transfer"/>
    <s v="Online"/>
    <x v="0"/>
  </r>
  <r>
    <n v="1056"/>
    <s v="Track Suits"/>
    <d v="2023-05-17T00:00:00"/>
    <x v="1"/>
    <s v="Hogan Rock"/>
    <x v="1"/>
    <n v="0.08"/>
    <x v="242"/>
    <x v="242"/>
    <n v="47"/>
    <x v="0"/>
    <n v="2461.6999999999998"/>
    <n v="2529.02"/>
    <s v="Returning"/>
    <n v="0.22"/>
    <s v="Cash"/>
    <s v="Retail"/>
    <x v="0"/>
  </r>
  <r>
    <n v="1017"/>
    <s v="Peaches"/>
    <d v="2023-07-21T00:00:00"/>
    <x v="1"/>
    <s v="Hogan Rock"/>
    <x v="3"/>
    <n v="0.06"/>
    <x v="243"/>
    <x v="243"/>
    <n v="1"/>
    <x v="1"/>
    <n v="172.59"/>
    <n v="404.69"/>
    <s v="Returning"/>
    <n v="0.28999999999999998"/>
    <s v="Bank Transfer"/>
    <s v="Online"/>
    <x v="1"/>
  </r>
  <r>
    <n v="1038"/>
    <s v="Jean Pants"/>
    <d v="2023-11-09T00:00:00"/>
    <x v="1"/>
    <s v="Hogan Rock"/>
    <x v="3"/>
    <n v="0.06"/>
    <x v="244"/>
    <x v="244"/>
    <n v="1"/>
    <x v="1"/>
    <n v="1281.6500000000001"/>
    <n v="1709.71"/>
    <s v="Returning"/>
    <n v="0.14000000000000001"/>
    <s v="Credit Card"/>
    <s v="Online"/>
    <x v="0"/>
  </r>
  <r>
    <n v="1024"/>
    <s v="Pasta Pack"/>
    <d v="2023-04-27T00:00:00"/>
    <x v="4"/>
    <s v="Scott Wayne"/>
    <x v="1"/>
    <n v="0.08"/>
    <x v="245"/>
    <x v="245"/>
    <n v="42"/>
    <x v="1"/>
    <n v="2069.0500000000002"/>
    <n v="2363.9"/>
    <s v="Returning"/>
    <n v="7.0000000000000007E-2"/>
    <s v="Cash"/>
    <s v="Online"/>
    <x v="0"/>
  </r>
  <r>
    <n v="1069"/>
    <s v="Suit"/>
    <d v="2023-06-03T00:00:00"/>
    <x v="1"/>
    <s v="Hogan Rock"/>
    <x v="1"/>
    <n v="0.08"/>
    <x v="246"/>
    <x v="246"/>
    <n v="42"/>
    <x v="2"/>
    <n v="1434.2"/>
    <n v="1482.88"/>
    <s v="New"/>
    <n v="0.28000000000000003"/>
    <s v="Credit Card"/>
    <s v="Retail"/>
    <x v="0"/>
  </r>
  <r>
    <n v="1098"/>
    <s v="File Cabinet"/>
    <d v="2023-10-18T00:00:00"/>
    <x v="3"/>
    <s v="Tracy Moore"/>
    <x v="1"/>
    <n v="0.08"/>
    <x v="247"/>
    <x v="247"/>
    <n v="21"/>
    <x v="0"/>
    <n v="725.03"/>
    <n v="828.94999999999902"/>
    <s v="New"/>
    <n v="0.18"/>
    <s v="Bank Transfer"/>
    <s v="Online"/>
    <x v="1"/>
  </r>
  <r>
    <n v="1070"/>
    <s v="Hutch"/>
    <d v="2023-03-04T00:00:00"/>
    <x v="0"/>
    <s v="Michael Smith"/>
    <x v="2"/>
    <n v="0.05"/>
    <x v="248"/>
    <x v="248"/>
    <n v="15"/>
    <x v="3"/>
    <n v="3653.66"/>
    <n v="3896.19"/>
    <s v="New"/>
    <n v="0.03"/>
    <s v="Credit Card"/>
    <s v="Retail"/>
    <x v="0"/>
  </r>
  <r>
    <n v="1086"/>
    <s v="Gaming Console"/>
    <d v="2023-09-01T00:00:00"/>
    <x v="2"/>
    <s v="Susan Jerkins"/>
    <x v="1"/>
    <n v="0.08"/>
    <x v="249"/>
    <x v="249"/>
    <n v="17"/>
    <x v="3"/>
    <n v="4075.08"/>
    <n v="4262.21"/>
    <s v="New"/>
    <n v="0.17"/>
    <s v="Cash"/>
    <s v="Online"/>
    <x v="0"/>
  </r>
  <r>
    <n v="1011"/>
    <s v="Coffee Table"/>
    <d v="2023-01-25T00:00:00"/>
    <x v="3"/>
    <s v="Tracy Moore"/>
    <x v="0"/>
    <n v="7.4999999999999997E-2"/>
    <x v="250"/>
    <x v="250"/>
    <n v="22"/>
    <x v="3"/>
    <n v="1324.52"/>
    <n v="1510.3"/>
    <s v="Returning"/>
    <n v="0.15"/>
    <s v="Cash"/>
    <s v="Retail"/>
    <x v="1"/>
  </r>
  <r>
    <n v="1016"/>
    <s v="Washing Machine"/>
    <d v="2023-03-31T00:00:00"/>
    <x v="3"/>
    <s v="Tracy Moore"/>
    <x v="3"/>
    <n v="0.06"/>
    <x v="251"/>
    <x v="251"/>
    <n v="38"/>
    <x v="3"/>
    <n v="3883.38"/>
    <n v="4152.72"/>
    <s v="Returning"/>
    <n v="0.26"/>
    <s v="Cash"/>
    <s v="Online"/>
    <x v="1"/>
  </r>
  <r>
    <n v="1097"/>
    <s v="Freezer"/>
    <d v="2023-03-16T00:00:00"/>
    <x v="1"/>
    <s v="Hogan Rock"/>
    <x v="2"/>
    <n v="0.05"/>
    <x v="252"/>
    <x v="252"/>
    <n v="35"/>
    <x v="1"/>
    <n v="1958.49"/>
    <n v="2254.84"/>
    <s v="New"/>
    <n v="0.16"/>
    <s v="Credit Card"/>
    <s v="Online"/>
    <x v="1"/>
  </r>
  <r>
    <n v="1073"/>
    <s v="Console Table"/>
    <d v="2023-10-21T00:00:00"/>
    <x v="4"/>
    <s v="Scott Wayne"/>
    <x v="1"/>
    <n v="0.08"/>
    <x v="253"/>
    <x v="253"/>
    <n v="45"/>
    <x v="0"/>
    <n v="2558.09"/>
    <n v="2958.55"/>
    <s v="New"/>
    <n v="0.08"/>
    <s v="Cash"/>
    <s v="Online"/>
    <x v="1"/>
  </r>
  <r>
    <n v="1059"/>
    <s v="Coffee Beans"/>
    <d v="2023-07-29T00:00:00"/>
    <x v="0"/>
    <s v="Michael Smith"/>
    <x v="2"/>
    <n v="0.05"/>
    <x v="254"/>
    <x v="254"/>
    <n v="16"/>
    <x v="0"/>
    <n v="4287.21"/>
    <n v="4464.28"/>
    <s v="Returning"/>
    <n v="0.2"/>
    <s v="Credit Card"/>
    <s v="Retail"/>
    <x v="0"/>
  </r>
  <r>
    <n v="1070"/>
    <s v="Hutch"/>
    <d v="2023-12-13T00:00:00"/>
    <x v="4"/>
    <s v="Scott Wayne"/>
    <x v="1"/>
    <n v="0.08"/>
    <x v="255"/>
    <x v="255"/>
    <n v="8"/>
    <x v="2"/>
    <n v="3762.27"/>
    <n v="4166.95"/>
    <s v="Returning"/>
    <n v="0.16"/>
    <s v="Bank Transfer"/>
    <s v="Online"/>
    <x v="1"/>
  </r>
  <r>
    <n v="1080"/>
    <s v="Headphones"/>
    <d v="2023-01-17T00:00:00"/>
    <x v="0"/>
    <s v="Michael Smith"/>
    <x v="2"/>
    <n v="0.05"/>
    <x v="256"/>
    <x v="256"/>
    <n v="47"/>
    <x v="0"/>
    <n v="4035.33"/>
    <n v="4211.25"/>
    <s v="Returning"/>
    <n v="7.0000000000000007E-2"/>
    <s v="Bank Transfer"/>
    <s v="Online"/>
    <x v="1"/>
  </r>
  <r>
    <n v="1093"/>
    <s v="Dining Table"/>
    <d v="2023-05-08T00:00:00"/>
    <x v="0"/>
    <s v="Michael Smith"/>
    <x v="3"/>
    <n v="0.06"/>
    <x v="257"/>
    <x v="257"/>
    <n v="17"/>
    <x v="0"/>
    <n v="727.38"/>
    <n v="764.54"/>
    <s v="Returning"/>
    <n v="0.17"/>
    <s v="Credit Card"/>
    <s v="Retail"/>
    <x v="0"/>
  </r>
  <r>
    <n v="1003"/>
    <s v="Stool"/>
    <d v="2023-12-30T00:00:00"/>
    <x v="4"/>
    <s v="Scott Wayne"/>
    <x v="3"/>
    <n v="0.06"/>
    <x v="258"/>
    <x v="258"/>
    <n v="17"/>
    <x v="0"/>
    <n v="395.11"/>
    <n v="676.66"/>
    <s v="Returning"/>
    <n v="0.25"/>
    <s v="Cash"/>
    <s v="Retail"/>
    <x v="1"/>
  </r>
  <r>
    <n v="1020"/>
    <s v="Apron"/>
    <d v="2023-09-08T00:00:00"/>
    <x v="3"/>
    <s v="Tracy Moore"/>
    <x v="0"/>
    <n v="7.4999999999999997E-2"/>
    <x v="259"/>
    <x v="259"/>
    <n v="26"/>
    <x v="2"/>
    <n v="4472.3500000000004"/>
    <n v="4770.42"/>
    <s v="New"/>
    <n v="0.01"/>
    <s v="Credit Card"/>
    <s v="Retail"/>
    <x v="0"/>
  </r>
  <r>
    <n v="1059"/>
    <s v="Coffee Beans"/>
    <d v="2023-06-28T00:00:00"/>
    <x v="0"/>
    <s v="Michael Smith"/>
    <x v="0"/>
    <n v="7.4999999999999997E-2"/>
    <x v="260"/>
    <x v="260"/>
    <n v="13"/>
    <x v="3"/>
    <n v="1969.78"/>
    <n v="2437.6999999999998"/>
    <s v="New"/>
    <n v="0.19"/>
    <s v="Credit Card"/>
    <s v="Retail"/>
    <x v="1"/>
  </r>
  <r>
    <n v="1036"/>
    <s v="Shorts"/>
    <d v="2023-07-01T00:00:00"/>
    <x v="4"/>
    <s v="Scott Wayne"/>
    <x v="1"/>
    <n v="0.08"/>
    <x v="261"/>
    <x v="261"/>
    <n v="17"/>
    <x v="0"/>
    <n v="1475"/>
    <n v="1840.77"/>
    <s v="Returning"/>
    <n v="0.1"/>
    <s v="Credit Card"/>
    <s v="Online"/>
    <x v="1"/>
  </r>
  <r>
    <n v="1019"/>
    <s v="Apple"/>
    <d v="2023-06-01T00:00:00"/>
    <x v="0"/>
    <s v="Michael Smith"/>
    <x v="3"/>
    <n v="0.06"/>
    <x v="262"/>
    <x v="262"/>
    <n v="38"/>
    <x v="2"/>
    <n v="3637.25"/>
    <n v="4096.96"/>
    <s v="Returning"/>
    <n v="0.09"/>
    <s v="Bank Transfer"/>
    <s v="Online"/>
    <x v="1"/>
  </r>
  <r>
    <n v="1090"/>
    <s v="Keyboard"/>
    <d v="2023-01-25T00:00:00"/>
    <x v="2"/>
    <s v="Susan Jerkins"/>
    <x v="2"/>
    <n v="0.05"/>
    <x v="263"/>
    <x v="263"/>
    <n v="17"/>
    <x v="2"/>
    <n v="4190.26"/>
    <n v="4645.3500000000004"/>
    <s v="New"/>
    <n v="0.12"/>
    <s v="Credit Card"/>
    <s v="Retail"/>
    <x v="1"/>
  </r>
  <r>
    <n v="1067"/>
    <s v="Grapes"/>
    <d v="2023-06-29T00:00:00"/>
    <x v="3"/>
    <s v="Tracy Moore"/>
    <x v="2"/>
    <n v="0.05"/>
    <x v="264"/>
    <x v="264"/>
    <n v="48"/>
    <x v="1"/>
    <n v="4319.32"/>
    <n v="4625.5599999999904"/>
    <s v="Returning"/>
    <n v="0.1"/>
    <s v="Bank Transfer"/>
    <s v="Online"/>
    <x v="1"/>
  </r>
  <r>
    <n v="1019"/>
    <s v="Apple"/>
    <d v="2023-07-17T00:00:00"/>
    <x v="1"/>
    <s v="Hogan Rock"/>
    <x v="2"/>
    <n v="0.05"/>
    <x v="265"/>
    <x v="265"/>
    <n v="14"/>
    <x v="2"/>
    <n v="1614.19"/>
    <n v="1882.79"/>
    <s v="New"/>
    <n v="0.25"/>
    <s v="Credit Card"/>
    <s v="Retail"/>
    <x v="0"/>
  </r>
  <r>
    <n v="1020"/>
    <s v="Apron"/>
    <d v="2023-12-10T00:00:00"/>
    <x v="0"/>
    <s v="Michael Smith"/>
    <x v="0"/>
    <n v="7.4999999999999997E-2"/>
    <x v="266"/>
    <x v="266"/>
    <n v="45"/>
    <x v="3"/>
    <n v="4268.45"/>
    <n v="4551.5999999999904"/>
    <s v="New"/>
    <n v="0.08"/>
    <s v="Bank Transfer"/>
    <s v="Online"/>
    <x v="0"/>
  </r>
  <r>
    <n v="1096"/>
    <s v="Radio"/>
    <d v="2023-06-10T00:00:00"/>
    <x v="2"/>
    <s v="Susan Jerkins"/>
    <x v="2"/>
    <n v="0.05"/>
    <x v="267"/>
    <x v="267"/>
    <n v="6"/>
    <x v="0"/>
    <n v="252.62"/>
    <n v="742"/>
    <s v="New"/>
    <n v="0.22"/>
    <s v="Credit Card"/>
    <s v="Retail"/>
    <x v="1"/>
  </r>
  <r>
    <n v="1071"/>
    <s v="Game Table"/>
    <d v="2023-06-26T00:00:00"/>
    <x v="1"/>
    <s v="Hogan Rock"/>
    <x v="0"/>
    <n v="7.4999999999999997E-2"/>
    <x v="268"/>
    <x v="268"/>
    <n v="35"/>
    <x v="2"/>
    <n v="295.82"/>
    <n v="684.67"/>
    <s v="New"/>
    <n v="0.03"/>
    <s v="Credit Card"/>
    <s v="Online"/>
    <x v="0"/>
  </r>
  <r>
    <n v="1052"/>
    <s v="Wooden Chair"/>
    <d v="2023-10-12T00:00:00"/>
    <x v="1"/>
    <s v="Hogan Rock"/>
    <x v="0"/>
    <n v="7.4999999999999997E-2"/>
    <x v="269"/>
    <x v="269"/>
    <n v="46"/>
    <x v="3"/>
    <n v="3136.42"/>
    <n v="3198.49"/>
    <s v="Returning"/>
    <n v="0.28999999999999998"/>
    <s v="Cash"/>
    <s v="Retail"/>
    <x v="0"/>
  </r>
  <r>
    <n v="1033"/>
    <s v="TV Stand"/>
    <d v="2023-03-04T00:00:00"/>
    <x v="0"/>
    <s v="Michael Smith"/>
    <x v="1"/>
    <n v="0.08"/>
    <x v="270"/>
    <x v="270"/>
    <n v="14"/>
    <x v="2"/>
    <n v="362.38"/>
    <n v="753.81"/>
    <s v="Returning"/>
    <n v="0.19"/>
    <s v="Cash"/>
    <s v="Retail"/>
    <x v="0"/>
  </r>
  <r>
    <n v="1040"/>
    <s v="Cap"/>
    <d v="2023-05-30T00:00:00"/>
    <x v="4"/>
    <s v="Scott Wayne"/>
    <x v="2"/>
    <n v="0.05"/>
    <x v="271"/>
    <x v="271"/>
    <n v="47"/>
    <x v="2"/>
    <n v="1656.82"/>
    <n v="1750.3799999999901"/>
    <s v="New"/>
    <n v="0.21"/>
    <s v="Credit Card"/>
    <s v="Online"/>
    <x v="1"/>
  </r>
  <r>
    <n v="1039"/>
    <s v="Hoodie"/>
    <d v="2023-06-03T00:00:00"/>
    <x v="0"/>
    <s v="Michael Smith"/>
    <x v="2"/>
    <n v="0.05"/>
    <x v="272"/>
    <x v="272"/>
    <n v="8"/>
    <x v="2"/>
    <n v="3380.14"/>
    <n v="3609.3399999999901"/>
    <s v="Returning"/>
    <n v="0.09"/>
    <s v="Credit Card"/>
    <s v="Online"/>
    <x v="1"/>
  </r>
  <r>
    <n v="1082"/>
    <s v="USB Drive"/>
    <d v="2023-06-05T00:00:00"/>
    <x v="2"/>
    <s v="Susan Jerkins"/>
    <x v="3"/>
    <n v="0.06"/>
    <x v="273"/>
    <x v="273"/>
    <n v="15"/>
    <x v="2"/>
    <n v="1719.47"/>
    <n v="1832.6"/>
    <s v="Returning"/>
    <n v="0.12"/>
    <s v="Credit Card"/>
    <s v="Online"/>
    <x v="1"/>
  </r>
  <r>
    <n v="1001"/>
    <s v="Camera"/>
    <d v="2023-02-18T00:00:00"/>
    <x v="1"/>
    <s v="Hogan Rock"/>
    <x v="1"/>
    <n v="0.08"/>
    <x v="274"/>
    <x v="274"/>
    <n v="27"/>
    <x v="2"/>
    <n v="939.02"/>
    <n v="1286.92"/>
    <s v="Returning"/>
    <n v="7.0000000000000007E-2"/>
    <s v="Credit Card"/>
    <s v="Retail"/>
    <x v="0"/>
  </r>
  <r>
    <n v="1011"/>
    <s v="Coffee Table"/>
    <d v="2023-12-03T00:00:00"/>
    <x v="0"/>
    <s v="Michael Smith"/>
    <x v="3"/>
    <n v="0.06"/>
    <x v="275"/>
    <x v="275"/>
    <n v="13"/>
    <x v="3"/>
    <n v="1442.69"/>
    <n v="1882.57"/>
    <s v="Returning"/>
    <n v="0.28000000000000003"/>
    <s v="Cash"/>
    <s v="Online"/>
    <x v="0"/>
  </r>
  <r>
    <n v="1092"/>
    <s v="Recliner"/>
    <d v="2023-03-25T00:00:00"/>
    <x v="4"/>
    <s v="Scott Wayne"/>
    <x v="1"/>
    <n v="0.08"/>
    <x v="276"/>
    <x v="276"/>
    <n v="49"/>
    <x v="0"/>
    <n v="2315"/>
    <n v="2467.2800000000002"/>
    <s v="New"/>
    <n v="0.15"/>
    <s v="Bank Transfer"/>
    <s v="Retail"/>
    <x v="1"/>
  </r>
  <r>
    <n v="1057"/>
    <s v="Avocadro Pear"/>
    <d v="2023-12-27T00:00:00"/>
    <x v="0"/>
    <s v="Michael Smith"/>
    <x v="2"/>
    <n v="0.05"/>
    <x v="277"/>
    <x v="277"/>
    <n v="31"/>
    <x v="0"/>
    <n v="2403.16"/>
    <n v="2453.35"/>
    <s v="Returning"/>
    <n v="0.19"/>
    <s v="Credit Card"/>
    <s v="Online"/>
    <x v="1"/>
  </r>
  <r>
    <n v="1089"/>
    <s v="Recliner"/>
    <d v="2023-06-26T00:00:00"/>
    <x v="3"/>
    <s v="Tracy Moore"/>
    <x v="0"/>
    <n v="7.4999999999999997E-2"/>
    <x v="278"/>
    <x v="278"/>
    <n v="35"/>
    <x v="0"/>
    <n v="3925.85"/>
    <n v="4082.1099999999901"/>
    <s v="New"/>
    <n v="0.22"/>
    <s v="Cash"/>
    <s v="Online"/>
    <x v="0"/>
  </r>
  <r>
    <n v="1050"/>
    <s v="Sneakers"/>
    <d v="2023-05-28T00:00:00"/>
    <x v="4"/>
    <s v="Scott Wayne"/>
    <x v="0"/>
    <n v="7.4999999999999997E-2"/>
    <x v="279"/>
    <x v="279"/>
    <n v="6"/>
    <x v="0"/>
    <n v="3763.26"/>
    <n v="4102.72"/>
    <s v="New"/>
    <n v="0.11"/>
    <s v="Credit Card"/>
    <s v="Retail"/>
    <x v="0"/>
  </r>
  <r>
    <n v="1023"/>
    <s v="Tights"/>
    <d v="2023-04-28T00:00:00"/>
    <x v="2"/>
    <s v="Susan Jerkins"/>
    <x v="0"/>
    <n v="7.4999999999999997E-2"/>
    <x v="280"/>
    <x v="280"/>
    <n v="5"/>
    <x v="3"/>
    <n v="2311.25"/>
    <n v="2482.34"/>
    <s v="Returning"/>
    <n v="0.22"/>
    <s v="Credit Card"/>
    <s v="Retail"/>
    <x v="0"/>
  </r>
  <r>
    <n v="1031"/>
    <s v="Butter"/>
    <d v="2023-12-08T00:00:00"/>
    <x v="1"/>
    <s v="Hogan Rock"/>
    <x v="0"/>
    <n v="7.4999999999999997E-2"/>
    <x v="281"/>
    <x v="281"/>
    <n v="22"/>
    <x v="1"/>
    <n v="4236.05"/>
    <n v="4382.32"/>
    <s v="New"/>
    <n v="0.2"/>
    <s v="Bank Transfer"/>
    <s v="Online"/>
    <x v="0"/>
  </r>
  <r>
    <n v="1094"/>
    <s v="Microwave"/>
    <d v="2023-03-04T00:00:00"/>
    <x v="0"/>
    <s v="Michael Smith"/>
    <x v="0"/>
    <n v="7.4999999999999997E-2"/>
    <x v="282"/>
    <x v="282"/>
    <n v="49"/>
    <x v="1"/>
    <n v="615.47"/>
    <n v="715.84"/>
    <s v="Returning"/>
    <n v="0.21"/>
    <s v="Credit Card"/>
    <s v="Retail"/>
    <x v="1"/>
  </r>
  <r>
    <n v="1042"/>
    <s v="Frozen Pizza"/>
    <d v="2023-07-08T00:00:00"/>
    <x v="4"/>
    <s v="Scott Wayne"/>
    <x v="3"/>
    <n v="0.06"/>
    <x v="283"/>
    <x v="283"/>
    <n v="23"/>
    <x v="3"/>
    <n v="1314"/>
    <n v="1567.78"/>
    <s v="Returning"/>
    <n v="0.15"/>
    <s v="Credit Card"/>
    <s v="Retail"/>
    <x v="0"/>
  </r>
  <r>
    <n v="1099"/>
    <s v="Chest"/>
    <d v="2023-12-26T00:00:00"/>
    <x v="3"/>
    <s v="Tracy Moore"/>
    <x v="1"/>
    <n v="0.08"/>
    <x v="284"/>
    <x v="284"/>
    <n v="25"/>
    <x v="3"/>
    <n v="4148.4799999999996"/>
    <n v="4293.6899999999996"/>
    <s v="New"/>
    <n v="0.11"/>
    <s v="Bank Transfer"/>
    <s v="Online"/>
    <x v="0"/>
  </r>
  <r>
    <n v="1007"/>
    <s v="Fruit Jam"/>
    <d v="2023-02-18T00:00:00"/>
    <x v="4"/>
    <s v="Scott Wayne"/>
    <x v="2"/>
    <n v="0.05"/>
    <x v="285"/>
    <x v="285"/>
    <n v="34"/>
    <x v="2"/>
    <n v="1921.07"/>
    <n v="2289.27"/>
    <s v="Returning"/>
    <n v="7.0000000000000007E-2"/>
    <s v="Bank Transfer"/>
    <s v="Retail"/>
    <x v="1"/>
  </r>
  <r>
    <n v="1016"/>
    <s v="Washing Machine"/>
    <d v="2023-11-23T00:00:00"/>
    <x v="3"/>
    <s v="Tracy Moore"/>
    <x v="3"/>
    <n v="0.06"/>
    <x v="286"/>
    <x v="286"/>
    <n v="26"/>
    <x v="2"/>
    <n v="4906.8500000000004"/>
    <n v="4954.3900000000003"/>
    <s v="New"/>
    <n v="0.25"/>
    <s v="Bank Transfer"/>
    <s v="Online"/>
    <x v="0"/>
  </r>
  <r>
    <n v="1090"/>
    <s v="Keyboard"/>
    <d v="2023-09-14T00:00:00"/>
    <x v="2"/>
    <s v="Susan Jerkins"/>
    <x v="1"/>
    <n v="0.08"/>
    <x v="287"/>
    <x v="287"/>
    <n v="47"/>
    <x v="2"/>
    <n v="2357.9499999999998"/>
    <n v="2693.33"/>
    <s v="New"/>
    <n v="0.18"/>
    <s v="Bank Transfer"/>
    <s v="Online"/>
    <x v="0"/>
  </r>
  <r>
    <n v="1060"/>
    <s v="Head Warmer"/>
    <d v="2023-08-12T00:00:00"/>
    <x v="1"/>
    <s v="Hogan Rock"/>
    <x v="0"/>
    <n v="7.4999999999999997E-2"/>
    <x v="288"/>
    <x v="288"/>
    <n v="5"/>
    <x v="0"/>
    <n v="3970.08"/>
    <n v="4096.4799999999996"/>
    <s v="Returning"/>
    <n v="0.13"/>
    <s v="Cash"/>
    <s v="Retail"/>
    <x v="1"/>
  </r>
  <r>
    <n v="1002"/>
    <s v="Bench"/>
    <d v="2023-05-21T00:00:00"/>
    <x v="2"/>
    <s v="Susan Jerkins"/>
    <x v="1"/>
    <n v="0.08"/>
    <x v="289"/>
    <x v="289"/>
    <n v="26"/>
    <x v="2"/>
    <n v="2041.42"/>
    <n v="2291.17"/>
    <s v="Returning"/>
    <n v="0.28000000000000003"/>
    <s v="Cash"/>
    <s v="Online"/>
    <x v="0"/>
  </r>
  <r>
    <n v="1001"/>
    <s v="Camera"/>
    <d v="2023-08-03T00:00:00"/>
    <x v="0"/>
    <s v="Michael Smith"/>
    <x v="1"/>
    <n v="0.08"/>
    <x v="290"/>
    <x v="290"/>
    <n v="20"/>
    <x v="1"/>
    <n v="2153.52"/>
    <n v="2303.6999999999998"/>
    <s v="Returning"/>
    <n v="0.01"/>
    <s v="Cash"/>
    <s v="Retail"/>
    <x v="0"/>
  </r>
  <r>
    <n v="1048"/>
    <s v="Chaise Lounge"/>
    <d v="2023-07-30T00:00:00"/>
    <x v="4"/>
    <s v="Scott Wayne"/>
    <x v="0"/>
    <n v="7.4999999999999997E-2"/>
    <x v="291"/>
    <x v="291"/>
    <n v="6"/>
    <x v="0"/>
    <n v="1945.27"/>
    <n v="2309.4299999999998"/>
    <s v="New"/>
    <n v="0.26"/>
    <s v="Credit Card"/>
    <s v="Online"/>
    <x v="0"/>
  </r>
  <r>
    <n v="1012"/>
    <s v="Cabinet"/>
    <d v="2023-11-14T00:00:00"/>
    <x v="3"/>
    <s v="Tracy Moore"/>
    <x v="0"/>
    <n v="7.4999999999999997E-2"/>
    <x v="292"/>
    <x v="292"/>
    <n v="6"/>
    <x v="2"/>
    <n v="3609.42"/>
    <n v="4082.62"/>
    <s v="Returning"/>
    <n v="0.3"/>
    <s v="Bank Transfer"/>
    <s v="Retail"/>
    <x v="1"/>
  </r>
  <r>
    <n v="1069"/>
    <s v="Suit"/>
    <d v="2023-02-01T00:00:00"/>
    <x v="3"/>
    <s v="Tracy Moore"/>
    <x v="0"/>
    <n v="7.4999999999999997E-2"/>
    <x v="293"/>
    <x v="293"/>
    <n v="18"/>
    <x v="0"/>
    <n v="2760.21"/>
    <n v="3219.58"/>
    <s v="New"/>
    <n v="0.27"/>
    <s v="Bank Transfer"/>
    <s v="Retail"/>
    <x v="1"/>
  </r>
  <r>
    <n v="1037"/>
    <s v="Turtleneck Top"/>
    <d v="2023-06-07T00:00:00"/>
    <x v="4"/>
    <s v="Scott Wayne"/>
    <x v="2"/>
    <n v="0.05"/>
    <x v="294"/>
    <x v="294"/>
    <n v="4"/>
    <x v="1"/>
    <n v="4721.7"/>
    <n v="5017.58"/>
    <s v="New"/>
    <n v="0.24"/>
    <s v="Cash"/>
    <s v="Retail"/>
    <x v="0"/>
  </r>
  <r>
    <n v="1032"/>
    <s v="Refridgerator"/>
    <d v="2023-10-12T00:00:00"/>
    <x v="4"/>
    <s v="Scott Wayne"/>
    <x v="0"/>
    <n v="7.4999999999999997E-2"/>
    <x v="295"/>
    <x v="295"/>
    <n v="17"/>
    <x v="2"/>
    <n v="1291.9100000000001"/>
    <n v="1528.59"/>
    <s v="Returning"/>
    <n v="0.11"/>
    <s v="Credit Card"/>
    <s v="Retail"/>
    <x v="1"/>
  </r>
  <r>
    <n v="1009"/>
    <s v="Jacket"/>
    <d v="2023-11-01T00:00:00"/>
    <x v="0"/>
    <s v="Michael Smith"/>
    <x v="2"/>
    <n v="0.05"/>
    <x v="296"/>
    <x v="296"/>
    <n v="14"/>
    <x v="1"/>
    <n v="547.79"/>
    <n v="958.76"/>
    <s v="Returning"/>
    <n v="7.0000000000000007E-2"/>
    <s v="Credit Card"/>
    <s v="Retail"/>
    <x v="0"/>
  </r>
  <r>
    <n v="1099"/>
    <s v="Chest"/>
    <d v="2023-10-13T00:00:00"/>
    <x v="2"/>
    <s v="Susan Jerkins"/>
    <x v="0"/>
    <n v="7.4999999999999997E-2"/>
    <x v="297"/>
    <x v="297"/>
    <n v="14"/>
    <x v="1"/>
    <n v="1996.64"/>
    <n v="2341.4699999999998"/>
    <s v="Returning"/>
    <n v="0.22"/>
    <s v="Credit Card"/>
    <s v="Online"/>
    <x v="0"/>
  </r>
  <r>
    <n v="1019"/>
    <s v="Apple"/>
    <d v="2023-05-24T00:00:00"/>
    <x v="3"/>
    <s v="Tracy Moore"/>
    <x v="2"/>
    <n v="0.05"/>
    <x v="298"/>
    <x v="298"/>
    <n v="13"/>
    <x v="1"/>
    <n v="3102.73"/>
    <n v="3202.68"/>
    <s v="New"/>
    <n v="0.09"/>
    <s v="Cash"/>
    <s v="Online"/>
    <x v="1"/>
  </r>
  <r>
    <n v="1048"/>
    <s v="Chaise Lounge"/>
    <d v="2023-01-19T00:00:00"/>
    <x v="0"/>
    <s v="Michael Smith"/>
    <x v="1"/>
    <n v="0.08"/>
    <x v="299"/>
    <x v="299"/>
    <n v="7"/>
    <x v="2"/>
    <n v="4310.95"/>
    <n v="4723.2"/>
    <s v="Returning"/>
    <n v="0.05"/>
    <s v="Credit Card"/>
    <s v="Retail"/>
    <x v="0"/>
  </r>
  <r>
    <n v="1080"/>
    <s v="Headphones"/>
    <d v="2023-01-18T00:00:00"/>
    <x v="2"/>
    <s v="Susan Jerkins"/>
    <x v="3"/>
    <n v="0.06"/>
    <x v="300"/>
    <x v="300"/>
    <n v="44"/>
    <x v="3"/>
    <n v="1763.67"/>
    <n v="1983.82"/>
    <s v="New"/>
    <n v="0.24"/>
    <s v="Credit Card"/>
    <s v="Online"/>
    <x v="0"/>
  </r>
  <r>
    <n v="1003"/>
    <s v="Stool"/>
    <d v="2023-09-14T00:00:00"/>
    <x v="0"/>
    <s v="Michael Smith"/>
    <x v="1"/>
    <n v="0.08"/>
    <x v="301"/>
    <x v="301"/>
    <n v="15"/>
    <x v="2"/>
    <n v="3286.24"/>
    <n v="3388.8399999999901"/>
    <s v="Returning"/>
    <n v="0.09"/>
    <s v="Credit Card"/>
    <s v="Retail"/>
    <x v="1"/>
  </r>
  <r>
    <n v="1020"/>
    <s v="Apron"/>
    <d v="2023-03-19T00:00:00"/>
    <x v="3"/>
    <s v="Tracy Moore"/>
    <x v="1"/>
    <n v="0.08"/>
    <x v="302"/>
    <x v="302"/>
    <n v="19"/>
    <x v="1"/>
    <n v="1783.48"/>
    <n v="1931.56"/>
    <s v="Returning"/>
    <n v="0.27"/>
    <s v="Bank Transfer"/>
    <s v="Retail"/>
    <x v="0"/>
  </r>
  <r>
    <n v="1024"/>
    <s v="Pasta Pack"/>
    <d v="2023-06-24T00:00:00"/>
    <x v="4"/>
    <s v="Scott Wayne"/>
    <x v="0"/>
    <n v="7.4999999999999997E-2"/>
    <x v="303"/>
    <x v="303"/>
    <n v="43"/>
    <x v="2"/>
    <n v="3105.24"/>
    <n v="3246.33"/>
    <s v="New"/>
    <n v="0.25"/>
    <s v="Cash"/>
    <s v="Online"/>
    <x v="0"/>
  </r>
  <r>
    <n v="1054"/>
    <s v="Glider"/>
    <d v="2023-07-13T00:00:00"/>
    <x v="4"/>
    <s v="Scott Wayne"/>
    <x v="2"/>
    <n v="0.05"/>
    <x v="304"/>
    <x v="304"/>
    <n v="47"/>
    <x v="1"/>
    <n v="4429.8"/>
    <n v="4694.21"/>
    <s v="New"/>
    <n v="0.25"/>
    <s v="Bank Transfer"/>
    <s v="Online"/>
    <x v="0"/>
  </r>
  <r>
    <n v="1033"/>
    <s v="TV Stand"/>
    <d v="2023-04-23T00:00:00"/>
    <x v="2"/>
    <s v="Susan Jerkins"/>
    <x v="3"/>
    <n v="0.06"/>
    <x v="305"/>
    <x v="305"/>
    <n v="44"/>
    <x v="3"/>
    <n v="1195.22"/>
    <n v="1320.06"/>
    <s v="Returning"/>
    <n v="0.23"/>
    <s v="Bank Transfer"/>
    <s v="Retail"/>
    <x v="0"/>
  </r>
  <r>
    <n v="1024"/>
    <s v="Pasta Pack"/>
    <d v="2023-04-24T00:00:00"/>
    <x v="1"/>
    <s v="Hogan Rock"/>
    <x v="0"/>
    <n v="7.4999999999999997E-2"/>
    <x v="306"/>
    <x v="306"/>
    <n v="35"/>
    <x v="0"/>
    <n v="2051"/>
    <n v="2121.5500000000002"/>
    <s v="Returning"/>
    <n v="0.26"/>
    <s v="Cash"/>
    <s v="Retail"/>
    <x v="1"/>
  </r>
  <r>
    <n v="1075"/>
    <s v="Bookshelf"/>
    <d v="2023-08-10T00:00:00"/>
    <x v="2"/>
    <s v="Susan Jerkins"/>
    <x v="0"/>
    <n v="7.4999999999999997E-2"/>
    <x v="307"/>
    <x v="307"/>
    <n v="17"/>
    <x v="3"/>
    <n v="4966.66"/>
    <n v="5037.2699999999904"/>
    <s v="Returning"/>
    <n v="0.24"/>
    <s v="Bank Transfer"/>
    <s v="Retail"/>
    <x v="0"/>
  </r>
  <r>
    <n v="1072"/>
    <s v="T-Shirt"/>
    <d v="2023-06-15T00:00:00"/>
    <x v="1"/>
    <s v="Hogan Rock"/>
    <x v="0"/>
    <n v="7.4999999999999997E-2"/>
    <x v="308"/>
    <x v="308"/>
    <n v="35"/>
    <x v="3"/>
    <n v="4349.3599999999997"/>
    <n v="4645.17"/>
    <s v="Returning"/>
    <n v="0.18"/>
    <s v="Credit Card"/>
    <s v="Retail"/>
    <x v="0"/>
  </r>
  <r>
    <n v="1036"/>
    <s v="Shorts"/>
    <d v="2023-11-15T00:00:00"/>
    <x v="0"/>
    <s v="Michael Smith"/>
    <x v="1"/>
    <n v="0.08"/>
    <x v="309"/>
    <x v="309"/>
    <n v="19"/>
    <x v="0"/>
    <n v="2844.97"/>
    <n v="3215"/>
    <s v="Returning"/>
    <n v="0.09"/>
    <s v="Credit Card"/>
    <s v="Retail"/>
    <x v="0"/>
  </r>
  <r>
    <n v="1038"/>
    <s v="Jean Pants"/>
    <d v="2023-05-12T00:00:00"/>
    <x v="0"/>
    <s v="Michael Smith"/>
    <x v="2"/>
    <n v="0.05"/>
    <x v="310"/>
    <x v="310"/>
    <n v="20"/>
    <x v="2"/>
    <n v="2607.31"/>
    <n v="2774.86"/>
    <s v="New"/>
    <n v="0.27"/>
    <s v="Credit Card"/>
    <s v="Retail"/>
    <x v="0"/>
  </r>
  <r>
    <n v="1084"/>
    <s v="Card Table"/>
    <d v="2023-09-21T00:00:00"/>
    <x v="3"/>
    <s v="Tracy Moore"/>
    <x v="2"/>
    <n v="0.05"/>
    <x v="311"/>
    <x v="311"/>
    <n v="36"/>
    <x v="0"/>
    <n v="1458.77"/>
    <n v="1485.75"/>
    <s v="New"/>
    <n v="0.25"/>
    <s v="Credit Card"/>
    <s v="Online"/>
    <x v="1"/>
  </r>
  <r>
    <n v="1099"/>
    <s v="Chest"/>
    <d v="2023-02-24T00:00:00"/>
    <x v="1"/>
    <s v="Hogan Rock"/>
    <x v="3"/>
    <n v="0.06"/>
    <x v="312"/>
    <x v="312"/>
    <n v="35"/>
    <x v="2"/>
    <n v="2610.19"/>
    <n v="2682.53"/>
    <s v="New"/>
    <n v="0.14000000000000001"/>
    <s v="Cash"/>
    <s v="Retail"/>
    <x v="0"/>
  </r>
  <r>
    <n v="1089"/>
    <s v="Recliner"/>
    <d v="2023-12-25T00:00:00"/>
    <x v="3"/>
    <s v="Tracy Moore"/>
    <x v="2"/>
    <n v="0.05"/>
    <x v="313"/>
    <x v="313"/>
    <n v="32"/>
    <x v="2"/>
    <n v="4248.5"/>
    <n v="4706.7"/>
    <s v="New"/>
    <n v="0.01"/>
    <s v="Bank Transfer"/>
    <s v="Retail"/>
    <x v="1"/>
  </r>
  <r>
    <n v="1099"/>
    <s v="Chest"/>
    <d v="2023-05-11T00:00:00"/>
    <x v="4"/>
    <s v="Scott Wayne"/>
    <x v="2"/>
    <n v="0.05"/>
    <x v="314"/>
    <x v="314"/>
    <n v="48"/>
    <x v="1"/>
    <n v="3441.61"/>
    <n v="3693.45"/>
    <s v="Returning"/>
    <n v="0.19"/>
    <s v="Bank Transfer"/>
    <s v="Online"/>
    <x v="1"/>
  </r>
  <r>
    <n v="1025"/>
    <s v="Mayonnaise"/>
    <d v="2023-10-15T00:00:00"/>
    <x v="1"/>
    <s v="Hogan Rock"/>
    <x v="0"/>
    <n v="7.4999999999999997E-2"/>
    <x v="315"/>
    <x v="315"/>
    <n v="44"/>
    <x v="1"/>
    <n v="1485.72"/>
    <n v="1717.97"/>
    <s v="New"/>
    <n v="0.02"/>
    <s v="Credit Card"/>
    <s v="Retail"/>
    <x v="1"/>
  </r>
  <r>
    <n v="1093"/>
    <s v="Dining Table"/>
    <d v="2023-09-23T00:00:00"/>
    <x v="2"/>
    <s v="Susan Jerkins"/>
    <x v="0"/>
    <n v="7.4999999999999997E-2"/>
    <x v="316"/>
    <x v="316"/>
    <n v="40"/>
    <x v="0"/>
    <n v="1047.25"/>
    <n v="1075.8900000000001"/>
    <s v="New"/>
    <n v="0.28000000000000003"/>
    <s v="Credit Card"/>
    <s v="Retail"/>
    <x v="0"/>
  </r>
  <r>
    <n v="1018"/>
    <s v="Dress Shirt"/>
    <d v="2024-01-01T00:00:00"/>
    <x v="4"/>
    <s v="Scott Wayne"/>
    <x v="1"/>
    <n v="0.08"/>
    <x v="317"/>
    <x v="317"/>
    <n v="24"/>
    <x v="3"/>
    <n v="1362.78"/>
    <n v="1729.81"/>
    <s v="New"/>
    <n v="0.28999999999999998"/>
    <s v="Bank Transfer"/>
    <s v="Online"/>
    <x v="0"/>
  </r>
  <r>
    <n v="1082"/>
    <s v="USB Drive"/>
    <d v="2023-06-11T00:00:00"/>
    <x v="4"/>
    <s v="Scott Wayne"/>
    <x v="0"/>
    <n v="7.4999999999999997E-2"/>
    <x v="318"/>
    <x v="318"/>
    <n v="17"/>
    <x v="0"/>
    <n v="890.31"/>
    <n v="1159.06"/>
    <s v="Returning"/>
    <n v="0.06"/>
    <s v="Cash"/>
    <s v="Retail"/>
    <x v="0"/>
  </r>
  <r>
    <n v="1066"/>
    <s v="Armoire"/>
    <d v="2023-03-28T00:00:00"/>
    <x v="2"/>
    <s v="Susan Jerkins"/>
    <x v="0"/>
    <n v="7.4999999999999997E-2"/>
    <x v="319"/>
    <x v="319"/>
    <n v="7"/>
    <x v="2"/>
    <n v="523.41999999999996"/>
    <n v="632.43999999999903"/>
    <s v="New"/>
    <n v="0.2"/>
    <s v="Bank Transfer"/>
    <s v="Online"/>
    <x v="0"/>
  </r>
  <r>
    <n v="1054"/>
    <s v="Glider"/>
    <d v="2023-02-24T00:00:00"/>
    <x v="4"/>
    <s v="Scott Wayne"/>
    <x v="0"/>
    <n v="7.4999999999999997E-2"/>
    <x v="320"/>
    <x v="320"/>
    <n v="43"/>
    <x v="1"/>
    <n v="2124.7199999999998"/>
    <n v="2188.66"/>
    <s v="Returning"/>
    <n v="0.03"/>
    <s v="Credit Card"/>
    <s v="Retail"/>
    <x v="0"/>
  </r>
  <r>
    <n v="1035"/>
    <s v="Doughnut"/>
    <d v="2023-10-15T00:00:00"/>
    <x v="1"/>
    <s v="Hogan Rock"/>
    <x v="0"/>
    <n v="7.4999999999999997E-2"/>
    <x v="321"/>
    <x v="321"/>
    <n v="1"/>
    <x v="0"/>
    <n v="610.83000000000004"/>
    <n v="808.69"/>
    <s v="New"/>
    <n v="0.22"/>
    <s v="Credit Card"/>
    <s v="Online"/>
    <x v="0"/>
  </r>
  <r>
    <n v="1080"/>
    <s v="Headphones"/>
    <d v="2023-06-27T00:00:00"/>
    <x v="3"/>
    <s v="Tracy Moore"/>
    <x v="1"/>
    <n v="0.08"/>
    <x v="322"/>
    <x v="322"/>
    <n v="35"/>
    <x v="0"/>
    <n v="900.97"/>
    <n v="1321.18"/>
    <s v="Returning"/>
    <n v="0.1"/>
    <s v="Cash"/>
    <s v="Online"/>
    <x v="0"/>
  </r>
  <r>
    <n v="1061"/>
    <s v="Laptop"/>
    <d v="2023-12-15T00:00:00"/>
    <x v="4"/>
    <s v="Scott Wayne"/>
    <x v="0"/>
    <n v="7.4999999999999997E-2"/>
    <x v="323"/>
    <x v="323"/>
    <n v="32"/>
    <x v="1"/>
    <n v="2759.26"/>
    <n v="3193.25"/>
    <s v="New"/>
    <n v="0.2"/>
    <s v="Bank Transfer"/>
    <s v="Online"/>
    <x v="1"/>
  </r>
  <r>
    <n v="1041"/>
    <s v="Bread"/>
    <d v="2023-01-08T00:00:00"/>
    <x v="1"/>
    <s v="Hogan Rock"/>
    <x v="3"/>
    <n v="0.06"/>
    <x v="324"/>
    <x v="324"/>
    <n v="36"/>
    <x v="1"/>
    <n v="864.77"/>
    <n v="1170.1599999999901"/>
    <s v="Returning"/>
    <n v="0.11"/>
    <s v="Cash"/>
    <s v="Retail"/>
    <x v="1"/>
  </r>
  <r>
    <n v="1100"/>
    <s v="Protein Cookies"/>
    <d v="2023-11-17T00:00:00"/>
    <x v="0"/>
    <s v="Michael Smith"/>
    <x v="3"/>
    <n v="0.06"/>
    <x v="325"/>
    <x v="325"/>
    <n v="13"/>
    <x v="1"/>
    <n v="366.2"/>
    <n v="732.69"/>
    <s v="New"/>
    <n v="0.04"/>
    <s v="Cash"/>
    <s v="Retail"/>
    <x v="0"/>
  </r>
  <r>
    <n v="1033"/>
    <s v="TV Stand"/>
    <d v="2023-11-09T00:00:00"/>
    <x v="1"/>
    <s v="Hogan Rock"/>
    <x v="3"/>
    <n v="0.06"/>
    <x v="326"/>
    <x v="326"/>
    <n v="6"/>
    <x v="2"/>
    <n v="1621.07"/>
    <n v="1687.5"/>
    <s v="Returning"/>
    <n v="0.12"/>
    <s v="Credit Card"/>
    <s v="Online"/>
    <x v="0"/>
  </r>
  <r>
    <n v="1068"/>
    <s v="Leggings"/>
    <d v="2023-09-04T00:00:00"/>
    <x v="3"/>
    <s v="Tracy Moore"/>
    <x v="3"/>
    <n v="0.06"/>
    <x v="327"/>
    <x v="327"/>
    <n v="14"/>
    <x v="1"/>
    <n v="1140.58"/>
    <n v="1438.76"/>
    <s v="Returning"/>
    <n v="0.03"/>
    <s v="Bank Transfer"/>
    <s v="Online"/>
    <x v="1"/>
  </r>
  <r>
    <n v="1033"/>
    <s v="TV Stand"/>
    <d v="2023-11-19T00:00:00"/>
    <x v="1"/>
    <s v="Hogan Rock"/>
    <x v="0"/>
    <n v="7.4999999999999997E-2"/>
    <x v="328"/>
    <x v="328"/>
    <n v="37"/>
    <x v="3"/>
    <n v="2600.7600000000002"/>
    <n v="2937.57"/>
    <s v="New"/>
    <n v="0.17"/>
    <s v="Credit Card"/>
    <s v="Retail"/>
    <x v="1"/>
  </r>
  <r>
    <n v="1014"/>
    <s v="Cheese Block"/>
    <d v="2023-09-12T00:00:00"/>
    <x v="2"/>
    <s v="Susan Jerkins"/>
    <x v="3"/>
    <n v="0.06"/>
    <x v="329"/>
    <x v="329"/>
    <n v="48"/>
    <x v="0"/>
    <n v="556.72"/>
    <n v="665.07"/>
    <s v="Returning"/>
    <n v="0.01"/>
    <s v="Bank Transfer"/>
    <s v="Retail"/>
    <x v="0"/>
  </r>
  <r>
    <n v="1021"/>
    <s v="Almond Milk"/>
    <d v="2023-11-24T00:00:00"/>
    <x v="3"/>
    <s v="Tracy Moore"/>
    <x v="0"/>
    <n v="7.4999999999999997E-2"/>
    <x v="330"/>
    <x v="330"/>
    <n v="15"/>
    <x v="1"/>
    <n v="3771.27"/>
    <n v="4212.55"/>
    <s v="Returning"/>
    <n v="0.16"/>
    <s v="Credit Card"/>
    <s v="Retail"/>
    <x v="1"/>
  </r>
  <r>
    <n v="1048"/>
    <s v="Chaise Lounge"/>
    <d v="2023-02-23T00:00:00"/>
    <x v="0"/>
    <s v="Michael Smith"/>
    <x v="1"/>
    <n v="0.08"/>
    <x v="331"/>
    <x v="331"/>
    <n v="47"/>
    <x v="1"/>
    <n v="4535.8599999999997"/>
    <n v="4641.41"/>
    <s v="New"/>
    <n v="0.27"/>
    <s v="Credit Card"/>
    <s v="Retail"/>
    <x v="0"/>
  </r>
  <r>
    <n v="1020"/>
    <s v="Apron"/>
    <d v="2023-09-06T00:00:00"/>
    <x v="2"/>
    <s v="Susan Jerkins"/>
    <x v="3"/>
    <n v="0.06"/>
    <x v="332"/>
    <x v="332"/>
    <n v="4"/>
    <x v="2"/>
    <n v="3730"/>
    <n v="3893.6"/>
    <s v="New"/>
    <n v="0.25"/>
    <s v="Bank Transfer"/>
    <s v="Retail"/>
    <x v="0"/>
  </r>
  <r>
    <n v="1008"/>
    <s v="Skirt"/>
    <d v="2023-08-27T00:00:00"/>
    <x v="1"/>
    <s v="Hogan Rock"/>
    <x v="2"/>
    <n v="0.05"/>
    <x v="333"/>
    <x v="333"/>
    <n v="40"/>
    <x v="2"/>
    <n v="2687.49"/>
    <n v="3001.56"/>
    <s v="Returning"/>
    <n v="0.26"/>
    <s v="Bank Transfer"/>
    <s v="Online"/>
    <x v="1"/>
  </r>
  <r>
    <n v="1007"/>
    <s v="Fruit Jam"/>
    <d v="2023-08-17T00:00:00"/>
    <x v="3"/>
    <s v="Tracy Moore"/>
    <x v="3"/>
    <n v="0.06"/>
    <x v="334"/>
    <x v="334"/>
    <n v="16"/>
    <x v="0"/>
    <n v="4310.3100000000004"/>
    <n v="4633.1000000000004"/>
    <s v="New"/>
    <n v="0.28000000000000003"/>
    <s v="Credit Card"/>
    <s v="Retail"/>
    <x v="1"/>
  </r>
  <r>
    <n v="1067"/>
    <s v="Grapes"/>
    <d v="2023-03-08T00:00:00"/>
    <x v="0"/>
    <s v="Michael Smith"/>
    <x v="3"/>
    <n v="0.06"/>
    <x v="335"/>
    <x v="335"/>
    <n v="28"/>
    <x v="3"/>
    <n v="3489.85"/>
    <n v="3842.5499999999902"/>
    <s v="New"/>
    <n v="0.03"/>
    <s v="Bank Transfer"/>
    <s v="Online"/>
    <x v="0"/>
  </r>
  <r>
    <n v="1017"/>
    <s v="Peaches"/>
    <d v="2023-02-20T00:00:00"/>
    <x v="2"/>
    <s v="Susan Jerkins"/>
    <x v="0"/>
    <n v="7.4999999999999997E-2"/>
    <x v="336"/>
    <x v="336"/>
    <n v="16"/>
    <x v="0"/>
    <n v="102.23"/>
    <n v="167.12"/>
    <s v="New"/>
    <n v="0.04"/>
    <s v="Credit Card"/>
    <s v="Retail"/>
    <x v="0"/>
  </r>
  <r>
    <n v="1033"/>
    <s v="TV Stand"/>
    <d v="2023-04-07T00:00:00"/>
    <x v="0"/>
    <s v="Michael Smith"/>
    <x v="3"/>
    <n v="0.06"/>
    <x v="337"/>
    <x v="337"/>
    <n v="4"/>
    <x v="1"/>
    <n v="2000.75"/>
    <n v="2426.9899999999998"/>
    <s v="Returning"/>
    <n v="0.17"/>
    <s v="Bank Transfer"/>
    <s v="Online"/>
    <x v="0"/>
  </r>
  <r>
    <n v="1048"/>
    <s v="Chaise Lounge"/>
    <d v="2023-04-02T00:00:00"/>
    <x v="1"/>
    <s v="Hogan Rock"/>
    <x v="2"/>
    <n v="0.05"/>
    <x v="338"/>
    <x v="338"/>
    <n v="45"/>
    <x v="3"/>
    <n v="4262.21"/>
    <n v="4533.3100000000004"/>
    <s v="Returning"/>
    <n v="0.27"/>
    <s v="Credit Card"/>
    <s v="Online"/>
    <x v="0"/>
  </r>
  <r>
    <n v="1076"/>
    <s v="Polo Shirt"/>
    <d v="2023-09-21T00:00:00"/>
    <x v="0"/>
    <s v="Michael Smith"/>
    <x v="0"/>
    <n v="7.4999999999999997E-2"/>
    <x v="339"/>
    <x v="339"/>
    <n v="26"/>
    <x v="3"/>
    <n v="1762"/>
    <n v="2002.95"/>
    <s v="Returning"/>
    <n v="0.28999999999999998"/>
    <s v="Credit Card"/>
    <s v="Retail"/>
    <x v="1"/>
  </r>
  <r>
    <n v="1059"/>
    <s v="Coffee Beans"/>
    <d v="2023-10-18T00:00:00"/>
    <x v="4"/>
    <s v="Scott Wayne"/>
    <x v="0"/>
    <n v="7.4999999999999997E-2"/>
    <x v="340"/>
    <x v="340"/>
    <n v="28"/>
    <x v="3"/>
    <n v="224.32"/>
    <n v="715.06"/>
    <s v="Returning"/>
    <n v="0.01"/>
    <s v="Credit Card"/>
    <s v="Online"/>
    <x v="0"/>
  </r>
  <r>
    <n v="1086"/>
    <s v="Gaming Console"/>
    <d v="2023-04-06T00:00:00"/>
    <x v="2"/>
    <s v="Susan Jerkins"/>
    <x v="1"/>
    <n v="0.08"/>
    <x v="341"/>
    <x v="341"/>
    <n v="32"/>
    <x v="3"/>
    <n v="3743.59"/>
    <n v="4116.38"/>
    <s v="Returning"/>
    <n v="0.11"/>
    <s v="Cash"/>
    <s v="Online"/>
    <x v="0"/>
  </r>
  <r>
    <n v="1022"/>
    <s v="Organic Honey"/>
    <d v="2023-03-29T00:00:00"/>
    <x v="0"/>
    <s v="Michael Smith"/>
    <x v="1"/>
    <n v="0.08"/>
    <x v="342"/>
    <x v="342"/>
    <n v="45"/>
    <x v="0"/>
    <n v="4020.09"/>
    <n v="4087.91"/>
    <s v="Returning"/>
    <n v="0.06"/>
    <s v="Bank Transfer"/>
    <s v="Online"/>
    <x v="0"/>
  </r>
  <r>
    <n v="1030"/>
    <s v="Jeans"/>
    <d v="2023-03-19T00:00:00"/>
    <x v="1"/>
    <s v="Hogan Rock"/>
    <x v="3"/>
    <n v="0.06"/>
    <x v="343"/>
    <x v="343"/>
    <n v="2"/>
    <x v="2"/>
    <n v="844.94"/>
    <n v="1225.6400000000001"/>
    <s v="Returning"/>
    <n v="0.23"/>
    <s v="Credit Card"/>
    <s v="Online"/>
    <x v="1"/>
  </r>
  <r>
    <n v="1038"/>
    <s v="Jean Pants"/>
    <d v="2023-10-15T00:00:00"/>
    <x v="1"/>
    <s v="Hogan Rock"/>
    <x v="1"/>
    <n v="0.08"/>
    <x v="344"/>
    <x v="344"/>
    <n v="31"/>
    <x v="2"/>
    <n v="2709.84"/>
    <n v="2766.51"/>
    <s v="New"/>
    <n v="0.19"/>
    <s v="Cash"/>
    <s v="Retail"/>
    <x v="0"/>
  </r>
  <r>
    <n v="1051"/>
    <s v="Tablet"/>
    <d v="2023-04-30T00:00:00"/>
    <x v="0"/>
    <s v="Michael Smith"/>
    <x v="1"/>
    <n v="0.08"/>
    <x v="345"/>
    <x v="345"/>
    <n v="3"/>
    <x v="1"/>
    <n v="1000.18"/>
    <n v="1023.64"/>
    <s v="Returning"/>
    <n v="0.04"/>
    <s v="Credit Card"/>
    <s v="Online"/>
    <x v="0"/>
  </r>
  <r>
    <n v="1054"/>
    <s v="Glider"/>
    <d v="2023-10-29T00:00:00"/>
    <x v="1"/>
    <s v="Hogan Rock"/>
    <x v="1"/>
    <n v="0.08"/>
    <x v="346"/>
    <x v="346"/>
    <n v="8"/>
    <x v="2"/>
    <n v="3610.21"/>
    <n v="3817.99"/>
    <s v="Returning"/>
    <n v="0.15"/>
    <s v="Cash"/>
    <s v="Retail"/>
    <x v="1"/>
  </r>
  <r>
    <n v="1008"/>
    <s v="Skirt"/>
    <d v="2023-06-14T00:00:00"/>
    <x v="3"/>
    <s v="Tracy Moore"/>
    <x v="0"/>
    <n v="7.4999999999999997E-2"/>
    <x v="347"/>
    <x v="347"/>
    <n v="24"/>
    <x v="2"/>
    <n v="1394.17"/>
    <n v="1891.02"/>
    <s v="New"/>
    <n v="0.21"/>
    <s v="Credit Card"/>
    <s v="Online"/>
    <x v="1"/>
  </r>
  <r>
    <n v="1027"/>
    <s v="Cookies"/>
    <d v="2023-07-01T00:00:00"/>
    <x v="3"/>
    <s v="Tracy Moore"/>
    <x v="0"/>
    <n v="7.4999999999999997E-2"/>
    <x v="348"/>
    <x v="348"/>
    <n v="15"/>
    <x v="2"/>
    <n v="1615.26"/>
    <n v="1710.95"/>
    <s v="New"/>
    <n v="0.23"/>
    <s v="Credit Card"/>
    <s v="Retail"/>
    <x v="0"/>
  </r>
  <r>
    <n v="1027"/>
    <s v="Cookies"/>
    <d v="2023-08-11T00:00:00"/>
    <x v="3"/>
    <s v="Tracy Moore"/>
    <x v="0"/>
    <n v="7.4999999999999997E-2"/>
    <x v="349"/>
    <x v="349"/>
    <n v="43"/>
    <x v="2"/>
    <n v="4232.6099999999997"/>
    <n v="4572.21"/>
    <s v="New"/>
    <n v="0.01"/>
    <s v="Cash"/>
    <s v="Retail"/>
    <x v="1"/>
  </r>
  <r>
    <n v="1098"/>
    <s v="File Cabinet"/>
    <d v="2023-11-07T00:00:00"/>
    <x v="4"/>
    <s v="Scott Wayne"/>
    <x v="1"/>
    <n v="0.08"/>
    <x v="350"/>
    <x v="350"/>
    <n v="31"/>
    <x v="1"/>
    <n v="2407.8000000000002"/>
    <n v="2502.7600000000002"/>
    <s v="Returning"/>
    <n v="0.27"/>
    <s v="Cash"/>
    <s v="Retail"/>
    <x v="1"/>
  </r>
  <r>
    <n v="1021"/>
    <s v="Almond Milk"/>
    <d v="2023-01-07T00:00:00"/>
    <x v="0"/>
    <s v="Michael Smith"/>
    <x v="0"/>
    <n v="7.4999999999999997E-2"/>
    <x v="351"/>
    <x v="351"/>
    <n v="9"/>
    <x v="0"/>
    <n v="3365.28"/>
    <n v="3730.43"/>
    <s v="New"/>
    <n v="0.17"/>
    <s v="Bank Transfer"/>
    <s v="Online"/>
    <x v="1"/>
  </r>
  <r>
    <n v="1030"/>
    <s v="Jeans"/>
    <d v="2023-11-26T00:00:00"/>
    <x v="4"/>
    <s v="Scott Wayne"/>
    <x v="1"/>
    <n v="0.08"/>
    <x v="352"/>
    <x v="352"/>
    <n v="39"/>
    <x v="3"/>
    <n v="2041.75"/>
    <n v="2299.37"/>
    <s v="Returning"/>
    <n v="0.24"/>
    <s v="Bank Transfer"/>
    <s v="Retail"/>
    <x v="0"/>
  </r>
  <r>
    <n v="1097"/>
    <s v="Freezer"/>
    <d v="2023-09-20T00:00:00"/>
    <x v="1"/>
    <s v="Hogan Rock"/>
    <x v="0"/>
    <n v="7.4999999999999997E-2"/>
    <x v="353"/>
    <x v="353"/>
    <n v="45"/>
    <x v="2"/>
    <n v="1525.13"/>
    <n v="1868.32"/>
    <s v="Returning"/>
    <n v="0.24"/>
    <s v="Cash"/>
    <s v="Retail"/>
    <x v="0"/>
  </r>
  <r>
    <n v="1028"/>
    <s v="Pyjamas"/>
    <d v="2023-06-10T00:00:00"/>
    <x v="4"/>
    <s v="Scott Wayne"/>
    <x v="0"/>
    <n v="7.4999999999999997E-2"/>
    <x v="354"/>
    <x v="354"/>
    <n v="2"/>
    <x v="0"/>
    <n v="3146.12"/>
    <n v="3255.5299999999902"/>
    <s v="Returning"/>
    <n v="0.06"/>
    <s v="Bank Transfer"/>
    <s v="Online"/>
    <x v="0"/>
  </r>
  <r>
    <n v="1064"/>
    <s v="Smartphone"/>
    <d v="2023-05-31T00:00:00"/>
    <x v="1"/>
    <s v="Hogan Rock"/>
    <x v="2"/>
    <n v="0.05"/>
    <x v="355"/>
    <x v="355"/>
    <n v="8"/>
    <x v="2"/>
    <n v="816.54"/>
    <n v="1191.9000000000001"/>
    <s v="New"/>
    <n v="0.03"/>
    <s v="Cash"/>
    <s v="Retail"/>
    <x v="1"/>
  </r>
  <r>
    <n v="1097"/>
    <s v="Freezer"/>
    <d v="2023-03-26T00:00:00"/>
    <x v="1"/>
    <s v="Hogan Rock"/>
    <x v="3"/>
    <n v="0.06"/>
    <x v="356"/>
    <x v="356"/>
    <n v="7"/>
    <x v="2"/>
    <n v="1896.35"/>
    <n v="2394.1999999999998"/>
    <s v="New"/>
    <n v="0.22"/>
    <s v="Bank Transfer"/>
    <s v="Online"/>
    <x v="0"/>
  </r>
  <r>
    <n v="1069"/>
    <s v="Suit"/>
    <d v="2023-05-27T00:00:00"/>
    <x v="2"/>
    <s v="Susan Jerkins"/>
    <x v="1"/>
    <n v="0.08"/>
    <x v="357"/>
    <x v="357"/>
    <n v="44"/>
    <x v="3"/>
    <n v="1084.73"/>
    <n v="1420.9"/>
    <s v="Returning"/>
    <n v="0.05"/>
    <s v="Credit Card"/>
    <s v="Online"/>
    <x v="0"/>
  </r>
  <r>
    <n v="1061"/>
    <s v="Laptop"/>
    <d v="2023-04-22T00:00:00"/>
    <x v="3"/>
    <s v="Tracy Moore"/>
    <x v="2"/>
    <n v="0.05"/>
    <x v="358"/>
    <x v="358"/>
    <n v="39"/>
    <x v="3"/>
    <n v="3494.19"/>
    <n v="3746"/>
    <s v="Returning"/>
    <n v="0.25"/>
    <s v="Bank Transfer"/>
    <s v="Retail"/>
    <x v="0"/>
  </r>
  <r>
    <n v="1048"/>
    <s v="Chaise Lounge"/>
    <d v="2023-02-05T00:00:00"/>
    <x v="1"/>
    <s v="Hogan Rock"/>
    <x v="0"/>
    <n v="7.4999999999999997E-2"/>
    <x v="359"/>
    <x v="359"/>
    <n v="42"/>
    <x v="3"/>
    <n v="4723.83"/>
    <n v="5186.1899999999996"/>
    <s v="Returning"/>
    <n v="0.22"/>
    <s v="Credit Card"/>
    <s v="Online"/>
    <x v="0"/>
  </r>
  <r>
    <n v="1019"/>
    <s v="Apple"/>
    <d v="2023-10-12T00:00:00"/>
    <x v="2"/>
    <s v="Susan Jerkins"/>
    <x v="1"/>
    <n v="0.08"/>
    <x v="360"/>
    <x v="360"/>
    <n v="16"/>
    <x v="2"/>
    <n v="4977.78"/>
    <n v="4995.55"/>
    <s v="New"/>
    <n v="0.25"/>
    <s v="Credit Card"/>
    <s v="Online"/>
    <x v="1"/>
  </r>
  <r>
    <n v="1004"/>
    <s v="Smartwatch"/>
    <d v="2023-07-07T00:00:00"/>
    <x v="3"/>
    <s v="Tracy Moore"/>
    <x v="0"/>
    <n v="7.4999999999999997E-2"/>
    <x v="361"/>
    <x v="361"/>
    <n v="35"/>
    <x v="2"/>
    <n v="2278.87"/>
    <n v="2646.5299999999902"/>
    <s v="Returning"/>
    <n v="0.09"/>
    <s v="Bank Transfer"/>
    <s v="Online"/>
    <x v="0"/>
  </r>
  <r>
    <n v="1035"/>
    <s v="Doughnut"/>
    <d v="2023-03-23T00:00:00"/>
    <x v="1"/>
    <s v="Hogan Rock"/>
    <x v="3"/>
    <n v="0.06"/>
    <x v="362"/>
    <x v="362"/>
    <n v="30"/>
    <x v="2"/>
    <n v="1300.03"/>
    <n v="1745.52"/>
    <s v="New"/>
    <n v="0.09"/>
    <s v="Cash"/>
    <s v="Retail"/>
    <x v="1"/>
  </r>
  <r>
    <n v="1064"/>
    <s v="Smartphone"/>
    <d v="2023-01-02T00:00:00"/>
    <x v="1"/>
    <s v="Hogan Rock"/>
    <x v="2"/>
    <n v="0.05"/>
    <x v="363"/>
    <x v="363"/>
    <n v="10"/>
    <x v="3"/>
    <n v="2242.0100000000002"/>
    <n v="2282.23"/>
    <s v="Returning"/>
    <n v="0.2"/>
    <s v="Credit Card"/>
    <s v="Online"/>
    <x v="0"/>
  </r>
  <r>
    <n v="1049"/>
    <s v="Coffee Table"/>
    <d v="2023-10-30T00:00:00"/>
    <x v="4"/>
    <s v="Scott Wayne"/>
    <x v="3"/>
    <n v="0.06"/>
    <x v="364"/>
    <x v="364"/>
    <n v="38"/>
    <x v="1"/>
    <n v="4243.9799999999996"/>
    <n v="4474.5099999999902"/>
    <s v="New"/>
    <n v="0.01"/>
    <s v="Credit Card"/>
    <s v="Online"/>
    <x v="1"/>
  </r>
  <r>
    <n v="1017"/>
    <s v="Peaches"/>
    <d v="2023-07-16T00:00:00"/>
    <x v="4"/>
    <s v="Scott Wayne"/>
    <x v="2"/>
    <n v="0.05"/>
    <x v="365"/>
    <x v="365"/>
    <n v="18"/>
    <x v="0"/>
    <n v="1069.73"/>
    <n v="1180.04"/>
    <s v="Returning"/>
    <n v="0.22"/>
    <s v="Bank Transfer"/>
    <s v="Online"/>
    <x v="1"/>
  </r>
  <r>
    <n v="1044"/>
    <s v="Burger"/>
    <d v="2023-01-11T00:00:00"/>
    <x v="3"/>
    <s v="Tracy Moore"/>
    <x v="0"/>
    <n v="7.4999999999999997E-2"/>
    <x v="366"/>
    <x v="366"/>
    <n v="5"/>
    <x v="1"/>
    <n v="4762.87"/>
    <n v="5050.46"/>
    <s v="New"/>
    <n v="0.25"/>
    <s v="Cash"/>
    <s v="Retail"/>
    <x v="1"/>
  </r>
  <r>
    <n v="1092"/>
    <s v="Recliner"/>
    <d v="2023-08-22T00:00:00"/>
    <x v="1"/>
    <s v="Hogan Rock"/>
    <x v="3"/>
    <n v="0.06"/>
    <x v="367"/>
    <x v="367"/>
    <n v="29"/>
    <x v="2"/>
    <n v="1742.24"/>
    <n v="2070.52"/>
    <s v="New"/>
    <n v="0.12"/>
    <s v="Cash"/>
    <s v="Online"/>
    <x v="0"/>
  </r>
  <r>
    <n v="1030"/>
    <s v="Jeans"/>
    <d v="2023-07-14T00:00:00"/>
    <x v="0"/>
    <s v="Michael Smith"/>
    <x v="3"/>
    <n v="0.06"/>
    <x v="368"/>
    <x v="368"/>
    <n v="39"/>
    <x v="2"/>
    <n v="4929.7299999999996"/>
    <n v="5088.0199999999904"/>
    <s v="New"/>
    <n v="0.23"/>
    <s v="Bank Transfer"/>
    <s v="Retail"/>
    <x v="1"/>
  </r>
  <r>
    <n v="1093"/>
    <s v="Dining Table"/>
    <d v="2023-04-29T00:00:00"/>
    <x v="4"/>
    <s v="Scott Wayne"/>
    <x v="0"/>
    <n v="7.4999999999999997E-2"/>
    <x v="369"/>
    <x v="369"/>
    <n v="34"/>
    <x v="1"/>
    <n v="4201.1099999999997"/>
    <n v="4436.5"/>
    <s v="New"/>
    <n v="0.05"/>
    <s v="Cash"/>
    <s v="Online"/>
    <x v="0"/>
  </r>
  <r>
    <n v="1046"/>
    <s v="Sweat Shirts"/>
    <d v="2023-01-20T00:00:00"/>
    <x v="3"/>
    <s v="Tracy Moore"/>
    <x v="3"/>
    <n v="0.06"/>
    <x v="370"/>
    <x v="370"/>
    <n v="43"/>
    <x v="2"/>
    <n v="4052.42"/>
    <n v="4199.3"/>
    <s v="New"/>
    <n v="0.1"/>
    <s v="Bank Transfer"/>
    <s v="Retail"/>
    <x v="1"/>
  </r>
  <r>
    <n v="1006"/>
    <s v="Monitor"/>
    <d v="2023-09-18T00:00:00"/>
    <x v="1"/>
    <s v="Hogan Rock"/>
    <x v="1"/>
    <n v="0.08"/>
    <x v="371"/>
    <x v="371"/>
    <n v="45"/>
    <x v="0"/>
    <n v="1623.63"/>
    <n v="1814.63"/>
    <s v="New"/>
    <n v="0.28999999999999998"/>
    <s v="Bank Transfer"/>
    <s v="Retail"/>
    <x v="1"/>
  </r>
  <r>
    <n v="1099"/>
    <s v="Chest"/>
    <d v="2023-10-20T00:00:00"/>
    <x v="1"/>
    <s v="Hogan Rock"/>
    <x v="2"/>
    <n v="0.05"/>
    <x v="372"/>
    <x v="372"/>
    <n v="23"/>
    <x v="2"/>
    <n v="93.45"/>
    <n v="181.62"/>
    <s v="Returning"/>
    <n v="0.3"/>
    <s v="Bank Transfer"/>
    <s v="Retail"/>
    <x v="0"/>
  </r>
  <r>
    <n v="1037"/>
    <s v="Turtleneck Top"/>
    <d v="2023-09-13T00:00:00"/>
    <x v="0"/>
    <s v="Michael Smith"/>
    <x v="2"/>
    <n v="0.05"/>
    <x v="373"/>
    <x v="373"/>
    <n v="5"/>
    <x v="0"/>
    <n v="1941.56"/>
    <n v="2385.48"/>
    <s v="Returning"/>
    <n v="0.15"/>
    <s v="Credit Card"/>
    <s v="Online"/>
    <x v="1"/>
  </r>
  <r>
    <n v="1024"/>
    <s v="Pasta Pack"/>
    <d v="2023-08-10T00:00:00"/>
    <x v="3"/>
    <s v="Tracy Moore"/>
    <x v="2"/>
    <n v="0.05"/>
    <x v="374"/>
    <x v="374"/>
    <n v="30"/>
    <x v="1"/>
    <n v="1543.96"/>
    <n v="1558.87"/>
    <s v="Returning"/>
    <n v="0.28000000000000003"/>
    <s v="Credit Card"/>
    <s v="Online"/>
    <x v="1"/>
  </r>
  <r>
    <n v="1093"/>
    <s v="Dining Table"/>
    <d v="2023-08-14T00:00:00"/>
    <x v="1"/>
    <s v="Hogan Rock"/>
    <x v="1"/>
    <n v="0.08"/>
    <x v="375"/>
    <x v="375"/>
    <n v="6"/>
    <x v="1"/>
    <n v="235.12"/>
    <n v="677.5"/>
    <s v="Returning"/>
    <n v="0.16"/>
    <s v="Credit Card"/>
    <s v="Online"/>
    <x v="0"/>
  </r>
  <r>
    <n v="1046"/>
    <s v="Sweat Shirts"/>
    <d v="2023-02-22T00:00:00"/>
    <x v="4"/>
    <s v="Scott Wayne"/>
    <x v="2"/>
    <n v="0.05"/>
    <x v="376"/>
    <x v="376"/>
    <n v="46"/>
    <x v="2"/>
    <n v="2551.56"/>
    <n v="2841.68"/>
    <s v="New"/>
    <n v="0.09"/>
    <s v="Bank Transfer"/>
    <s v="Retail"/>
    <x v="1"/>
  </r>
  <r>
    <n v="1053"/>
    <s v="Bed"/>
    <d v="2023-12-21T00:00:00"/>
    <x v="0"/>
    <s v="Michael Smith"/>
    <x v="0"/>
    <n v="7.4999999999999997E-2"/>
    <x v="377"/>
    <x v="377"/>
    <n v="44"/>
    <x v="0"/>
    <n v="2045"/>
    <n v="2217.5100000000002"/>
    <s v="Returning"/>
    <n v="0.08"/>
    <s v="Credit Card"/>
    <s v="Online"/>
    <x v="1"/>
  </r>
  <r>
    <n v="1095"/>
    <s v="Bluetooth Speaker"/>
    <d v="2023-12-08T00:00:00"/>
    <x v="3"/>
    <s v="Tracy Moore"/>
    <x v="3"/>
    <n v="0.06"/>
    <x v="378"/>
    <x v="378"/>
    <n v="4"/>
    <x v="2"/>
    <n v="3191.05"/>
    <n v="3555.35"/>
    <s v="New"/>
    <n v="0.28000000000000003"/>
    <s v="Credit Card"/>
    <s v="Online"/>
    <x v="1"/>
  </r>
  <r>
    <n v="1099"/>
    <s v="Chest"/>
    <d v="2023-12-30T00:00:00"/>
    <x v="0"/>
    <s v="Michael Smith"/>
    <x v="1"/>
    <n v="0.08"/>
    <x v="379"/>
    <x v="379"/>
    <n v="29"/>
    <x v="3"/>
    <n v="3124.87"/>
    <n v="3383.67"/>
    <s v="New"/>
    <n v="0.05"/>
    <s v="Credit Card"/>
    <s v="Retail"/>
    <x v="0"/>
  </r>
  <r>
    <n v="1060"/>
    <s v="Head Warmer"/>
    <d v="2023-10-07T00:00:00"/>
    <x v="4"/>
    <s v="Scott Wayne"/>
    <x v="2"/>
    <n v="0.05"/>
    <x v="380"/>
    <x v="380"/>
    <n v="23"/>
    <x v="3"/>
    <n v="647.70000000000005"/>
    <n v="902.26"/>
    <s v="New"/>
    <n v="0.17"/>
    <s v="Bank Transfer"/>
    <s v="Online"/>
    <x v="0"/>
  </r>
  <r>
    <n v="1097"/>
    <s v="Freezer"/>
    <d v="2023-03-22T00:00:00"/>
    <x v="3"/>
    <s v="Tracy Moore"/>
    <x v="0"/>
    <n v="7.4999999999999997E-2"/>
    <x v="381"/>
    <x v="381"/>
    <n v="6"/>
    <x v="3"/>
    <n v="4885.9799999999996"/>
    <n v="4949.95"/>
    <s v="Returning"/>
    <n v="0.17"/>
    <s v="Bank Transfer"/>
    <s v="Online"/>
    <x v="0"/>
  </r>
  <r>
    <n v="1063"/>
    <s v="Noodles"/>
    <d v="2023-07-21T00:00:00"/>
    <x v="0"/>
    <s v="Michael Smith"/>
    <x v="3"/>
    <n v="0.06"/>
    <x v="382"/>
    <x v="382"/>
    <n v="32"/>
    <x v="3"/>
    <n v="975.31"/>
    <n v="1176.17"/>
    <s v="New"/>
    <n v="0.22"/>
    <s v="Bank Transfer"/>
    <s v="Retail"/>
    <x v="0"/>
  </r>
  <r>
    <n v="1085"/>
    <s v="Settee"/>
    <d v="2023-06-07T00:00:00"/>
    <x v="2"/>
    <s v="Susan Jerkins"/>
    <x v="3"/>
    <n v="0.06"/>
    <x v="383"/>
    <x v="383"/>
    <n v="42"/>
    <x v="2"/>
    <n v="2254.11"/>
    <n v="2382.23"/>
    <s v="Returning"/>
    <n v="0.15"/>
    <s v="Credit Card"/>
    <s v="Retail"/>
    <x v="1"/>
  </r>
  <r>
    <n v="1032"/>
    <s v="Refridgerator"/>
    <d v="2023-04-30T00:00:00"/>
    <x v="4"/>
    <s v="Scott Wayne"/>
    <x v="1"/>
    <n v="0.08"/>
    <x v="384"/>
    <x v="384"/>
    <n v="18"/>
    <x v="3"/>
    <n v="2466.1799999999998"/>
    <n v="2483.87"/>
    <s v="Returning"/>
    <n v="0.08"/>
    <s v="Cash"/>
    <s v="Online"/>
    <x v="1"/>
  </r>
  <r>
    <n v="1087"/>
    <s v="Sofa Set"/>
    <d v="2023-02-28T00:00:00"/>
    <x v="4"/>
    <s v="Scott Wayne"/>
    <x v="1"/>
    <n v="0.08"/>
    <x v="385"/>
    <x v="385"/>
    <n v="15"/>
    <x v="0"/>
    <n v="4074.66"/>
    <n v="4261.1099999999997"/>
    <s v="Returning"/>
    <n v="0.05"/>
    <s v="Credit Card"/>
    <s v="Retail"/>
    <x v="0"/>
  </r>
  <r>
    <n v="1033"/>
    <s v="TV Stand"/>
    <d v="2023-08-03T00:00:00"/>
    <x v="4"/>
    <s v="Scott Wayne"/>
    <x v="1"/>
    <n v="0.08"/>
    <x v="386"/>
    <x v="386"/>
    <n v="40"/>
    <x v="1"/>
    <n v="541.19000000000005"/>
    <n v="595.20000000000005"/>
    <s v="Returning"/>
    <n v="0.19"/>
    <s v="Credit Card"/>
    <s v="Online"/>
    <x v="1"/>
  </r>
  <r>
    <n v="1067"/>
    <s v="Grapes"/>
    <d v="2023-05-08T00:00:00"/>
    <x v="2"/>
    <s v="Susan Jerkins"/>
    <x v="0"/>
    <n v="7.4999999999999997E-2"/>
    <x v="387"/>
    <x v="387"/>
    <n v="32"/>
    <x v="1"/>
    <n v="2171.79"/>
    <n v="2307.64"/>
    <s v="Returning"/>
    <n v="0.22"/>
    <s v="Bank Transfer"/>
    <s v="Online"/>
    <x v="1"/>
  </r>
  <r>
    <n v="1018"/>
    <s v="Dress Shirt"/>
    <d v="2023-08-12T00:00:00"/>
    <x v="2"/>
    <s v="Susan Jerkins"/>
    <x v="0"/>
    <n v="7.4999999999999997E-2"/>
    <x v="388"/>
    <x v="388"/>
    <n v="9"/>
    <x v="3"/>
    <n v="3161.09"/>
    <n v="3216.42"/>
    <s v="New"/>
    <n v="0.17"/>
    <s v="Bank Transfer"/>
    <s v="Online"/>
    <x v="1"/>
  </r>
  <r>
    <n v="1025"/>
    <s v="Mayonnaise"/>
    <d v="2023-07-28T00:00:00"/>
    <x v="1"/>
    <s v="Hogan Rock"/>
    <x v="1"/>
    <n v="0.08"/>
    <x v="389"/>
    <x v="389"/>
    <n v="37"/>
    <x v="3"/>
    <n v="1115.02"/>
    <n v="1174.48"/>
    <s v="New"/>
    <n v="0.22"/>
    <s v="Credit Card"/>
    <s v="Online"/>
    <x v="1"/>
  </r>
  <r>
    <n v="1095"/>
    <s v="Bluetooth Speaker"/>
    <d v="2023-04-25T00:00:00"/>
    <x v="0"/>
    <s v="Michael Smith"/>
    <x v="2"/>
    <n v="0.05"/>
    <x v="390"/>
    <x v="390"/>
    <n v="10"/>
    <x v="3"/>
    <n v="3155.97"/>
    <n v="3263.49"/>
    <s v="Returning"/>
    <n v="0.04"/>
    <s v="Credit Card"/>
    <s v="Online"/>
    <x v="0"/>
  </r>
  <r>
    <n v="1054"/>
    <s v="Glider"/>
    <d v="2023-07-28T00:00:00"/>
    <x v="1"/>
    <s v="Hogan Rock"/>
    <x v="3"/>
    <n v="0.06"/>
    <x v="391"/>
    <x v="391"/>
    <n v="20"/>
    <x v="2"/>
    <n v="4622.1400000000003"/>
    <n v="5122.07"/>
    <s v="New"/>
    <n v="0.26"/>
    <s v="Cash"/>
    <s v="Retail"/>
    <x v="1"/>
  </r>
  <r>
    <n v="1058"/>
    <s v="Wardrobe"/>
    <d v="2023-01-14T00:00:00"/>
    <x v="0"/>
    <s v="Michael Smith"/>
    <x v="3"/>
    <n v="0.06"/>
    <x v="392"/>
    <x v="392"/>
    <n v="6"/>
    <x v="1"/>
    <n v="4987.71"/>
    <n v="4998.78"/>
    <s v="Returning"/>
    <n v="0.17"/>
    <s v="Cash"/>
    <s v="Retail"/>
    <x v="0"/>
  </r>
  <r>
    <n v="1067"/>
    <s v="Grapes"/>
    <d v="2023-01-09T00:00:00"/>
    <x v="2"/>
    <s v="Susan Jerkins"/>
    <x v="0"/>
    <n v="7.4999999999999997E-2"/>
    <x v="393"/>
    <x v="393"/>
    <n v="48"/>
    <x v="3"/>
    <n v="210.63"/>
    <n v="533.57999999999902"/>
    <s v="New"/>
    <n v="0.04"/>
    <s v="Bank Transfer"/>
    <s v="Online"/>
    <x v="1"/>
  </r>
  <r>
    <n v="1046"/>
    <s v="Sweat Shirts"/>
    <d v="2023-02-09T00:00:00"/>
    <x v="2"/>
    <s v="Susan Jerkins"/>
    <x v="3"/>
    <n v="0.06"/>
    <x v="394"/>
    <x v="394"/>
    <n v="3"/>
    <x v="0"/>
    <n v="1216.1600000000001"/>
    <n v="1295.3699999999999"/>
    <s v="New"/>
    <n v="0.14000000000000001"/>
    <s v="Cash"/>
    <s v="Retail"/>
    <x v="0"/>
  </r>
  <r>
    <n v="1024"/>
    <s v="Pasta Pack"/>
    <d v="2023-08-25T00:00:00"/>
    <x v="1"/>
    <s v="Hogan Rock"/>
    <x v="2"/>
    <n v="0.05"/>
    <x v="395"/>
    <x v="395"/>
    <n v="42"/>
    <x v="3"/>
    <n v="1586.02"/>
    <n v="2047.13"/>
    <s v="New"/>
    <n v="0.25"/>
    <s v="Cash"/>
    <s v="Retail"/>
    <x v="1"/>
  </r>
  <r>
    <n v="1032"/>
    <s v="Refridgerator"/>
    <d v="2023-10-08T00:00:00"/>
    <x v="3"/>
    <s v="Tracy Moore"/>
    <x v="3"/>
    <n v="0.06"/>
    <x v="396"/>
    <x v="396"/>
    <n v="11"/>
    <x v="1"/>
    <n v="2025.67"/>
    <n v="2081.5500000000002"/>
    <s v="New"/>
    <n v="0.27"/>
    <s v="Bank Transfer"/>
    <s v="Online"/>
    <x v="1"/>
  </r>
  <r>
    <n v="1047"/>
    <s v="Mouse"/>
    <d v="2023-12-25T00:00:00"/>
    <x v="1"/>
    <s v="Hogan Rock"/>
    <x v="0"/>
    <n v="7.4999999999999997E-2"/>
    <x v="397"/>
    <x v="397"/>
    <n v="43"/>
    <x v="3"/>
    <n v="1249.17"/>
    <n v="1727.15"/>
    <s v="New"/>
    <n v="0.08"/>
    <s v="Cash"/>
    <s v="Retail"/>
    <x v="0"/>
  </r>
  <r>
    <n v="1086"/>
    <s v="Gaming Console"/>
    <d v="2023-07-20T00:00:00"/>
    <x v="0"/>
    <s v="Michael Smith"/>
    <x v="0"/>
    <n v="7.4999999999999997E-2"/>
    <x v="398"/>
    <x v="398"/>
    <n v="17"/>
    <x v="1"/>
    <n v="1057.27"/>
    <n v="1366.62"/>
    <s v="New"/>
    <n v="0.21"/>
    <s v="Credit Card"/>
    <s v="Retail"/>
    <x v="0"/>
  </r>
  <r>
    <n v="1023"/>
    <s v="Tights"/>
    <d v="2023-09-03T00:00:00"/>
    <x v="1"/>
    <s v="Hogan Rock"/>
    <x v="2"/>
    <n v="0.05"/>
    <x v="399"/>
    <x v="399"/>
    <n v="32"/>
    <x v="3"/>
    <n v="4775.04"/>
    <n v="4785.66"/>
    <s v="New"/>
    <n v="0.03"/>
    <s v="Cash"/>
    <s v="Online"/>
    <x v="1"/>
  </r>
  <r>
    <n v="1066"/>
    <s v="Armoire"/>
    <d v="2023-10-05T00:00:00"/>
    <x v="4"/>
    <s v="Scott Wayne"/>
    <x v="2"/>
    <n v="0.05"/>
    <x v="400"/>
    <x v="400"/>
    <n v="4"/>
    <x v="0"/>
    <n v="4596.68"/>
    <n v="5044.74"/>
    <s v="New"/>
    <n v="0.01"/>
    <s v="Bank Transfer"/>
    <s v="Online"/>
    <x v="1"/>
  </r>
  <r>
    <n v="1027"/>
    <s v="Cookies"/>
    <d v="2023-08-23T00:00:00"/>
    <x v="0"/>
    <s v="Michael Smith"/>
    <x v="3"/>
    <n v="0.06"/>
    <x v="401"/>
    <x v="401"/>
    <n v="4"/>
    <x v="3"/>
    <n v="282.61"/>
    <n v="548.25"/>
    <s v="New"/>
    <n v="0.17"/>
    <s v="Credit Card"/>
    <s v="Online"/>
    <x v="1"/>
  </r>
  <r>
    <n v="1002"/>
    <s v="Bench"/>
    <d v="2023-01-04T00:00:00"/>
    <x v="0"/>
    <s v="Michael Smith"/>
    <x v="3"/>
    <n v="0.06"/>
    <x v="402"/>
    <x v="402"/>
    <n v="17"/>
    <x v="0"/>
    <n v="1727.12"/>
    <n v="1865.83"/>
    <s v="New"/>
    <n v="0.21"/>
    <s v="Cash"/>
    <s v="Online"/>
    <x v="1"/>
  </r>
  <r>
    <n v="1090"/>
    <s v="Keyboard"/>
    <d v="2023-06-03T00:00:00"/>
    <x v="3"/>
    <s v="Tracy Moore"/>
    <x v="0"/>
    <n v="7.4999999999999997E-2"/>
    <x v="403"/>
    <x v="403"/>
    <n v="41"/>
    <x v="0"/>
    <n v="2055.4899999999998"/>
    <n v="2441.46"/>
    <s v="New"/>
    <n v="0.24"/>
    <s v="Credit Card"/>
    <s v="Online"/>
    <x v="1"/>
  </r>
  <r>
    <n v="1017"/>
    <s v="Peaches"/>
    <d v="2023-01-29T00:00:00"/>
    <x v="2"/>
    <s v="Susan Jerkins"/>
    <x v="2"/>
    <n v="0.05"/>
    <x v="404"/>
    <x v="404"/>
    <n v="19"/>
    <x v="3"/>
    <n v="1233.1199999999999"/>
    <n v="1697.1899999999901"/>
    <s v="New"/>
    <n v="0.1"/>
    <s v="Credit Card"/>
    <s v="Online"/>
    <x v="1"/>
  </r>
  <r>
    <n v="1033"/>
    <s v="TV Stand"/>
    <d v="2023-04-19T00:00:00"/>
    <x v="0"/>
    <s v="Michael Smith"/>
    <x v="2"/>
    <n v="0.05"/>
    <x v="405"/>
    <x v="405"/>
    <n v="5"/>
    <x v="0"/>
    <n v="3162.92"/>
    <n v="3409.93"/>
    <s v="New"/>
    <n v="0"/>
    <s v="Cash"/>
    <s v="Online"/>
    <x v="1"/>
  </r>
  <r>
    <n v="1009"/>
    <s v="Jacket"/>
    <d v="2023-04-08T00:00:00"/>
    <x v="2"/>
    <s v="Susan Jerkins"/>
    <x v="2"/>
    <n v="0.05"/>
    <x v="406"/>
    <x v="406"/>
    <n v="32"/>
    <x v="2"/>
    <n v="3219.88"/>
    <n v="3384.5"/>
    <s v="Returning"/>
    <n v="0.14000000000000001"/>
    <s v="Cash"/>
    <s v="Retail"/>
    <x v="1"/>
  </r>
  <r>
    <n v="1043"/>
    <s v="Oven"/>
    <d v="2023-08-03T00:00:00"/>
    <x v="1"/>
    <s v="Hogan Rock"/>
    <x v="3"/>
    <n v="0.06"/>
    <x v="407"/>
    <x v="407"/>
    <n v="22"/>
    <x v="3"/>
    <n v="4260"/>
    <n v="4656.58"/>
    <s v="New"/>
    <n v="0"/>
    <s v="Bank Transfer"/>
    <s v="Online"/>
    <x v="0"/>
  </r>
  <r>
    <n v="1048"/>
    <s v="Chaise Lounge"/>
    <d v="2023-10-20T00:00:00"/>
    <x v="4"/>
    <s v="Scott Wayne"/>
    <x v="2"/>
    <n v="0.05"/>
    <x v="408"/>
    <x v="408"/>
    <n v="6"/>
    <x v="3"/>
    <n v="3717.3"/>
    <n v="4061.37"/>
    <s v="New"/>
    <n v="0.03"/>
    <s v="Bank Transfer"/>
    <s v="Retail"/>
    <x v="0"/>
  </r>
  <r>
    <n v="1039"/>
    <s v="Hoodie"/>
    <d v="2023-03-16T00:00:00"/>
    <x v="3"/>
    <s v="Tracy Moore"/>
    <x v="0"/>
    <n v="7.4999999999999997E-2"/>
    <x v="409"/>
    <x v="409"/>
    <n v="35"/>
    <x v="0"/>
    <n v="2735.74"/>
    <n v="3181.22999999999"/>
    <s v="New"/>
    <n v="0.1"/>
    <s v="Credit Card"/>
    <s v="Retail"/>
    <x v="0"/>
  </r>
  <r>
    <n v="1093"/>
    <s v="Dining Table"/>
    <d v="2023-11-22T00:00:00"/>
    <x v="2"/>
    <s v="Susan Jerkins"/>
    <x v="0"/>
    <n v="7.4999999999999997E-2"/>
    <x v="410"/>
    <x v="410"/>
    <n v="22"/>
    <x v="0"/>
    <n v="3285.25"/>
    <n v="3634.58"/>
    <s v="New"/>
    <n v="0.13"/>
    <s v="Bank Transfer"/>
    <s v="Online"/>
    <x v="1"/>
  </r>
  <r>
    <n v="1042"/>
    <s v="Frozen Pizza"/>
    <d v="2023-05-26T00:00:00"/>
    <x v="0"/>
    <s v="Michael Smith"/>
    <x v="3"/>
    <n v="0.06"/>
    <x v="411"/>
    <x v="411"/>
    <n v="1"/>
    <x v="3"/>
    <n v="1406.24"/>
    <n v="1535.57"/>
    <s v="New"/>
    <n v="0.08"/>
    <s v="Credit Card"/>
    <s v="Retail"/>
    <x v="1"/>
  </r>
  <r>
    <n v="1026"/>
    <s v="Television"/>
    <d v="2023-05-08T00:00:00"/>
    <x v="2"/>
    <s v="Susan Jerkins"/>
    <x v="1"/>
    <n v="0.08"/>
    <x v="412"/>
    <x v="412"/>
    <n v="20"/>
    <x v="2"/>
    <n v="2985.63"/>
    <n v="3452.14"/>
    <s v="New"/>
    <n v="0.17"/>
    <s v="Credit Card"/>
    <s v="Retail"/>
    <x v="0"/>
  </r>
  <r>
    <n v="1099"/>
    <s v="Chest"/>
    <d v="2023-12-07T00:00:00"/>
    <x v="0"/>
    <s v="Michael Smith"/>
    <x v="3"/>
    <n v="0.06"/>
    <x v="413"/>
    <x v="413"/>
    <n v="22"/>
    <x v="0"/>
    <n v="2471.67"/>
    <n v="2533.04"/>
    <s v="Returning"/>
    <n v="0.02"/>
    <s v="Bank Transfer"/>
    <s v="Retail"/>
    <x v="1"/>
  </r>
  <r>
    <n v="1050"/>
    <s v="Sneakers"/>
    <d v="2023-02-11T00:00:00"/>
    <x v="2"/>
    <s v="Susan Jerkins"/>
    <x v="1"/>
    <n v="0.08"/>
    <x v="414"/>
    <x v="414"/>
    <n v="48"/>
    <x v="0"/>
    <n v="710.06"/>
    <n v="851.349999999999"/>
    <s v="Returning"/>
    <n v="0.04"/>
    <s v="Bank Transfer"/>
    <s v="Online"/>
    <x v="1"/>
  </r>
  <r>
    <n v="1025"/>
    <s v="Mayonnaise"/>
    <d v="2023-12-22T00:00:00"/>
    <x v="0"/>
    <s v="Michael Smith"/>
    <x v="2"/>
    <n v="0.05"/>
    <x v="415"/>
    <x v="415"/>
    <n v="11"/>
    <x v="1"/>
    <n v="1250.5899999999999"/>
    <n v="1515.48999999999"/>
    <s v="Returning"/>
    <n v="0.21"/>
    <s v="Bank Transfer"/>
    <s v="Retail"/>
    <x v="0"/>
  </r>
  <r>
    <n v="1024"/>
    <s v="Pasta Pack"/>
    <d v="2023-02-10T00:00:00"/>
    <x v="1"/>
    <s v="Hogan Rock"/>
    <x v="3"/>
    <n v="0.06"/>
    <x v="416"/>
    <x v="416"/>
    <n v="13"/>
    <x v="2"/>
    <n v="1493.88"/>
    <n v="1781.09"/>
    <s v="New"/>
    <n v="0.04"/>
    <s v="Cash"/>
    <s v="Retail"/>
    <x v="0"/>
  </r>
  <r>
    <n v="1013"/>
    <s v="Gas Cooker"/>
    <d v="2023-02-03T00:00:00"/>
    <x v="0"/>
    <s v="Michael Smith"/>
    <x v="0"/>
    <n v="7.4999999999999997E-2"/>
    <x v="417"/>
    <x v="417"/>
    <n v="42"/>
    <x v="2"/>
    <n v="4625.33"/>
    <n v="4642.83"/>
    <s v="New"/>
    <n v="0.19"/>
    <s v="Credit Card"/>
    <s v="Online"/>
    <x v="0"/>
  </r>
  <r>
    <n v="1060"/>
    <s v="Head Warmer"/>
    <d v="2023-01-17T00:00:00"/>
    <x v="0"/>
    <s v="Michael Smith"/>
    <x v="2"/>
    <n v="0.05"/>
    <x v="418"/>
    <x v="418"/>
    <n v="3"/>
    <x v="3"/>
    <n v="1190.4100000000001"/>
    <n v="1582.89"/>
    <s v="New"/>
    <n v="0.02"/>
    <s v="Credit Card"/>
    <s v="Retail"/>
    <x v="1"/>
  </r>
  <r>
    <n v="1007"/>
    <s v="Fruit Jam"/>
    <d v="2023-06-14T00:00:00"/>
    <x v="4"/>
    <s v="Scott Wayne"/>
    <x v="0"/>
    <n v="7.4999999999999997E-2"/>
    <x v="419"/>
    <x v="419"/>
    <n v="9"/>
    <x v="2"/>
    <n v="1481.76"/>
    <n v="1668.95"/>
    <s v="Returning"/>
    <n v="0.12"/>
    <s v="Credit Card"/>
    <s v="Retail"/>
    <x v="1"/>
  </r>
  <r>
    <n v="1057"/>
    <s v="Avocadro Pear"/>
    <d v="2023-06-02T00:00:00"/>
    <x v="0"/>
    <s v="Michael Smith"/>
    <x v="2"/>
    <n v="0.05"/>
    <x v="420"/>
    <x v="420"/>
    <n v="12"/>
    <x v="3"/>
    <n v="1878.3"/>
    <n v="2087.4499999999998"/>
    <s v="New"/>
    <n v="0.05"/>
    <s v="Bank Transfer"/>
    <s v="Retail"/>
    <x v="0"/>
  </r>
  <r>
    <n v="1036"/>
    <s v="Shorts"/>
    <d v="2023-03-17T00:00:00"/>
    <x v="4"/>
    <s v="Scott Wayne"/>
    <x v="3"/>
    <n v="0.06"/>
    <x v="421"/>
    <x v="421"/>
    <n v="23"/>
    <x v="1"/>
    <n v="3335.53"/>
    <n v="3742.12"/>
    <s v="New"/>
    <n v="0.03"/>
    <s v="Bank Transfer"/>
    <s v="Retail"/>
    <x v="1"/>
  </r>
  <r>
    <n v="1045"/>
    <s v="Bikers Shorts"/>
    <d v="2023-03-28T00:00:00"/>
    <x v="3"/>
    <s v="Tracy Moore"/>
    <x v="1"/>
    <n v="0.08"/>
    <x v="422"/>
    <x v="422"/>
    <n v="14"/>
    <x v="2"/>
    <n v="635.28"/>
    <n v="831.13"/>
    <s v="Returning"/>
    <n v="0.17"/>
    <s v="Bank Transfer"/>
    <s v="Retail"/>
    <x v="0"/>
  </r>
  <r>
    <n v="1020"/>
    <s v="Apron"/>
    <d v="2023-04-27T00:00:00"/>
    <x v="4"/>
    <s v="Scott Wayne"/>
    <x v="2"/>
    <n v="0.05"/>
    <x v="423"/>
    <x v="423"/>
    <n v="33"/>
    <x v="0"/>
    <n v="4772.03"/>
    <n v="4805.17"/>
    <s v="Returning"/>
    <n v="0.28000000000000003"/>
    <s v="Bank Transfer"/>
    <s v="Online"/>
    <x v="0"/>
  </r>
  <r>
    <n v="1065"/>
    <s v="Potatoes"/>
    <d v="2023-12-28T00:00:00"/>
    <x v="1"/>
    <s v="Hogan Rock"/>
    <x v="1"/>
    <n v="0.08"/>
    <x v="424"/>
    <x v="424"/>
    <n v="18"/>
    <x v="1"/>
    <n v="4334.58"/>
    <n v="4431.04"/>
    <s v="New"/>
    <n v="0.02"/>
    <s v="Bank Transfer"/>
    <s v="Retail"/>
    <x v="0"/>
  </r>
  <r>
    <n v="1008"/>
    <s v="Skirt"/>
    <d v="2023-12-08T00:00:00"/>
    <x v="4"/>
    <s v="Scott Wayne"/>
    <x v="2"/>
    <n v="0.05"/>
    <x v="425"/>
    <x v="425"/>
    <n v="49"/>
    <x v="3"/>
    <n v="2907.22"/>
    <n v="3385.6099999999901"/>
    <s v="New"/>
    <n v="0.13"/>
    <s v="Cash"/>
    <s v="Online"/>
    <x v="1"/>
  </r>
  <r>
    <n v="1016"/>
    <s v="Washing Machine"/>
    <d v="2023-01-27T00:00:00"/>
    <x v="3"/>
    <s v="Tracy Moore"/>
    <x v="0"/>
    <n v="7.4999999999999997E-2"/>
    <x v="426"/>
    <x v="426"/>
    <n v="41"/>
    <x v="1"/>
    <n v="3386.49"/>
    <n v="3430.99"/>
    <s v="New"/>
    <n v="0.21"/>
    <s v="Bank Transfer"/>
    <s v="Retail"/>
    <x v="1"/>
  </r>
  <r>
    <n v="1014"/>
    <s v="Cheese Block"/>
    <d v="2023-11-09T00:00:00"/>
    <x v="1"/>
    <s v="Hogan Rock"/>
    <x v="0"/>
    <n v="7.4999999999999997E-2"/>
    <x v="427"/>
    <x v="427"/>
    <n v="9"/>
    <x v="3"/>
    <n v="132.47"/>
    <n v="316.39"/>
    <s v="New"/>
    <n v="0.14000000000000001"/>
    <s v="Credit Card"/>
    <s v="Online"/>
    <x v="0"/>
  </r>
  <r>
    <n v="1076"/>
    <s v="Polo Shirt"/>
    <d v="2023-10-14T00:00:00"/>
    <x v="2"/>
    <s v="Susan Jerkins"/>
    <x v="2"/>
    <n v="0.05"/>
    <x v="428"/>
    <x v="428"/>
    <n v="23"/>
    <x v="1"/>
    <n v="1727.78"/>
    <n v="1984.34"/>
    <s v="Returning"/>
    <n v="0.24"/>
    <s v="Bank Transfer"/>
    <s v="Online"/>
    <x v="0"/>
  </r>
  <r>
    <n v="1087"/>
    <s v="Sofa Set"/>
    <d v="2023-05-14T00:00:00"/>
    <x v="2"/>
    <s v="Susan Jerkins"/>
    <x v="1"/>
    <n v="0.08"/>
    <x v="429"/>
    <x v="429"/>
    <n v="10"/>
    <x v="3"/>
    <n v="3988.52"/>
    <n v="4240.2299999999996"/>
    <s v="New"/>
    <n v="0.05"/>
    <s v="Credit Card"/>
    <s v="Online"/>
    <x v="0"/>
  </r>
  <r>
    <n v="1015"/>
    <s v="Chocolate Bar"/>
    <d v="2023-08-07T00:00:00"/>
    <x v="4"/>
    <s v="Scott Wayne"/>
    <x v="3"/>
    <n v="0.06"/>
    <x v="430"/>
    <x v="430"/>
    <n v="19"/>
    <x v="2"/>
    <n v="433.54"/>
    <n v="445.48"/>
    <s v="New"/>
    <n v="0.28999999999999998"/>
    <s v="Bank Transfer"/>
    <s v="Retail"/>
    <x v="1"/>
  </r>
  <r>
    <n v="1092"/>
    <s v="Recliner"/>
    <d v="2023-06-17T00:00:00"/>
    <x v="4"/>
    <s v="Scott Wayne"/>
    <x v="3"/>
    <n v="0.06"/>
    <x v="431"/>
    <x v="431"/>
    <n v="47"/>
    <x v="0"/>
    <n v="1447.45"/>
    <n v="1703.02"/>
    <s v="Returning"/>
    <n v="0.12"/>
    <s v="Bank Transfer"/>
    <s v="Retail"/>
    <x v="1"/>
  </r>
  <r>
    <n v="1098"/>
    <s v="File Cabinet"/>
    <d v="2023-04-08T00:00:00"/>
    <x v="3"/>
    <s v="Tracy Moore"/>
    <x v="0"/>
    <n v="7.4999999999999997E-2"/>
    <x v="432"/>
    <x v="432"/>
    <n v="5"/>
    <x v="3"/>
    <n v="2947.22"/>
    <n v="3145.27"/>
    <s v="New"/>
    <n v="0.1"/>
    <s v="Credit Card"/>
    <s v="Retail"/>
    <x v="0"/>
  </r>
  <r>
    <n v="1066"/>
    <s v="Armoire"/>
    <d v="2023-09-25T00:00:00"/>
    <x v="3"/>
    <s v="Tracy Moore"/>
    <x v="3"/>
    <n v="0.06"/>
    <x v="433"/>
    <x v="433"/>
    <n v="47"/>
    <x v="1"/>
    <n v="1319.24"/>
    <n v="1805.56"/>
    <s v="New"/>
    <n v="0.26"/>
    <s v="Credit Card"/>
    <s v="Retail"/>
    <x v="0"/>
  </r>
  <r>
    <n v="1032"/>
    <s v="Refridgerator"/>
    <d v="2023-08-25T00:00:00"/>
    <x v="0"/>
    <s v="Michael Smith"/>
    <x v="0"/>
    <n v="7.4999999999999997E-2"/>
    <x v="434"/>
    <x v="434"/>
    <n v="23"/>
    <x v="3"/>
    <n v="4673.1899999999996"/>
    <n v="4761.1799999999903"/>
    <s v="Returning"/>
    <n v="0.17"/>
    <s v="Credit Card"/>
    <s v="Retail"/>
    <x v="0"/>
  </r>
  <r>
    <n v="1087"/>
    <s v="Sofa Set"/>
    <d v="2023-11-05T00:00:00"/>
    <x v="3"/>
    <s v="Tracy Moore"/>
    <x v="3"/>
    <n v="0.06"/>
    <x v="435"/>
    <x v="435"/>
    <n v="30"/>
    <x v="3"/>
    <n v="698.74"/>
    <n v="882.28"/>
    <s v="Returning"/>
    <n v="0.15"/>
    <s v="Credit Card"/>
    <s v="Online"/>
    <x v="1"/>
  </r>
  <r>
    <n v="1063"/>
    <s v="Noodles"/>
    <d v="2023-06-22T00:00:00"/>
    <x v="0"/>
    <s v="Michael Smith"/>
    <x v="2"/>
    <n v="0.05"/>
    <x v="436"/>
    <x v="436"/>
    <n v="25"/>
    <x v="3"/>
    <n v="3997.1"/>
    <n v="4212.6499999999996"/>
    <s v="New"/>
    <n v="0.22"/>
    <s v="Cash"/>
    <s v="Online"/>
    <x v="0"/>
  </r>
  <r>
    <n v="1086"/>
    <s v="Gaming Console"/>
    <d v="2023-07-09T00:00:00"/>
    <x v="1"/>
    <s v="Hogan Rock"/>
    <x v="0"/>
    <n v="7.4999999999999997E-2"/>
    <x v="437"/>
    <x v="437"/>
    <n v="28"/>
    <x v="1"/>
    <n v="2564.35"/>
    <n v="2765.79"/>
    <s v="Returning"/>
    <n v="0.17"/>
    <s v="Credit Card"/>
    <s v="Online"/>
    <x v="0"/>
  </r>
  <r>
    <n v="1051"/>
    <s v="Tablet"/>
    <d v="2023-05-02T00:00:00"/>
    <x v="4"/>
    <s v="Scott Wayne"/>
    <x v="0"/>
    <n v="7.4999999999999997E-2"/>
    <x v="438"/>
    <x v="438"/>
    <n v="34"/>
    <x v="0"/>
    <n v="3764.14"/>
    <n v="4100.3999999999996"/>
    <s v="Returning"/>
    <n v="0.05"/>
    <s v="Bank Transfer"/>
    <s v="Retail"/>
    <x v="0"/>
  </r>
  <r>
    <n v="1025"/>
    <s v="Mayonnaise"/>
    <d v="2023-02-15T00:00:00"/>
    <x v="1"/>
    <s v="Hogan Rock"/>
    <x v="2"/>
    <n v="0.05"/>
    <x v="439"/>
    <x v="439"/>
    <n v="45"/>
    <x v="2"/>
    <n v="1588.04"/>
    <n v="1703.6399999999901"/>
    <s v="New"/>
    <n v="0.2"/>
    <s v="Bank Transfer"/>
    <s v="Retail"/>
    <x v="1"/>
  </r>
  <r>
    <n v="1058"/>
    <s v="Wardrobe"/>
    <d v="2023-03-05T00:00:00"/>
    <x v="3"/>
    <s v="Tracy Moore"/>
    <x v="0"/>
    <n v="7.4999999999999997E-2"/>
    <x v="440"/>
    <x v="440"/>
    <n v="48"/>
    <x v="0"/>
    <n v="2596.7199999999998"/>
    <n v="2715.0499999999902"/>
    <s v="Returning"/>
    <n v="0.04"/>
    <s v="Cash"/>
    <s v="Online"/>
    <x v="1"/>
  </r>
  <r>
    <n v="1063"/>
    <s v="Noodles"/>
    <d v="2023-05-10T00:00:00"/>
    <x v="1"/>
    <s v="Hogan Rock"/>
    <x v="3"/>
    <n v="0.06"/>
    <x v="441"/>
    <x v="441"/>
    <n v="47"/>
    <x v="3"/>
    <n v="4291.33"/>
    <n v="4658.6400000000003"/>
    <s v="New"/>
    <n v="0.24"/>
    <s v="Credit Card"/>
    <s v="Retail"/>
    <x v="0"/>
  </r>
  <r>
    <n v="1062"/>
    <s v="Boxers"/>
    <d v="2023-11-06T00:00:00"/>
    <x v="1"/>
    <s v="Hogan Rock"/>
    <x v="3"/>
    <n v="0.06"/>
    <x v="442"/>
    <x v="442"/>
    <n v="25"/>
    <x v="1"/>
    <n v="2361.0500000000002"/>
    <n v="2616.19"/>
    <s v="New"/>
    <n v="0.3"/>
    <s v="Bank Transfer"/>
    <s v="Retail"/>
    <x v="1"/>
  </r>
  <r>
    <n v="1022"/>
    <s v="Organic Honey"/>
    <d v="2023-12-29T00:00:00"/>
    <x v="1"/>
    <s v="Hogan Rock"/>
    <x v="0"/>
    <n v="7.4999999999999997E-2"/>
    <x v="443"/>
    <x v="443"/>
    <n v="10"/>
    <x v="0"/>
    <n v="1830.61"/>
    <n v="2044.04"/>
    <s v="New"/>
    <n v="0.11"/>
    <s v="Cash"/>
    <s v="Online"/>
    <x v="1"/>
  </r>
  <r>
    <n v="1058"/>
    <s v="Wardrobe"/>
    <d v="2023-07-12T00:00:00"/>
    <x v="3"/>
    <s v="Tracy Moore"/>
    <x v="3"/>
    <n v="0.06"/>
    <x v="444"/>
    <x v="444"/>
    <n v="14"/>
    <x v="3"/>
    <n v="2703.97"/>
    <n v="2796.8799999999901"/>
    <s v="New"/>
    <n v="0.13"/>
    <s v="Bank Transfer"/>
    <s v="Online"/>
    <x v="0"/>
  </r>
  <r>
    <n v="1058"/>
    <s v="Wardrobe"/>
    <d v="2023-11-03T00:00:00"/>
    <x v="1"/>
    <s v="Hogan Rock"/>
    <x v="1"/>
    <n v="0.08"/>
    <x v="445"/>
    <x v="445"/>
    <n v="42"/>
    <x v="2"/>
    <n v="3600.95"/>
    <n v="3702.8399999999901"/>
    <s v="Returning"/>
    <n v="0.01"/>
    <s v="Cash"/>
    <s v="Retail"/>
    <x v="1"/>
  </r>
  <r>
    <n v="1086"/>
    <s v="Gaming Console"/>
    <d v="2023-06-30T00:00:00"/>
    <x v="0"/>
    <s v="Michael Smith"/>
    <x v="0"/>
    <n v="7.4999999999999997E-2"/>
    <x v="446"/>
    <x v="446"/>
    <n v="46"/>
    <x v="2"/>
    <n v="2245.64"/>
    <n v="2260.81"/>
    <s v="New"/>
    <n v="0"/>
    <s v="Cash"/>
    <s v="Retail"/>
    <x v="0"/>
  </r>
  <r>
    <n v="1049"/>
    <s v="Coffee Table"/>
    <d v="2023-10-19T00:00:00"/>
    <x v="3"/>
    <s v="Tracy Moore"/>
    <x v="2"/>
    <n v="0.05"/>
    <x v="447"/>
    <x v="447"/>
    <n v="30"/>
    <x v="2"/>
    <n v="4697.4399999999996"/>
    <n v="4752.24"/>
    <s v="New"/>
    <n v="0.28000000000000003"/>
    <s v="Credit Card"/>
    <s v="Online"/>
    <x v="1"/>
  </r>
  <r>
    <n v="1052"/>
    <s v="Wooden Chair"/>
    <d v="2023-10-09T00:00:00"/>
    <x v="1"/>
    <s v="Hogan Rock"/>
    <x v="1"/>
    <n v="0.08"/>
    <x v="448"/>
    <x v="448"/>
    <n v="41"/>
    <x v="3"/>
    <n v="1509.98"/>
    <n v="1792.83"/>
    <s v="New"/>
    <n v="0.04"/>
    <s v="Cash"/>
    <s v="Retail"/>
    <x v="0"/>
  </r>
  <r>
    <n v="1042"/>
    <s v="Frozen Pizza"/>
    <d v="2023-01-29T00:00:00"/>
    <x v="3"/>
    <s v="Tracy Moore"/>
    <x v="0"/>
    <n v="7.4999999999999997E-2"/>
    <x v="449"/>
    <x v="449"/>
    <n v="25"/>
    <x v="1"/>
    <n v="2403.54"/>
    <n v="2850.56"/>
    <s v="New"/>
    <n v="0.13"/>
    <s v="Bank Transfer"/>
    <s v="Online"/>
    <x v="0"/>
  </r>
  <r>
    <n v="1070"/>
    <s v="Hutch"/>
    <d v="2023-05-29T00:00:00"/>
    <x v="2"/>
    <s v="Susan Jerkins"/>
    <x v="2"/>
    <n v="0.05"/>
    <x v="450"/>
    <x v="450"/>
    <n v="14"/>
    <x v="0"/>
    <n v="3796.79"/>
    <n v="3947.5"/>
    <s v="Returning"/>
    <n v="0.24"/>
    <s v="Bank Transfer"/>
    <s v="Online"/>
    <x v="1"/>
  </r>
  <r>
    <n v="1015"/>
    <s v="Chocolate Bar"/>
    <d v="2023-09-24T00:00:00"/>
    <x v="0"/>
    <s v="Michael Smith"/>
    <x v="3"/>
    <n v="0.06"/>
    <x v="451"/>
    <x v="451"/>
    <n v="35"/>
    <x v="2"/>
    <n v="3461.15"/>
    <n v="3631.75"/>
    <s v="Returning"/>
    <n v="0.27"/>
    <s v="Credit Card"/>
    <s v="Online"/>
    <x v="1"/>
  </r>
  <r>
    <n v="1054"/>
    <s v="Glider"/>
    <d v="2023-10-23T00:00:00"/>
    <x v="1"/>
    <s v="Hogan Rock"/>
    <x v="2"/>
    <n v="0.05"/>
    <x v="452"/>
    <x v="452"/>
    <n v="48"/>
    <x v="3"/>
    <n v="4325.0200000000004"/>
    <n v="4391.67"/>
    <s v="Returning"/>
    <n v="0.16"/>
    <s v="Credit Card"/>
    <s v="Retail"/>
    <x v="1"/>
  </r>
  <r>
    <n v="1060"/>
    <s v="Head Warmer"/>
    <d v="2023-01-11T00:00:00"/>
    <x v="2"/>
    <s v="Susan Jerkins"/>
    <x v="1"/>
    <n v="0.08"/>
    <x v="453"/>
    <x v="453"/>
    <n v="34"/>
    <x v="3"/>
    <n v="4984.21"/>
    <n v="5184.6400000000003"/>
    <s v="New"/>
    <n v="0.17"/>
    <s v="Cash"/>
    <s v="Online"/>
    <x v="1"/>
  </r>
  <r>
    <n v="1097"/>
    <s v="Freezer"/>
    <d v="2023-06-13T00:00:00"/>
    <x v="2"/>
    <s v="Susan Jerkins"/>
    <x v="3"/>
    <n v="0.06"/>
    <x v="454"/>
    <x v="454"/>
    <n v="10"/>
    <x v="0"/>
    <n v="2162.9499999999998"/>
    <n v="2191.1899999999901"/>
    <s v="Returning"/>
    <n v="0.2"/>
    <s v="Credit Card"/>
    <s v="Online"/>
    <x v="0"/>
  </r>
  <r>
    <n v="1008"/>
    <s v="Skirt"/>
    <d v="2023-04-23T00:00:00"/>
    <x v="3"/>
    <s v="Tracy Moore"/>
    <x v="0"/>
    <n v="7.4999999999999997E-2"/>
    <x v="455"/>
    <x v="455"/>
    <n v="35"/>
    <x v="2"/>
    <n v="600.20000000000005"/>
    <n v="1059.82"/>
    <s v="Returning"/>
    <n v="0.28999999999999998"/>
    <s v="Bank Transfer"/>
    <s v="Retail"/>
    <x v="0"/>
  </r>
  <r>
    <n v="1053"/>
    <s v="Bed"/>
    <d v="2023-07-06T00:00:00"/>
    <x v="2"/>
    <s v="Susan Jerkins"/>
    <x v="3"/>
    <n v="0.06"/>
    <x v="456"/>
    <x v="456"/>
    <n v="11"/>
    <x v="3"/>
    <n v="200.56"/>
    <n v="540.38"/>
    <s v="New"/>
    <n v="0.18"/>
    <s v="Bank Transfer"/>
    <s v="Online"/>
    <x v="1"/>
  </r>
  <r>
    <n v="1060"/>
    <s v="Head Warmer"/>
    <d v="2023-10-22T00:00:00"/>
    <x v="0"/>
    <s v="Michael Smith"/>
    <x v="0"/>
    <n v="7.4999999999999997E-2"/>
    <x v="457"/>
    <x v="457"/>
    <n v="11"/>
    <x v="0"/>
    <n v="3648.04"/>
    <n v="4143.51"/>
    <s v="Returning"/>
    <n v="0.17"/>
    <s v="Credit Card"/>
    <s v="Retail"/>
    <x v="1"/>
  </r>
  <r>
    <n v="1005"/>
    <s v="Smart Phone"/>
    <d v="2023-08-20T00:00:00"/>
    <x v="0"/>
    <s v="Michael Smith"/>
    <x v="0"/>
    <n v="7.4999999999999997E-2"/>
    <x v="458"/>
    <x v="458"/>
    <n v="21"/>
    <x v="1"/>
    <n v="4376.37"/>
    <n v="4818.95"/>
    <s v="New"/>
    <n v="0"/>
    <s v="Credit Card"/>
    <s v="Retail"/>
    <x v="1"/>
  </r>
  <r>
    <n v="1068"/>
    <s v="Leggings"/>
    <d v="2023-08-15T00:00:00"/>
    <x v="4"/>
    <s v="Scott Wayne"/>
    <x v="2"/>
    <n v="0.05"/>
    <x v="459"/>
    <x v="459"/>
    <n v="21"/>
    <x v="1"/>
    <n v="1142.53"/>
    <n v="1384.3"/>
    <s v="Returning"/>
    <n v="0.02"/>
    <s v="Credit Card"/>
    <s v="Retail"/>
    <x v="0"/>
  </r>
  <r>
    <n v="1006"/>
    <s v="Monitor"/>
    <d v="2023-11-06T00:00:00"/>
    <x v="0"/>
    <s v="Michael Smith"/>
    <x v="2"/>
    <n v="0.05"/>
    <x v="460"/>
    <x v="460"/>
    <n v="22"/>
    <x v="1"/>
    <n v="834.32"/>
    <n v="1098.97"/>
    <s v="Returning"/>
    <n v="0.17"/>
    <s v="Cash"/>
    <s v="Online"/>
    <x v="1"/>
  </r>
  <r>
    <n v="1096"/>
    <s v="Radio"/>
    <d v="2023-04-08T00:00:00"/>
    <x v="2"/>
    <s v="Susan Jerkins"/>
    <x v="2"/>
    <n v="0.05"/>
    <x v="461"/>
    <x v="461"/>
    <n v="45"/>
    <x v="2"/>
    <n v="357.92"/>
    <n v="461.3"/>
    <s v="Returning"/>
    <n v="0.28000000000000003"/>
    <s v="Cash"/>
    <s v="Online"/>
    <x v="0"/>
  </r>
  <r>
    <n v="1094"/>
    <s v="Microwave"/>
    <d v="2023-02-24T00:00:00"/>
    <x v="0"/>
    <s v="Michael Smith"/>
    <x v="1"/>
    <n v="0.08"/>
    <x v="462"/>
    <x v="462"/>
    <n v="7"/>
    <x v="0"/>
    <n v="4122.38"/>
    <n v="4358.78"/>
    <s v="Returning"/>
    <n v="0.26"/>
    <s v="Bank Transfer"/>
    <s v="Retail"/>
    <x v="0"/>
  </r>
  <r>
    <n v="1047"/>
    <s v="Mouse"/>
    <d v="2023-04-21T00:00:00"/>
    <x v="3"/>
    <s v="Tracy Moore"/>
    <x v="1"/>
    <n v="0.08"/>
    <x v="463"/>
    <x v="463"/>
    <n v="17"/>
    <x v="0"/>
    <n v="1591.34"/>
    <n v="2043.82"/>
    <s v="New"/>
    <n v="0.28999999999999998"/>
    <s v="Cash"/>
    <s v="Retail"/>
    <x v="0"/>
  </r>
  <r>
    <n v="1099"/>
    <s v="Chest"/>
    <d v="2023-06-01T00:00:00"/>
    <x v="4"/>
    <s v="Scott Wayne"/>
    <x v="2"/>
    <n v="0.05"/>
    <x v="464"/>
    <x v="464"/>
    <n v="2"/>
    <x v="3"/>
    <n v="2038.4"/>
    <n v="2073.3200000000002"/>
    <s v="New"/>
    <n v="0.16"/>
    <s v="Cash"/>
    <s v="Retail"/>
    <x v="1"/>
  </r>
  <r>
    <n v="1055"/>
    <s v="Cupboard"/>
    <d v="2023-09-03T00:00:00"/>
    <x v="2"/>
    <s v="Susan Jerkins"/>
    <x v="1"/>
    <n v="0.08"/>
    <x v="465"/>
    <x v="465"/>
    <n v="12"/>
    <x v="3"/>
    <n v="2538.61"/>
    <n v="2971.75"/>
    <s v="Returning"/>
    <n v="0.24"/>
    <s v="Cash"/>
    <s v="Online"/>
    <x v="0"/>
  </r>
  <r>
    <n v="1040"/>
    <s v="Cap"/>
    <d v="2023-03-10T00:00:00"/>
    <x v="4"/>
    <s v="Scott Wayne"/>
    <x v="3"/>
    <n v="0.06"/>
    <x v="466"/>
    <x v="466"/>
    <n v="42"/>
    <x v="3"/>
    <n v="4205.29"/>
    <n v="4382.3500000000004"/>
    <s v="New"/>
    <n v="0.25"/>
    <s v="Cash"/>
    <s v="Retail"/>
    <x v="1"/>
  </r>
  <r>
    <n v="1052"/>
    <s v="Wooden Chair"/>
    <d v="2023-11-08T00:00:00"/>
    <x v="2"/>
    <s v="Susan Jerkins"/>
    <x v="3"/>
    <n v="0.06"/>
    <x v="467"/>
    <x v="467"/>
    <n v="18"/>
    <x v="0"/>
    <n v="3271.62"/>
    <n v="3722.38"/>
    <s v="Returning"/>
    <n v="0.19"/>
    <s v="Bank Transfer"/>
    <s v="Retail"/>
    <x v="1"/>
  </r>
  <r>
    <n v="1016"/>
    <s v="Washing Machine"/>
    <d v="2023-10-16T00:00:00"/>
    <x v="3"/>
    <s v="Tracy Moore"/>
    <x v="1"/>
    <n v="0.08"/>
    <x v="468"/>
    <x v="468"/>
    <n v="11"/>
    <x v="3"/>
    <n v="3094.57"/>
    <n v="3565.6"/>
    <s v="Returning"/>
    <n v="0.1"/>
    <s v="Credit Card"/>
    <s v="Retail"/>
    <x v="0"/>
  </r>
  <r>
    <n v="1013"/>
    <s v="Gas Cooker"/>
    <d v="2023-09-07T00:00:00"/>
    <x v="4"/>
    <s v="Scott Wayne"/>
    <x v="1"/>
    <n v="0.08"/>
    <x v="469"/>
    <x v="469"/>
    <n v="16"/>
    <x v="0"/>
    <n v="919.58"/>
    <n v="1258.3"/>
    <s v="Returning"/>
    <n v="0.14000000000000001"/>
    <s v="Bank Transfer"/>
    <s v="Online"/>
    <x v="0"/>
  </r>
  <r>
    <n v="1030"/>
    <s v="Jeans"/>
    <d v="2023-02-05T00:00:00"/>
    <x v="1"/>
    <s v="Hogan Rock"/>
    <x v="3"/>
    <n v="0.06"/>
    <x v="470"/>
    <x v="470"/>
    <n v="49"/>
    <x v="0"/>
    <n v="2590.29"/>
    <n v="2925.86"/>
    <s v="Returning"/>
    <n v="0.26"/>
    <s v="Cash"/>
    <s v="Retail"/>
    <x v="1"/>
  </r>
  <r>
    <n v="1019"/>
    <s v="Apple"/>
    <d v="2023-08-27T00:00:00"/>
    <x v="2"/>
    <s v="Susan Jerkins"/>
    <x v="0"/>
    <n v="7.4999999999999997E-2"/>
    <x v="471"/>
    <x v="471"/>
    <n v="18"/>
    <x v="1"/>
    <n v="3591.14"/>
    <n v="3822.99"/>
    <s v="Returning"/>
    <n v="0.09"/>
    <s v="Credit Card"/>
    <s v="Online"/>
    <x v="1"/>
  </r>
  <r>
    <n v="1017"/>
    <s v="Peaches"/>
    <d v="2023-05-28T00:00:00"/>
    <x v="1"/>
    <s v="Hogan Rock"/>
    <x v="3"/>
    <n v="0.06"/>
    <x v="472"/>
    <x v="472"/>
    <n v="35"/>
    <x v="3"/>
    <n v="4867.6400000000003"/>
    <n v="5287.05"/>
    <s v="Returning"/>
    <n v="0.28000000000000003"/>
    <s v="Credit Card"/>
    <s v="Online"/>
    <x v="1"/>
  </r>
  <r>
    <n v="1063"/>
    <s v="Noodles"/>
    <d v="2023-08-15T00:00:00"/>
    <x v="4"/>
    <s v="Scott Wayne"/>
    <x v="3"/>
    <n v="0.06"/>
    <x v="473"/>
    <x v="473"/>
    <n v="26"/>
    <x v="1"/>
    <n v="1046.96"/>
    <n v="1528.15"/>
    <s v="New"/>
    <n v="7.0000000000000007E-2"/>
    <s v="Credit Card"/>
    <s v="Retail"/>
    <x v="1"/>
  </r>
  <r>
    <n v="1019"/>
    <s v="Apple"/>
    <d v="2023-09-01T00:00:00"/>
    <x v="1"/>
    <s v="Hogan Rock"/>
    <x v="1"/>
    <n v="0.08"/>
    <x v="474"/>
    <x v="474"/>
    <n v="16"/>
    <x v="2"/>
    <n v="97.24"/>
    <n v="487.03"/>
    <s v="New"/>
    <n v="0.22"/>
    <s v="Bank Transfer"/>
    <s v="Retail"/>
    <x v="1"/>
  </r>
  <r>
    <n v="1092"/>
    <s v="Recliner"/>
    <d v="2023-12-03T00:00:00"/>
    <x v="1"/>
    <s v="Hogan Rock"/>
    <x v="3"/>
    <n v="0.06"/>
    <x v="475"/>
    <x v="475"/>
    <n v="6"/>
    <x v="2"/>
    <n v="422.74"/>
    <n v="737.49"/>
    <s v="Returning"/>
    <n v="0.19"/>
    <s v="Credit Card"/>
    <s v="Retail"/>
    <x v="1"/>
  </r>
  <r>
    <n v="1058"/>
    <s v="Wardrobe"/>
    <d v="2023-12-31T00:00:00"/>
    <x v="4"/>
    <s v="Scott Wayne"/>
    <x v="1"/>
    <n v="0.08"/>
    <x v="476"/>
    <x v="476"/>
    <n v="44"/>
    <x v="2"/>
    <n v="1910.47"/>
    <n v="2217.8000000000002"/>
    <s v="New"/>
    <n v="0.22"/>
    <s v="Bank Transfer"/>
    <s v="Online"/>
    <x v="1"/>
  </r>
  <r>
    <n v="1055"/>
    <s v="Cupboard"/>
    <d v="2023-07-20T00:00:00"/>
    <x v="3"/>
    <s v="Tracy Moore"/>
    <x v="1"/>
    <n v="0.08"/>
    <x v="477"/>
    <x v="477"/>
    <n v="43"/>
    <x v="0"/>
    <n v="4111.7"/>
    <n v="4537.9399999999996"/>
    <s v="Returning"/>
    <n v="0.13"/>
    <s v="Bank Transfer"/>
    <s v="Online"/>
    <x v="0"/>
  </r>
  <r>
    <n v="1090"/>
    <s v="Keyboard"/>
    <d v="2023-06-03T00:00:00"/>
    <x v="1"/>
    <s v="Hogan Rock"/>
    <x v="2"/>
    <n v="0.05"/>
    <x v="478"/>
    <x v="478"/>
    <n v="47"/>
    <x v="0"/>
    <n v="85.35"/>
    <n v="360.539999999999"/>
    <s v="New"/>
    <n v="0.28000000000000003"/>
    <s v="Cash"/>
    <s v="Online"/>
    <x v="0"/>
  </r>
  <r>
    <n v="1090"/>
    <s v="Keyboard"/>
    <d v="2023-03-14T00:00:00"/>
    <x v="1"/>
    <s v="Hogan Rock"/>
    <x v="3"/>
    <n v="0.06"/>
    <x v="479"/>
    <x v="479"/>
    <n v="47"/>
    <x v="0"/>
    <n v="2310.8200000000002"/>
    <n v="2714.71"/>
    <s v="New"/>
    <n v="0.19"/>
    <s v="Cash"/>
    <s v="Retail"/>
    <x v="0"/>
  </r>
  <r>
    <n v="1062"/>
    <s v="Boxers"/>
    <d v="2023-07-20T00:00:00"/>
    <x v="3"/>
    <s v="Tracy Moore"/>
    <x v="0"/>
    <n v="7.4999999999999997E-2"/>
    <x v="480"/>
    <x v="480"/>
    <n v="48"/>
    <x v="3"/>
    <n v="1679.69"/>
    <n v="1939.04"/>
    <s v="New"/>
    <n v="0.09"/>
    <s v="Credit Card"/>
    <s v="Online"/>
    <x v="1"/>
  </r>
  <r>
    <n v="1023"/>
    <s v="Tights"/>
    <d v="2023-10-23T00:00:00"/>
    <x v="1"/>
    <s v="Hogan Rock"/>
    <x v="2"/>
    <n v="0.05"/>
    <x v="481"/>
    <x v="481"/>
    <n v="42"/>
    <x v="1"/>
    <n v="309.77999999999997"/>
    <n v="350.38"/>
    <s v="Returning"/>
    <n v="0.19"/>
    <s v="Credit Card"/>
    <s v="Retail"/>
    <x v="0"/>
  </r>
  <r>
    <n v="1009"/>
    <s v="Jacket"/>
    <d v="2023-01-17T00:00:00"/>
    <x v="1"/>
    <s v="Hogan Rock"/>
    <x v="1"/>
    <n v="0.08"/>
    <x v="482"/>
    <x v="482"/>
    <n v="12"/>
    <x v="0"/>
    <n v="2278.67"/>
    <n v="2476.8000000000002"/>
    <s v="New"/>
    <n v="0.09"/>
    <s v="Cash"/>
    <s v="Retail"/>
    <x v="0"/>
  </r>
  <r>
    <n v="1012"/>
    <s v="Cabinet"/>
    <d v="2023-05-09T00:00:00"/>
    <x v="1"/>
    <s v="Hogan Rock"/>
    <x v="1"/>
    <n v="0.08"/>
    <x v="483"/>
    <x v="483"/>
    <n v="13"/>
    <x v="1"/>
    <n v="1311.01"/>
    <n v="1538.79"/>
    <s v="Returning"/>
    <n v="0.09"/>
    <s v="Bank Transfer"/>
    <s v="Retail"/>
    <x v="0"/>
  </r>
  <r>
    <n v="1001"/>
    <s v="Camera"/>
    <d v="2023-08-05T00:00:00"/>
    <x v="0"/>
    <s v="Michael Smith"/>
    <x v="0"/>
    <n v="7.4999999999999997E-2"/>
    <x v="484"/>
    <x v="484"/>
    <n v="4"/>
    <x v="1"/>
    <n v="1791.83"/>
    <n v="1871.22"/>
    <s v="Returning"/>
    <n v="0.12"/>
    <s v="Bank Transfer"/>
    <s v="Online"/>
    <x v="0"/>
  </r>
  <r>
    <n v="1058"/>
    <s v="Wardrobe"/>
    <d v="2023-03-02T00:00:00"/>
    <x v="3"/>
    <s v="Tracy Moore"/>
    <x v="1"/>
    <n v="0.08"/>
    <x v="485"/>
    <x v="485"/>
    <n v="39"/>
    <x v="1"/>
    <n v="3542.8"/>
    <n v="3603.02"/>
    <s v="Returning"/>
    <n v="0.26"/>
    <s v="Cash"/>
    <s v="Online"/>
    <x v="0"/>
  </r>
  <r>
    <n v="1001"/>
    <s v="Camera"/>
    <d v="2023-04-14T00:00:00"/>
    <x v="1"/>
    <s v="Hogan Rock"/>
    <x v="3"/>
    <n v="0.06"/>
    <x v="486"/>
    <x v="486"/>
    <n v="2"/>
    <x v="3"/>
    <n v="2631.68"/>
    <n v="2904.06"/>
    <s v="New"/>
    <n v="0.15"/>
    <s v="Bank Transfer"/>
    <s v="Online"/>
    <x v="0"/>
  </r>
  <r>
    <n v="1034"/>
    <s v="Socks Pack"/>
    <d v="2023-02-11T00:00:00"/>
    <x v="3"/>
    <s v="Tracy Moore"/>
    <x v="2"/>
    <n v="0.05"/>
    <x v="487"/>
    <x v="487"/>
    <n v="26"/>
    <x v="3"/>
    <n v="667"/>
    <n v="718.72"/>
    <s v="New"/>
    <n v="0.2"/>
    <s v="Cash"/>
    <s v="Retail"/>
    <x v="1"/>
  </r>
  <r>
    <n v="1096"/>
    <s v="Radio"/>
    <d v="2023-01-25T00:00:00"/>
    <x v="2"/>
    <s v="Susan Jerkins"/>
    <x v="1"/>
    <n v="0.08"/>
    <x v="488"/>
    <x v="488"/>
    <n v="27"/>
    <x v="2"/>
    <n v="4809"/>
    <n v="4967.4399999999996"/>
    <s v="New"/>
    <n v="0.12"/>
    <s v="Cash"/>
    <s v="Online"/>
    <x v="0"/>
  </r>
  <r>
    <n v="1048"/>
    <s v="Chaise Lounge"/>
    <d v="2023-02-08T00:00:00"/>
    <x v="2"/>
    <s v="Susan Jerkins"/>
    <x v="1"/>
    <n v="0.08"/>
    <x v="489"/>
    <x v="489"/>
    <n v="27"/>
    <x v="2"/>
    <n v="3197.76"/>
    <n v="3572.61"/>
    <s v="Returning"/>
    <n v="0.08"/>
    <s v="Credit Card"/>
    <s v="Online"/>
    <x v="0"/>
  </r>
  <r>
    <n v="1089"/>
    <s v="Recliner"/>
    <d v="2023-10-18T00:00:00"/>
    <x v="1"/>
    <s v="Hogan Rock"/>
    <x v="0"/>
    <n v="7.4999999999999997E-2"/>
    <x v="490"/>
    <x v="490"/>
    <n v="15"/>
    <x v="1"/>
    <n v="3841.05"/>
    <n v="4323.62"/>
    <s v="Returning"/>
    <n v="0.28999999999999998"/>
    <s v="Credit Card"/>
    <s v="Retail"/>
    <x v="0"/>
  </r>
  <r>
    <n v="1001"/>
    <s v="Camera"/>
    <d v="2023-05-11T00:00:00"/>
    <x v="3"/>
    <s v="Tracy Moore"/>
    <x v="3"/>
    <n v="0.06"/>
    <x v="491"/>
    <x v="491"/>
    <n v="8"/>
    <x v="2"/>
    <n v="442.11"/>
    <n v="803.87"/>
    <s v="New"/>
    <n v="0.18"/>
    <s v="Cash"/>
    <s v="Retail"/>
    <x v="0"/>
  </r>
  <r>
    <n v="1016"/>
    <s v="Washing Machine"/>
    <d v="2023-08-17T00:00:00"/>
    <x v="3"/>
    <s v="Tracy Moore"/>
    <x v="1"/>
    <n v="0.08"/>
    <x v="492"/>
    <x v="492"/>
    <n v="7"/>
    <x v="1"/>
    <n v="282.94"/>
    <n v="779.32999999999902"/>
    <s v="Returning"/>
    <n v="0.28000000000000003"/>
    <s v="Credit Card"/>
    <s v="Online"/>
    <x v="1"/>
  </r>
  <r>
    <n v="1061"/>
    <s v="Laptop"/>
    <d v="2023-04-18T00:00:00"/>
    <x v="3"/>
    <s v="Tracy Moore"/>
    <x v="0"/>
    <n v="7.4999999999999997E-2"/>
    <x v="493"/>
    <x v="493"/>
    <n v="47"/>
    <x v="3"/>
    <n v="146.27000000000001"/>
    <n v="498.46"/>
    <s v="New"/>
    <n v="0.06"/>
    <s v="Cash"/>
    <s v="Retail"/>
    <x v="1"/>
  </r>
  <r>
    <n v="1064"/>
    <s v="Smartphone"/>
    <d v="2023-06-21T00:00:00"/>
    <x v="0"/>
    <s v="Michael Smith"/>
    <x v="1"/>
    <n v="0.08"/>
    <x v="494"/>
    <x v="494"/>
    <n v="46"/>
    <x v="3"/>
    <n v="984.53"/>
    <n v="1138.49"/>
    <s v="New"/>
    <n v="0.04"/>
    <s v="Bank Transfer"/>
    <s v="Online"/>
    <x v="0"/>
  </r>
  <r>
    <n v="1063"/>
    <s v="Noodles"/>
    <d v="2023-04-12T00:00:00"/>
    <x v="2"/>
    <s v="Susan Jerkins"/>
    <x v="0"/>
    <n v="7.4999999999999997E-2"/>
    <x v="495"/>
    <x v="495"/>
    <n v="40"/>
    <x v="3"/>
    <n v="2101.3200000000002"/>
    <n v="2440.63"/>
    <s v="New"/>
    <n v="0.26"/>
    <s v="Bank Transfer"/>
    <s v="Retail"/>
    <x v="0"/>
  </r>
  <r>
    <n v="1069"/>
    <s v="Suit"/>
    <d v="2023-12-20T00:00:00"/>
    <x v="3"/>
    <s v="Tracy Moore"/>
    <x v="0"/>
    <n v="7.4999999999999997E-2"/>
    <x v="496"/>
    <x v="496"/>
    <n v="12"/>
    <x v="0"/>
    <n v="4682.34"/>
    <n v="5036.3999999999996"/>
    <s v="New"/>
    <n v="0.2"/>
    <s v="Bank Transfer"/>
    <s v="Retail"/>
    <x v="0"/>
  </r>
  <r>
    <n v="1022"/>
    <s v="Organic Honey"/>
    <d v="2023-01-12T00:00:00"/>
    <x v="3"/>
    <s v="Tracy Moore"/>
    <x v="3"/>
    <n v="0.06"/>
    <x v="497"/>
    <x v="497"/>
    <n v="13"/>
    <x v="1"/>
    <n v="2312.4499999999998"/>
    <n v="2504.6"/>
    <s v="Returning"/>
    <n v="0.06"/>
    <s v="Bank Transfer"/>
    <s v="Online"/>
    <x v="1"/>
  </r>
  <r>
    <n v="1093"/>
    <s v="Dining Table"/>
    <d v="2023-10-02T00:00:00"/>
    <x v="0"/>
    <s v="Michael Smith"/>
    <x v="1"/>
    <n v="0.08"/>
    <x v="498"/>
    <x v="498"/>
    <n v="43"/>
    <x v="3"/>
    <n v="1486.76"/>
    <n v="1505.44"/>
    <s v="New"/>
    <n v="0.08"/>
    <s v="Cash"/>
    <s v="Retail"/>
    <x v="1"/>
  </r>
  <r>
    <n v="1067"/>
    <s v="Grapes"/>
    <d v="2023-04-11T00:00:00"/>
    <x v="0"/>
    <s v="Michael Smith"/>
    <x v="3"/>
    <n v="0.06"/>
    <x v="499"/>
    <x v="499"/>
    <n v="17"/>
    <x v="1"/>
    <n v="2831.58"/>
    <n v="3186.15"/>
    <s v="New"/>
    <n v="0.24"/>
    <s v="Bank Transfer"/>
    <s v="Retail"/>
    <x v="0"/>
  </r>
  <r>
    <n v="1076"/>
    <s v="Polo Shirt"/>
    <d v="2023-02-13T00:00:00"/>
    <x v="3"/>
    <s v="Tracy Moore"/>
    <x v="0"/>
    <n v="7.4999999999999997E-2"/>
    <x v="500"/>
    <x v="500"/>
    <n v="17"/>
    <x v="2"/>
    <n v="604.08000000000004"/>
    <n v="624.71"/>
    <s v="New"/>
    <n v="0.14000000000000001"/>
    <s v="Bank Transfer"/>
    <s v="Retail"/>
    <x v="0"/>
  </r>
  <r>
    <n v="1026"/>
    <s v="Television"/>
    <d v="2023-11-01T00:00:00"/>
    <x v="4"/>
    <s v="Scott Wayne"/>
    <x v="2"/>
    <n v="0.05"/>
    <x v="501"/>
    <x v="501"/>
    <n v="36"/>
    <x v="2"/>
    <n v="3067.05"/>
    <n v="3386.33"/>
    <s v="New"/>
    <n v="0.2"/>
    <s v="Bank Transfer"/>
    <s v="Online"/>
    <x v="0"/>
  </r>
  <r>
    <n v="1016"/>
    <s v="Washing Machine"/>
    <d v="2023-01-17T00:00:00"/>
    <x v="3"/>
    <s v="Tracy Moore"/>
    <x v="1"/>
    <n v="0.08"/>
    <x v="502"/>
    <x v="502"/>
    <n v="21"/>
    <x v="3"/>
    <n v="2863.74"/>
    <n v="2953.91"/>
    <s v="New"/>
    <n v="0.1"/>
    <s v="Bank Transfer"/>
    <s v="Retail"/>
    <x v="1"/>
  </r>
  <r>
    <n v="1051"/>
    <s v="Tablet"/>
    <d v="2023-11-26T00:00:00"/>
    <x v="3"/>
    <s v="Tracy Moore"/>
    <x v="2"/>
    <n v="0.05"/>
    <x v="503"/>
    <x v="503"/>
    <n v="8"/>
    <x v="1"/>
    <n v="3970.37"/>
    <n v="4257.5199999999904"/>
    <s v="New"/>
    <n v="0.11"/>
    <s v="Cash"/>
    <s v="Retail"/>
    <x v="0"/>
  </r>
  <r>
    <n v="1086"/>
    <s v="Gaming Console"/>
    <d v="2023-02-26T00:00:00"/>
    <x v="0"/>
    <s v="Michael Smith"/>
    <x v="1"/>
    <n v="0.08"/>
    <x v="504"/>
    <x v="504"/>
    <n v="5"/>
    <x v="3"/>
    <n v="4934.1000000000004"/>
    <n v="5191.0200000000004"/>
    <s v="New"/>
    <n v="0.3"/>
    <s v="Bank Transfer"/>
    <s v="Online"/>
    <x v="1"/>
  </r>
  <r>
    <n v="1057"/>
    <s v="Avocadro Pear"/>
    <d v="2023-11-07T00:00:00"/>
    <x v="0"/>
    <s v="Michael Smith"/>
    <x v="3"/>
    <n v="0.06"/>
    <x v="505"/>
    <x v="505"/>
    <n v="26"/>
    <x v="2"/>
    <n v="1291.82"/>
    <n v="1308.4399999999901"/>
    <s v="Returning"/>
    <n v="7.0000000000000007E-2"/>
    <s v="Credit Card"/>
    <s v="Online"/>
    <x v="0"/>
  </r>
  <r>
    <n v="1029"/>
    <s v="Camisole"/>
    <d v="2023-10-30T00:00:00"/>
    <x v="3"/>
    <s v="Tracy Moore"/>
    <x v="3"/>
    <n v="0.06"/>
    <x v="506"/>
    <x v="506"/>
    <n v="16"/>
    <x v="3"/>
    <n v="2572.8000000000002"/>
    <n v="2760.6"/>
    <s v="Returning"/>
    <n v="0.15"/>
    <s v="Credit Card"/>
    <s v="Retail"/>
    <x v="1"/>
  </r>
  <r>
    <n v="1078"/>
    <s v="Kitchen Island"/>
    <d v="2023-01-12T00:00:00"/>
    <x v="3"/>
    <s v="Tracy Moore"/>
    <x v="3"/>
    <n v="0.06"/>
    <x v="507"/>
    <x v="507"/>
    <n v="36"/>
    <x v="1"/>
    <n v="4548.88"/>
    <n v="4853.41"/>
    <s v="Returning"/>
    <n v="0.25"/>
    <s v="Credit Card"/>
    <s v="Retail"/>
    <x v="1"/>
  </r>
  <r>
    <n v="1092"/>
    <s v="Recliner"/>
    <d v="2023-11-14T00:00:00"/>
    <x v="3"/>
    <s v="Tracy Moore"/>
    <x v="3"/>
    <n v="0.06"/>
    <x v="508"/>
    <x v="508"/>
    <n v="28"/>
    <x v="2"/>
    <n v="3936.69"/>
    <n v="4362.51"/>
    <s v="Returning"/>
    <n v="7.0000000000000007E-2"/>
    <s v="Credit Card"/>
    <s v="Retail"/>
    <x v="0"/>
  </r>
  <r>
    <n v="1069"/>
    <s v="Suit"/>
    <d v="2023-03-21T00:00:00"/>
    <x v="0"/>
    <s v="Michael Smith"/>
    <x v="3"/>
    <n v="0.06"/>
    <x v="509"/>
    <x v="509"/>
    <n v="29"/>
    <x v="0"/>
    <n v="2462.66"/>
    <n v="2908.0899999999901"/>
    <s v="New"/>
    <n v="0.12"/>
    <s v="Credit Card"/>
    <s v="Online"/>
    <x v="0"/>
  </r>
  <r>
    <n v="1047"/>
    <s v="Mouse"/>
    <d v="2023-08-04T00:00:00"/>
    <x v="3"/>
    <s v="Tracy Moore"/>
    <x v="2"/>
    <n v="0.05"/>
    <x v="510"/>
    <x v="510"/>
    <n v="47"/>
    <x v="2"/>
    <n v="4729.59"/>
    <n v="4976.68"/>
    <s v="Returning"/>
    <n v="0.18"/>
    <s v="Credit Card"/>
    <s v="Retail"/>
    <x v="1"/>
  </r>
  <r>
    <n v="1094"/>
    <s v="Microwave"/>
    <d v="2023-12-05T00:00:00"/>
    <x v="3"/>
    <s v="Tracy Moore"/>
    <x v="3"/>
    <n v="0.06"/>
    <x v="511"/>
    <x v="511"/>
    <n v="12"/>
    <x v="0"/>
    <n v="333.32"/>
    <n v="700.25"/>
    <s v="Returning"/>
    <n v="0.14000000000000001"/>
    <s v="Cash"/>
    <s v="Online"/>
    <x v="0"/>
  </r>
  <r>
    <n v="1062"/>
    <s v="Boxers"/>
    <d v="2023-09-21T00:00:00"/>
    <x v="1"/>
    <s v="Hogan Rock"/>
    <x v="0"/>
    <n v="7.4999999999999997E-2"/>
    <x v="512"/>
    <x v="512"/>
    <n v="37"/>
    <x v="3"/>
    <n v="4658.4399999999996"/>
    <n v="4823.5"/>
    <s v="Returning"/>
    <n v="0.14000000000000001"/>
    <s v="Credit Card"/>
    <s v="Online"/>
    <x v="1"/>
  </r>
  <r>
    <n v="1069"/>
    <s v="Suit"/>
    <d v="2023-05-29T00:00:00"/>
    <x v="4"/>
    <s v="Scott Wayne"/>
    <x v="0"/>
    <n v="7.4999999999999997E-2"/>
    <x v="513"/>
    <x v="513"/>
    <n v="30"/>
    <x v="3"/>
    <n v="300.01"/>
    <n v="477.67999999999898"/>
    <s v="New"/>
    <n v="0.11"/>
    <s v="Bank Transfer"/>
    <s v="Retail"/>
    <x v="1"/>
  </r>
  <r>
    <n v="1076"/>
    <s v="Polo Shirt"/>
    <d v="2023-03-22T00:00:00"/>
    <x v="2"/>
    <s v="Susan Jerkins"/>
    <x v="2"/>
    <n v="0.05"/>
    <x v="514"/>
    <x v="514"/>
    <n v="23"/>
    <x v="1"/>
    <n v="2759.16"/>
    <n v="2864.45"/>
    <s v="Returning"/>
    <n v="0.18"/>
    <s v="Credit Card"/>
    <s v="Retail"/>
    <x v="1"/>
  </r>
  <r>
    <n v="1016"/>
    <s v="Washing Machine"/>
    <d v="2023-08-03T00:00:00"/>
    <x v="4"/>
    <s v="Scott Wayne"/>
    <x v="1"/>
    <n v="0.08"/>
    <x v="515"/>
    <x v="515"/>
    <n v="16"/>
    <x v="0"/>
    <n v="4457.68"/>
    <n v="4743.03"/>
    <s v="Returning"/>
    <n v="0.19"/>
    <s v="Cash"/>
    <s v="Online"/>
    <x v="1"/>
  </r>
  <r>
    <n v="1090"/>
    <s v="Keyboard"/>
    <d v="2023-07-17T00:00:00"/>
    <x v="1"/>
    <s v="Hogan Rock"/>
    <x v="0"/>
    <n v="7.4999999999999997E-2"/>
    <x v="516"/>
    <x v="516"/>
    <n v="14"/>
    <x v="3"/>
    <n v="1350.47"/>
    <n v="1514.61"/>
    <s v="New"/>
    <n v="0.2"/>
    <s v="Credit Card"/>
    <s v="Retail"/>
    <x v="0"/>
  </r>
  <r>
    <n v="1090"/>
    <s v="Keyboard"/>
    <d v="2023-07-19T00:00:00"/>
    <x v="2"/>
    <s v="Susan Jerkins"/>
    <x v="1"/>
    <n v="0.08"/>
    <x v="517"/>
    <x v="517"/>
    <n v="10"/>
    <x v="0"/>
    <n v="2387.63"/>
    <n v="2438.9699999999998"/>
    <s v="Returning"/>
    <n v="0.02"/>
    <s v="Bank Transfer"/>
    <s v="Retail"/>
    <x v="1"/>
  </r>
  <r>
    <n v="1048"/>
    <s v="Chaise Lounge"/>
    <d v="2023-01-25T00:00:00"/>
    <x v="3"/>
    <s v="Tracy Moore"/>
    <x v="2"/>
    <n v="0.05"/>
    <x v="518"/>
    <x v="518"/>
    <n v="7"/>
    <x v="3"/>
    <n v="1655.43"/>
    <n v="2001.08"/>
    <s v="New"/>
    <n v="0.19"/>
    <s v="Bank Transfer"/>
    <s v="Online"/>
    <x v="1"/>
  </r>
  <r>
    <n v="1085"/>
    <s v="Settee"/>
    <d v="2023-03-30T00:00:00"/>
    <x v="1"/>
    <s v="Hogan Rock"/>
    <x v="1"/>
    <n v="0.08"/>
    <x v="519"/>
    <x v="519"/>
    <n v="45"/>
    <x v="2"/>
    <n v="4763.1099999999997"/>
    <n v="5119.91"/>
    <s v="Returning"/>
    <n v="0.28999999999999998"/>
    <s v="Cash"/>
    <s v="Retail"/>
    <x v="0"/>
  </r>
  <r>
    <n v="1039"/>
    <s v="Hoodie"/>
    <d v="2023-09-25T00:00:00"/>
    <x v="3"/>
    <s v="Tracy Moore"/>
    <x v="1"/>
    <n v="0.08"/>
    <x v="520"/>
    <x v="520"/>
    <n v="37"/>
    <x v="3"/>
    <n v="4127.05"/>
    <n v="4313.45"/>
    <s v="New"/>
    <n v="0.16"/>
    <s v="Cash"/>
    <s v="Online"/>
    <x v="1"/>
  </r>
  <r>
    <n v="1100"/>
    <s v="Protein Cookies"/>
    <d v="2023-05-23T00:00:00"/>
    <x v="0"/>
    <s v="Michael Smith"/>
    <x v="1"/>
    <n v="0.08"/>
    <x v="521"/>
    <x v="521"/>
    <n v="29"/>
    <x v="1"/>
    <n v="3559.56"/>
    <n v="3607.15"/>
    <s v="Returning"/>
    <n v="0.21"/>
    <s v="Cash"/>
    <s v="Retail"/>
    <x v="0"/>
  </r>
  <r>
    <n v="1033"/>
    <s v="TV Stand"/>
    <d v="2023-02-28T00:00:00"/>
    <x v="1"/>
    <s v="Hogan Rock"/>
    <x v="1"/>
    <n v="0.08"/>
    <x v="522"/>
    <x v="522"/>
    <n v="3"/>
    <x v="2"/>
    <n v="2958.75"/>
    <n v="3177.64"/>
    <s v="Returning"/>
    <n v="0.17"/>
    <s v="Cash"/>
    <s v="Online"/>
    <x v="1"/>
  </r>
  <r>
    <n v="1094"/>
    <s v="Microwave"/>
    <d v="2023-12-31T00:00:00"/>
    <x v="0"/>
    <s v="Michael Smith"/>
    <x v="2"/>
    <n v="0.05"/>
    <x v="523"/>
    <x v="523"/>
    <n v="15"/>
    <x v="1"/>
    <n v="4111.93"/>
    <n v="4338.67"/>
    <s v="Returning"/>
    <n v="0.26"/>
    <s v="Credit Card"/>
    <s v="Online"/>
    <x v="0"/>
  </r>
  <r>
    <n v="1023"/>
    <s v="Tights"/>
    <d v="2023-01-26T00:00:00"/>
    <x v="1"/>
    <s v="Hogan Rock"/>
    <x v="0"/>
    <n v="7.4999999999999997E-2"/>
    <x v="524"/>
    <x v="524"/>
    <n v="36"/>
    <x v="2"/>
    <n v="1991.72"/>
    <n v="2329.37"/>
    <s v="New"/>
    <n v="0.28000000000000003"/>
    <s v="Credit Card"/>
    <s v="Retail"/>
    <x v="1"/>
  </r>
  <r>
    <n v="1010"/>
    <s v="Lawn Chair"/>
    <d v="2023-02-16T00:00:00"/>
    <x v="1"/>
    <s v="Hogan Rock"/>
    <x v="3"/>
    <n v="0.06"/>
    <x v="525"/>
    <x v="525"/>
    <n v="47"/>
    <x v="0"/>
    <n v="2265.38"/>
    <n v="2429.9299999999998"/>
    <s v="Returning"/>
    <n v="0.06"/>
    <s v="Bank Transfer"/>
    <s v="Online"/>
    <x v="1"/>
  </r>
  <r>
    <n v="1069"/>
    <s v="Suit"/>
    <d v="2023-10-15T00:00:00"/>
    <x v="0"/>
    <s v="Michael Smith"/>
    <x v="1"/>
    <n v="0.08"/>
    <x v="526"/>
    <x v="526"/>
    <n v="46"/>
    <x v="1"/>
    <n v="3663.51"/>
    <n v="4007.98"/>
    <s v="New"/>
    <n v="0.13"/>
    <s v="Cash"/>
    <s v="Online"/>
    <x v="1"/>
  </r>
  <r>
    <n v="1100"/>
    <s v="Protein Cookies"/>
    <d v="2023-09-23T00:00:00"/>
    <x v="2"/>
    <s v="Susan Jerkins"/>
    <x v="0"/>
    <n v="7.4999999999999997E-2"/>
    <x v="527"/>
    <x v="527"/>
    <n v="19"/>
    <x v="3"/>
    <n v="1820.89"/>
    <n v="2257.92"/>
    <s v="New"/>
    <n v="0.12"/>
    <s v="Cash"/>
    <s v="Retail"/>
    <x v="1"/>
  </r>
  <r>
    <n v="1034"/>
    <s v="Socks Pack"/>
    <d v="2023-01-16T00:00:00"/>
    <x v="4"/>
    <s v="Scott Wayne"/>
    <x v="0"/>
    <n v="7.4999999999999997E-2"/>
    <x v="528"/>
    <x v="528"/>
    <n v="13"/>
    <x v="0"/>
    <n v="366.31"/>
    <n v="492.68"/>
    <s v="New"/>
    <n v="0.12"/>
    <s v="Credit Card"/>
    <s v="Retail"/>
    <x v="1"/>
  </r>
  <r>
    <n v="1052"/>
    <s v="Wooden Chair"/>
    <d v="2023-07-18T00:00:00"/>
    <x v="3"/>
    <s v="Tracy Moore"/>
    <x v="2"/>
    <n v="0.05"/>
    <x v="529"/>
    <x v="529"/>
    <n v="42"/>
    <x v="3"/>
    <n v="417.96"/>
    <n v="907.63"/>
    <s v="New"/>
    <n v="0.04"/>
    <s v="Cash"/>
    <s v="Retail"/>
    <x v="0"/>
  </r>
  <r>
    <n v="1095"/>
    <s v="Bluetooth Speaker"/>
    <d v="2023-10-09T00:00:00"/>
    <x v="1"/>
    <s v="Hogan Rock"/>
    <x v="0"/>
    <n v="7.4999999999999997E-2"/>
    <x v="530"/>
    <x v="530"/>
    <n v="21"/>
    <x v="2"/>
    <n v="621.04999999999995"/>
    <n v="820.36999999999898"/>
    <s v="Returning"/>
    <n v="0.24"/>
    <s v="Bank Transfer"/>
    <s v="Online"/>
    <x v="0"/>
  </r>
  <r>
    <n v="1010"/>
    <s v="Lawn Chair"/>
    <d v="2023-03-27T00:00:00"/>
    <x v="3"/>
    <s v="Tracy Moore"/>
    <x v="2"/>
    <n v="0.05"/>
    <x v="531"/>
    <x v="531"/>
    <n v="37"/>
    <x v="2"/>
    <n v="4354.92"/>
    <n v="4495.88"/>
    <s v="Returning"/>
    <n v="0.01"/>
    <s v="Bank Transfer"/>
    <s v="Online"/>
    <x v="0"/>
  </r>
  <r>
    <n v="1019"/>
    <s v="Apple"/>
    <d v="2023-09-07T00:00:00"/>
    <x v="0"/>
    <s v="Michael Smith"/>
    <x v="1"/>
    <n v="0.08"/>
    <x v="532"/>
    <x v="532"/>
    <n v="27"/>
    <x v="3"/>
    <n v="2387.52"/>
    <n v="2604.06"/>
    <s v="Returning"/>
    <n v="0.16"/>
    <s v="Cash"/>
    <s v="Online"/>
    <x v="0"/>
  </r>
  <r>
    <n v="1058"/>
    <s v="Wardrobe"/>
    <d v="2023-09-27T00:00:00"/>
    <x v="3"/>
    <s v="Tracy Moore"/>
    <x v="1"/>
    <n v="0.08"/>
    <x v="533"/>
    <x v="533"/>
    <n v="29"/>
    <x v="3"/>
    <n v="3578.77"/>
    <n v="3635.02"/>
    <s v="New"/>
    <n v="0.2"/>
    <s v="Bank Transfer"/>
    <s v="Retail"/>
    <x v="1"/>
  </r>
  <r>
    <n v="1096"/>
    <s v="Radio"/>
    <d v="2023-12-01T00:00:00"/>
    <x v="0"/>
    <s v="Michael Smith"/>
    <x v="3"/>
    <n v="0.06"/>
    <x v="534"/>
    <x v="534"/>
    <n v="20"/>
    <x v="0"/>
    <n v="1994.9"/>
    <n v="2066.5"/>
    <s v="Returning"/>
    <n v="0.06"/>
    <s v="Bank Transfer"/>
    <s v="Online"/>
    <x v="1"/>
  </r>
  <r>
    <n v="1001"/>
    <s v="Camera"/>
    <d v="2023-04-27T00:00:00"/>
    <x v="3"/>
    <s v="Tracy Moore"/>
    <x v="3"/>
    <n v="0.06"/>
    <x v="535"/>
    <x v="535"/>
    <n v="25"/>
    <x v="3"/>
    <n v="1330.62"/>
    <n v="1543.6899999999901"/>
    <s v="New"/>
    <n v="0.27"/>
    <s v="Credit Card"/>
    <s v="Online"/>
    <x v="1"/>
  </r>
  <r>
    <n v="1069"/>
    <s v="Suit"/>
    <d v="2023-01-07T00:00:00"/>
    <x v="4"/>
    <s v="Scott Wayne"/>
    <x v="3"/>
    <n v="0.06"/>
    <x v="536"/>
    <x v="536"/>
    <n v="6"/>
    <x v="1"/>
    <n v="1768.6"/>
    <n v="2152.1999999999998"/>
    <s v="New"/>
    <n v="0.25"/>
    <s v="Bank Transfer"/>
    <s v="Retail"/>
    <x v="1"/>
  </r>
  <r>
    <n v="1004"/>
    <s v="Smartwatch"/>
    <d v="2023-05-17T00:00:00"/>
    <x v="4"/>
    <s v="Scott Wayne"/>
    <x v="0"/>
    <n v="7.4999999999999997E-2"/>
    <x v="537"/>
    <x v="537"/>
    <n v="36"/>
    <x v="1"/>
    <n v="3981.2"/>
    <n v="4432.3499999999904"/>
    <s v="New"/>
    <n v="0.14000000000000001"/>
    <s v="Cash"/>
    <s v="Online"/>
    <x v="0"/>
  </r>
  <r>
    <n v="1016"/>
    <s v="Washing Machine"/>
    <d v="2023-06-25T00:00:00"/>
    <x v="4"/>
    <s v="Scott Wayne"/>
    <x v="1"/>
    <n v="0.08"/>
    <x v="538"/>
    <x v="538"/>
    <n v="2"/>
    <x v="3"/>
    <n v="3144.82"/>
    <n v="3480.58"/>
    <s v="Returning"/>
    <n v="0.12"/>
    <s v="Cash"/>
    <s v="Retail"/>
    <x v="0"/>
  </r>
  <r>
    <n v="1024"/>
    <s v="Pasta Pack"/>
    <d v="2023-11-24T00:00:00"/>
    <x v="4"/>
    <s v="Scott Wayne"/>
    <x v="2"/>
    <n v="0.05"/>
    <x v="539"/>
    <x v="539"/>
    <n v="22"/>
    <x v="1"/>
    <n v="4691.32"/>
    <n v="4752.88"/>
    <s v="Returning"/>
    <n v="7.0000000000000007E-2"/>
    <s v="Bank Transfer"/>
    <s v="Retail"/>
    <x v="1"/>
  </r>
  <r>
    <n v="1080"/>
    <s v="Headphones"/>
    <d v="2023-11-11T00:00:00"/>
    <x v="4"/>
    <s v="Scott Wayne"/>
    <x v="3"/>
    <n v="0.06"/>
    <x v="540"/>
    <x v="540"/>
    <n v="32"/>
    <x v="3"/>
    <n v="3414.54"/>
    <n v="3753.83"/>
    <s v="New"/>
    <n v="0.22"/>
    <s v="Cash"/>
    <s v="Retail"/>
    <x v="1"/>
  </r>
  <r>
    <n v="1002"/>
    <s v="Bench"/>
    <d v="2023-08-03T00:00:00"/>
    <x v="4"/>
    <s v="Scott Wayne"/>
    <x v="2"/>
    <n v="0.05"/>
    <x v="541"/>
    <x v="541"/>
    <n v="16"/>
    <x v="0"/>
    <n v="2872.4"/>
    <n v="3193.76"/>
    <s v="Returning"/>
    <n v="0.04"/>
    <s v="Credit Card"/>
    <s v="Online"/>
    <x v="0"/>
  </r>
  <r>
    <n v="1092"/>
    <s v="Recliner"/>
    <d v="2023-03-23T00:00:00"/>
    <x v="0"/>
    <s v="Michael Smith"/>
    <x v="2"/>
    <n v="0.05"/>
    <x v="542"/>
    <x v="542"/>
    <n v="18"/>
    <x v="1"/>
    <n v="3070.47"/>
    <n v="3475.29"/>
    <s v="Returning"/>
    <n v="0.2"/>
    <s v="Bank Transfer"/>
    <s v="Online"/>
    <x v="0"/>
  </r>
  <r>
    <n v="1032"/>
    <s v="Refridgerator"/>
    <d v="2023-08-11T00:00:00"/>
    <x v="1"/>
    <s v="Hogan Rock"/>
    <x v="3"/>
    <n v="0.06"/>
    <x v="543"/>
    <x v="543"/>
    <n v="5"/>
    <x v="1"/>
    <n v="4714.74"/>
    <n v="5129.1099999999997"/>
    <s v="New"/>
    <n v="0.25"/>
    <s v="Bank Transfer"/>
    <s v="Online"/>
    <x v="1"/>
  </r>
  <r>
    <n v="1091"/>
    <s v="Granola Bar"/>
    <d v="2023-04-13T00:00:00"/>
    <x v="3"/>
    <s v="Tracy Moore"/>
    <x v="1"/>
    <n v="0.08"/>
    <x v="544"/>
    <x v="544"/>
    <n v="36"/>
    <x v="3"/>
    <n v="3951.59"/>
    <n v="4387.01"/>
    <s v="New"/>
    <n v="7.0000000000000007E-2"/>
    <s v="Bank Transfer"/>
    <s v="Retail"/>
    <x v="0"/>
  </r>
  <r>
    <n v="1084"/>
    <s v="Card Table"/>
    <d v="2023-09-30T00:00:00"/>
    <x v="4"/>
    <s v="Scott Wayne"/>
    <x v="3"/>
    <n v="0.06"/>
    <x v="545"/>
    <x v="545"/>
    <n v="30"/>
    <x v="1"/>
    <n v="169"/>
    <n v="381.91999999999899"/>
    <s v="Returning"/>
    <n v="0.26"/>
    <s v="Cash"/>
    <s v="Retail"/>
    <x v="0"/>
  </r>
  <r>
    <n v="1024"/>
    <s v="Pasta Pack"/>
    <d v="2023-01-14T00:00:00"/>
    <x v="0"/>
    <s v="Michael Smith"/>
    <x v="2"/>
    <n v="0.05"/>
    <x v="546"/>
    <x v="546"/>
    <n v="45"/>
    <x v="2"/>
    <n v="2693.99"/>
    <n v="3045.9399999999901"/>
    <s v="New"/>
    <n v="0.01"/>
    <s v="Cash"/>
    <s v="Retail"/>
    <x v="1"/>
  </r>
  <r>
    <n v="1012"/>
    <s v="Cabinet"/>
    <d v="2023-06-08T00:00:00"/>
    <x v="0"/>
    <s v="Michael Smith"/>
    <x v="3"/>
    <n v="0.06"/>
    <x v="547"/>
    <x v="547"/>
    <n v="19"/>
    <x v="0"/>
    <n v="3457.28"/>
    <n v="3598.72"/>
    <s v="New"/>
    <n v="0.27"/>
    <s v="Bank Transfer"/>
    <s v="Online"/>
    <x v="1"/>
  </r>
  <r>
    <n v="1050"/>
    <s v="Sneakers"/>
    <d v="2023-06-01T00:00:00"/>
    <x v="0"/>
    <s v="Michael Smith"/>
    <x v="2"/>
    <n v="0.05"/>
    <x v="548"/>
    <x v="548"/>
    <n v="23"/>
    <x v="0"/>
    <n v="3756.06"/>
    <n v="4255.7299999999996"/>
    <s v="Returning"/>
    <n v="0.04"/>
    <s v="Cash"/>
    <s v="Online"/>
    <x v="0"/>
  </r>
  <r>
    <n v="1035"/>
    <s v="Doughnut"/>
    <d v="2023-04-18T00:00:00"/>
    <x v="1"/>
    <s v="Hogan Rock"/>
    <x v="2"/>
    <n v="0.05"/>
    <x v="549"/>
    <x v="549"/>
    <n v="34"/>
    <x v="1"/>
    <n v="1105.05"/>
    <n v="1200.96"/>
    <s v="Returning"/>
    <n v="0.19"/>
    <s v="Cash"/>
    <s v="Online"/>
    <x v="0"/>
  </r>
  <r>
    <n v="1033"/>
    <s v="TV Stand"/>
    <d v="2023-07-07T00:00:00"/>
    <x v="3"/>
    <s v="Tracy Moore"/>
    <x v="3"/>
    <n v="0.06"/>
    <x v="550"/>
    <x v="550"/>
    <n v="13"/>
    <x v="1"/>
    <n v="4342.53"/>
    <n v="4357.49"/>
    <s v="New"/>
    <n v="0.08"/>
    <s v="Bank Transfer"/>
    <s v="Online"/>
    <x v="0"/>
  </r>
  <r>
    <n v="1033"/>
    <s v="TV Stand"/>
    <d v="2023-10-28T00:00:00"/>
    <x v="1"/>
    <s v="Hogan Rock"/>
    <x v="0"/>
    <n v="7.4999999999999997E-2"/>
    <x v="551"/>
    <x v="551"/>
    <n v="43"/>
    <x v="2"/>
    <n v="4781.42"/>
    <n v="4864.34"/>
    <s v="Returning"/>
    <n v="0.25"/>
    <s v="Bank Transfer"/>
    <s v="Online"/>
    <x v="1"/>
  </r>
  <r>
    <n v="1061"/>
    <s v="Laptop"/>
    <d v="2023-04-08T00:00:00"/>
    <x v="2"/>
    <s v="Susan Jerkins"/>
    <x v="3"/>
    <n v="0.06"/>
    <x v="552"/>
    <x v="552"/>
    <n v="29"/>
    <x v="2"/>
    <n v="1221.74"/>
    <n v="1611.92"/>
    <s v="New"/>
    <n v="0.15"/>
    <s v="Cash"/>
    <s v="Retail"/>
    <x v="1"/>
  </r>
  <r>
    <n v="1051"/>
    <s v="Tablet"/>
    <d v="2023-05-11T00:00:00"/>
    <x v="0"/>
    <s v="Michael Smith"/>
    <x v="0"/>
    <n v="7.4999999999999997E-2"/>
    <x v="553"/>
    <x v="553"/>
    <n v="36"/>
    <x v="1"/>
    <n v="4418.95"/>
    <n v="4647.87"/>
    <s v="New"/>
    <n v="0.04"/>
    <s v="Bank Transfer"/>
    <s v="Online"/>
    <x v="0"/>
  </r>
  <r>
    <n v="1043"/>
    <s v="Oven"/>
    <d v="2023-10-20T00:00:00"/>
    <x v="2"/>
    <s v="Susan Jerkins"/>
    <x v="2"/>
    <n v="0.05"/>
    <x v="554"/>
    <x v="554"/>
    <n v="22"/>
    <x v="1"/>
    <n v="530.04"/>
    <n v="759.31999999999903"/>
    <s v="Returning"/>
    <n v="0.17"/>
    <s v="Bank Transfer"/>
    <s v="Retail"/>
    <x v="0"/>
  </r>
  <r>
    <n v="1012"/>
    <s v="Cabinet"/>
    <d v="2023-06-20T00:00:00"/>
    <x v="4"/>
    <s v="Scott Wayne"/>
    <x v="2"/>
    <n v="0.05"/>
    <x v="555"/>
    <x v="555"/>
    <n v="47"/>
    <x v="2"/>
    <n v="325.75"/>
    <n v="803.71"/>
    <s v="New"/>
    <n v="0.12"/>
    <s v="Bank Transfer"/>
    <s v="Retail"/>
    <x v="1"/>
  </r>
  <r>
    <n v="1067"/>
    <s v="Grapes"/>
    <d v="2023-07-02T00:00:00"/>
    <x v="4"/>
    <s v="Scott Wayne"/>
    <x v="0"/>
    <n v="7.4999999999999997E-2"/>
    <x v="556"/>
    <x v="556"/>
    <n v="36"/>
    <x v="3"/>
    <n v="689.66"/>
    <n v="1150.28"/>
    <s v="New"/>
    <n v="0.2"/>
    <s v="Bank Transfer"/>
    <s v="Online"/>
    <x v="0"/>
  </r>
  <r>
    <n v="1065"/>
    <s v="Potatoes"/>
    <d v="2023-12-30T00:00:00"/>
    <x v="1"/>
    <s v="Hogan Rock"/>
    <x v="2"/>
    <n v="0.05"/>
    <x v="557"/>
    <x v="557"/>
    <n v="9"/>
    <x v="2"/>
    <n v="335.82"/>
    <n v="498.31"/>
    <s v="New"/>
    <n v="0.26"/>
    <s v="Cash"/>
    <s v="Retail"/>
    <x v="0"/>
  </r>
  <r>
    <n v="1033"/>
    <s v="TV Stand"/>
    <d v="2023-02-08T00:00:00"/>
    <x v="3"/>
    <s v="Tracy Moore"/>
    <x v="0"/>
    <n v="7.4999999999999997E-2"/>
    <x v="558"/>
    <x v="558"/>
    <n v="39"/>
    <x v="3"/>
    <n v="4232.8100000000004"/>
    <n v="4345.25"/>
    <s v="Returning"/>
    <n v="0.12"/>
    <s v="Bank Transfer"/>
    <s v="Online"/>
    <x v="0"/>
  </r>
  <r>
    <n v="1040"/>
    <s v="Cap"/>
    <d v="2023-01-15T00:00:00"/>
    <x v="2"/>
    <s v="Susan Jerkins"/>
    <x v="0"/>
    <n v="7.4999999999999997E-2"/>
    <x v="559"/>
    <x v="559"/>
    <n v="19"/>
    <x v="0"/>
    <n v="342.3"/>
    <n v="768.06"/>
    <s v="Returning"/>
    <n v="0.09"/>
    <s v="Credit Card"/>
    <s v="Online"/>
    <x v="0"/>
  </r>
  <r>
    <n v="1074"/>
    <s v="French Fries"/>
    <d v="2023-01-04T00:00:00"/>
    <x v="3"/>
    <s v="Tracy Moore"/>
    <x v="2"/>
    <n v="0.05"/>
    <x v="560"/>
    <x v="560"/>
    <n v="38"/>
    <x v="0"/>
    <n v="1394.74"/>
    <n v="1848.69"/>
    <s v="Returning"/>
    <n v="0"/>
    <s v="Bank Transfer"/>
    <s v="Retail"/>
    <x v="0"/>
  </r>
  <r>
    <n v="1043"/>
    <s v="Oven"/>
    <d v="2023-12-15T00:00:00"/>
    <x v="1"/>
    <s v="Hogan Rock"/>
    <x v="1"/>
    <n v="0.08"/>
    <x v="561"/>
    <x v="561"/>
    <n v="6"/>
    <x v="2"/>
    <n v="563.59"/>
    <n v="838.97"/>
    <s v="New"/>
    <n v="0.17"/>
    <s v="Credit Card"/>
    <s v="Online"/>
    <x v="1"/>
  </r>
  <r>
    <n v="1044"/>
    <s v="Burger"/>
    <d v="2023-07-29T00:00:00"/>
    <x v="4"/>
    <s v="Scott Wayne"/>
    <x v="0"/>
    <n v="7.4999999999999997E-2"/>
    <x v="562"/>
    <x v="562"/>
    <n v="47"/>
    <x v="3"/>
    <n v="1512.34"/>
    <n v="1830.76"/>
    <s v="New"/>
    <n v="0.12"/>
    <s v="Bank Transfer"/>
    <s v="Online"/>
    <x v="0"/>
  </r>
  <r>
    <n v="1029"/>
    <s v="Camisole"/>
    <d v="2023-06-10T00:00:00"/>
    <x v="3"/>
    <s v="Tracy Moore"/>
    <x v="3"/>
    <n v="0.06"/>
    <x v="563"/>
    <x v="563"/>
    <n v="15"/>
    <x v="2"/>
    <n v="498.27"/>
    <n v="634.16"/>
    <s v="Returning"/>
    <n v="0.11"/>
    <s v="Credit Card"/>
    <s v="Retail"/>
    <x v="1"/>
  </r>
  <r>
    <n v="1013"/>
    <s v="Gas Cooker"/>
    <d v="2023-01-16T00:00:00"/>
    <x v="3"/>
    <s v="Tracy Moore"/>
    <x v="3"/>
    <n v="0.06"/>
    <x v="564"/>
    <x v="564"/>
    <n v="20"/>
    <x v="2"/>
    <n v="3356.62"/>
    <n v="3759.0099999999902"/>
    <s v="Returning"/>
    <n v="0.05"/>
    <s v="Credit Card"/>
    <s v="Retail"/>
    <x v="0"/>
  </r>
  <r>
    <n v="1012"/>
    <s v="Cabinet"/>
    <d v="2023-04-18T00:00:00"/>
    <x v="4"/>
    <s v="Scott Wayne"/>
    <x v="2"/>
    <n v="0.05"/>
    <x v="565"/>
    <x v="565"/>
    <n v="9"/>
    <x v="3"/>
    <n v="709.97"/>
    <n v="1029.71"/>
    <s v="Returning"/>
    <n v="0.13"/>
    <s v="Bank Transfer"/>
    <s v="Retail"/>
    <x v="1"/>
  </r>
  <r>
    <n v="1095"/>
    <s v="Bluetooth Speaker"/>
    <d v="2023-11-07T00:00:00"/>
    <x v="2"/>
    <s v="Susan Jerkins"/>
    <x v="1"/>
    <n v="0.08"/>
    <x v="566"/>
    <x v="566"/>
    <n v="32"/>
    <x v="2"/>
    <n v="4266.6400000000003"/>
    <n v="4523.3599999999997"/>
    <s v="New"/>
    <n v="0.3"/>
    <s v="Bank Transfer"/>
    <s v="Retail"/>
    <x v="0"/>
  </r>
  <r>
    <n v="1046"/>
    <s v="Sweat Shirts"/>
    <d v="2023-08-15T00:00:00"/>
    <x v="4"/>
    <s v="Scott Wayne"/>
    <x v="2"/>
    <n v="0.05"/>
    <x v="567"/>
    <x v="567"/>
    <n v="4"/>
    <x v="0"/>
    <n v="4095.1"/>
    <n v="4134.55"/>
    <s v="Returning"/>
    <n v="0.09"/>
    <s v="Bank Transfer"/>
    <s v="Retail"/>
    <x v="1"/>
  </r>
  <r>
    <n v="1002"/>
    <s v="Bench"/>
    <d v="2023-06-19T00:00:00"/>
    <x v="3"/>
    <s v="Tracy Moore"/>
    <x v="1"/>
    <n v="0.08"/>
    <x v="568"/>
    <x v="568"/>
    <n v="18"/>
    <x v="1"/>
    <n v="117.63"/>
    <n v="576.44000000000005"/>
    <s v="New"/>
    <n v="0.18"/>
    <s v="Credit Card"/>
    <s v="Retail"/>
    <x v="1"/>
  </r>
  <r>
    <n v="1035"/>
    <s v="Doughnut"/>
    <d v="2023-02-03T00:00:00"/>
    <x v="2"/>
    <s v="Susan Jerkins"/>
    <x v="0"/>
    <n v="7.4999999999999997E-2"/>
    <x v="569"/>
    <x v="569"/>
    <n v="5"/>
    <x v="1"/>
    <n v="4483.8500000000004"/>
    <n v="4795.42"/>
    <s v="Returning"/>
    <n v="0.23"/>
    <s v="Cash"/>
    <s v="Online"/>
    <x v="1"/>
  </r>
  <r>
    <n v="1087"/>
    <s v="Sofa Set"/>
    <d v="2023-09-08T00:00:00"/>
    <x v="2"/>
    <s v="Susan Jerkins"/>
    <x v="0"/>
    <n v="7.4999999999999997E-2"/>
    <x v="570"/>
    <x v="570"/>
    <n v="20"/>
    <x v="2"/>
    <n v="193.27"/>
    <n v="297.69"/>
    <s v="New"/>
    <n v="0.22"/>
    <s v="Cash"/>
    <s v="Online"/>
    <x v="1"/>
  </r>
  <r>
    <n v="1081"/>
    <s v="Rocking Chair"/>
    <d v="2023-09-04T00:00:00"/>
    <x v="4"/>
    <s v="Scott Wayne"/>
    <x v="0"/>
    <n v="7.4999999999999997E-2"/>
    <x v="571"/>
    <x v="571"/>
    <n v="23"/>
    <x v="3"/>
    <n v="1236.25"/>
    <n v="1543.38"/>
    <s v="New"/>
    <n v="0.1"/>
    <s v="Bank Transfer"/>
    <s v="Online"/>
    <x v="0"/>
  </r>
  <r>
    <n v="1090"/>
    <s v="Keyboard"/>
    <d v="2023-09-26T00:00:00"/>
    <x v="3"/>
    <s v="Tracy Moore"/>
    <x v="0"/>
    <n v="7.4999999999999997E-2"/>
    <x v="572"/>
    <x v="572"/>
    <n v="11"/>
    <x v="3"/>
    <n v="210.33"/>
    <n v="552.29"/>
    <s v="Returning"/>
    <n v="0.18"/>
    <s v="Cash"/>
    <s v="Retail"/>
    <x v="0"/>
  </r>
  <r>
    <n v="1008"/>
    <s v="Skirt"/>
    <d v="2023-05-21T00:00:00"/>
    <x v="1"/>
    <s v="Hogan Rock"/>
    <x v="3"/>
    <n v="0.06"/>
    <x v="573"/>
    <x v="573"/>
    <n v="37"/>
    <x v="0"/>
    <n v="1712.43"/>
    <n v="1980.06"/>
    <s v="New"/>
    <n v="0.26"/>
    <s v="Cash"/>
    <s v="Online"/>
    <x v="0"/>
  </r>
  <r>
    <n v="1093"/>
    <s v="Dining Table"/>
    <d v="2023-10-01T00:00:00"/>
    <x v="3"/>
    <s v="Tracy Moore"/>
    <x v="3"/>
    <n v="0.06"/>
    <x v="574"/>
    <x v="574"/>
    <n v="22"/>
    <x v="3"/>
    <n v="2593.64"/>
    <n v="2955.5099999999902"/>
    <s v="Returning"/>
    <n v="0"/>
    <s v="Bank Transfer"/>
    <s v="Retail"/>
    <x v="1"/>
  </r>
  <r>
    <n v="1026"/>
    <s v="Television"/>
    <d v="2023-04-06T00:00:00"/>
    <x v="0"/>
    <s v="Michael Smith"/>
    <x v="2"/>
    <n v="0.05"/>
    <x v="575"/>
    <x v="575"/>
    <n v="4"/>
    <x v="3"/>
    <n v="3993.39"/>
    <n v="4288.3"/>
    <s v="New"/>
    <n v="0.13"/>
    <s v="Credit Card"/>
    <s v="Online"/>
    <x v="1"/>
  </r>
  <r>
    <n v="1074"/>
    <s v="French Fries"/>
    <d v="2023-08-15T00:00:00"/>
    <x v="1"/>
    <s v="Hogan Rock"/>
    <x v="1"/>
    <n v="0.08"/>
    <x v="576"/>
    <x v="576"/>
    <n v="29"/>
    <x v="0"/>
    <n v="1723.01"/>
    <n v="2197.42"/>
    <s v="New"/>
    <n v="7.0000000000000007E-2"/>
    <s v="Bank Transfer"/>
    <s v="Retail"/>
    <x v="1"/>
  </r>
  <r>
    <n v="1090"/>
    <s v="Keyboard"/>
    <d v="2023-02-08T00:00:00"/>
    <x v="2"/>
    <s v="Susan Jerkins"/>
    <x v="0"/>
    <n v="7.4999999999999997E-2"/>
    <x v="577"/>
    <x v="577"/>
    <n v="44"/>
    <x v="2"/>
    <n v="3542.18"/>
    <n v="3578.49"/>
    <s v="Returning"/>
    <n v="0.12"/>
    <s v="Cash"/>
    <s v="Online"/>
    <x v="1"/>
  </r>
  <r>
    <n v="1034"/>
    <s v="Socks Pack"/>
    <d v="2023-10-29T00:00:00"/>
    <x v="1"/>
    <s v="Hogan Rock"/>
    <x v="0"/>
    <n v="7.4999999999999997E-2"/>
    <x v="578"/>
    <x v="578"/>
    <n v="34"/>
    <x v="1"/>
    <n v="978.15"/>
    <n v="1040.21"/>
    <s v="New"/>
    <n v="0.12"/>
    <s v="Credit Card"/>
    <s v="Retail"/>
    <x v="0"/>
  </r>
  <r>
    <n v="1007"/>
    <s v="Fruit Jam"/>
    <d v="2023-01-29T00:00:00"/>
    <x v="2"/>
    <s v="Susan Jerkins"/>
    <x v="1"/>
    <n v="0.08"/>
    <x v="579"/>
    <x v="579"/>
    <n v="13"/>
    <x v="0"/>
    <n v="3765.46"/>
    <n v="3860.56"/>
    <s v="Returning"/>
    <n v="0.22"/>
    <s v="Cash"/>
    <s v="Retail"/>
    <x v="1"/>
  </r>
  <r>
    <n v="1068"/>
    <s v="Leggings"/>
    <d v="2023-11-14T00:00:00"/>
    <x v="2"/>
    <s v="Susan Jerkins"/>
    <x v="1"/>
    <n v="0.08"/>
    <x v="580"/>
    <x v="580"/>
    <n v="42"/>
    <x v="2"/>
    <n v="1218.18"/>
    <n v="1566.36"/>
    <s v="Returning"/>
    <n v="0.03"/>
    <s v="Credit Card"/>
    <s v="Retail"/>
    <x v="1"/>
  </r>
  <r>
    <n v="1058"/>
    <s v="Wardrobe"/>
    <d v="2023-09-02T00:00:00"/>
    <x v="1"/>
    <s v="Hogan Rock"/>
    <x v="2"/>
    <n v="0.05"/>
    <x v="581"/>
    <x v="581"/>
    <n v="9"/>
    <x v="0"/>
    <n v="760.55"/>
    <n v="1086.8899999999901"/>
    <s v="Returning"/>
    <n v="0.15"/>
    <s v="Cash"/>
    <s v="Retail"/>
    <x v="1"/>
  </r>
  <r>
    <n v="1075"/>
    <s v="Bookshelf"/>
    <d v="2023-08-24T00:00:00"/>
    <x v="2"/>
    <s v="Susan Jerkins"/>
    <x v="1"/>
    <n v="0.08"/>
    <x v="582"/>
    <x v="582"/>
    <n v="42"/>
    <x v="2"/>
    <n v="967.77"/>
    <n v="1414.88"/>
    <s v="New"/>
    <n v="0.17"/>
    <s v="Bank Transfer"/>
    <s v="Online"/>
    <x v="1"/>
  </r>
  <r>
    <n v="1029"/>
    <s v="Camisole"/>
    <d v="2023-07-04T00:00:00"/>
    <x v="2"/>
    <s v="Susan Jerkins"/>
    <x v="0"/>
    <n v="7.4999999999999997E-2"/>
    <x v="583"/>
    <x v="583"/>
    <n v="31"/>
    <x v="0"/>
    <n v="951.21"/>
    <n v="1320.32"/>
    <s v="New"/>
    <n v="0.15"/>
    <s v="Cash"/>
    <s v="Online"/>
    <x v="0"/>
  </r>
  <r>
    <n v="1036"/>
    <s v="Shorts"/>
    <d v="2023-09-29T00:00:00"/>
    <x v="0"/>
    <s v="Michael Smith"/>
    <x v="0"/>
    <n v="7.4999999999999997E-2"/>
    <x v="584"/>
    <x v="17"/>
    <n v="7"/>
    <x v="2"/>
    <n v="2588.67"/>
    <n v="2847.76"/>
    <s v="New"/>
    <n v="0.22"/>
    <s v="Cash"/>
    <s v="Retail"/>
    <x v="0"/>
  </r>
  <r>
    <n v="1089"/>
    <s v="Recliner"/>
    <d v="2023-08-24T00:00:00"/>
    <x v="3"/>
    <s v="Tracy Moore"/>
    <x v="0"/>
    <n v="7.4999999999999997E-2"/>
    <x v="585"/>
    <x v="584"/>
    <n v="4"/>
    <x v="0"/>
    <n v="4231.75"/>
    <n v="4727.75"/>
    <s v="Returning"/>
    <n v="0.12"/>
    <s v="Credit Card"/>
    <s v="Retail"/>
    <x v="1"/>
  </r>
  <r>
    <n v="1021"/>
    <s v="Almond Milk"/>
    <d v="2023-08-27T00:00:00"/>
    <x v="3"/>
    <s v="Tracy Moore"/>
    <x v="0"/>
    <n v="7.4999999999999997E-2"/>
    <x v="586"/>
    <x v="585"/>
    <n v="19"/>
    <x v="2"/>
    <n v="444.05"/>
    <n v="584.44000000000005"/>
    <s v="Returning"/>
    <n v="0.28000000000000003"/>
    <s v="Cash"/>
    <s v="Retail"/>
    <x v="1"/>
  </r>
  <r>
    <n v="1036"/>
    <s v="Shorts"/>
    <d v="2023-09-23T00:00:00"/>
    <x v="0"/>
    <s v="Michael Smith"/>
    <x v="0"/>
    <n v="7.4999999999999997E-2"/>
    <x v="587"/>
    <x v="586"/>
    <n v="42"/>
    <x v="0"/>
    <n v="3549.43"/>
    <n v="3967.6899999999901"/>
    <s v="New"/>
    <n v="0.14000000000000001"/>
    <s v="Bank Transfer"/>
    <s v="Online"/>
    <x v="1"/>
  </r>
  <r>
    <n v="1010"/>
    <s v="Lawn Chair"/>
    <d v="2023-12-25T00:00:00"/>
    <x v="1"/>
    <s v="Hogan Rock"/>
    <x v="2"/>
    <n v="0.05"/>
    <x v="588"/>
    <x v="587"/>
    <n v="30"/>
    <x v="1"/>
    <n v="3289.01"/>
    <n v="3508.14"/>
    <s v="New"/>
    <n v="0.17"/>
    <s v="Bank Transfer"/>
    <s v="Retail"/>
    <x v="1"/>
  </r>
  <r>
    <n v="1073"/>
    <s v="Console Table"/>
    <d v="2023-12-06T00:00:00"/>
    <x v="4"/>
    <s v="Scott Wayne"/>
    <x v="0"/>
    <n v="7.4999999999999997E-2"/>
    <x v="589"/>
    <x v="588"/>
    <n v="31"/>
    <x v="1"/>
    <n v="4368.97"/>
    <n v="4696.8500000000004"/>
    <s v="Returning"/>
    <n v="0.25"/>
    <s v="Bank Transfer"/>
    <s v="Retail"/>
    <x v="1"/>
  </r>
  <r>
    <n v="1024"/>
    <s v="Pasta Pack"/>
    <d v="2023-03-06T00:00:00"/>
    <x v="4"/>
    <s v="Scott Wayne"/>
    <x v="2"/>
    <n v="0.05"/>
    <x v="590"/>
    <x v="589"/>
    <n v="35"/>
    <x v="3"/>
    <n v="1258.53"/>
    <n v="1624.8899999999901"/>
    <s v="New"/>
    <n v="0.08"/>
    <s v="Credit Card"/>
    <s v="Online"/>
    <x v="0"/>
  </r>
  <r>
    <n v="1064"/>
    <s v="Smartphone"/>
    <d v="2023-06-26T00:00:00"/>
    <x v="4"/>
    <s v="Scott Wayne"/>
    <x v="0"/>
    <n v="7.4999999999999997E-2"/>
    <x v="591"/>
    <x v="590"/>
    <n v="21"/>
    <x v="2"/>
    <n v="2278.04"/>
    <n v="2598.58"/>
    <s v="Returning"/>
    <n v="0.02"/>
    <s v="Credit Card"/>
    <s v="Retail"/>
    <x v="0"/>
  </r>
  <r>
    <n v="1099"/>
    <s v="Chest"/>
    <d v="2023-01-03T00:00:00"/>
    <x v="0"/>
    <s v="Michael Smith"/>
    <x v="3"/>
    <n v="0.06"/>
    <x v="592"/>
    <x v="591"/>
    <n v="31"/>
    <x v="0"/>
    <n v="4632.8500000000004"/>
    <n v="4711.7"/>
    <s v="New"/>
    <n v="0.21"/>
    <s v="Cash"/>
    <s v="Retail"/>
    <x v="0"/>
  </r>
  <r>
    <n v="1049"/>
    <s v="Coffee Table"/>
    <d v="2023-05-22T00:00:00"/>
    <x v="0"/>
    <s v="Michael Smith"/>
    <x v="3"/>
    <n v="0.06"/>
    <x v="593"/>
    <x v="592"/>
    <n v="19"/>
    <x v="2"/>
    <n v="3316.97"/>
    <n v="3544.02"/>
    <s v="Returning"/>
    <n v="0.14000000000000001"/>
    <s v="Cash"/>
    <s v="Online"/>
    <x v="1"/>
  </r>
  <r>
    <n v="1099"/>
    <s v="Chest"/>
    <d v="2023-06-07T00:00:00"/>
    <x v="2"/>
    <s v="Susan Jerkins"/>
    <x v="3"/>
    <n v="0.06"/>
    <x v="594"/>
    <x v="593"/>
    <n v="31"/>
    <x v="1"/>
    <n v="1974.4"/>
    <n v="2259.5"/>
    <s v="New"/>
    <n v="0.27"/>
    <s v="Cash"/>
    <s v="Retail"/>
    <x v="1"/>
  </r>
  <r>
    <n v="1036"/>
    <s v="Shorts"/>
    <d v="2023-11-20T00:00:00"/>
    <x v="4"/>
    <s v="Scott Wayne"/>
    <x v="3"/>
    <n v="0.06"/>
    <x v="595"/>
    <x v="594"/>
    <n v="32"/>
    <x v="2"/>
    <n v="700.49"/>
    <n v="1126.52"/>
    <s v="New"/>
    <n v="0.28999999999999998"/>
    <s v="Credit Card"/>
    <s v="Retail"/>
    <x v="0"/>
  </r>
  <r>
    <n v="1082"/>
    <s v="USB Drive"/>
    <d v="2023-05-26T00:00:00"/>
    <x v="1"/>
    <s v="Hogan Rock"/>
    <x v="2"/>
    <n v="0.05"/>
    <x v="596"/>
    <x v="595"/>
    <n v="2"/>
    <x v="0"/>
    <n v="1349.3"/>
    <n v="1576.69"/>
    <s v="Returning"/>
    <n v="0.12"/>
    <s v="Credit Card"/>
    <s v="Online"/>
    <x v="0"/>
  </r>
  <r>
    <n v="1096"/>
    <s v="Radio"/>
    <d v="2023-10-20T00:00:00"/>
    <x v="1"/>
    <s v="Hogan Rock"/>
    <x v="2"/>
    <n v="0.05"/>
    <x v="597"/>
    <x v="596"/>
    <n v="10"/>
    <x v="2"/>
    <n v="2927.02"/>
    <n v="3387.21"/>
    <s v="Returning"/>
    <n v="0.12"/>
    <s v="Cash"/>
    <s v="Retail"/>
    <x v="0"/>
  </r>
  <r>
    <n v="1024"/>
    <s v="Pasta Pack"/>
    <d v="2023-06-02T00:00:00"/>
    <x v="4"/>
    <s v="Scott Wayne"/>
    <x v="1"/>
    <n v="0.08"/>
    <x v="598"/>
    <x v="597"/>
    <n v="2"/>
    <x v="0"/>
    <n v="3604.93"/>
    <n v="3830.71"/>
    <s v="Returning"/>
    <n v="0.12"/>
    <s v="Credit Card"/>
    <s v="Online"/>
    <x v="1"/>
  </r>
  <r>
    <n v="1023"/>
    <s v="Tights"/>
    <d v="2023-07-12T00:00:00"/>
    <x v="4"/>
    <s v="Scott Wayne"/>
    <x v="0"/>
    <n v="7.4999999999999997E-2"/>
    <x v="599"/>
    <x v="598"/>
    <n v="2"/>
    <x v="1"/>
    <n v="665.89"/>
    <n v="944.79"/>
    <s v="New"/>
    <n v="0.1"/>
    <s v="Credit Card"/>
    <s v="Retail"/>
    <x v="0"/>
  </r>
  <r>
    <n v="1062"/>
    <s v="Boxers"/>
    <d v="2023-03-14T00:00:00"/>
    <x v="4"/>
    <s v="Scott Wayne"/>
    <x v="3"/>
    <n v="0.06"/>
    <x v="600"/>
    <x v="599"/>
    <n v="24"/>
    <x v="1"/>
    <n v="3018.01"/>
    <n v="3418.19"/>
    <s v="Returning"/>
    <n v="0.23"/>
    <s v="Bank Transfer"/>
    <s v="Retail"/>
    <x v="1"/>
  </r>
  <r>
    <n v="1096"/>
    <s v="Radio"/>
    <d v="2023-11-01T00:00:00"/>
    <x v="0"/>
    <s v="Michael Smith"/>
    <x v="2"/>
    <n v="0.05"/>
    <x v="601"/>
    <x v="600"/>
    <n v="17"/>
    <x v="1"/>
    <n v="2774.24"/>
    <n v="3069.9399999999901"/>
    <s v="Returning"/>
    <n v="0.23"/>
    <s v="Bank Transfer"/>
    <s v="Retail"/>
    <x v="0"/>
  </r>
  <r>
    <n v="1037"/>
    <s v="Turtleneck Top"/>
    <d v="2023-12-10T00:00:00"/>
    <x v="0"/>
    <s v="Michael Smith"/>
    <x v="0"/>
    <n v="7.4999999999999997E-2"/>
    <x v="602"/>
    <x v="601"/>
    <n v="32"/>
    <x v="3"/>
    <n v="2594.08"/>
    <n v="3074.59"/>
    <s v="New"/>
    <n v="0.14000000000000001"/>
    <s v="Cash"/>
    <s v="Retail"/>
    <x v="0"/>
  </r>
  <r>
    <n v="1012"/>
    <s v="Cabinet"/>
    <d v="2023-05-20T00:00:00"/>
    <x v="0"/>
    <s v="Michael Smith"/>
    <x v="0"/>
    <n v="7.4999999999999997E-2"/>
    <x v="603"/>
    <x v="602"/>
    <n v="16"/>
    <x v="1"/>
    <n v="3466.11"/>
    <n v="3799.67"/>
    <s v="Returning"/>
    <n v="0.01"/>
    <s v="Cash"/>
    <s v="Retail"/>
    <x v="0"/>
  </r>
  <r>
    <n v="1055"/>
    <s v="Cupboard"/>
    <d v="2023-07-06T00:00:00"/>
    <x v="3"/>
    <s v="Tracy Moore"/>
    <x v="2"/>
    <n v="0.05"/>
    <x v="604"/>
    <x v="603"/>
    <n v="16"/>
    <x v="2"/>
    <n v="4195.38"/>
    <n v="4461.51"/>
    <s v="Returning"/>
    <n v="0.09"/>
    <s v="Bank Transfer"/>
    <s v="Online"/>
    <x v="1"/>
  </r>
  <r>
    <n v="1013"/>
    <s v="Gas Cooker"/>
    <d v="2023-10-20T00:00:00"/>
    <x v="1"/>
    <s v="Hogan Rock"/>
    <x v="3"/>
    <n v="0.06"/>
    <x v="605"/>
    <x v="604"/>
    <n v="46"/>
    <x v="3"/>
    <n v="1648.8"/>
    <n v="1670.36"/>
    <s v="Returning"/>
    <n v="0.09"/>
    <s v="Credit Card"/>
    <s v="Retail"/>
    <x v="0"/>
  </r>
  <r>
    <n v="1023"/>
    <s v="Tights"/>
    <d v="2023-03-02T00:00:00"/>
    <x v="1"/>
    <s v="Hogan Rock"/>
    <x v="1"/>
    <n v="0.08"/>
    <x v="606"/>
    <x v="605"/>
    <n v="39"/>
    <x v="1"/>
    <n v="4450.6099999999997"/>
    <n v="4663.3399999999901"/>
    <s v="New"/>
    <n v="0.24"/>
    <s v="Cash"/>
    <s v="Retail"/>
    <x v="1"/>
  </r>
  <r>
    <n v="1089"/>
    <s v="Recliner"/>
    <d v="2023-07-17T00:00:00"/>
    <x v="2"/>
    <s v="Susan Jerkins"/>
    <x v="0"/>
    <n v="7.4999999999999997E-2"/>
    <x v="607"/>
    <x v="606"/>
    <n v="31"/>
    <x v="2"/>
    <n v="845.14"/>
    <n v="1001.77"/>
    <s v="New"/>
    <n v="0.03"/>
    <s v="Cash"/>
    <s v="Online"/>
    <x v="1"/>
  </r>
  <r>
    <n v="1099"/>
    <s v="Chest"/>
    <d v="2023-10-22T00:00:00"/>
    <x v="0"/>
    <s v="Michael Smith"/>
    <x v="1"/>
    <n v="0.08"/>
    <x v="608"/>
    <x v="607"/>
    <n v="43"/>
    <x v="2"/>
    <n v="906.47"/>
    <n v="1283.04"/>
    <s v="New"/>
    <n v="0.24"/>
    <s v="Cash"/>
    <s v="Online"/>
    <x v="1"/>
  </r>
  <r>
    <n v="1030"/>
    <s v="Jeans"/>
    <d v="2023-11-15T00:00:00"/>
    <x v="3"/>
    <s v="Tracy Moore"/>
    <x v="3"/>
    <n v="0.06"/>
    <x v="609"/>
    <x v="608"/>
    <n v="24"/>
    <x v="2"/>
    <n v="1370.52"/>
    <n v="1482.58"/>
    <s v="Returning"/>
    <n v="0.2"/>
    <s v="Credit Card"/>
    <s v="Retail"/>
    <x v="0"/>
  </r>
  <r>
    <n v="1017"/>
    <s v="Peaches"/>
    <d v="2023-10-29T00:00:00"/>
    <x v="3"/>
    <s v="Tracy Moore"/>
    <x v="3"/>
    <n v="0.06"/>
    <x v="610"/>
    <x v="609"/>
    <n v="1"/>
    <x v="0"/>
    <n v="641.67999999999995"/>
    <n v="752.24"/>
    <s v="New"/>
    <n v="0.22"/>
    <s v="Bank Transfer"/>
    <s v="Online"/>
    <x v="1"/>
  </r>
  <r>
    <n v="1062"/>
    <s v="Boxers"/>
    <d v="2023-12-10T00:00:00"/>
    <x v="1"/>
    <s v="Hogan Rock"/>
    <x v="1"/>
    <n v="0.08"/>
    <x v="611"/>
    <x v="610"/>
    <n v="11"/>
    <x v="3"/>
    <n v="1190.08"/>
    <n v="1292.9399999999901"/>
    <s v="Returning"/>
    <n v="0.13"/>
    <s v="Cash"/>
    <s v="Retail"/>
    <x v="1"/>
  </r>
  <r>
    <n v="1084"/>
    <s v="Card Table"/>
    <d v="2023-01-11T00:00:00"/>
    <x v="0"/>
    <s v="Michael Smith"/>
    <x v="3"/>
    <n v="0.06"/>
    <x v="612"/>
    <x v="611"/>
    <n v="21"/>
    <x v="2"/>
    <n v="576.74"/>
    <n v="648.29"/>
    <s v="Returning"/>
    <n v="0.2"/>
    <s v="Bank Transfer"/>
    <s v="Online"/>
    <x v="0"/>
  </r>
  <r>
    <n v="1089"/>
    <s v="Recliner"/>
    <d v="2023-03-03T00:00:00"/>
    <x v="2"/>
    <s v="Susan Jerkins"/>
    <x v="0"/>
    <n v="7.4999999999999997E-2"/>
    <x v="613"/>
    <x v="612"/>
    <n v="4"/>
    <x v="0"/>
    <n v="4117.67"/>
    <n v="4280.0600000000004"/>
    <s v="Returning"/>
    <n v="0.18"/>
    <s v="Bank Transfer"/>
    <s v="Online"/>
    <x v="1"/>
  </r>
  <r>
    <n v="1086"/>
    <s v="Gaming Console"/>
    <d v="2023-11-29T00:00:00"/>
    <x v="0"/>
    <s v="Michael Smith"/>
    <x v="1"/>
    <n v="0.08"/>
    <x v="614"/>
    <x v="613"/>
    <n v="7"/>
    <x v="1"/>
    <n v="737.9"/>
    <n v="1182"/>
    <s v="New"/>
    <n v="0.23"/>
    <s v="Credit Card"/>
    <s v="Retail"/>
    <x v="0"/>
  </r>
  <r>
    <n v="1013"/>
    <s v="Gas Cooker"/>
    <d v="2023-08-14T00:00:00"/>
    <x v="4"/>
    <s v="Scott Wayne"/>
    <x v="3"/>
    <n v="0.06"/>
    <x v="615"/>
    <x v="614"/>
    <n v="26"/>
    <x v="2"/>
    <n v="3749.12"/>
    <n v="4138.83"/>
    <s v="New"/>
    <n v="0.13"/>
    <s v="Credit Card"/>
    <s v="Online"/>
    <x v="1"/>
  </r>
  <r>
    <n v="1059"/>
    <s v="Coffee Beans"/>
    <d v="2023-06-02T00:00:00"/>
    <x v="0"/>
    <s v="Michael Smith"/>
    <x v="1"/>
    <n v="0.08"/>
    <x v="616"/>
    <x v="615"/>
    <n v="47"/>
    <x v="0"/>
    <n v="287.17"/>
    <n v="657.44"/>
    <s v="Returning"/>
    <n v="0.14000000000000001"/>
    <s v="Credit Card"/>
    <s v="Retail"/>
    <x v="1"/>
  </r>
  <r>
    <n v="1019"/>
    <s v="Apple"/>
    <d v="2023-07-18T00:00:00"/>
    <x v="4"/>
    <s v="Scott Wayne"/>
    <x v="0"/>
    <n v="7.4999999999999997E-2"/>
    <x v="617"/>
    <x v="616"/>
    <n v="12"/>
    <x v="2"/>
    <n v="4745.18"/>
    <n v="5145.88"/>
    <s v="Returning"/>
    <n v="0.19"/>
    <s v="Credit Card"/>
    <s v="Online"/>
    <x v="0"/>
  </r>
  <r>
    <n v="1049"/>
    <s v="Coffee Table"/>
    <d v="2023-02-21T00:00:00"/>
    <x v="4"/>
    <s v="Scott Wayne"/>
    <x v="3"/>
    <n v="0.06"/>
    <x v="618"/>
    <x v="617"/>
    <n v="31"/>
    <x v="3"/>
    <n v="3570.24"/>
    <n v="3712.25"/>
    <s v="New"/>
    <n v="0.03"/>
    <s v="Credit Card"/>
    <s v="Online"/>
    <x v="1"/>
  </r>
  <r>
    <n v="1100"/>
    <s v="Protein Cookies"/>
    <d v="2023-09-17T00:00:00"/>
    <x v="2"/>
    <s v="Susan Jerkins"/>
    <x v="0"/>
    <n v="7.4999999999999997E-2"/>
    <x v="619"/>
    <x v="618"/>
    <n v="17"/>
    <x v="3"/>
    <n v="83.64"/>
    <n v="528.49"/>
    <s v="New"/>
    <n v="0.13"/>
    <s v="Credit Card"/>
    <s v="Online"/>
    <x v="1"/>
  </r>
  <r>
    <n v="1012"/>
    <s v="Cabinet"/>
    <d v="2023-02-28T00:00:00"/>
    <x v="1"/>
    <s v="Hogan Rock"/>
    <x v="3"/>
    <n v="0.06"/>
    <x v="620"/>
    <x v="619"/>
    <n v="33"/>
    <x v="1"/>
    <n v="3831.09"/>
    <n v="3908.37"/>
    <s v="New"/>
    <n v="0.28999999999999998"/>
    <s v="Cash"/>
    <s v="Retail"/>
    <x v="0"/>
  </r>
  <r>
    <n v="1061"/>
    <s v="Laptop"/>
    <d v="2023-03-13T00:00:00"/>
    <x v="0"/>
    <s v="Michael Smith"/>
    <x v="2"/>
    <n v="0.05"/>
    <x v="621"/>
    <x v="620"/>
    <n v="11"/>
    <x v="2"/>
    <n v="2594.71"/>
    <n v="2769.52"/>
    <s v="Returning"/>
    <n v="0.01"/>
    <s v="Bank Transfer"/>
    <s v="Retail"/>
    <x v="0"/>
  </r>
  <r>
    <n v="1019"/>
    <s v="Apple"/>
    <d v="2023-05-28T00:00:00"/>
    <x v="4"/>
    <s v="Scott Wayne"/>
    <x v="3"/>
    <n v="0.06"/>
    <x v="622"/>
    <x v="621"/>
    <n v="28"/>
    <x v="0"/>
    <n v="3907.86"/>
    <n v="4205.37"/>
    <s v="New"/>
    <n v="0.09"/>
    <s v="Credit Card"/>
    <s v="Online"/>
    <x v="0"/>
  </r>
  <r>
    <n v="1076"/>
    <s v="Polo Shirt"/>
    <d v="2023-12-15T00:00:00"/>
    <x v="0"/>
    <s v="Michael Smith"/>
    <x v="1"/>
    <n v="0.08"/>
    <x v="623"/>
    <x v="622"/>
    <n v="32"/>
    <x v="1"/>
    <n v="2636.36"/>
    <n v="2696.78"/>
    <s v="New"/>
    <n v="0.09"/>
    <s v="Cash"/>
    <s v="Retail"/>
    <x v="1"/>
  </r>
  <r>
    <n v="1009"/>
    <s v="Jacket"/>
    <d v="2023-03-04T00:00:00"/>
    <x v="1"/>
    <s v="Hogan Rock"/>
    <x v="3"/>
    <n v="0.06"/>
    <x v="624"/>
    <x v="623"/>
    <n v="1"/>
    <x v="2"/>
    <n v="3223.07"/>
    <n v="3590.83"/>
    <s v="New"/>
    <n v="0.19"/>
    <s v="Bank Transfer"/>
    <s v="Retail"/>
    <x v="1"/>
  </r>
  <r>
    <n v="1071"/>
    <s v="Game Table"/>
    <d v="2023-11-06T00:00:00"/>
    <x v="1"/>
    <s v="Hogan Rock"/>
    <x v="0"/>
    <n v="7.4999999999999997E-2"/>
    <x v="625"/>
    <x v="624"/>
    <n v="47"/>
    <x v="1"/>
    <n v="3942.34"/>
    <n v="4142.09"/>
    <s v="Returning"/>
    <n v="0.03"/>
    <s v="Credit Card"/>
    <s v="Retail"/>
    <x v="0"/>
  </r>
  <r>
    <n v="1028"/>
    <s v="Pyjamas"/>
    <d v="2023-08-31T00:00:00"/>
    <x v="3"/>
    <s v="Tracy Moore"/>
    <x v="0"/>
    <n v="7.4999999999999997E-2"/>
    <x v="626"/>
    <x v="625"/>
    <n v="28"/>
    <x v="0"/>
    <n v="2055.2800000000002"/>
    <n v="2449.64"/>
    <s v="New"/>
    <n v="0.19"/>
    <s v="Credit Card"/>
    <s v="Online"/>
    <x v="0"/>
  </r>
  <r>
    <n v="1078"/>
    <s v="Kitchen Island"/>
    <d v="2024-01-01T00:00:00"/>
    <x v="1"/>
    <s v="Hogan Rock"/>
    <x v="3"/>
    <n v="0.06"/>
    <x v="627"/>
    <x v="626"/>
    <n v="42"/>
    <x v="1"/>
    <n v="63.41"/>
    <n v="314.93"/>
    <s v="Returning"/>
    <n v="0.03"/>
    <s v="Cash"/>
    <s v="Retail"/>
    <x v="0"/>
  </r>
  <r>
    <n v="1095"/>
    <s v="Bluetooth Speaker"/>
    <d v="2023-11-26T00:00:00"/>
    <x v="2"/>
    <s v="Susan Jerkins"/>
    <x v="1"/>
    <n v="0.08"/>
    <x v="628"/>
    <x v="627"/>
    <n v="7"/>
    <x v="1"/>
    <n v="4257.24"/>
    <n v="4355.87"/>
    <s v="Returning"/>
    <n v="0.03"/>
    <s v="Bank Transfer"/>
    <s v="Online"/>
    <x v="0"/>
  </r>
  <r>
    <n v="1052"/>
    <s v="Wooden Chair"/>
    <d v="2023-04-17T00:00:00"/>
    <x v="4"/>
    <s v="Scott Wayne"/>
    <x v="2"/>
    <n v="0.05"/>
    <x v="629"/>
    <x v="628"/>
    <n v="2"/>
    <x v="1"/>
    <n v="1935.41"/>
    <n v="2305.44"/>
    <s v="Returning"/>
    <n v="0.22"/>
    <s v="Credit Card"/>
    <s v="Online"/>
    <x v="0"/>
  </r>
  <r>
    <n v="1083"/>
    <s v="Nightstand"/>
    <d v="2023-08-14T00:00:00"/>
    <x v="3"/>
    <s v="Tracy Moore"/>
    <x v="1"/>
    <n v="0.08"/>
    <x v="630"/>
    <x v="629"/>
    <n v="42"/>
    <x v="2"/>
    <n v="2505.41"/>
    <n v="2638.96"/>
    <s v="New"/>
    <n v="0.1"/>
    <s v="Bank Transfer"/>
    <s v="Online"/>
    <x v="1"/>
  </r>
  <r>
    <n v="1016"/>
    <s v="Washing Machine"/>
    <d v="2023-11-09T00:00:00"/>
    <x v="2"/>
    <s v="Susan Jerkins"/>
    <x v="2"/>
    <n v="0.05"/>
    <x v="631"/>
    <x v="630"/>
    <n v="24"/>
    <x v="0"/>
    <n v="88.44"/>
    <n v="338.94"/>
    <s v="New"/>
    <n v="0.28999999999999998"/>
    <s v="Cash"/>
    <s v="Online"/>
    <x v="1"/>
  </r>
  <r>
    <n v="1069"/>
    <s v="Suit"/>
    <d v="2023-08-06T00:00:00"/>
    <x v="0"/>
    <s v="Michael Smith"/>
    <x v="0"/>
    <n v="7.4999999999999997E-2"/>
    <x v="632"/>
    <x v="631"/>
    <n v="4"/>
    <x v="3"/>
    <n v="2485.86"/>
    <n v="2532.87"/>
    <s v="New"/>
    <n v="0.01"/>
    <s v="Credit Card"/>
    <s v="Online"/>
    <x v="0"/>
  </r>
  <r>
    <n v="1099"/>
    <s v="Chest"/>
    <d v="2023-08-29T00:00:00"/>
    <x v="4"/>
    <s v="Scott Wayne"/>
    <x v="1"/>
    <n v="0.08"/>
    <x v="633"/>
    <x v="632"/>
    <n v="44"/>
    <x v="2"/>
    <n v="4933.1099999999997"/>
    <n v="5245.86"/>
    <s v="Returning"/>
    <n v="0.13"/>
    <s v="Bank Transfer"/>
    <s v="Retail"/>
    <x v="1"/>
  </r>
  <r>
    <n v="1012"/>
    <s v="Cabinet"/>
    <d v="2023-09-16T00:00:00"/>
    <x v="1"/>
    <s v="Hogan Rock"/>
    <x v="2"/>
    <n v="0.05"/>
    <x v="634"/>
    <x v="633"/>
    <n v="19"/>
    <x v="3"/>
    <n v="1427.42"/>
    <n v="1763.69"/>
    <s v="New"/>
    <n v="0.03"/>
    <s v="Cash"/>
    <s v="Retail"/>
    <x v="1"/>
  </r>
  <r>
    <n v="1025"/>
    <s v="Mayonnaise"/>
    <d v="2023-09-19T00:00:00"/>
    <x v="4"/>
    <s v="Scott Wayne"/>
    <x v="3"/>
    <n v="0.06"/>
    <x v="635"/>
    <x v="634"/>
    <n v="26"/>
    <x v="3"/>
    <n v="2007.32"/>
    <n v="2202.87"/>
    <s v="Returning"/>
    <n v="0.11"/>
    <s v="Cash"/>
    <s v="Online"/>
    <x v="0"/>
  </r>
  <r>
    <n v="1052"/>
    <s v="Wooden Chair"/>
    <d v="2023-01-05T00:00:00"/>
    <x v="0"/>
    <s v="Michael Smith"/>
    <x v="0"/>
    <n v="7.4999999999999997E-2"/>
    <x v="636"/>
    <x v="635"/>
    <n v="11"/>
    <x v="2"/>
    <n v="3451.59"/>
    <n v="3929.26"/>
    <s v="New"/>
    <n v="0.3"/>
    <s v="Credit Card"/>
    <s v="Retail"/>
    <x v="0"/>
  </r>
  <r>
    <n v="1085"/>
    <s v="Settee"/>
    <d v="2023-09-18T00:00:00"/>
    <x v="3"/>
    <s v="Tracy Moore"/>
    <x v="3"/>
    <n v="0.06"/>
    <x v="637"/>
    <x v="636"/>
    <n v="40"/>
    <x v="2"/>
    <n v="4083.23"/>
    <n v="4521.57"/>
    <s v="New"/>
    <n v="0.27"/>
    <s v="Bank Transfer"/>
    <s v="Retail"/>
    <x v="1"/>
  </r>
  <r>
    <n v="1100"/>
    <s v="Protein Cookies"/>
    <d v="2023-02-23T00:00:00"/>
    <x v="3"/>
    <s v="Tracy Moore"/>
    <x v="0"/>
    <n v="7.4999999999999997E-2"/>
    <x v="638"/>
    <x v="637"/>
    <n v="43"/>
    <x v="0"/>
    <n v="2116.09"/>
    <n v="2472.98"/>
    <s v="New"/>
    <n v="0.01"/>
    <s v="Credit Card"/>
    <s v="Retail"/>
    <x v="1"/>
  </r>
  <r>
    <n v="1053"/>
    <s v="Bed"/>
    <d v="2023-02-16T00:00:00"/>
    <x v="3"/>
    <s v="Tracy Moore"/>
    <x v="1"/>
    <n v="0.08"/>
    <x v="639"/>
    <x v="638"/>
    <n v="11"/>
    <x v="0"/>
    <n v="1582.86"/>
    <n v="1942.55"/>
    <s v="New"/>
    <n v="0.17"/>
    <s v="Credit Card"/>
    <s v="Retail"/>
    <x v="1"/>
  </r>
  <r>
    <n v="1023"/>
    <s v="Tights"/>
    <d v="2023-08-03T00:00:00"/>
    <x v="1"/>
    <s v="Hogan Rock"/>
    <x v="1"/>
    <n v="0.08"/>
    <x v="640"/>
    <x v="639"/>
    <n v="45"/>
    <x v="1"/>
    <n v="4692.24"/>
    <n v="4825.92"/>
    <s v="Returning"/>
    <n v="0.19"/>
    <s v="Bank Transfer"/>
    <s v="Retail"/>
    <x v="0"/>
  </r>
  <r>
    <n v="1016"/>
    <s v="Washing Machine"/>
    <d v="2023-06-26T00:00:00"/>
    <x v="2"/>
    <s v="Susan Jerkins"/>
    <x v="0"/>
    <n v="7.4999999999999997E-2"/>
    <x v="641"/>
    <x v="640"/>
    <n v="3"/>
    <x v="3"/>
    <n v="3401.87"/>
    <n v="3733.71"/>
    <s v="Returning"/>
    <n v="0.06"/>
    <s v="Bank Transfer"/>
    <s v="Retail"/>
    <x v="0"/>
  </r>
  <r>
    <n v="1057"/>
    <s v="Avocadro Pear"/>
    <d v="2023-01-09T00:00:00"/>
    <x v="2"/>
    <s v="Susan Jerkins"/>
    <x v="0"/>
    <n v="7.4999999999999997E-2"/>
    <x v="642"/>
    <x v="641"/>
    <n v="12"/>
    <x v="0"/>
    <n v="639.16"/>
    <n v="746.28"/>
    <s v="Returning"/>
    <n v="0.04"/>
    <s v="Bank Transfer"/>
    <s v="Retail"/>
    <x v="1"/>
  </r>
  <r>
    <n v="1039"/>
    <s v="Hoodie"/>
    <d v="2023-04-09T00:00:00"/>
    <x v="4"/>
    <s v="Scott Wayne"/>
    <x v="0"/>
    <n v="7.4999999999999997E-2"/>
    <x v="643"/>
    <x v="642"/>
    <n v="3"/>
    <x v="1"/>
    <n v="391.19"/>
    <n v="471.75"/>
    <s v="Returning"/>
    <n v="0.27"/>
    <s v="Cash"/>
    <s v="Online"/>
    <x v="1"/>
  </r>
  <r>
    <n v="1053"/>
    <s v="Bed"/>
    <d v="2023-01-20T00:00:00"/>
    <x v="1"/>
    <s v="Hogan Rock"/>
    <x v="1"/>
    <n v="0.08"/>
    <x v="644"/>
    <x v="643"/>
    <n v="42"/>
    <x v="0"/>
    <n v="2443.5700000000002"/>
    <n v="2943.31"/>
    <s v="New"/>
    <n v="0.28999999999999998"/>
    <s v="Cash"/>
    <s v="Online"/>
    <x v="0"/>
  </r>
  <r>
    <n v="1042"/>
    <s v="Frozen Pizza"/>
    <d v="2023-08-29T00:00:00"/>
    <x v="3"/>
    <s v="Tracy Moore"/>
    <x v="2"/>
    <n v="0.05"/>
    <x v="645"/>
    <x v="644"/>
    <n v="27"/>
    <x v="2"/>
    <n v="1139.45"/>
    <n v="1454.41"/>
    <s v="Returning"/>
    <n v="0.3"/>
    <s v="Bank Transfer"/>
    <s v="Online"/>
    <x v="1"/>
  </r>
  <r>
    <n v="1058"/>
    <s v="Wardrobe"/>
    <d v="2023-03-02T00:00:00"/>
    <x v="3"/>
    <s v="Tracy Moore"/>
    <x v="3"/>
    <n v="0.06"/>
    <x v="646"/>
    <x v="645"/>
    <n v="49"/>
    <x v="0"/>
    <n v="1307.22"/>
    <n v="1528.4"/>
    <s v="Returning"/>
    <n v="0.24"/>
    <s v="Cash"/>
    <s v="Retail"/>
    <x v="0"/>
  </r>
  <r>
    <n v="1039"/>
    <s v="Hoodie"/>
    <d v="2023-06-27T00:00:00"/>
    <x v="0"/>
    <s v="Michael Smith"/>
    <x v="3"/>
    <n v="0.06"/>
    <x v="647"/>
    <x v="646"/>
    <n v="2"/>
    <x v="3"/>
    <n v="4394.58"/>
    <n v="4545.78"/>
    <s v="Returning"/>
    <n v="0.2"/>
    <s v="Credit Card"/>
    <s v="Retail"/>
    <x v="0"/>
  </r>
  <r>
    <n v="1014"/>
    <s v="Cheese Block"/>
    <d v="2023-12-04T00:00:00"/>
    <x v="0"/>
    <s v="Michael Smith"/>
    <x v="1"/>
    <n v="0.08"/>
    <x v="648"/>
    <x v="647"/>
    <n v="49"/>
    <x v="0"/>
    <n v="493.35"/>
    <n v="799.27"/>
    <s v="New"/>
    <n v="0.1"/>
    <s v="Bank Transfer"/>
    <s v="Online"/>
    <x v="1"/>
  </r>
  <r>
    <n v="1095"/>
    <s v="Bluetooth Speaker"/>
    <d v="2023-03-03T00:00:00"/>
    <x v="3"/>
    <s v="Tracy Moore"/>
    <x v="3"/>
    <n v="0.06"/>
    <x v="649"/>
    <x v="648"/>
    <n v="16"/>
    <x v="3"/>
    <n v="3591.05"/>
    <n v="3625.35"/>
    <s v="Returning"/>
    <n v="0.05"/>
    <s v="Credit Card"/>
    <s v="Retail"/>
    <x v="0"/>
  </r>
  <r>
    <n v="1005"/>
    <s v="Smart Phone"/>
    <d v="2023-05-25T00:00:00"/>
    <x v="3"/>
    <s v="Tracy Moore"/>
    <x v="0"/>
    <n v="7.4999999999999997E-2"/>
    <x v="650"/>
    <x v="649"/>
    <n v="2"/>
    <x v="2"/>
    <n v="1392.15"/>
    <n v="1448.54"/>
    <s v="Returning"/>
    <n v="0.02"/>
    <s v="Bank Transfer"/>
    <s v="Retail"/>
    <x v="1"/>
  </r>
  <r>
    <n v="1035"/>
    <s v="Doughnut"/>
    <d v="2023-08-04T00:00:00"/>
    <x v="1"/>
    <s v="Hogan Rock"/>
    <x v="2"/>
    <n v="0.05"/>
    <x v="651"/>
    <x v="650"/>
    <n v="30"/>
    <x v="3"/>
    <n v="3813.62"/>
    <n v="3839.72"/>
    <s v="New"/>
    <n v="0.21"/>
    <s v="Credit Card"/>
    <s v="Online"/>
    <x v="1"/>
  </r>
  <r>
    <n v="1087"/>
    <s v="Sofa Set"/>
    <d v="2023-01-03T00:00:00"/>
    <x v="2"/>
    <s v="Susan Jerkins"/>
    <x v="3"/>
    <n v="0.06"/>
    <x v="652"/>
    <x v="651"/>
    <n v="20"/>
    <x v="0"/>
    <n v="3625.94"/>
    <n v="3880.53"/>
    <s v="New"/>
    <n v="0.24"/>
    <s v="Bank Transfer"/>
    <s v="Online"/>
    <x v="0"/>
  </r>
  <r>
    <n v="1093"/>
    <s v="Dining Table"/>
    <d v="2023-06-09T00:00:00"/>
    <x v="0"/>
    <s v="Michael Smith"/>
    <x v="2"/>
    <n v="0.05"/>
    <x v="653"/>
    <x v="652"/>
    <n v="38"/>
    <x v="1"/>
    <n v="86.59"/>
    <n v="390.89"/>
    <s v="Returning"/>
    <n v="0.25"/>
    <s v="Credit Card"/>
    <s v="Online"/>
    <x v="1"/>
  </r>
  <r>
    <n v="1075"/>
    <s v="Bookshelf"/>
    <d v="2023-08-15T00:00:00"/>
    <x v="2"/>
    <s v="Susan Jerkins"/>
    <x v="0"/>
    <n v="7.4999999999999997E-2"/>
    <x v="654"/>
    <x v="653"/>
    <n v="28"/>
    <x v="2"/>
    <n v="2570.2199999999998"/>
    <n v="2610.8399999999901"/>
    <s v="Returning"/>
    <n v="0.27"/>
    <s v="Bank Transfer"/>
    <s v="Retail"/>
    <x v="0"/>
  </r>
  <r>
    <n v="1018"/>
    <s v="Dress Shirt"/>
    <d v="2023-09-26T00:00:00"/>
    <x v="1"/>
    <s v="Hogan Rock"/>
    <x v="3"/>
    <n v="0.06"/>
    <x v="655"/>
    <x v="654"/>
    <n v="25"/>
    <x v="0"/>
    <n v="739.63"/>
    <n v="1103.03"/>
    <s v="New"/>
    <n v="0.26"/>
    <s v="Bank Transfer"/>
    <s v="Retail"/>
    <x v="0"/>
  </r>
  <r>
    <n v="1076"/>
    <s v="Polo Shirt"/>
    <d v="2023-04-30T00:00:00"/>
    <x v="3"/>
    <s v="Tracy Moore"/>
    <x v="1"/>
    <n v="0.08"/>
    <x v="656"/>
    <x v="655"/>
    <n v="32"/>
    <x v="2"/>
    <n v="4337.82"/>
    <n v="4460.71"/>
    <s v="Returning"/>
    <n v="0.3"/>
    <s v="Cash"/>
    <s v="Retail"/>
    <x v="1"/>
  </r>
  <r>
    <n v="1009"/>
    <s v="Jacket"/>
    <d v="2023-03-30T00:00:00"/>
    <x v="2"/>
    <s v="Susan Jerkins"/>
    <x v="2"/>
    <n v="0.05"/>
    <x v="657"/>
    <x v="656"/>
    <n v="10"/>
    <x v="2"/>
    <n v="4364.3500000000004"/>
    <n v="4710.1000000000004"/>
    <s v="New"/>
    <n v="7.0000000000000007E-2"/>
    <s v="Credit Card"/>
    <s v="Online"/>
    <x v="1"/>
  </r>
  <r>
    <n v="1074"/>
    <s v="French Fries"/>
    <d v="2023-11-25T00:00:00"/>
    <x v="3"/>
    <s v="Tracy Moore"/>
    <x v="0"/>
    <n v="7.4999999999999997E-2"/>
    <x v="658"/>
    <x v="657"/>
    <n v="42"/>
    <x v="0"/>
    <n v="2120.81"/>
    <n v="2611.94"/>
    <s v="Returning"/>
    <n v="0.23"/>
    <s v="Cash"/>
    <s v="Online"/>
    <x v="1"/>
  </r>
  <r>
    <n v="1058"/>
    <s v="Wardrobe"/>
    <d v="2023-03-09T00:00:00"/>
    <x v="3"/>
    <s v="Tracy Moore"/>
    <x v="2"/>
    <n v="0.05"/>
    <x v="659"/>
    <x v="658"/>
    <n v="40"/>
    <x v="0"/>
    <n v="2249.7600000000002"/>
    <n v="2598.4"/>
    <s v="Returning"/>
    <n v="0.18"/>
    <s v="Credit Card"/>
    <s v="Retail"/>
    <x v="1"/>
  </r>
  <r>
    <n v="1017"/>
    <s v="Peaches"/>
    <d v="2023-12-23T00:00:00"/>
    <x v="4"/>
    <s v="Scott Wayne"/>
    <x v="3"/>
    <n v="0.06"/>
    <x v="660"/>
    <x v="659"/>
    <n v="33"/>
    <x v="1"/>
    <n v="1551.25"/>
    <n v="1994.01"/>
    <s v="Returning"/>
    <n v="0.08"/>
    <s v="Cash"/>
    <s v="Online"/>
    <x v="1"/>
  </r>
  <r>
    <n v="1007"/>
    <s v="Fruit Jam"/>
    <d v="2023-04-08T00:00:00"/>
    <x v="2"/>
    <s v="Susan Jerkins"/>
    <x v="3"/>
    <n v="0.06"/>
    <x v="661"/>
    <x v="660"/>
    <n v="13"/>
    <x v="2"/>
    <n v="3597.2"/>
    <n v="4071.8199999999902"/>
    <s v="Returning"/>
    <n v="0.28999999999999998"/>
    <s v="Bank Transfer"/>
    <s v="Online"/>
    <x v="1"/>
  </r>
  <r>
    <n v="1046"/>
    <s v="Sweat Shirts"/>
    <d v="2023-09-24T00:00:00"/>
    <x v="2"/>
    <s v="Susan Jerkins"/>
    <x v="1"/>
    <n v="0.08"/>
    <x v="662"/>
    <x v="661"/>
    <n v="41"/>
    <x v="2"/>
    <n v="1825.37"/>
    <n v="2073.88"/>
    <s v="Returning"/>
    <n v="0.27"/>
    <s v="Cash"/>
    <s v="Retail"/>
    <x v="1"/>
  </r>
  <r>
    <n v="1013"/>
    <s v="Gas Cooker"/>
    <d v="2023-04-15T00:00:00"/>
    <x v="3"/>
    <s v="Tracy Moore"/>
    <x v="0"/>
    <n v="7.4999999999999997E-2"/>
    <x v="663"/>
    <x v="662"/>
    <n v="42"/>
    <x v="0"/>
    <n v="1375.57"/>
    <n v="1729.71"/>
    <s v="New"/>
    <n v="0.04"/>
    <s v="Cash"/>
    <s v="Online"/>
    <x v="0"/>
  </r>
  <r>
    <n v="1040"/>
    <s v="Cap"/>
    <d v="2023-11-19T00:00:00"/>
    <x v="1"/>
    <s v="Hogan Rock"/>
    <x v="0"/>
    <n v="7.4999999999999997E-2"/>
    <x v="664"/>
    <x v="663"/>
    <n v="47"/>
    <x v="3"/>
    <n v="2189.54"/>
    <n v="2617"/>
    <s v="New"/>
    <n v="0.01"/>
    <s v="Bank Transfer"/>
    <s v="Online"/>
    <x v="0"/>
  </r>
  <r>
    <n v="1042"/>
    <s v="Frozen Pizza"/>
    <d v="2023-05-03T00:00:00"/>
    <x v="4"/>
    <s v="Scott Wayne"/>
    <x v="1"/>
    <n v="0.08"/>
    <x v="665"/>
    <x v="664"/>
    <n v="37"/>
    <x v="0"/>
    <n v="502.86"/>
    <n v="687.6"/>
    <s v="Returning"/>
    <n v="0.21"/>
    <s v="Cash"/>
    <s v="Online"/>
    <x v="0"/>
  </r>
  <r>
    <n v="1009"/>
    <s v="Jacket"/>
    <d v="2023-01-29T00:00:00"/>
    <x v="3"/>
    <s v="Tracy Moore"/>
    <x v="1"/>
    <n v="0.08"/>
    <x v="666"/>
    <x v="665"/>
    <n v="16"/>
    <x v="2"/>
    <n v="3745.69"/>
    <n v="3883.77"/>
    <s v="Returning"/>
    <n v="0.18"/>
    <s v="Bank Transfer"/>
    <s v="Retail"/>
    <x v="1"/>
  </r>
  <r>
    <n v="1050"/>
    <s v="Sneakers"/>
    <d v="2023-05-17T00:00:00"/>
    <x v="0"/>
    <s v="Michael Smith"/>
    <x v="0"/>
    <n v="7.4999999999999997E-2"/>
    <x v="667"/>
    <x v="666"/>
    <n v="45"/>
    <x v="0"/>
    <n v="112.35"/>
    <n v="586.17999999999995"/>
    <s v="Returning"/>
    <n v="0.28000000000000003"/>
    <s v="Credit Card"/>
    <s v="Retail"/>
    <x v="1"/>
  </r>
  <r>
    <n v="1027"/>
    <s v="Cookies"/>
    <d v="2023-07-14T00:00:00"/>
    <x v="0"/>
    <s v="Michael Smith"/>
    <x v="2"/>
    <n v="0.05"/>
    <x v="668"/>
    <x v="667"/>
    <n v="22"/>
    <x v="1"/>
    <n v="3240.2"/>
    <n v="3606.0899999999901"/>
    <s v="New"/>
    <n v="7.0000000000000007E-2"/>
    <s v="Cash"/>
    <s v="Online"/>
    <x v="0"/>
  </r>
  <r>
    <n v="1066"/>
    <s v="Armoire"/>
    <d v="2023-08-14T00:00:00"/>
    <x v="4"/>
    <s v="Scott Wayne"/>
    <x v="2"/>
    <n v="0.05"/>
    <x v="669"/>
    <x v="668"/>
    <n v="20"/>
    <x v="3"/>
    <n v="955.18"/>
    <n v="1072.82"/>
    <s v="New"/>
    <n v="0.03"/>
    <s v="Bank Transfer"/>
    <s v="Retail"/>
    <x v="1"/>
  </r>
  <r>
    <n v="1005"/>
    <s v="Smart Phone"/>
    <d v="2023-11-28T00:00:00"/>
    <x v="1"/>
    <s v="Hogan Rock"/>
    <x v="1"/>
    <n v="0.08"/>
    <x v="670"/>
    <x v="669"/>
    <n v="43"/>
    <x v="0"/>
    <n v="1200.4000000000001"/>
    <n v="1430.45"/>
    <s v="New"/>
    <n v="0.08"/>
    <s v="Bank Transfer"/>
    <s v="Retail"/>
    <x v="1"/>
  </r>
  <r>
    <n v="1029"/>
    <s v="Camisole"/>
    <d v="2023-06-19T00:00:00"/>
    <x v="3"/>
    <s v="Tracy Moore"/>
    <x v="2"/>
    <n v="0.05"/>
    <x v="671"/>
    <x v="670"/>
    <n v="27"/>
    <x v="1"/>
    <n v="3196.38"/>
    <n v="3596.64"/>
    <s v="New"/>
    <n v="0.01"/>
    <s v="Cash"/>
    <s v="Retail"/>
    <x v="0"/>
  </r>
  <r>
    <n v="1037"/>
    <s v="Turtleneck Top"/>
    <d v="2023-01-09T00:00:00"/>
    <x v="2"/>
    <s v="Susan Jerkins"/>
    <x v="0"/>
    <n v="7.4999999999999997E-2"/>
    <x v="672"/>
    <x v="671"/>
    <n v="41"/>
    <x v="2"/>
    <n v="4965.07"/>
    <n v="5243.13"/>
    <s v="New"/>
    <n v="0.01"/>
    <s v="Credit Card"/>
    <s v="Online"/>
    <x v="0"/>
  </r>
  <r>
    <n v="1038"/>
    <s v="Jean Pants"/>
    <d v="2023-02-09T00:00:00"/>
    <x v="4"/>
    <s v="Scott Wayne"/>
    <x v="3"/>
    <n v="0.06"/>
    <x v="673"/>
    <x v="672"/>
    <n v="16"/>
    <x v="0"/>
    <n v="3899.7"/>
    <n v="4228.18"/>
    <s v="New"/>
    <n v="0.27"/>
    <s v="Cash"/>
    <s v="Retail"/>
    <x v="0"/>
  </r>
  <r>
    <n v="1083"/>
    <s v="Nightstand"/>
    <d v="2023-01-25T00:00:00"/>
    <x v="1"/>
    <s v="Hogan Rock"/>
    <x v="3"/>
    <n v="0.06"/>
    <x v="674"/>
    <x v="673"/>
    <n v="34"/>
    <x v="2"/>
    <n v="1167.9100000000001"/>
    <n v="1547.26"/>
    <s v="New"/>
    <n v="0.11"/>
    <s v="Bank Transfer"/>
    <s v="Online"/>
    <x v="1"/>
  </r>
  <r>
    <n v="1008"/>
    <s v="Skirt"/>
    <d v="2023-09-18T00:00:00"/>
    <x v="2"/>
    <s v="Susan Jerkins"/>
    <x v="2"/>
    <n v="0.05"/>
    <x v="675"/>
    <x v="674"/>
    <n v="32"/>
    <x v="1"/>
    <n v="921.32"/>
    <n v="1236.0999999999999"/>
    <s v="New"/>
    <n v="0.12"/>
    <s v="Credit Card"/>
    <s v="Online"/>
    <x v="0"/>
  </r>
  <r>
    <n v="1065"/>
    <s v="Potatoes"/>
    <d v="2023-08-14T00:00:00"/>
    <x v="0"/>
    <s v="Michael Smith"/>
    <x v="1"/>
    <n v="0.08"/>
    <x v="676"/>
    <x v="675"/>
    <n v="26"/>
    <x v="2"/>
    <n v="4337.8500000000004"/>
    <n v="4612.49"/>
    <s v="Returning"/>
    <n v="0.01"/>
    <s v="Cash"/>
    <s v="Retail"/>
    <x v="0"/>
  </r>
  <r>
    <n v="1086"/>
    <s v="Gaming Console"/>
    <d v="2023-05-04T00:00:00"/>
    <x v="0"/>
    <s v="Michael Smith"/>
    <x v="1"/>
    <n v="0.08"/>
    <x v="677"/>
    <x v="676"/>
    <n v="25"/>
    <x v="1"/>
    <n v="2248.71"/>
    <n v="2626.02"/>
    <s v="New"/>
    <n v="0.08"/>
    <s v="Bank Transfer"/>
    <s v="Online"/>
    <x v="0"/>
  </r>
  <r>
    <n v="1017"/>
    <s v="Peaches"/>
    <d v="2023-02-07T00:00:00"/>
    <x v="2"/>
    <s v="Susan Jerkins"/>
    <x v="1"/>
    <n v="0.08"/>
    <x v="678"/>
    <x v="677"/>
    <n v="2"/>
    <x v="1"/>
    <n v="728.41"/>
    <n v="1094.92"/>
    <s v="New"/>
    <n v="0.24"/>
    <s v="Cash"/>
    <s v="Retail"/>
    <x v="0"/>
  </r>
  <r>
    <n v="1071"/>
    <s v="Game Table"/>
    <d v="2023-11-24T00:00:00"/>
    <x v="4"/>
    <s v="Scott Wayne"/>
    <x v="1"/>
    <n v="0.08"/>
    <x v="679"/>
    <x v="678"/>
    <n v="12"/>
    <x v="1"/>
    <n v="4317.95"/>
    <n v="4636.59"/>
    <s v="New"/>
    <n v="0.18"/>
    <s v="Credit Card"/>
    <s v="Retail"/>
    <x v="0"/>
  </r>
  <r>
    <n v="1089"/>
    <s v="Recliner"/>
    <d v="2023-09-08T00:00:00"/>
    <x v="0"/>
    <s v="Michael Smith"/>
    <x v="1"/>
    <n v="0.08"/>
    <x v="680"/>
    <x v="679"/>
    <n v="40"/>
    <x v="0"/>
    <n v="4089.66"/>
    <n v="4275.96"/>
    <s v="New"/>
    <n v="0.23"/>
    <s v="Credit Card"/>
    <s v="Online"/>
    <x v="0"/>
  </r>
  <r>
    <n v="1045"/>
    <s v="Bikers Shorts"/>
    <d v="2023-06-25T00:00:00"/>
    <x v="3"/>
    <s v="Tracy Moore"/>
    <x v="2"/>
    <n v="0.05"/>
    <x v="681"/>
    <x v="680"/>
    <n v="9"/>
    <x v="2"/>
    <n v="4920.34"/>
    <n v="5129.1899999999996"/>
    <s v="Returning"/>
    <n v="0.13"/>
    <s v="Credit Card"/>
    <s v="Online"/>
    <x v="1"/>
  </r>
  <r>
    <n v="1004"/>
    <s v="Smartwatch"/>
    <d v="2023-03-31T00:00:00"/>
    <x v="2"/>
    <s v="Susan Jerkins"/>
    <x v="3"/>
    <n v="0.06"/>
    <x v="682"/>
    <x v="681"/>
    <n v="12"/>
    <x v="2"/>
    <n v="4553.2299999999996"/>
    <n v="5038.74"/>
    <s v="New"/>
    <n v="0.09"/>
    <s v="Credit Card"/>
    <s v="Retail"/>
    <x v="0"/>
  </r>
  <r>
    <n v="1036"/>
    <s v="Shorts"/>
    <d v="2023-02-06T00:00:00"/>
    <x v="2"/>
    <s v="Susan Jerkins"/>
    <x v="3"/>
    <n v="0.06"/>
    <x v="683"/>
    <x v="682"/>
    <n v="26"/>
    <x v="3"/>
    <n v="4266.3599999999997"/>
    <n v="4331.4299999999903"/>
    <s v="Returning"/>
    <n v="0.14000000000000001"/>
    <s v="Credit Card"/>
    <s v="Retail"/>
    <x v="0"/>
  </r>
  <r>
    <n v="1070"/>
    <s v="Hutch"/>
    <d v="2023-11-12T00:00:00"/>
    <x v="0"/>
    <s v="Michael Smith"/>
    <x v="2"/>
    <n v="0.05"/>
    <x v="684"/>
    <x v="683"/>
    <n v="9"/>
    <x v="3"/>
    <n v="310.24"/>
    <n v="451.81"/>
    <s v="Returning"/>
    <n v="0.1"/>
    <s v="Cash"/>
    <s v="Retail"/>
    <x v="0"/>
  </r>
  <r>
    <n v="1031"/>
    <s v="Butter"/>
    <d v="2023-06-25T00:00:00"/>
    <x v="4"/>
    <s v="Scott Wayne"/>
    <x v="1"/>
    <n v="0.08"/>
    <x v="685"/>
    <x v="684"/>
    <n v="10"/>
    <x v="3"/>
    <n v="566.86"/>
    <n v="818.14"/>
    <s v="Returning"/>
    <n v="0.25"/>
    <s v="Credit Card"/>
    <s v="Retail"/>
    <x v="1"/>
  </r>
  <r>
    <n v="1019"/>
    <s v="Apple"/>
    <d v="2023-10-11T00:00:00"/>
    <x v="3"/>
    <s v="Tracy Moore"/>
    <x v="2"/>
    <n v="0.05"/>
    <x v="686"/>
    <x v="685"/>
    <n v="32"/>
    <x v="3"/>
    <n v="2866.47"/>
    <n v="3286.47"/>
    <s v="New"/>
    <n v="0.09"/>
    <s v="Credit Card"/>
    <s v="Online"/>
    <x v="1"/>
  </r>
  <r>
    <n v="1061"/>
    <s v="Laptop"/>
    <d v="2023-03-22T00:00:00"/>
    <x v="4"/>
    <s v="Scott Wayne"/>
    <x v="3"/>
    <n v="0.06"/>
    <x v="687"/>
    <x v="686"/>
    <n v="34"/>
    <x v="2"/>
    <n v="2680.82"/>
    <n v="2771.02"/>
    <s v="New"/>
    <n v="0.2"/>
    <s v="Bank Transfer"/>
    <s v="Online"/>
    <x v="0"/>
  </r>
  <r>
    <n v="1054"/>
    <s v="Glider"/>
    <d v="2023-04-24T00:00:00"/>
    <x v="1"/>
    <s v="Hogan Rock"/>
    <x v="0"/>
    <n v="7.4999999999999997E-2"/>
    <x v="688"/>
    <x v="687"/>
    <n v="48"/>
    <x v="1"/>
    <n v="2316.92"/>
    <n v="2462.63"/>
    <s v="New"/>
    <n v="0.04"/>
    <s v="Credit Card"/>
    <s v="Online"/>
    <x v="0"/>
  </r>
  <r>
    <n v="1039"/>
    <s v="Hoodie"/>
    <d v="2023-02-09T00:00:00"/>
    <x v="1"/>
    <s v="Hogan Rock"/>
    <x v="2"/>
    <n v="0.05"/>
    <x v="689"/>
    <x v="688"/>
    <n v="20"/>
    <x v="1"/>
    <n v="2014.11"/>
    <n v="2056.35"/>
    <s v="Returning"/>
    <n v="0.21"/>
    <s v="Bank Transfer"/>
    <s v="Retail"/>
    <x v="0"/>
  </r>
  <r>
    <n v="1091"/>
    <s v="Granola Bar"/>
    <d v="2023-10-28T00:00:00"/>
    <x v="0"/>
    <s v="Michael Smith"/>
    <x v="1"/>
    <n v="0.08"/>
    <x v="690"/>
    <x v="689"/>
    <n v="39"/>
    <x v="0"/>
    <n v="2184.4899999999998"/>
    <n v="2540.4199999999901"/>
    <s v="Returning"/>
    <n v="0.27"/>
    <s v="Bank Transfer"/>
    <s v="Online"/>
    <x v="0"/>
  </r>
  <r>
    <n v="1074"/>
    <s v="French Fries"/>
    <d v="2023-08-12T00:00:00"/>
    <x v="0"/>
    <s v="Michael Smith"/>
    <x v="3"/>
    <n v="0.06"/>
    <x v="691"/>
    <x v="690"/>
    <n v="2"/>
    <x v="1"/>
    <n v="2868.02"/>
    <n v="2994.74"/>
    <s v="Returning"/>
    <n v="0.18"/>
    <s v="Bank Transfer"/>
    <s v="Online"/>
    <x v="0"/>
  </r>
  <r>
    <n v="1090"/>
    <s v="Keyboard"/>
    <d v="2023-11-14T00:00:00"/>
    <x v="0"/>
    <s v="Michael Smith"/>
    <x v="3"/>
    <n v="0.06"/>
    <x v="692"/>
    <x v="691"/>
    <n v="1"/>
    <x v="2"/>
    <n v="60.28"/>
    <n v="260.73"/>
    <s v="Returning"/>
    <n v="0.17"/>
    <s v="Cash"/>
    <s v="Online"/>
    <x v="0"/>
  </r>
  <r>
    <n v="1019"/>
    <s v="Apple"/>
    <d v="2023-12-15T00:00:00"/>
    <x v="1"/>
    <s v="Hogan Rock"/>
    <x v="3"/>
    <n v="0.06"/>
    <x v="693"/>
    <x v="692"/>
    <n v="36"/>
    <x v="2"/>
    <n v="1340.51"/>
    <n v="1567.92"/>
    <s v="New"/>
    <n v="0.28999999999999998"/>
    <s v="Cash"/>
    <s v="Online"/>
    <x v="0"/>
  </r>
  <r>
    <n v="1039"/>
    <s v="Hoodie"/>
    <d v="2023-04-25T00:00:00"/>
    <x v="4"/>
    <s v="Scott Wayne"/>
    <x v="3"/>
    <n v="0.06"/>
    <x v="694"/>
    <x v="693"/>
    <n v="24"/>
    <x v="2"/>
    <n v="2615.48"/>
    <n v="3062.22"/>
    <s v="New"/>
    <n v="0.19"/>
    <s v="Bank Transfer"/>
    <s v="Retail"/>
    <x v="0"/>
  </r>
  <r>
    <n v="1067"/>
    <s v="Grapes"/>
    <d v="2023-07-05T00:00:00"/>
    <x v="4"/>
    <s v="Scott Wayne"/>
    <x v="1"/>
    <n v="0.08"/>
    <x v="695"/>
    <x v="694"/>
    <n v="27"/>
    <x v="0"/>
    <n v="3624.97"/>
    <n v="3836.52"/>
    <s v="New"/>
    <n v="0.08"/>
    <s v="Cash"/>
    <s v="Online"/>
    <x v="0"/>
  </r>
  <r>
    <n v="1045"/>
    <s v="Bikers Shorts"/>
    <d v="2023-11-19T00:00:00"/>
    <x v="0"/>
    <s v="Michael Smith"/>
    <x v="0"/>
    <n v="7.4999999999999997E-2"/>
    <x v="696"/>
    <x v="695"/>
    <n v="2"/>
    <x v="3"/>
    <n v="912.08"/>
    <n v="993.24"/>
    <s v="Returning"/>
    <n v="0.09"/>
    <s v="Credit Card"/>
    <s v="Online"/>
    <x v="1"/>
  </r>
  <r>
    <n v="1013"/>
    <s v="Gas Cooker"/>
    <d v="2023-02-25T00:00:00"/>
    <x v="3"/>
    <s v="Tracy Moore"/>
    <x v="3"/>
    <n v="0.06"/>
    <x v="697"/>
    <x v="696"/>
    <n v="31"/>
    <x v="1"/>
    <n v="2757.06"/>
    <n v="3023.97"/>
    <s v="Returning"/>
    <n v="0.21"/>
    <s v="Cash"/>
    <s v="Online"/>
    <x v="1"/>
  </r>
  <r>
    <n v="1092"/>
    <s v="Recliner"/>
    <d v="2023-02-09T00:00:00"/>
    <x v="4"/>
    <s v="Scott Wayne"/>
    <x v="2"/>
    <n v="0.05"/>
    <x v="698"/>
    <x v="697"/>
    <n v="14"/>
    <x v="2"/>
    <n v="3586.58"/>
    <n v="4068.43"/>
    <s v="New"/>
    <n v="0.22"/>
    <s v="Credit Card"/>
    <s v="Online"/>
    <x v="0"/>
  </r>
  <r>
    <n v="1058"/>
    <s v="Wardrobe"/>
    <d v="2023-12-20T00:00:00"/>
    <x v="1"/>
    <s v="Hogan Rock"/>
    <x v="0"/>
    <n v="7.4999999999999997E-2"/>
    <x v="699"/>
    <x v="698"/>
    <n v="2"/>
    <x v="2"/>
    <n v="2250.91"/>
    <n v="2558.6799999999998"/>
    <s v="New"/>
    <n v="0.09"/>
    <s v="Credit Card"/>
    <s v="Retail"/>
    <x v="1"/>
  </r>
  <r>
    <n v="1020"/>
    <s v="Apron"/>
    <d v="2023-02-09T00:00:00"/>
    <x v="2"/>
    <s v="Susan Jerkins"/>
    <x v="3"/>
    <n v="0.06"/>
    <x v="700"/>
    <x v="699"/>
    <n v="29"/>
    <x v="3"/>
    <n v="184.05"/>
    <n v="675.91"/>
    <s v="Returning"/>
    <n v="0.1"/>
    <s v="Cash"/>
    <s v="Retail"/>
    <x v="1"/>
  </r>
  <r>
    <n v="1092"/>
    <s v="Recliner"/>
    <d v="2023-12-13T00:00:00"/>
    <x v="2"/>
    <s v="Susan Jerkins"/>
    <x v="0"/>
    <n v="7.4999999999999997E-2"/>
    <x v="701"/>
    <x v="700"/>
    <n v="15"/>
    <x v="2"/>
    <n v="2273.88"/>
    <n v="2696.02"/>
    <s v="New"/>
    <n v="0.3"/>
    <s v="Cash"/>
    <s v="Online"/>
    <x v="1"/>
  </r>
  <r>
    <n v="1072"/>
    <s v="T-Shirt"/>
    <d v="2023-08-25T00:00:00"/>
    <x v="2"/>
    <s v="Susan Jerkins"/>
    <x v="2"/>
    <n v="0.05"/>
    <x v="702"/>
    <x v="701"/>
    <n v="12"/>
    <x v="1"/>
    <n v="1517.4"/>
    <n v="1545.02"/>
    <s v="New"/>
    <n v="0.03"/>
    <s v="Bank Transfer"/>
    <s v="Retail"/>
    <x v="1"/>
  </r>
  <r>
    <n v="1061"/>
    <s v="Laptop"/>
    <d v="2023-10-16T00:00:00"/>
    <x v="3"/>
    <s v="Tracy Moore"/>
    <x v="3"/>
    <n v="0.06"/>
    <x v="703"/>
    <x v="702"/>
    <n v="37"/>
    <x v="0"/>
    <n v="4651.7700000000004"/>
    <n v="4984.3900000000003"/>
    <s v="Returning"/>
    <n v="0.12"/>
    <s v="Cash"/>
    <s v="Retail"/>
    <x v="1"/>
  </r>
  <r>
    <n v="1039"/>
    <s v="Hoodie"/>
    <d v="2023-09-19T00:00:00"/>
    <x v="0"/>
    <s v="Michael Smith"/>
    <x v="2"/>
    <n v="0.05"/>
    <x v="704"/>
    <x v="703"/>
    <n v="28"/>
    <x v="2"/>
    <n v="666.84"/>
    <n v="817.36"/>
    <s v="Returning"/>
    <n v="0.02"/>
    <s v="Cash"/>
    <s v="Retail"/>
    <x v="1"/>
  </r>
  <r>
    <n v="1001"/>
    <s v="Camera"/>
    <d v="2023-08-04T00:00:00"/>
    <x v="1"/>
    <s v="Hogan Rock"/>
    <x v="1"/>
    <n v="0.08"/>
    <x v="705"/>
    <x v="704"/>
    <n v="20"/>
    <x v="1"/>
    <n v="3279.76"/>
    <n v="3563.97"/>
    <s v="Returning"/>
    <n v="0.25"/>
    <s v="Cash"/>
    <s v="Retail"/>
    <x v="0"/>
  </r>
  <r>
    <n v="1003"/>
    <s v="Stool"/>
    <d v="2023-05-27T00:00:00"/>
    <x v="3"/>
    <s v="Tracy Moore"/>
    <x v="3"/>
    <n v="0.06"/>
    <x v="706"/>
    <x v="705"/>
    <n v="39"/>
    <x v="2"/>
    <n v="310.95999999999998"/>
    <n v="457.84"/>
    <s v="New"/>
    <n v="0.03"/>
    <s v="Credit Card"/>
    <s v="Online"/>
    <x v="0"/>
  </r>
  <r>
    <n v="1077"/>
    <s v="Skirt"/>
    <d v="2023-12-02T00:00:00"/>
    <x v="1"/>
    <s v="Hogan Rock"/>
    <x v="3"/>
    <n v="0.06"/>
    <x v="707"/>
    <x v="706"/>
    <n v="24"/>
    <x v="3"/>
    <n v="2258.54"/>
    <n v="2439.4899999999998"/>
    <s v="Returning"/>
    <n v="0.2"/>
    <s v="Credit Card"/>
    <s v="Retail"/>
    <x v="1"/>
  </r>
  <r>
    <n v="1092"/>
    <s v="Recliner"/>
    <d v="2023-06-17T00:00:00"/>
    <x v="1"/>
    <s v="Hogan Rock"/>
    <x v="3"/>
    <n v="0.06"/>
    <x v="708"/>
    <x v="707"/>
    <n v="21"/>
    <x v="2"/>
    <n v="2792.2"/>
    <n v="3254.5499999999902"/>
    <s v="New"/>
    <n v="0.02"/>
    <s v="Credit Card"/>
    <s v="Retail"/>
    <x v="1"/>
  </r>
  <r>
    <n v="1062"/>
    <s v="Boxers"/>
    <d v="2023-04-02T00:00:00"/>
    <x v="0"/>
    <s v="Michael Smith"/>
    <x v="3"/>
    <n v="0.06"/>
    <x v="709"/>
    <x v="708"/>
    <n v="10"/>
    <x v="2"/>
    <n v="1524.88"/>
    <n v="1636.14"/>
    <s v="New"/>
    <n v="0.2"/>
    <s v="Bank Transfer"/>
    <s v="Online"/>
    <x v="0"/>
  </r>
  <r>
    <n v="1063"/>
    <s v="Noodles"/>
    <d v="2023-12-19T00:00:00"/>
    <x v="2"/>
    <s v="Susan Jerkins"/>
    <x v="1"/>
    <n v="0.08"/>
    <x v="710"/>
    <x v="709"/>
    <n v="46"/>
    <x v="0"/>
    <n v="2302.62"/>
    <n v="2740.93"/>
    <s v="Returning"/>
    <n v="0.25"/>
    <s v="Bank Transfer"/>
    <s v="Online"/>
    <x v="1"/>
  </r>
  <r>
    <n v="1025"/>
    <s v="Mayonnaise"/>
    <d v="2023-02-28T00:00:00"/>
    <x v="0"/>
    <s v="Michael Smith"/>
    <x v="3"/>
    <n v="0.06"/>
    <x v="711"/>
    <x v="710"/>
    <n v="14"/>
    <x v="3"/>
    <n v="859.59"/>
    <n v="884.51"/>
    <s v="New"/>
    <n v="0.12"/>
    <s v="Bank Transfer"/>
    <s v="Online"/>
    <x v="0"/>
  </r>
  <r>
    <n v="1056"/>
    <s v="Track Suits"/>
    <d v="2023-02-28T00:00:00"/>
    <x v="3"/>
    <s v="Tracy Moore"/>
    <x v="0"/>
    <n v="7.4999999999999997E-2"/>
    <x v="712"/>
    <x v="711"/>
    <n v="37"/>
    <x v="3"/>
    <n v="1555.41"/>
    <n v="1609.94"/>
    <s v="Returning"/>
    <n v="0.16"/>
    <s v="Credit Card"/>
    <s v="Online"/>
    <x v="0"/>
  </r>
  <r>
    <n v="1033"/>
    <s v="TV Stand"/>
    <d v="2023-10-31T00:00:00"/>
    <x v="3"/>
    <s v="Tracy Moore"/>
    <x v="3"/>
    <n v="0.06"/>
    <x v="713"/>
    <x v="712"/>
    <n v="18"/>
    <x v="0"/>
    <n v="3124.48"/>
    <n v="3553.27"/>
    <s v="Returning"/>
    <n v="0.12"/>
    <s v="Cash"/>
    <s v="Retail"/>
    <x v="0"/>
  </r>
  <r>
    <n v="1038"/>
    <s v="Jean Pants"/>
    <d v="2023-06-18T00:00:00"/>
    <x v="3"/>
    <s v="Tracy Moore"/>
    <x v="1"/>
    <n v="0.08"/>
    <x v="714"/>
    <x v="713"/>
    <n v="24"/>
    <x v="2"/>
    <n v="1543.91"/>
    <n v="1862.88"/>
    <s v="New"/>
    <n v="0.09"/>
    <s v="Bank Transfer"/>
    <s v="Online"/>
    <x v="1"/>
  </r>
  <r>
    <n v="1006"/>
    <s v="Monitor"/>
    <d v="2023-09-26T00:00:00"/>
    <x v="0"/>
    <s v="Michael Smith"/>
    <x v="3"/>
    <n v="0.06"/>
    <x v="715"/>
    <x v="714"/>
    <n v="14"/>
    <x v="1"/>
    <n v="4503.7299999999996"/>
    <n v="4879.8799999999901"/>
    <s v="New"/>
    <n v="0.24"/>
    <s v="Bank Transfer"/>
    <s v="Retail"/>
    <x v="0"/>
  </r>
  <r>
    <n v="1058"/>
    <s v="Wardrobe"/>
    <d v="2023-12-29T00:00:00"/>
    <x v="1"/>
    <s v="Hogan Rock"/>
    <x v="0"/>
    <n v="7.4999999999999997E-2"/>
    <x v="716"/>
    <x v="715"/>
    <n v="34"/>
    <x v="3"/>
    <n v="3160.61"/>
    <n v="3273.22"/>
    <s v="Returning"/>
    <n v="0.08"/>
    <s v="Credit Card"/>
    <s v="Retail"/>
    <x v="1"/>
  </r>
  <r>
    <n v="1044"/>
    <s v="Burger"/>
    <d v="2023-02-14T00:00:00"/>
    <x v="1"/>
    <s v="Hogan Rock"/>
    <x v="1"/>
    <n v="0.08"/>
    <x v="717"/>
    <x v="716"/>
    <n v="12"/>
    <x v="3"/>
    <n v="2221.31"/>
    <n v="2494.48"/>
    <s v="Returning"/>
    <n v="0.22"/>
    <s v="Bank Transfer"/>
    <s v="Online"/>
    <x v="0"/>
  </r>
  <r>
    <n v="1045"/>
    <s v="Bikers Shorts"/>
    <d v="2023-12-11T00:00:00"/>
    <x v="4"/>
    <s v="Scott Wayne"/>
    <x v="1"/>
    <n v="0.08"/>
    <x v="718"/>
    <x v="717"/>
    <n v="22"/>
    <x v="2"/>
    <n v="241.85"/>
    <n v="613.09"/>
    <s v="Returning"/>
    <n v="0.06"/>
    <s v="Cash"/>
    <s v="Online"/>
    <x v="0"/>
  </r>
  <r>
    <n v="1032"/>
    <s v="Refridgerator"/>
    <d v="2023-06-30T00:00:00"/>
    <x v="3"/>
    <s v="Tracy Moore"/>
    <x v="0"/>
    <n v="7.4999999999999997E-2"/>
    <x v="719"/>
    <x v="718"/>
    <n v="6"/>
    <x v="2"/>
    <n v="2522.7600000000002"/>
    <n v="2840.14"/>
    <s v="Returning"/>
    <n v="7.0000000000000007E-2"/>
    <s v="Credit Card"/>
    <s v="Retail"/>
    <x v="1"/>
  </r>
  <r>
    <n v="1045"/>
    <s v="Bikers Shorts"/>
    <d v="2023-06-19T00:00:00"/>
    <x v="1"/>
    <s v="Hogan Rock"/>
    <x v="0"/>
    <n v="7.4999999999999997E-2"/>
    <x v="720"/>
    <x v="719"/>
    <n v="36"/>
    <x v="3"/>
    <n v="3835.64"/>
    <n v="4076.77"/>
    <s v="Returning"/>
    <n v="0.1"/>
    <s v="Credit Card"/>
    <s v="Retail"/>
    <x v="1"/>
  </r>
  <r>
    <n v="1061"/>
    <s v="Laptop"/>
    <d v="2023-12-22T00:00:00"/>
    <x v="4"/>
    <s v="Scott Wayne"/>
    <x v="0"/>
    <n v="7.4999999999999997E-2"/>
    <x v="721"/>
    <x v="720"/>
    <n v="45"/>
    <x v="2"/>
    <n v="1364.51"/>
    <n v="1844.8"/>
    <s v="Returning"/>
    <n v="0.18"/>
    <s v="Cash"/>
    <s v="Online"/>
    <x v="1"/>
  </r>
  <r>
    <n v="1047"/>
    <s v="Mouse"/>
    <d v="2023-07-10T00:00:00"/>
    <x v="1"/>
    <s v="Hogan Rock"/>
    <x v="0"/>
    <n v="7.4999999999999997E-2"/>
    <x v="722"/>
    <x v="721"/>
    <n v="36"/>
    <x v="1"/>
    <n v="4043.53"/>
    <n v="4384.8500000000004"/>
    <s v="New"/>
    <n v="0.14000000000000001"/>
    <s v="Cash"/>
    <s v="Online"/>
    <x v="0"/>
  </r>
  <r>
    <n v="1021"/>
    <s v="Almond Milk"/>
    <d v="2023-06-04T00:00:00"/>
    <x v="3"/>
    <s v="Tracy Moore"/>
    <x v="0"/>
    <n v="7.4999999999999997E-2"/>
    <x v="723"/>
    <x v="722"/>
    <n v="22"/>
    <x v="3"/>
    <n v="1296.44"/>
    <n v="1751.24"/>
    <s v="New"/>
    <n v="0.22"/>
    <s v="Cash"/>
    <s v="Online"/>
    <x v="1"/>
  </r>
  <r>
    <n v="1080"/>
    <s v="Headphones"/>
    <d v="2023-07-07T00:00:00"/>
    <x v="2"/>
    <s v="Susan Jerkins"/>
    <x v="1"/>
    <n v="0.08"/>
    <x v="724"/>
    <x v="723"/>
    <n v="14"/>
    <x v="1"/>
    <n v="4127.54"/>
    <n v="4495.13"/>
    <s v="New"/>
    <n v="0.06"/>
    <s v="Bank Transfer"/>
    <s v="Retail"/>
    <x v="0"/>
  </r>
  <r>
    <n v="1085"/>
    <s v="Settee"/>
    <d v="2023-01-07T00:00:00"/>
    <x v="3"/>
    <s v="Tracy Moore"/>
    <x v="1"/>
    <n v="0.08"/>
    <x v="725"/>
    <x v="724"/>
    <n v="16"/>
    <x v="1"/>
    <n v="472.08"/>
    <n v="842.46"/>
    <s v="New"/>
    <n v="0"/>
    <s v="Cash"/>
    <s v="Retail"/>
    <x v="1"/>
  </r>
  <r>
    <n v="1075"/>
    <s v="Bookshelf"/>
    <d v="2023-05-13T00:00:00"/>
    <x v="0"/>
    <s v="Michael Smith"/>
    <x v="3"/>
    <n v="0.06"/>
    <x v="726"/>
    <x v="725"/>
    <n v="36"/>
    <x v="2"/>
    <n v="4337.6099999999997"/>
    <n v="4386.82"/>
    <s v="Returning"/>
    <n v="0.23"/>
    <s v="Credit Card"/>
    <s v="Online"/>
    <x v="0"/>
  </r>
  <r>
    <n v="1036"/>
    <s v="Shorts"/>
    <d v="2023-08-23T00:00:00"/>
    <x v="1"/>
    <s v="Hogan Rock"/>
    <x v="3"/>
    <n v="0.06"/>
    <x v="727"/>
    <x v="726"/>
    <n v="25"/>
    <x v="1"/>
    <n v="2520.9699999999998"/>
    <n v="2707.1099999999901"/>
    <s v="New"/>
    <n v="0.25"/>
    <s v="Cash"/>
    <s v="Retail"/>
    <x v="0"/>
  </r>
  <r>
    <n v="1099"/>
    <s v="Chest"/>
    <d v="2023-02-14T00:00:00"/>
    <x v="1"/>
    <s v="Hogan Rock"/>
    <x v="2"/>
    <n v="0.05"/>
    <x v="728"/>
    <x v="727"/>
    <n v="32"/>
    <x v="2"/>
    <n v="1517.86"/>
    <n v="1948.46"/>
    <s v="New"/>
    <n v="0.02"/>
    <s v="Credit Card"/>
    <s v="Online"/>
    <x v="0"/>
  </r>
  <r>
    <n v="1019"/>
    <s v="Apple"/>
    <d v="2023-11-10T00:00:00"/>
    <x v="0"/>
    <s v="Michael Smith"/>
    <x v="3"/>
    <n v="0.06"/>
    <x v="729"/>
    <x v="728"/>
    <n v="33"/>
    <x v="0"/>
    <n v="1362.31"/>
    <n v="1486.29"/>
    <s v="Returning"/>
    <n v="0.18"/>
    <s v="Credit Card"/>
    <s v="Retail"/>
    <x v="0"/>
  </r>
  <r>
    <n v="1020"/>
    <s v="Apron"/>
    <d v="2023-09-06T00:00:00"/>
    <x v="0"/>
    <s v="Michael Smith"/>
    <x v="3"/>
    <n v="0.06"/>
    <x v="730"/>
    <x v="729"/>
    <n v="45"/>
    <x v="2"/>
    <n v="2188.4499999999998"/>
    <n v="2255.0499999999902"/>
    <s v="New"/>
    <n v="0.11"/>
    <s v="Bank Transfer"/>
    <s v="Retail"/>
    <x v="1"/>
  </r>
  <r>
    <n v="1057"/>
    <s v="Avocadro Pear"/>
    <d v="2023-01-31T00:00:00"/>
    <x v="2"/>
    <s v="Susan Jerkins"/>
    <x v="0"/>
    <n v="7.4999999999999997E-2"/>
    <x v="731"/>
    <x v="730"/>
    <n v="36"/>
    <x v="1"/>
    <n v="4995.3"/>
    <n v="5165.09"/>
    <s v="Returning"/>
    <n v="0.24"/>
    <s v="Cash"/>
    <s v="Online"/>
    <x v="1"/>
  </r>
  <r>
    <n v="1018"/>
    <s v="Dress Shirt"/>
    <d v="2023-01-23T00:00:00"/>
    <x v="1"/>
    <s v="Hogan Rock"/>
    <x v="0"/>
    <n v="7.4999999999999997E-2"/>
    <x v="732"/>
    <x v="731"/>
    <n v="20"/>
    <x v="0"/>
    <n v="1140.6199999999999"/>
    <n v="1258.6299999999901"/>
    <s v="Returning"/>
    <n v="0.26"/>
    <s v="Bank Transfer"/>
    <s v="Online"/>
    <x v="0"/>
  </r>
  <r>
    <n v="1047"/>
    <s v="Mouse"/>
    <d v="2023-06-09T00:00:00"/>
    <x v="1"/>
    <s v="Hogan Rock"/>
    <x v="3"/>
    <n v="0.06"/>
    <x v="733"/>
    <x v="732"/>
    <n v="18"/>
    <x v="2"/>
    <n v="560.91999999999996"/>
    <n v="1024.31"/>
    <s v="Returning"/>
    <n v="0.26"/>
    <s v="Cash"/>
    <s v="Online"/>
    <x v="1"/>
  </r>
  <r>
    <n v="1049"/>
    <s v="Coffee Table"/>
    <d v="2023-12-29T00:00:00"/>
    <x v="2"/>
    <s v="Susan Jerkins"/>
    <x v="2"/>
    <n v="0.05"/>
    <x v="734"/>
    <x v="733"/>
    <n v="38"/>
    <x v="1"/>
    <n v="2945.92"/>
    <n v="3381.22"/>
    <s v="Returning"/>
    <n v="0.23"/>
    <s v="Cash"/>
    <s v="Retail"/>
    <x v="1"/>
  </r>
  <r>
    <n v="1014"/>
    <s v="Cheese Block"/>
    <d v="2023-06-07T00:00:00"/>
    <x v="4"/>
    <s v="Scott Wayne"/>
    <x v="0"/>
    <n v="7.4999999999999997E-2"/>
    <x v="735"/>
    <x v="734"/>
    <n v="3"/>
    <x v="3"/>
    <n v="2468.29"/>
    <n v="2723.13"/>
    <s v="Returning"/>
    <n v="0.08"/>
    <s v="Cash"/>
    <s v="Retail"/>
    <x v="1"/>
  </r>
  <r>
    <n v="1015"/>
    <s v="Chocolate Bar"/>
    <d v="2023-02-08T00:00:00"/>
    <x v="2"/>
    <s v="Susan Jerkins"/>
    <x v="3"/>
    <n v="0.06"/>
    <x v="736"/>
    <x v="735"/>
    <n v="23"/>
    <x v="3"/>
    <n v="2644.77"/>
    <n v="2684.83"/>
    <s v="New"/>
    <n v="0.24"/>
    <s v="Cash"/>
    <s v="Online"/>
    <x v="1"/>
  </r>
  <r>
    <n v="1031"/>
    <s v="Butter"/>
    <d v="2023-03-23T00:00:00"/>
    <x v="3"/>
    <s v="Tracy Moore"/>
    <x v="3"/>
    <n v="0.06"/>
    <x v="737"/>
    <x v="736"/>
    <n v="32"/>
    <x v="2"/>
    <n v="3351.33"/>
    <n v="3711.47"/>
    <s v="New"/>
    <n v="0.16"/>
    <s v="Cash"/>
    <s v="Retail"/>
    <x v="1"/>
  </r>
  <r>
    <n v="1001"/>
    <s v="Camera"/>
    <d v="2023-12-22T00:00:00"/>
    <x v="1"/>
    <s v="Hogan Rock"/>
    <x v="1"/>
    <n v="0.08"/>
    <x v="738"/>
    <x v="737"/>
    <n v="45"/>
    <x v="2"/>
    <n v="1372.36"/>
    <n v="1687.83"/>
    <s v="New"/>
    <n v="0.02"/>
    <s v="Credit Card"/>
    <s v="Online"/>
    <x v="0"/>
  </r>
  <r>
    <n v="1054"/>
    <s v="Glider"/>
    <d v="2023-09-15T00:00:00"/>
    <x v="0"/>
    <s v="Michael Smith"/>
    <x v="2"/>
    <n v="0.05"/>
    <x v="739"/>
    <x v="738"/>
    <n v="16"/>
    <x v="3"/>
    <n v="4557.79"/>
    <n v="5043.3599999999997"/>
    <s v="Returning"/>
    <n v="0.14000000000000001"/>
    <s v="Credit Card"/>
    <s v="Retail"/>
    <x v="1"/>
  </r>
  <r>
    <n v="1003"/>
    <s v="Stool"/>
    <d v="2023-07-25T00:00:00"/>
    <x v="3"/>
    <s v="Tracy Moore"/>
    <x v="1"/>
    <n v="0.08"/>
    <x v="740"/>
    <x v="739"/>
    <n v="5"/>
    <x v="1"/>
    <n v="2206.58"/>
    <n v="2490.4699999999998"/>
    <s v="New"/>
    <n v="0.28000000000000003"/>
    <s v="Cash"/>
    <s v="Online"/>
    <x v="0"/>
  </r>
  <r>
    <n v="1016"/>
    <s v="Washing Machine"/>
    <d v="2023-03-18T00:00:00"/>
    <x v="1"/>
    <s v="Hogan Rock"/>
    <x v="2"/>
    <n v="0.05"/>
    <x v="741"/>
    <x v="740"/>
    <n v="4"/>
    <x v="1"/>
    <n v="688.98"/>
    <n v="863.81"/>
    <s v="New"/>
    <n v="0.27"/>
    <s v="Credit Card"/>
    <s v="Retail"/>
    <x v="1"/>
  </r>
  <r>
    <n v="1087"/>
    <s v="Sofa Set"/>
    <d v="2023-01-12T00:00:00"/>
    <x v="2"/>
    <s v="Susan Jerkins"/>
    <x v="0"/>
    <n v="7.4999999999999997E-2"/>
    <x v="742"/>
    <x v="741"/>
    <n v="21"/>
    <x v="1"/>
    <n v="3724.38"/>
    <n v="3988.7"/>
    <s v="New"/>
    <n v="0.03"/>
    <s v="Bank Transfer"/>
    <s v="Retail"/>
    <x v="0"/>
  </r>
  <r>
    <n v="1057"/>
    <s v="Avocadro Pear"/>
    <d v="2023-10-22T00:00:00"/>
    <x v="3"/>
    <s v="Tracy Moore"/>
    <x v="2"/>
    <n v="0.05"/>
    <x v="743"/>
    <x v="742"/>
    <n v="40"/>
    <x v="2"/>
    <n v="3233.37"/>
    <n v="3723.21"/>
    <s v="New"/>
    <n v="0.22"/>
    <s v="Bank Transfer"/>
    <s v="Retail"/>
    <x v="1"/>
  </r>
  <r>
    <n v="1075"/>
    <s v="Bookshelf"/>
    <d v="2023-08-12T00:00:00"/>
    <x v="1"/>
    <s v="Hogan Rock"/>
    <x v="3"/>
    <n v="0.06"/>
    <x v="744"/>
    <x v="743"/>
    <n v="14"/>
    <x v="0"/>
    <n v="1612.93"/>
    <n v="1964.15"/>
    <s v="Returning"/>
    <n v="0.24"/>
    <s v="Bank Transfer"/>
    <s v="Retail"/>
    <x v="0"/>
  </r>
  <r>
    <n v="1012"/>
    <s v="Cabinet"/>
    <d v="2023-01-13T00:00:00"/>
    <x v="4"/>
    <s v="Scott Wayne"/>
    <x v="3"/>
    <n v="0.06"/>
    <x v="745"/>
    <x v="744"/>
    <n v="39"/>
    <x v="0"/>
    <n v="3126.52"/>
    <n v="3465.79"/>
    <s v="New"/>
    <n v="0.08"/>
    <s v="Cash"/>
    <s v="Online"/>
    <x v="0"/>
  </r>
  <r>
    <n v="1074"/>
    <s v="French Fries"/>
    <d v="2023-02-15T00:00:00"/>
    <x v="4"/>
    <s v="Scott Wayne"/>
    <x v="2"/>
    <n v="0.05"/>
    <x v="746"/>
    <x v="745"/>
    <n v="31"/>
    <x v="0"/>
    <n v="1138.32"/>
    <n v="1266.25"/>
    <s v="Returning"/>
    <n v="0.14000000000000001"/>
    <s v="Cash"/>
    <s v="Retail"/>
    <x v="1"/>
  </r>
  <r>
    <n v="1096"/>
    <s v="Radio"/>
    <d v="2023-06-04T00:00:00"/>
    <x v="0"/>
    <s v="Michael Smith"/>
    <x v="2"/>
    <n v="0.05"/>
    <x v="747"/>
    <x v="746"/>
    <n v="14"/>
    <x v="0"/>
    <n v="2251.9499999999998"/>
    <n v="2626.3199999999902"/>
    <s v="Returning"/>
    <n v="0.21"/>
    <s v="Credit Card"/>
    <s v="Online"/>
    <x v="0"/>
  </r>
  <r>
    <n v="1016"/>
    <s v="Washing Machine"/>
    <d v="2023-04-23T00:00:00"/>
    <x v="1"/>
    <s v="Hogan Rock"/>
    <x v="2"/>
    <n v="0.05"/>
    <x v="748"/>
    <x v="747"/>
    <n v="6"/>
    <x v="0"/>
    <n v="4502.09"/>
    <n v="4879.72"/>
    <s v="New"/>
    <n v="0.13"/>
    <s v="Credit Card"/>
    <s v="Online"/>
    <x v="0"/>
  </r>
  <r>
    <n v="1072"/>
    <s v="T-Shirt"/>
    <d v="2023-08-21T00:00:00"/>
    <x v="4"/>
    <s v="Scott Wayne"/>
    <x v="1"/>
    <n v="0.08"/>
    <x v="749"/>
    <x v="748"/>
    <n v="12"/>
    <x v="2"/>
    <n v="710.99"/>
    <n v="876.46"/>
    <s v="Returning"/>
    <n v="0.03"/>
    <s v="Credit Card"/>
    <s v="Online"/>
    <x v="0"/>
  </r>
  <r>
    <n v="1076"/>
    <s v="Polo Shirt"/>
    <d v="2023-01-17T00:00:00"/>
    <x v="2"/>
    <s v="Susan Jerkins"/>
    <x v="2"/>
    <n v="0.05"/>
    <x v="750"/>
    <x v="749"/>
    <n v="16"/>
    <x v="2"/>
    <n v="1964.15"/>
    <n v="2211.17"/>
    <s v="Returning"/>
    <n v="0.21"/>
    <s v="Bank Transfer"/>
    <s v="Online"/>
    <x v="0"/>
  </r>
  <r>
    <n v="1024"/>
    <s v="Pasta Pack"/>
    <d v="2023-12-26T00:00:00"/>
    <x v="1"/>
    <s v="Hogan Rock"/>
    <x v="0"/>
    <n v="7.4999999999999997E-2"/>
    <x v="751"/>
    <x v="750"/>
    <n v="17"/>
    <x v="0"/>
    <n v="4114.66"/>
    <n v="4269.0199999999904"/>
    <s v="Returning"/>
    <n v="0.27"/>
    <s v="Bank Transfer"/>
    <s v="Retail"/>
    <x v="1"/>
  </r>
  <r>
    <n v="1028"/>
    <s v="Pyjamas"/>
    <d v="2023-08-11T00:00:00"/>
    <x v="2"/>
    <s v="Susan Jerkins"/>
    <x v="1"/>
    <n v="0.08"/>
    <x v="752"/>
    <x v="751"/>
    <n v="45"/>
    <x v="2"/>
    <n v="4848.9799999999996"/>
    <n v="4985.75"/>
    <s v="Returning"/>
    <n v="0.2"/>
    <s v="Bank Transfer"/>
    <s v="Online"/>
    <x v="0"/>
  </r>
  <r>
    <n v="1008"/>
    <s v="Skirt"/>
    <d v="2023-12-20T00:00:00"/>
    <x v="2"/>
    <s v="Susan Jerkins"/>
    <x v="1"/>
    <n v="0.08"/>
    <x v="753"/>
    <x v="752"/>
    <n v="23"/>
    <x v="2"/>
    <n v="2296.9299999999998"/>
    <n v="2319.62"/>
    <s v="Returning"/>
    <n v="0.23"/>
    <s v="Bank Transfer"/>
    <s v="Retail"/>
    <x v="1"/>
  </r>
  <r>
    <n v="1092"/>
    <s v="Recliner"/>
    <d v="2023-07-07T00:00:00"/>
    <x v="4"/>
    <s v="Scott Wayne"/>
    <x v="2"/>
    <n v="0.05"/>
    <x v="754"/>
    <x v="753"/>
    <n v="14"/>
    <x v="0"/>
    <n v="2559.65"/>
    <n v="2709.4"/>
    <s v="Returning"/>
    <n v="0.11"/>
    <s v="Credit Card"/>
    <s v="Retail"/>
    <x v="1"/>
  </r>
  <r>
    <n v="1036"/>
    <s v="Shorts"/>
    <d v="2023-12-10T00:00:00"/>
    <x v="1"/>
    <s v="Hogan Rock"/>
    <x v="0"/>
    <n v="7.4999999999999997E-2"/>
    <x v="755"/>
    <x v="754"/>
    <n v="7"/>
    <x v="1"/>
    <n v="2882.25"/>
    <n v="3163.7"/>
    <s v="Returning"/>
    <n v="0.05"/>
    <s v="Cash"/>
    <s v="Retail"/>
    <x v="0"/>
  </r>
  <r>
    <n v="1090"/>
    <s v="Keyboard"/>
    <d v="2023-12-31T00:00:00"/>
    <x v="3"/>
    <s v="Tracy Moore"/>
    <x v="1"/>
    <n v="0.08"/>
    <x v="756"/>
    <x v="755"/>
    <n v="46"/>
    <x v="2"/>
    <n v="4665.12"/>
    <n v="4675.8999999999996"/>
    <s v="New"/>
    <n v="0.19"/>
    <s v="Cash"/>
    <s v="Retail"/>
    <x v="1"/>
  </r>
  <r>
    <n v="1008"/>
    <s v="Skirt"/>
    <d v="2023-06-12T00:00:00"/>
    <x v="4"/>
    <s v="Scott Wayne"/>
    <x v="3"/>
    <n v="0.06"/>
    <x v="757"/>
    <x v="756"/>
    <n v="32"/>
    <x v="1"/>
    <n v="4298.12"/>
    <n v="4446.8999999999996"/>
    <s v="New"/>
    <n v="0.1"/>
    <s v="Bank Transfer"/>
    <s v="Online"/>
    <x v="0"/>
  </r>
  <r>
    <n v="1058"/>
    <s v="Wardrobe"/>
    <d v="2023-11-22T00:00:00"/>
    <x v="4"/>
    <s v="Scott Wayne"/>
    <x v="1"/>
    <n v="0.08"/>
    <x v="758"/>
    <x v="757"/>
    <n v="15"/>
    <x v="2"/>
    <n v="894.48"/>
    <n v="1336.37"/>
    <s v="Returning"/>
    <n v="0.26"/>
    <s v="Cash"/>
    <s v="Retail"/>
    <x v="0"/>
  </r>
  <r>
    <n v="1060"/>
    <s v="Head Warmer"/>
    <d v="2023-03-15T00:00:00"/>
    <x v="1"/>
    <s v="Hogan Rock"/>
    <x v="2"/>
    <n v="0.05"/>
    <x v="759"/>
    <x v="758"/>
    <n v="44"/>
    <x v="2"/>
    <n v="2211.9499999999998"/>
    <n v="2512.8399999999901"/>
    <s v="Returning"/>
    <n v="0.04"/>
    <s v="Cash"/>
    <s v="Online"/>
    <x v="0"/>
  </r>
  <r>
    <n v="1050"/>
    <s v="Sneakers"/>
    <d v="2023-08-21T00:00:00"/>
    <x v="1"/>
    <s v="Hogan Rock"/>
    <x v="0"/>
    <n v="7.4999999999999997E-2"/>
    <x v="760"/>
    <x v="759"/>
    <n v="17"/>
    <x v="0"/>
    <n v="2346.8000000000002"/>
    <n v="2654.65"/>
    <s v="New"/>
    <n v="0.13"/>
    <s v="Cash"/>
    <s v="Retail"/>
    <x v="0"/>
  </r>
  <r>
    <n v="1028"/>
    <s v="Pyjamas"/>
    <d v="2023-08-12T00:00:00"/>
    <x v="2"/>
    <s v="Susan Jerkins"/>
    <x v="2"/>
    <n v="0.05"/>
    <x v="761"/>
    <x v="760"/>
    <n v="41"/>
    <x v="2"/>
    <n v="3956.03"/>
    <n v="4163.68"/>
    <s v="New"/>
    <n v="0.12"/>
    <s v="Bank Transfer"/>
    <s v="Retail"/>
    <x v="1"/>
  </r>
  <r>
    <n v="1092"/>
    <s v="Recliner"/>
    <d v="2023-11-15T00:00:00"/>
    <x v="1"/>
    <s v="Hogan Rock"/>
    <x v="3"/>
    <n v="0.06"/>
    <x v="762"/>
    <x v="761"/>
    <n v="47"/>
    <x v="3"/>
    <n v="3034.32"/>
    <n v="3375.79"/>
    <s v="New"/>
    <n v="0.28000000000000003"/>
    <s v="Credit Card"/>
    <s v="Online"/>
    <x v="1"/>
  </r>
  <r>
    <n v="1041"/>
    <s v="Bread"/>
    <d v="2023-03-01T00:00:00"/>
    <x v="2"/>
    <s v="Susan Jerkins"/>
    <x v="3"/>
    <n v="0.06"/>
    <x v="763"/>
    <x v="762"/>
    <n v="44"/>
    <x v="3"/>
    <n v="3288.39"/>
    <n v="3391.46"/>
    <s v="New"/>
    <n v="0.05"/>
    <s v="Credit Card"/>
    <s v="Retail"/>
    <x v="1"/>
  </r>
  <r>
    <n v="1100"/>
    <s v="Protein Cookies"/>
    <d v="2023-12-01T00:00:00"/>
    <x v="4"/>
    <s v="Scott Wayne"/>
    <x v="3"/>
    <n v="0.06"/>
    <x v="764"/>
    <x v="763"/>
    <n v="34"/>
    <x v="0"/>
    <n v="4991.09"/>
    <n v="5402.28"/>
    <s v="Returning"/>
    <n v="0"/>
    <s v="Cash"/>
    <s v="Retail"/>
    <x v="1"/>
  </r>
  <r>
    <n v="1064"/>
    <s v="Smartphone"/>
    <d v="2023-08-10T00:00:00"/>
    <x v="0"/>
    <s v="Michael Smith"/>
    <x v="2"/>
    <n v="0.05"/>
    <x v="765"/>
    <x v="764"/>
    <n v="5"/>
    <x v="1"/>
    <n v="421.05"/>
    <n v="488.23"/>
    <s v="Returning"/>
    <n v="7.0000000000000007E-2"/>
    <s v="Credit Card"/>
    <s v="Retail"/>
    <x v="1"/>
  </r>
  <r>
    <n v="1027"/>
    <s v="Cookies"/>
    <d v="2023-02-06T00:00:00"/>
    <x v="3"/>
    <s v="Tracy Moore"/>
    <x v="1"/>
    <n v="0.08"/>
    <x v="766"/>
    <x v="765"/>
    <n v="45"/>
    <x v="1"/>
    <n v="1153.9000000000001"/>
    <n v="1485.34"/>
    <s v="New"/>
    <n v="0.25"/>
    <s v="Credit Card"/>
    <s v="Retail"/>
    <x v="1"/>
  </r>
  <r>
    <n v="1063"/>
    <s v="Noodles"/>
    <d v="2023-10-05T00:00:00"/>
    <x v="4"/>
    <s v="Scott Wayne"/>
    <x v="2"/>
    <n v="0.05"/>
    <x v="767"/>
    <x v="766"/>
    <n v="27"/>
    <x v="1"/>
    <n v="2069.08"/>
    <n v="2246.2399999999998"/>
    <s v="New"/>
    <n v="0.06"/>
    <s v="Bank Transfer"/>
    <s v="Retail"/>
    <x v="0"/>
  </r>
  <r>
    <n v="1017"/>
    <s v="Peaches"/>
    <d v="2023-07-15T00:00:00"/>
    <x v="1"/>
    <s v="Hogan Rock"/>
    <x v="0"/>
    <n v="7.4999999999999997E-2"/>
    <x v="768"/>
    <x v="767"/>
    <n v="23"/>
    <x v="3"/>
    <n v="1771.52"/>
    <n v="2147.8000000000002"/>
    <s v="New"/>
    <n v="7.0000000000000007E-2"/>
    <s v="Bank Transfer"/>
    <s v="Online"/>
    <x v="0"/>
  </r>
  <r>
    <n v="1073"/>
    <s v="Console Table"/>
    <d v="2023-12-18T00:00:00"/>
    <x v="3"/>
    <s v="Tracy Moore"/>
    <x v="1"/>
    <n v="0.08"/>
    <x v="769"/>
    <x v="768"/>
    <n v="40"/>
    <x v="1"/>
    <n v="157.15"/>
    <n v="436.53"/>
    <s v="New"/>
    <n v="0.04"/>
    <s v="Cash"/>
    <s v="Retail"/>
    <x v="1"/>
  </r>
  <r>
    <n v="1033"/>
    <s v="TV Stand"/>
    <d v="2023-08-30T00:00:00"/>
    <x v="0"/>
    <s v="Michael Smith"/>
    <x v="3"/>
    <n v="0.06"/>
    <x v="770"/>
    <x v="769"/>
    <n v="14"/>
    <x v="1"/>
    <n v="504.3"/>
    <n v="735.95"/>
    <s v="Returning"/>
    <n v="0.21"/>
    <s v="Cash"/>
    <s v="Retail"/>
    <x v="0"/>
  </r>
  <r>
    <n v="1084"/>
    <s v="Card Table"/>
    <d v="2023-11-20T00:00:00"/>
    <x v="0"/>
    <s v="Michael Smith"/>
    <x v="2"/>
    <n v="0.05"/>
    <x v="771"/>
    <x v="770"/>
    <n v="15"/>
    <x v="0"/>
    <n v="3420.72"/>
    <n v="3513.74"/>
    <s v="New"/>
    <n v="0.02"/>
    <s v="Cash"/>
    <s v="Online"/>
    <x v="1"/>
  </r>
  <r>
    <n v="1077"/>
    <s v="Skirt"/>
    <d v="2023-08-07T00:00:00"/>
    <x v="2"/>
    <s v="Susan Jerkins"/>
    <x v="3"/>
    <n v="0.06"/>
    <x v="772"/>
    <x v="771"/>
    <n v="43"/>
    <x v="1"/>
    <n v="4402.66"/>
    <n v="4724.7"/>
    <s v="New"/>
    <n v="0.1"/>
    <s v="Bank Transfer"/>
    <s v="Retail"/>
    <x v="1"/>
  </r>
  <r>
    <n v="1092"/>
    <s v="Recliner"/>
    <d v="2023-07-11T00:00:00"/>
    <x v="3"/>
    <s v="Tracy Moore"/>
    <x v="3"/>
    <n v="0.06"/>
    <x v="773"/>
    <x v="772"/>
    <n v="33"/>
    <x v="3"/>
    <n v="2595.42"/>
    <n v="3083.06"/>
    <s v="New"/>
    <n v="0.08"/>
    <s v="Credit Card"/>
    <s v="Online"/>
    <x v="0"/>
  </r>
  <r>
    <n v="1029"/>
    <s v="Camisole"/>
    <d v="2023-01-17T00:00:00"/>
    <x v="2"/>
    <s v="Susan Jerkins"/>
    <x v="0"/>
    <n v="7.4999999999999997E-2"/>
    <x v="774"/>
    <x v="773"/>
    <n v="31"/>
    <x v="3"/>
    <n v="2719"/>
    <n v="3133.55"/>
    <s v="Returning"/>
    <n v="0.17"/>
    <s v="Bank Transfer"/>
    <s v="Retail"/>
    <x v="0"/>
  </r>
  <r>
    <n v="1013"/>
    <s v="Gas Cooker"/>
    <d v="2023-01-12T00:00:00"/>
    <x v="4"/>
    <s v="Scott Wayne"/>
    <x v="1"/>
    <n v="0.08"/>
    <x v="775"/>
    <x v="774"/>
    <n v="35"/>
    <x v="3"/>
    <n v="1312.71"/>
    <n v="1352.11"/>
    <s v="Returning"/>
    <n v="0.22"/>
    <s v="Bank Transfer"/>
    <s v="Retail"/>
    <x v="0"/>
  </r>
  <r>
    <n v="1046"/>
    <s v="Sweat Shirts"/>
    <d v="2023-07-12T00:00:00"/>
    <x v="3"/>
    <s v="Tracy Moore"/>
    <x v="0"/>
    <n v="7.4999999999999997E-2"/>
    <x v="776"/>
    <x v="775"/>
    <n v="17"/>
    <x v="0"/>
    <n v="3850.99"/>
    <n v="4045.3399999999901"/>
    <s v="Returning"/>
    <n v="0.16"/>
    <s v="Credit Card"/>
    <s v="Online"/>
    <x v="1"/>
  </r>
  <r>
    <n v="1035"/>
    <s v="Doughnut"/>
    <d v="2023-01-22T00:00:00"/>
    <x v="4"/>
    <s v="Scott Wayne"/>
    <x v="0"/>
    <n v="7.4999999999999997E-2"/>
    <x v="777"/>
    <x v="776"/>
    <n v="28"/>
    <x v="0"/>
    <n v="3771.38"/>
    <n v="4234.92"/>
    <s v="New"/>
    <n v="0.28000000000000003"/>
    <s v="Credit Card"/>
    <s v="Retail"/>
    <x v="0"/>
  </r>
  <r>
    <n v="1006"/>
    <s v="Monitor"/>
    <d v="2023-04-30T00:00:00"/>
    <x v="2"/>
    <s v="Susan Jerkins"/>
    <x v="0"/>
    <n v="7.4999999999999997E-2"/>
    <x v="778"/>
    <x v="777"/>
    <n v="19"/>
    <x v="2"/>
    <n v="2962.41"/>
    <n v="3218.8999999999901"/>
    <s v="New"/>
    <n v="0.28999999999999998"/>
    <s v="Cash"/>
    <s v="Retail"/>
    <x v="0"/>
  </r>
  <r>
    <n v="1082"/>
    <s v="USB Drive"/>
    <d v="2023-07-29T00:00:00"/>
    <x v="3"/>
    <s v="Tracy Moore"/>
    <x v="3"/>
    <n v="0.06"/>
    <x v="779"/>
    <x v="778"/>
    <n v="46"/>
    <x v="1"/>
    <n v="1102.69"/>
    <n v="1437.12"/>
    <s v="New"/>
    <n v="0.11"/>
    <s v="Credit Card"/>
    <s v="Online"/>
    <x v="0"/>
  </r>
  <r>
    <n v="1069"/>
    <s v="Suit"/>
    <d v="2023-11-02T00:00:00"/>
    <x v="2"/>
    <s v="Susan Jerkins"/>
    <x v="0"/>
    <n v="7.4999999999999997E-2"/>
    <x v="780"/>
    <x v="779"/>
    <n v="23"/>
    <x v="0"/>
    <n v="530.24"/>
    <n v="987.41"/>
    <s v="Returning"/>
    <n v="0.23"/>
    <s v="Credit Card"/>
    <s v="Online"/>
    <x v="0"/>
  </r>
  <r>
    <n v="1047"/>
    <s v="Mouse"/>
    <d v="2023-09-27T00:00:00"/>
    <x v="3"/>
    <s v="Tracy Moore"/>
    <x v="0"/>
    <n v="7.4999999999999997E-2"/>
    <x v="781"/>
    <x v="780"/>
    <n v="32"/>
    <x v="3"/>
    <n v="367.98"/>
    <n v="806.14"/>
    <s v="Returning"/>
    <n v="0.22"/>
    <s v="Credit Card"/>
    <s v="Retail"/>
    <x v="0"/>
  </r>
  <r>
    <n v="1025"/>
    <s v="Mayonnaise"/>
    <d v="2023-07-11T00:00:00"/>
    <x v="2"/>
    <s v="Susan Jerkins"/>
    <x v="1"/>
    <n v="0.08"/>
    <x v="782"/>
    <x v="781"/>
    <n v="40"/>
    <x v="3"/>
    <n v="2983.85"/>
    <n v="3239.74"/>
    <s v="New"/>
    <n v="0.27"/>
    <s v="Credit Card"/>
    <s v="Online"/>
    <x v="0"/>
  </r>
  <r>
    <n v="1066"/>
    <s v="Armoire"/>
    <d v="2023-06-24T00:00:00"/>
    <x v="0"/>
    <s v="Michael Smith"/>
    <x v="1"/>
    <n v="0.08"/>
    <x v="783"/>
    <x v="782"/>
    <n v="13"/>
    <x v="0"/>
    <n v="4133.92"/>
    <n v="4358.37"/>
    <s v="New"/>
    <n v="0.13"/>
    <s v="Cash"/>
    <s v="Retail"/>
    <x v="0"/>
  </r>
  <r>
    <n v="1010"/>
    <s v="Lawn Chair"/>
    <d v="2023-10-12T00:00:00"/>
    <x v="2"/>
    <s v="Susan Jerkins"/>
    <x v="0"/>
    <n v="7.4999999999999997E-2"/>
    <x v="784"/>
    <x v="783"/>
    <n v="20"/>
    <x v="0"/>
    <n v="4298.74"/>
    <n v="4475.1899999999996"/>
    <s v="Returning"/>
    <n v="0.16"/>
    <s v="Cash"/>
    <s v="Online"/>
    <x v="0"/>
  </r>
  <r>
    <n v="1056"/>
    <s v="Track Suits"/>
    <d v="2023-07-23T00:00:00"/>
    <x v="0"/>
    <s v="Michael Smith"/>
    <x v="1"/>
    <n v="0.08"/>
    <x v="785"/>
    <x v="784"/>
    <n v="35"/>
    <x v="0"/>
    <n v="2344.9299999999998"/>
    <n v="2707.25"/>
    <s v="New"/>
    <n v="0.12"/>
    <s v="Credit Card"/>
    <s v="Retail"/>
    <x v="0"/>
  </r>
  <r>
    <n v="1030"/>
    <s v="Jeans"/>
    <d v="2023-06-13T00:00:00"/>
    <x v="2"/>
    <s v="Susan Jerkins"/>
    <x v="1"/>
    <n v="0.08"/>
    <x v="786"/>
    <x v="785"/>
    <n v="5"/>
    <x v="2"/>
    <n v="3932.14"/>
    <n v="4082.7599999999902"/>
    <s v="New"/>
    <n v="0.26"/>
    <s v="Credit Card"/>
    <s v="Online"/>
    <x v="1"/>
  </r>
  <r>
    <n v="1005"/>
    <s v="Smart Phone"/>
    <d v="2023-09-08T00:00:00"/>
    <x v="3"/>
    <s v="Tracy Moore"/>
    <x v="0"/>
    <n v="7.4999999999999997E-2"/>
    <x v="787"/>
    <x v="786"/>
    <n v="9"/>
    <x v="3"/>
    <n v="4737.0600000000004"/>
    <n v="4869.5"/>
    <s v="New"/>
    <n v="7.0000000000000007E-2"/>
    <s v="Cash"/>
    <s v="Online"/>
    <x v="0"/>
  </r>
  <r>
    <n v="1033"/>
    <s v="TV Stand"/>
    <d v="2023-08-15T00:00:00"/>
    <x v="3"/>
    <s v="Tracy Moore"/>
    <x v="3"/>
    <n v="0.06"/>
    <x v="788"/>
    <x v="787"/>
    <n v="29"/>
    <x v="2"/>
    <n v="1412.09"/>
    <n v="1596.6499999999901"/>
    <s v="Returning"/>
    <n v="7.0000000000000007E-2"/>
    <s v="Cash"/>
    <s v="Online"/>
    <x v="1"/>
  </r>
  <r>
    <n v="1065"/>
    <s v="Potatoes"/>
    <d v="2023-01-07T00:00:00"/>
    <x v="3"/>
    <s v="Tracy Moore"/>
    <x v="0"/>
    <n v="7.4999999999999997E-2"/>
    <x v="789"/>
    <x v="788"/>
    <n v="6"/>
    <x v="2"/>
    <n v="2019.9"/>
    <n v="2116.7399999999998"/>
    <s v="New"/>
    <n v="0.11"/>
    <s v="Credit Card"/>
    <s v="Online"/>
    <x v="1"/>
  </r>
  <r>
    <n v="1018"/>
    <s v="Dress Shirt"/>
    <d v="2023-01-29T00:00:00"/>
    <x v="1"/>
    <s v="Hogan Rock"/>
    <x v="1"/>
    <n v="0.08"/>
    <x v="790"/>
    <x v="789"/>
    <n v="25"/>
    <x v="1"/>
    <n v="4660.82"/>
    <n v="5011.4299999999903"/>
    <s v="New"/>
    <n v="7.0000000000000007E-2"/>
    <s v="Bank Transfer"/>
    <s v="Online"/>
    <x v="0"/>
  </r>
  <r>
    <n v="1096"/>
    <s v="Radio"/>
    <d v="2023-02-02T00:00:00"/>
    <x v="4"/>
    <s v="Scott Wayne"/>
    <x v="3"/>
    <n v="0.06"/>
    <x v="791"/>
    <x v="790"/>
    <n v="31"/>
    <x v="3"/>
    <n v="1724.24"/>
    <n v="2036.2"/>
    <s v="New"/>
    <n v="0.17"/>
    <s v="Cash"/>
    <s v="Online"/>
    <x v="0"/>
  </r>
  <r>
    <n v="1049"/>
    <s v="Coffee Table"/>
    <d v="2023-05-14T00:00:00"/>
    <x v="3"/>
    <s v="Tracy Moore"/>
    <x v="2"/>
    <n v="0.05"/>
    <x v="792"/>
    <x v="791"/>
    <n v="22"/>
    <x v="3"/>
    <n v="4573.6899999999996"/>
    <n v="4820.2999999999902"/>
    <s v="New"/>
    <n v="0.04"/>
    <s v="Cash"/>
    <s v="Online"/>
    <x v="0"/>
  </r>
  <r>
    <n v="1011"/>
    <s v="Coffee Table"/>
    <d v="2023-03-20T00:00:00"/>
    <x v="0"/>
    <s v="Michael Smith"/>
    <x v="3"/>
    <n v="0.06"/>
    <x v="793"/>
    <x v="792"/>
    <n v="2"/>
    <x v="0"/>
    <n v="4906.17"/>
    <n v="5107.43"/>
    <s v="Returning"/>
    <n v="0.1"/>
    <s v="Cash"/>
    <s v="Online"/>
    <x v="1"/>
  </r>
  <r>
    <n v="1085"/>
    <s v="Settee"/>
    <d v="2023-02-27T00:00:00"/>
    <x v="3"/>
    <s v="Tracy Moore"/>
    <x v="1"/>
    <n v="0.08"/>
    <x v="794"/>
    <x v="793"/>
    <n v="45"/>
    <x v="0"/>
    <n v="3325.96"/>
    <n v="3781.4"/>
    <s v="Returning"/>
    <n v="0.27"/>
    <s v="Credit Card"/>
    <s v="Online"/>
    <x v="0"/>
  </r>
  <r>
    <n v="1026"/>
    <s v="Television"/>
    <d v="2023-01-26T00:00:00"/>
    <x v="1"/>
    <s v="Hogan Rock"/>
    <x v="3"/>
    <n v="0.06"/>
    <x v="795"/>
    <x v="794"/>
    <n v="5"/>
    <x v="1"/>
    <n v="4093.61"/>
    <n v="4117.88"/>
    <s v="Returning"/>
    <n v="0.12"/>
    <s v="Credit Card"/>
    <s v="Retail"/>
    <x v="1"/>
  </r>
  <r>
    <n v="1063"/>
    <s v="Noodles"/>
    <d v="2023-08-14T00:00:00"/>
    <x v="0"/>
    <s v="Michael Smith"/>
    <x v="0"/>
    <n v="7.4999999999999997E-2"/>
    <x v="796"/>
    <x v="795"/>
    <n v="27"/>
    <x v="2"/>
    <n v="3760.25"/>
    <n v="4147.1099999999997"/>
    <s v="New"/>
    <n v="0.22"/>
    <s v="Cash"/>
    <s v="Online"/>
    <x v="0"/>
  </r>
  <r>
    <n v="1089"/>
    <s v="Recliner"/>
    <d v="2023-10-12T00:00:00"/>
    <x v="1"/>
    <s v="Hogan Rock"/>
    <x v="2"/>
    <n v="0.05"/>
    <x v="797"/>
    <x v="796"/>
    <n v="25"/>
    <x v="0"/>
    <n v="3512.69"/>
    <n v="3964.63"/>
    <s v="Returning"/>
    <n v="0.03"/>
    <s v="Credit Card"/>
    <s v="Retail"/>
    <x v="0"/>
  </r>
  <r>
    <n v="1086"/>
    <s v="Gaming Console"/>
    <d v="2023-01-04T00:00:00"/>
    <x v="0"/>
    <s v="Michael Smith"/>
    <x v="2"/>
    <n v="0.05"/>
    <x v="798"/>
    <x v="797"/>
    <n v="8"/>
    <x v="0"/>
    <n v="1569.31"/>
    <n v="1798.02"/>
    <s v="New"/>
    <n v="7.0000000000000007E-2"/>
    <s v="Credit Card"/>
    <s v="Online"/>
    <x v="0"/>
  </r>
  <r>
    <n v="1059"/>
    <s v="Coffee Beans"/>
    <d v="2023-04-09T00:00:00"/>
    <x v="2"/>
    <s v="Susan Jerkins"/>
    <x v="2"/>
    <n v="0.05"/>
    <x v="799"/>
    <x v="798"/>
    <n v="1"/>
    <x v="3"/>
    <n v="332.62"/>
    <n v="612.46"/>
    <s v="Returning"/>
    <n v="0.24"/>
    <s v="Cash"/>
    <s v="Retail"/>
    <x v="0"/>
  </r>
  <r>
    <n v="1027"/>
    <s v="Cookies"/>
    <d v="2023-02-08T00:00:00"/>
    <x v="4"/>
    <s v="Scott Wayne"/>
    <x v="1"/>
    <n v="0.08"/>
    <x v="800"/>
    <x v="799"/>
    <n v="20"/>
    <x v="3"/>
    <n v="1748.11"/>
    <n v="2220.9"/>
    <s v="New"/>
    <n v="0.23"/>
    <s v="Credit Card"/>
    <s v="Retail"/>
    <x v="0"/>
  </r>
  <r>
    <n v="1049"/>
    <s v="Coffee Table"/>
    <d v="2023-09-28T00:00:00"/>
    <x v="4"/>
    <s v="Scott Wayne"/>
    <x v="1"/>
    <n v="0.08"/>
    <x v="801"/>
    <x v="800"/>
    <n v="44"/>
    <x v="0"/>
    <n v="3351.33"/>
    <n v="3465.35"/>
    <s v="Returning"/>
    <n v="0.12"/>
    <s v="Bank Transfer"/>
    <s v="Online"/>
    <x v="0"/>
  </r>
  <r>
    <n v="1077"/>
    <s v="Skirt"/>
    <d v="2023-10-12T00:00:00"/>
    <x v="1"/>
    <s v="Hogan Rock"/>
    <x v="2"/>
    <n v="0.05"/>
    <x v="802"/>
    <x v="801"/>
    <n v="23"/>
    <x v="3"/>
    <n v="557.52"/>
    <n v="822.39"/>
    <s v="Returning"/>
    <n v="0.28999999999999998"/>
    <s v="Credit Card"/>
    <s v="Online"/>
    <x v="1"/>
  </r>
  <r>
    <n v="1033"/>
    <s v="TV Stand"/>
    <d v="2023-06-06T00:00:00"/>
    <x v="4"/>
    <s v="Scott Wayne"/>
    <x v="3"/>
    <n v="0.06"/>
    <x v="803"/>
    <x v="802"/>
    <n v="32"/>
    <x v="1"/>
    <n v="108.99"/>
    <n v="351.6"/>
    <s v="Returning"/>
    <n v="0.27"/>
    <s v="Credit Card"/>
    <s v="Retail"/>
    <x v="1"/>
  </r>
  <r>
    <n v="1098"/>
    <s v="File Cabinet"/>
    <d v="2023-03-16T00:00:00"/>
    <x v="1"/>
    <s v="Hogan Rock"/>
    <x v="2"/>
    <n v="0.05"/>
    <x v="804"/>
    <x v="803"/>
    <n v="11"/>
    <x v="0"/>
    <n v="741.48"/>
    <n v="878.09"/>
    <s v="New"/>
    <n v="0.28999999999999998"/>
    <s v="Cash"/>
    <s v="Retail"/>
    <x v="0"/>
  </r>
  <r>
    <n v="1099"/>
    <s v="Chest"/>
    <d v="2023-10-15T00:00:00"/>
    <x v="1"/>
    <s v="Hogan Rock"/>
    <x v="3"/>
    <n v="0.06"/>
    <x v="805"/>
    <x v="804"/>
    <n v="39"/>
    <x v="3"/>
    <n v="3592.89"/>
    <n v="4004"/>
    <s v="New"/>
    <n v="0.13"/>
    <s v="Cash"/>
    <s v="Online"/>
    <x v="0"/>
  </r>
  <r>
    <n v="1001"/>
    <s v="Camera"/>
    <d v="2023-05-10T00:00:00"/>
    <x v="1"/>
    <s v="Hogan Rock"/>
    <x v="3"/>
    <n v="0.06"/>
    <x v="806"/>
    <x v="805"/>
    <n v="47"/>
    <x v="1"/>
    <n v="4865.33"/>
    <n v="5316.13"/>
    <s v="New"/>
    <n v="0.06"/>
    <s v="Bank Transfer"/>
    <s v="Online"/>
    <x v="1"/>
  </r>
  <r>
    <n v="1021"/>
    <s v="Almond Milk"/>
    <d v="2023-06-24T00:00:00"/>
    <x v="4"/>
    <s v="Scott Wayne"/>
    <x v="1"/>
    <n v="0.08"/>
    <x v="807"/>
    <x v="806"/>
    <n v="24"/>
    <x v="3"/>
    <n v="4916.17"/>
    <n v="5309.32"/>
    <s v="Returning"/>
    <n v="0.19"/>
    <s v="Credit Card"/>
    <s v="Online"/>
    <x v="0"/>
  </r>
  <r>
    <n v="1055"/>
    <s v="Cupboard"/>
    <d v="2023-03-25T00:00:00"/>
    <x v="1"/>
    <s v="Hogan Rock"/>
    <x v="3"/>
    <n v="0.06"/>
    <x v="808"/>
    <x v="807"/>
    <n v="11"/>
    <x v="3"/>
    <n v="2495.1999999999998"/>
    <n v="2600.9299999999998"/>
    <s v="New"/>
    <n v="0.21"/>
    <s v="Bank Transfer"/>
    <s v="Retail"/>
    <x v="1"/>
  </r>
  <r>
    <n v="1006"/>
    <s v="Monitor"/>
    <d v="2023-01-22T00:00:00"/>
    <x v="4"/>
    <s v="Scott Wayne"/>
    <x v="2"/>
    <n v="0.05"/>
    <x v="809"/>
    <x v="808"/>
    <n v="29"/>
    <x v="3"/>
    <n v="4353.29"/>
    <n v="4405.8"/>
    <s v="New"/>
    <n v="0.04"/>
    <s v="Bank Transfer"/>
    <s v="Online"/>
    <x v="0"/>
  </r>
  <r>
    <n v="1092"/>
    <s v="Recliner"/>
    <d v="2023-01-27T00:00:00"/>
    <x v="1"/>
    <s v="Hogan Rock"/>
    <x v="1"/>
    <n v="0.08"/>
    <x v="810"/>
    <x v="809"/>
    <n v="26"/>
    <x v="0"/>
    <n v="3697.29"/>
    <n v="4003.96"/>
    <s v="New"/>
    <n v="0.24"/>
    <s v="Cash"/>
    <s v="Online"/>
    <x v="0"/>
  </r>
  <r>
    <n v="1081"/>
    <s v="Rocking Chair"/>
    <d v="2023-07-14T00:00:00"/>
    <x v="3"/>
    <s v="Tracy Moore"/>
    <x v="0"/>
    <n v="7.4999999999999997E-2"/>
    <x v="811"/>
    <x v="810"/>
    <n v="16"/>
    <x v="2"/>
    <n v="2530.15"/>
    <n v="2568.13"/>
    <s v="New"/>
    <n v="0.01"/>
    <s v="Credit Card"/>
    <s v="Online"/>
    <x v="0"/>
  </r>
  <r>
    <n v="1069"/>
    <s v="Suit"/>
    <d v="2023-12-03T00:00:00"/>
    <x v="1"/>
    <s v="Hogan Rock"/>
    <x v="0"/>
    <n v="7.4999999999999997E-2"/>
    <x v="812"/>
    <x v="811"/>
    <n v="35"/>
    <x v="3"/>
    <n v="2885.16"/>
    <n v="3224.8399999999901"/>
    <s v="New"/>
    <n v="0.14000000000000001"/>
    <s v="Cash"/>
    <s v="Online"/>
    <x v="0"/>
  </r>
  <r>
    <n v="1095"/>
    <s v="Bluetooth Speaker"/>
    <d v="2023-08-24T00:00:00"/>
    <x v="0"/>
    <s v="Michael Smith"/>
    <x v="1"/>
    <n v="0.08"/>
    <x v="813"/>
    <x v="812"/>
    <n v="20"/>
    <x v="1"/>
    <n v="729.27"/>
    <n v="999.18"/>
    <s v="New"/>
    <n v="0.1"/>
    <s v="Bank Transfer"/>
    <s v="Online"/>
    <x v="1"/>
  </r>
  <r>
    <n v="1005"/>
    <s v="Smart Phone"/>
    <d v="2023-04-02T00:00:00"/>
    <x v="1"/>
    <s v="Hogan Rock"/>
    <x v="2"/>
    <n v="0.05"/>
    <x v="814"/>
    <x v="813"/>
    <n v="46"/>
    <x v="0"/>
    <n v="4691.42"/>
    <n v="5026.1899999999996"/>
    <s v="Returning"/>
    <n v="0.22"/>
    <s v="Bank Transfer"/>
    <s v="Retail"/>
    <x v="1"/>
  </r>
  <r>
    <n v="1003"/>
    <s v="Stool"/>
    <d v="2023-01-21T00:00:00"/>
    <x v="2"/>
    <s v="Susan Jerkins"/>
    <x v="0"/>
    <n v="7.4999999999999997E-2"/>
    <x v="815"/>
    <x v="814"/>
    <n v="3"/>
    <x v="0"/>
    <n v="1792.05"/>
    <n v="2091.23"/>
    <s v="Returning"/>
    <n v="0.09"/>
    <s v="Cash"/>
    <s v="Retail"/>
    <x v="0"/>
  </r>
  <r>
    <n v="1053"/>
    <s v="Bed"/>
    <d v="2023-10-30T00:00:00"/>
    <x v="1"/>
    <s v="Hogan Rock"/>
    <x v="0"/>
    <n v="7.4999999999999997E-2"/>
    <x v="816"/>
    <x v="815"/>
    <n v="1"/>
    <x v="1"/>
    <n v="2258.44"/>
    <n v="2475.56"/>
    <s v="New"/>
    <n v="0.25"/>
    <s v="Cash"/>
    <s v="Online"/>
    <x v="0"/>
  </r>
  <r>
    <n v="1023"/>
    <s v="Tights"/>
    <d v="2023-12-23T00:00:00"/>
    <x v="0"/>
    <s v="Michael Smith"/>
    <x v="3"/>
    <n v="0.06"/>
    <x v="817"/>
    <x v="816"/>
    <n v="47"/>
    <x v="3"/>
    <n v="3374.72"/>
    <n v="3483.1499999999901"/>
    <s v="Returning"/>
    <n v="0.18"/>
    <s v="Cash"/>
    <s v="Online"/>
    <x v="1"/>
  </r>
  <r>
    <n v="1053"/>
    <s v="Bed"/>
    <d v="2023-03-25T00:00:00"/>
    <x v="0"/>
    <s v="Michael Smith"/>
    <x v="3"/>
    <n v="0.06"/>
    <x v="818"/>
    <x v="817"/>
    <n v="1"/>
    <x v="2"/>
    <n v="1702.82"/>
    <n v="1862.61"/>
    <s v="Returning"/>
    <n v="0.24"/>
    <s v="Cash"/>
    <s v="Retail"/>
    <x v="0"/>
  </r>
  <r>
    <n v="1037"/>
    <s v="Turtleneck Top"/>
    <d v="2023-09-19T00:00:00"/>
    <x v="4"/>
    <s v="Scott Wayne"/>
    <x v="2"/>
    <n v="0.05"/>
    <x v="819"/>
    <x v="818"/>
    <n v="17"/>
    <x v="3"/>
    <n v="1308.58"/>
    <n v="1575.59"/>
    <s v="New"/>
    <n v="0.3"/>
    <s v="Cash"/>
    <s v="Online"/>
    <x v="1"/>
  </r>
  <r>
    <n v="1074"/>
    <s v="French Fries"/>
    <d v="2023-05-27T00:00:00"/>
    <x v="3"/>
    <s v="Tracy Moore"/>
    <x v="1"/>
    <n v="0.08"/>
    <x v="820"/>
    <x v="819"/>
    <n v="2"/>
    <x v="1"/>
    <n v="3173.69"/>
    <n v="3503.11"/>
    <s v="New"/>
    <n v="0.2"/>
    <s v="Bank Transfer"/>
    <s v="Retail"/>
    <x v="0"/>
  </r>
  <r>
    <n v="1074"/>
    <s v="French Fries"/>
    <d v="2023-09-14T00:00:00"/>
    <x v="1"/>
    <s v="Hogan Rock"/>
    <x v="2"/>
    <n v="0.05"/>
    <x v="821"/>
    <x v="820"/>
    <n v="29"/>
    <x v="0"/>
    <n v="173.67"/>
    <n v="565.62"/>
    <s v="Returning"/>
    <n v="0.3"/>
    <s v="Cash"/>
    <s v="Online"/>
    <x v="0"/>
  </r>
  <r>
    <n v="1083"/>
    <s v="Nightstand"/>
    <d v="2023-02-27T00:00:00"/>
    <x v="4"/>
    <s v="Scott Wayne"/>
    <x v="1"/>
    <n v="0.08"/>
    <x v="822"/>
    <x v="821"/>
    <n v="20"/>
    <x v="2"/>
    <n v="3617.59"/>
    <n v="4003.5"/>
    <s v="New"/>
    <n v="0.01"/>
    <s v="Credit Card"/>
    <s v="Retail"/>
    <x v="1"/>
  </r>
  <r>
    <n v="1017"/>
    <s v="Peaches"/>
    <d v="2023-01-15T00:00:00"/>
    <x v="3"/>
    <s v="Tracy Moore"/>
    <x v="0"/>
    <n v="7.4999999999999997E-2"/>
    <x v="823"/>
    <x v="822"/>
    <n v="6"/>
    <x v="0"/>
    <n v="2594.42"/>
    <n v="3081.04"/>
    <s v="Returning"/>
    <n v="0.1"/>
    <s v="Bank Transfer"/>
    <s v="Retail"/>
    <x v="1"/>
  </r>
  <r>
    <n v="1085"/>
    <s v="Settee"/>
    <d v="2023-06-11T00:00:00"/>
    <x v="1"/>
    <s v="Hogan Rock"/>
    <x v="3"/>
    <n v="0.06"/>
    <x v="824"/>
    <x v="823"/>
    <n v="8"/>
    <x v="1"/>
    <n v="3048.48"/>
    <n v="3198.54"/>
    <s v="Returning"/>
    <n v="0.03"/>
    <s v="Bank Transfer"/>
    <s v="Online"/>
    <x v="0"/>
  </r>
  <r>
    <n v="1078"/>
    <s v="Kitchen Island"/>
    <d v="2023-06-12T00:00:00"/>
    <x v="2"/>
    <s v="Susan Jerkins"/>
    <x v="2"/>
    <n v="0.05"/>
    <x v="825"/>
    <x v="824"/>
    <n v="29"/>
    <x v="3"/>
    <n v="3177.81"/>
    <n v="3222.65"/>
    <s v="Returning"/>
    <n v="0.08"/>
    <s v="Credit Card"/>
    <s v="Retail"/>
    <x v="0"/>
  </r>
  <r>
    <n v="1073"/>
    <s v="Console Table"/>
    <d v="2023-11-16T00:00:00"/>
    <x v="1"/>
    <s v="Hogan Rock"/>
    <x v="2"/>
    <n v="0.05"/>
    <x v="826"/>
    <x v="825"/>
    <n v="48"/>
    <x v="2"/>
    <n v="2658.9"/>
    <n v="2838.27"/>
    <s v="New"/>
    <n v="0.25"/>
    <s v="Credit Card"/>
    <s v="Online"/>
    <x v="0"/>
  </r>
  <r>
    <n v="1001"/>
    <s v="Camera"/>
    <d v="2023-10-08T00:00:00"/>
    <x v="0"/>
    <s v="Michael Smith"/>
    <x v="1"/>
    <n v="0.08"/>
    <x v="827"/>
    <x v="826"/>
    <n v="33"/>
    <x v="0"/>
    <n v="2933.54"/>
    <n v="3307.75"/>
    <s v="Returning"/>
    <n v="0.01"/>
    <s v="Bank Transfer"/>
    <s v="Retail"/>
    <x v="0"/>
  </r>
  <r>
    <n v="1051"/>
    <s v="Tablet"/>
    <d v="2023-10-07T00:00:00"/>
    <x v="0"/>
    <s v="Michael Smith"/>
    <x v="1"/>
    <n v="0.08"/>
    <x v="828"/>
    <x v="827"/>
    <n v="3"/>
    <x v="0"/>
    <n v="3434.75"/>
    <n v="3659.42"/>
    <s v="New"/>
    <n v="0.16"/>
    <s v="Cash"/>
    <s v="Online"/>
    <x v="0"/>
  </r>
  <r>
    <n v="1045"/>
    <s v="Bikers Shorts"/>
    <d v="2023-01-12T00:00:00"/>
    <x v="2"/>
    <s v="Susan Jerkins"/>
    <x v="2"/>
    <n v="0.05"/>
    <x v="829"/>
    <x v="828"/>
    <n v="35"/>
    <x v="0"/>
    <n v="3777.94"/>
    <n v="4188.66"/>
    <s v="New"/>
    <n v="0.17"/>
    <s v="Bank Transfer"/>
    <s v="Online"/>
    <x v="0"/>
  </r>
  <r>
    <n v="1077"/>
    <s v="Skirt"/>
    <d v="2023-10-01T00:00:00"/>
    <x v="4"/>
    <s v="Scott Wayne"/>
    <x v="1"/>
    <n v="0.08"/>
    <x v="830"/>
    <x v="829"/>
    <n v="5"/>
    <x v="3"/>
    <n v="3650.89"/>
    <n v="3930.06"/>
    <s v="New"/>
    <n v="0.17"/>
    <s v="Bank Transfer"/>
    <s v="Online"/>
    <x v="0"/>
  </r>
  <r>
    <n v="1004"/>
    <s v="Smartwatch"/>
    <d v="2023-09-28T00:00:00"/>
    <x v="3"/>
    <s v="Tracy Moore"/>
    <x v="2"/>
    <n v="0.05"/>
    <x v="831"/>
    <x v="830"/>
    <n v="27"/>
    <x v="2"/>
    <n v="4354.6000000000004"/>
    <n v="4820.2"/>
    <s v="New"/>
    <n v="0.14000000000000001"/>
    <s v="Credit Card"/>
    <s v="Retail"/>
    <x v="1"/>
  </r>
  <r>
    <n v="1062"/>
    <s v="Boxers"/>
    <d v="2023-07-27T00:00:00"/>
    <x v="1"/>
    <s v="Hogan Rock"/>
    <x v="2"/>
    <n v="0.05"/>
    <x v="832"/>
    <x v="831"/>
    <n v="44"/>
    <x v="3"/>
    <n v="987.74"/>
    <n v="1462.19"/>
    <s v="New"/>
    <n v="0.24"/>
    <s v="Bank Transfer"/>
    <s v="Online"/>
    <x v="1"/>
  </r>
  <r>
    <n v="1065"/>
    <s v="Potatoes"/>
    <d v="2023-01-27T00:00:00"/>
    <x v="0"/>
    <s v="Michael Smith"/>
    <x v="2"/>
    <n v="0.05"/>
    <x v="833"/>
    <x v="832"/>
    <n v="12"/>
    <x v="3"/>
    <n v="2035.68"/>
    <n v="2079.64"/>
    <s v="Returning"/>
    <n v="0.04"/>
    <s v="Cash"/>
    <s v="Online"/>
    <x v="1"/>
  </r>
  <r>
    <n v="1032"/>
    <s v="Refridgerator"/>
    <d v="2023-03-13T00:00:00"/>
    <x v="4"/>
    <s v="Scott Wayne"/>
    <x v="0"/>
    <n v="7.4999999999999997E-2"/>
    <x v="834"/>
    <x v="833"/>
    <n v="20"/>
    <x v="3"/>
    <n v="4741.59"/>
    <n v="4975.2299999999996"/>
    <s v="New"/>
    <n v="0.09"/>
    <s v="Credit Card"/>
    <s v="Online"/>
    <x v="0"/>
  </r>
  <r>
    <n v="1034"/>
    <s v="Socks Pack"/>
    <d v="2023-03-01T00:00:00"/>
    <x v="2"/>
    <s v="Susan Jerkins"/>
    <x v="1"/>
    <n v="0.08"/>
    <x v="835"/>
    <x v="834"/>
    <n v="45"/>
    <x v="1"/>
    <n v="2013.12"/>
    <n v="2321.87"/>
    <s v="New"/>
    <n v="0.18"/>
    <s v="Bank Transfer"/>
    <s v="Retail"/>
    <x v="1"/>
  </r>
  <r>
    <n v="1092"/>
    <s v="Recliner"/>
    <d v="2023-05-25T00:00:00"/>
    <x v="0"/>
    <s v="Michael Smith"/>
    <x v="3"/>
    <n v="0.06"/>
    <x v="836"/>
    <x v="835"/>
    <n v="20"/>
    <x v="1"/>
    <n v="668.11"/>
    <n v="803.49"/>
    <s v="New"/>
    <n v="0.21"/>
    <s v="Bank Transfer"/>
    <s v="Online"/>
    <x v="0"/>
  </r>
  <r>
    <n v="1095"/>
    <s v="Bluetooth Speaker"/>
    <d v="2023-04-03T00:00:00"/>
    <x v="2"/>
    <s v="Susan Jerkins"/>
    <x v="3"/>
    <n v="0.06"/>
    <x v="837"/>
    <x v="836"/>
    <n v="9"/>
    <x v="1"/>
    <n v="2650.95"/>
    <n v="2860.4199999999901"/>
    <s v="New"/>
    <n v="0.12"/>
    <s v="Cash"/>
    <s v="Retail"/>
    <x v="0"/>
  </r>
  <r>
    <n v="1072"/>
    <s v="T-Shirt"/>
    <d v="2023-11-05T00:00:00"/>
    <x v="1"/>
    <s v="Hogan Rock"/>
    <x v="1"/>
    <n v="0.08"/>
    <x v="838"/>
    <x v="837"/>
    <n v="39"/>
    <x v="2"/>
    <n v="591.98"/>
    <n v="934.04"/>
    <s v="New"/>
    <n v="0.26"/>
    <s v="Bank Transfer"/>
    <s v="Retail"/>
    <x v="0"/>
  </r>
  <r>
    <n v="1039"/>
    <s v="Hoodie"/>
    <d v="2023-01-08T00:00:00"/>
    <x v="3"/>
    <s v="Tracy Moore"/>
    <x v="2"/>
    <n v="0.05"/>
    <x v="839"/>
    <x v="838"/>
    <n v="4"/>
    <x v="3"/>
    <n v="1054.1199999999999"/>
    <n v="1175.21999999999"/>
    <s v="Returning"/>
    <n v="0.12"/>
    <s v="Bank Transfer"/>
    <s v="Retail"/>
    <x v="1"/>
  </r>
  <r>
    <n v="1026"/>
    <s v="Television"/>
    <d v="2023-03-20T00:00:00"/>
    <x v="0"/>
    <s v="Michael Smith"/>
    <x v="3"/>
    <n v="0.06"/>
    <x v="840"/>
    <x v="839"/>
    <n v="19"/>
    <x v="3"/>
    <n v="4991.68"/>
    <n v="5296.65"/>
    <s v="New"/>
    <n v="0.12"/>
    <s v="Bank Transfer"/>
    <s v="Online"/>
    <x v="1"/>
  </r>
  <r>
    <n v="1034"/>
    <s v="Socks Pack"/>
    <d v="2023-01-27T00:00:00"/>
    <x v="0"/>
    <s v="Michael Smith"/>
    <x v="3"/>
    <n v="0.06"/>
    <x v="841"/>
    <x v="840"/>
    <n v="38"/>
    <x v="1"/>
    <n v="2729.75"/>
    <n v="3081.5"/>
    <s v="New"/>
    <n v="0.01"/>
    <s v="Bank Transfer"/>
    <s v="Online"/>
    <x v="1"/>
  </r>
  <r>
    <n v="1054"/>
    <s v="Glider"/>
    <d v="2023-06-23T00:00:00"/>
    <x v="1"/>
    <s v="Hogan Rock"/>
    <x v="1"/>
    <n v="0.08"/>
    <x v="842"/>
    <x v="841"/>
    <n v="27"/>
    <x v="3"/>
    <n v="1456.09"/>
    <n v="1510.4299999999901"/>
    <s v="Returning"/>
    <n v="0.17"/>
    <s v="Cash"/>
    <s v="Retail"/>
    <x v="1"/>
  </r>
  <r>
    <n v="1003"/>
    <s v="Stool"/>
    <d v="2023-02-19T00:00:00"/>
    <x v="4"/>
    <s v="Scott Wayne"/>
    <x v="3"/>
    <n v="0.06"/>
    <x v="843"/>
    <x v="842"/>
    <n v="45"/>
    <x v="3"/>
    <n v="4974.1400000000003"/>
    <n v="5227.93"/>
    <s v="New"/>
    <n v="0.21"/>
    <s v="Bank Transfer"/>
    <s v="Online"/>
    <x v="1"/>
  </r>
  <r>
    <n v="1050"/>
    <s v="Sneakers"/>
    <d v="2023-07-18T00:00:00"/>
    <x v="3"/>
    <s v="Tracy Moore"/>
    <x v="2"/>
    <n v="0.05"/>
    <x v="844"/>
    <x v="843"/>
    <n v="43"/>
    <x v="0"/>
    <n v="4834.47"/>
    <n v="4973.38"/>
    <s v="Returning"/>
    <n v="0.03"/>
    <s v="Bank Transfer"/>
    <s v="Online"/>
    <x v="0"/>
  </r>
  <r>
    <n v="1012"/>
    <s v="Cabinet"/>
    <d v="2023-12-15T00:00:00"/>
    <x v="0"/>
    <s v="Michael Smith"/>
    <x v="1"/>
    <n v="0.08"/>
    <x v="845"/>
    <x v="844"/>
    <n v="13"/>
    <x v="3"/>
    <n v="2231.66"/>
    <n v="2596.6099999999901"/>
    <s v="Returning"/>
    <n v="0.09"/>
    <s v="Bank Transfer"/>
    <s v="Retail"/>
    <x v="0"/>
  </r>
  <r>
    <n v="1065"/>
    <s v="Potatoes"/>
    <d v="2023-06-30T00:00:00"/>
    <x v="3"/>
    <s v="Tracy Moore"/>
    <x v="2"/>
    <n v="0.05"/>
    <x v="846"/>
    <x v="845"/>
    <n v="13"/>
    <x v="0"/>
    <n v="1339"/>
    <n v="1441.88"/>
    <s v="Returning"/>
    <n v="0.23"/>
    <s v="Credit Card"/>
    <s v="Retail"/>
    <x v="0"/>
  </r>
  <r>
    <n v="1054"/>
    <s v="Glider"/>
    <d v="2023-01-24T00:00:00"/>
    <x v="0"/>
    <s v="Michael Smith"/>
    <x v="3"/>
    <n v="0.06"/>
    <x v="847"/>
    <x v="846"/>
    <n v="22"/>
    <x v="3"/>
    <n v="4200.08"/>
    <n v="4647.28"/>
    <s v="Returning"/>
    <n v="0.11"/>
    <s v="Cash"/>
    <s v="Online"/>
    <x v="0"/>
  </r>
  <r>
    <n v="1005"/>
    <s v="Smart Phone"/>
    <d v="2023-11-12T00:00:00"/>
    <x v="3"/>
    <s v="Tracy Moore"/>
    <x v="3"/>
    <n v="0.06"/>
    <x v="848"/>
    <x v="847"/>
    <n v="28"/>
    <x v="2"/>
    <n v="3592.32"/>
    <n v="3813.48"/>
    <s v="New"/>
    <n v="7.0000000000000007E-2"/>
    <s v="Credit Card"/>
    <s v="Retail"/>
    <x v="1"/>
  </r>
  <r>
    <n v="1094"/>
    <s v="Microwave"/>
    <d v="2023-02-15T00:00:00"/>
    <x v="2"/>
    <s v="Susan Jerkins"/>
    <x v="2"/>
    <n v="0.05"/>
    <x v="849"/>
    <x v="848"/>
    <n v="47"/>
    <x v="1"/>
    <n v="3450.36"/>
    <n v="3557.38"/>
    <s v="New"/>
    <n v="0.2"/>
    <s v="Credit Card"/>
    <s v="Online"/>
    <x v="0"/>
  </r>
  <r>
    <n v="1094"/>
    <s v="Microwave"/>
    <d v="2023-01-15T00:00:00"/>
    <x v="0"/>
    <s v="Michael Smith"/>
    <x v="0"/>
    <n v="7.4999999999999997E-2"/>
    <x v="850"/>
    <x v="849"/>
    <n v="45"/>
    <x v="0"/>
    <n v="4470.91"/>
    <n v="4695.54"/>
    <s v="Returning"/>
    <n v="0.06"/>
    <s v="Cash"/>
    <s v="Retail"/>
    <x v="0"/>
  </r>
  <r>
    <n v="1057"/>
    <s v="Avocadro Pear"/>
    <d v="2023-06-02T00:00:00"/>
    <x v="3"/>
    <s v="Tracy Moore"/>
    <x v="3"/>
    <n v="0.06"/>
    <x v="851"/>
    <x v="850"/>
    <n v="22"/>
    <x v="1"/>
    <n v="3462.61"/>
    <n v="3672.89"/>
    <s v="Returning"/>
    <n v="0.27"/>
    <s v="Credit Card"/>
    <s v="Online"/>
    <x v="1"/>
  </r>
  <r>
    <n v="1017"/>
    <s v="Peaches"/>
    <d v="2023-08-10T00:00:00"/>
    <x v="4"/>
    <s v="Scott Wayne"/>
    <x v="0"/>
    <n v="7.4999999999999997E-2"/>
    <x v="852"/>
    <x v="851"/>
    <n v="43"/>
    <x v="0"/>
    <n v="1454.8"/>
    <n v="1674.97"/>
    <s v="New"/>
    <n v="0.03"/>
    <s v="Credit Card"/>
    <s v="Online"/>
    <x v="0"/>
  </r>
  <r>
    <n v="1047"/>
    <s v="Mouse"/>
    <d v="2023-07-25T00:00:00"/>
    <x v="2"/>
    <s v="Susan Jerkins"/>
    <x v="3"/>
    <n v="0.06"/>
    <x v="853"/>
    <x v="852"/>
    <n v="19"/>
    <x v="0"/>
    <n v="3484.62"/>
    <n v="3781.5499999999902"/>
    <s v="Returning"/>
    <n v="0.21"/>
    <s v="Credit Card"/>
    <s v="Retail"/>
    <x v="1"/>
  </r>
  <r>
    <n v="1023"/>
    <s v="Tights"/>
    <d v="2023-09-30T00:00:00"/>
    <x v="2"/>
    <s v="Susan Jerkins"/>
    <x v="0"/>
    <n v="7.4999999999999997E-2"/>
    <x v="854"/>
    <x v="853"/>
    <n v="8"/>
    <x v="0"/>
    <n v="1563.78"/>
    <n v="1829.1599999999901"/>
    <s v="Returning"/>
    <n v="0.15"/>
    <s v="Cash"/>
    <s v="Online"/>
    <x v="0"/>
  </r>
  <r>
    <n v="1079"/>
    <s v="Wardrobe"/>
    <d v="2023-08-24T00:00:00"/>
    <x v="4"/>
    <s v="Scott Wayne"/>
    <x v="0"/>
    <n v="7.4999999999999997E-2"/>
    <x v="855"/>
    <x v="854"/>
    <n v="8"/>
    <x v="2"/>
    <n v="3808.23"/>
    <n v="3891.62"/>
    <s v="Returning"/>
    <n v="0.26"/>
    <s v="Bank Transfer"/>
    <s v="Online"/>
    <x v="0"/>
  </r>
  <r>
    <n v="1085"/>
    <s v="Settee"/>
    <d v="2023-12-06T00:00:00"/>
    <x v="3"/>
    <s v="Tracy Moore"/>
    <x v="0"/>
    <n v="7.4999999999999997E-2"/>
    <x v="856"/>
    <x v="855"/>
    <n v="42"/>
    <x v="3"/>
    <n v="3117.75"/>
    <n v="3159.88"/>
    <s v="New"/>
    <n v="0.04"/>
    <s v="Cash"/>
    <s v="Retail"/>
    <x v="1"/>
  </r>
  <r>
    <n v="1014"/>
    <s v="Cheese Block"/>
    <d v="2023-08-16T00:00:00"/>
    <x v="1"/>
    <s v="Hogan Rock"/>
    <x v="2"/>
    <n v="0.05"/>
    <x v="857"/>
    <x v="856"/>
    <n v="26"/>
    <x v="0"/>
    <n v="433.19"/>
    <n v="800.6"/>
    <s v="Returning"/>
    <n v="0.2"/>
    <s v="Cash"/>
    <s v="Online"/>
    <x v="0"/>
  </r>
  <r>
    <n v="1066"/>
    <s v="Armoire"/>
    <d v="2023-01-09T00:00:00"/>
    <x v="4"/>
    <s v="Scott Wayne"/>
    <x v="0"/>
    <n v="7.4999999999999997E-2"/>
    <x v="858"/>
    <x v="857"/>
    <n v="48"/>
    <x v="2"/>
    <n v="2588.54"/>
    <n v="2872.8"/>
    <s v="New"/>
    <n v="0.17"/>
    <s v="Cash"/>
    <s v="Online"/>
    <x v="0"/>
  </r>
  <r>
    <n v="1075"/>
    <s v="Bookshelf"/>
    <d v="2023-06-15T00:00:00"/>
    <x v="3"/>
    <s v="Tracy Moore"/>
    <x v="0"/>
    <n v="7.4999999999999997E-2"/>
    <x v="859"/>
    <x v="858"/>
    <n v="26"/>
    <x v="0"/>
    <n v="1749.34"/>
    <n v="1935.25"/>
    <s v="New"/>
    <n v="0.14000000000000001"/>
    <s v="Credit Card"/>
    <s v="Online"/>
    <x v="0"/>
  </r>
  <r>
    <n v="1051"/>
    <s v="Tablet"/>
    <d v="2023-11-15T00:00:00"/>
    <x v="4"/>
    <s v="Scott Wayne"/>
    <x v="0"/>
    <n v="7.4999999999999997E-2"/>
    <x v="860"/>
    <x v="859"/>
    <n v="23"/>
    <x v="3"/>
    <n v="1676.42"/>
    <n v="2082.52"/>
    <s v="New"/>
    <n v="0.15"/>
    <s v="Bank Transfer"/>
    <s v="Retail"/>
    <x v="1"/>
  </r>
  <r>
    <n v="1038"/>
    <s v="Jean Pants"/>
    <d v="2023-08-02T00:00:00"/>
    <x v="4"/>
    <s v="Scott Wayne"/>
    <x v="3"/>
    <n v="0.06"/>
    <x v="861"/>
    <x v="860"/>
    <n v="43"/>
    <x v="0"/>
    <n v="3031.17"/>
    <n v="3231.32"/>
    <s v="Returning"/>
    <n v="0.22"/>
    <s v="Cash"/>
    <s v="Retail"/>
    <x v="0"/>
  </r>
  <r>
    <n v="1064"/>
    <s v="Smartphone"/>
    <d v="2023-04-27T00:00:00"/>
    <x v="0"/>
    <s v="Michael Smith"/>
    <x v="0"/>
    <n v="7.4999999999999997E-2"/>
    <x v="862"/>
    <x v="861"/>
    <n v="13"/>
    <x v="2"/>
    <n v="1645.51"/>
    <n v="2045.53"/>
    <s v="Returning"/>
    <n v="0.28000000000000003"/>
    <s v="Cash"/>
    <s v="Retail"/>
    <x v="1"/>
  </r>
  <r>
    <n v="1098"/>
    <s v="File Cabinet"/>
    <d v="2023-12-10T00:00:00"/>
    <x v="3"/>
    <s v="Tracy Moore"/>
    <x v="3"/>
    <n v="0.06"/>
    <x v="863"/>
    <x v="862"/>
    <n v="28"/>
    <x v="3"/>
    <n v="3895.62"/>
    <n v="4055.44"/>
    <s v="New"/>
    <n v="0.03"/>
    <s v="Bank Transfer"/>
    <s v="Retail"/>
    <x v="1"/>
  </r>
  <r>
    <n v="1038"/>
    <s v="Jean Pants"/>
    <d v="2023-03-13T00:00:00"/>
    <x v="1"/>
    <s v="Hogan Rock"/>
    <x v="0"/>
    <n v="7.4999999999999997E-2"/>
    <x v="864"/>
    <x v="863"/>
    <n v="9"/>
    <x v="2"/>
    <n v="400.42"/>
    <n v="446.11"/>
    <s v="New"/>
    <n v="0.01"/>
    <s v="Bank Transfer"/>
    <s v="Retail"/>
    <x v="1"/>
  </r>
  <r>
    <n v="1050"/>
    <s v="Sneakers"/>
    <d v="2023-03-05T00:00:00"/>
    <x v="0"/>
    <s v="Michael Smith"/>
    <x v="0"/>
    <n v="7.4999999999999997E-2"/>
    <x v="865"/>
    <x v="864"/>
    <n v="20"/>
    <x v="3"/>
    <n v="3318.92"/>
    <n v="3785.91"/>
    <s v="New"/>
    <n v="0.24"/>
    <s v="Bank Transfer"/>
    <s v="Online"/>
    <x v="0"/>
  </r>
  <r>
    <n v="1098"/>
    <s v="File Cabinet"/>
    <d v="2023-07-24T00:00:00"/>
    <x v="4"/>
    <s v="Scott Wayne"/>
    <x v="2"/>
    <n v="0.05"/>
    <x v="866"/>
    <x v="865"/>
    <n v="19"/>
    <x v="3"/>
    <n v="4055.51"/>
    <n v="4258.84"/>
    <s v="Returning"/>
    <n v="0.03"/>
    <s v="Credit Card"/>
    <s v="Online"/>
    <x v="0"/>
  </r>
  <r>
    <n v="1082"/>
    <s v="USB Drive"/>
    <d v="2023-07-28T00:00:00"/>
    <x v="4"/>
    <s v="Scott Wayne"/>
    <x v="3"/>
    <n v="0.06"/>
    <x v="867"/>
    <x v="866"/>
    <n v="48"/>
    <x v="1"/>
    <n v="3380.52"/>
    <n v="3778.94"/>
    <s v="Returning"/>
    <n v="0.3"/>
    <s v="Bank Transfer"/>
    <s v="Online"/>
    <x v="0"/>
  </r>
  <r>
    <n v="1030"/>
    <s v="Jeans"/>
    <d v="2023-03-13T00:00:00"/>
    <x v="4"/>
    <s v="Scott Wayne"/>
    <x v="0"/>
    <n v="7.4999999999999997E-2"/>
    <x v="868"/>
    <x v="867"/>
    <n v="39"/>
    <x v="1"/>
    <n v="2511.2800000000002"/>
    <n v="2658.06"/>
    <s v="New"/>
    <n v="0.19"/>
    <s v="Credit Card"/>
    <s v="Retail"/>
    <x v="0"/>
  </r>
  <r>
    <n v="1079"/>
    <s v="Wardrobe"/>
    <d v="2023-10-04T00:00:00"/>
    <x v="3"/>
    <s v="Tracy Moore"/>
    <x v="3"/>
    <n v="0.06"/>
    <x v="869"/>
    <x v="868"/>
    <n v="12"/>
    <x v="1"/>
    <n v="4754.0200000000004"/>
    <n v="5080.74"/>
    <s v="New"/>
    <n v="0.2"/>
    <s v="Cash"/>
    <s v="Online"/>
    <x v="1"/>
  </r>
  <r>
    <n v="1091"/>
    <s v="Granola Bar"/>
    <d v="2023-10-01T00:00:00"/>
    <x v="3"/>
    <s v="Tracy Moore"/>
    <x v="3"/>
    <n v="0.06"/>
    <x v="870"/>
    <x v="869"/>
    <n v="15"/>
    <x v="3"/>
    <n v="1534.7"/>
    <n v="1972.62"/>
    <s v="Returning"/>
    <n v="0.06"/>
    <s v="Credit Card"/>
    <s v="Retail"/>
    <x v="1"/>
  </r>
  <r>
    <n v="1051"/>
    <s v="Tablet"/>
    <d v="2023-11-16T00:00:00"/>
    <x v="0"/>
    <s v="Michael Smith"/>
    <x v="1"/>
    <n v="0.08"/>
    <x v="871"/>
    <x v="870"/>
    <n v="31"/>
    <x v="0"/>
    <n v="144.88"/>
    <n v="175.29"/>
    <s v="New"/>
    <n v="7.0000000000000007E-2"/>
    <s v="Bank Transfer"/>
    <s v="Online"/>
    <x v="1"/>
  </r>
  <r>
    <n v="1063"/>
    <s v="Noodles"/>
    <d v="2023-12-04T00:00:00"/>
    <x v="1"/>
    <s v="Hogan Rock"/>
    <x v="2"/>
    <n v="0.05"/>
    <x v="872"/>
    <x v="871"/>
    <n v="14"/>
    <x v="2"/>
    <n v="2188.35"/>
    <n v="2605.3599999999901"/>
    <s v="Returning"/>
    <n v="0.2"/>
    <s v="Credit Card"/>
    <s v="Retail"/>
    <x v="1"/>
  </r>
  <r>
    <n v="1098"/>
    <s v="File Cabinet"/>
    <d v="2024-01-01T00:00:00"/>
    <x v="0"/>
    <s v="Michael Smith"/>
    <x v="2"/>
    <n v="0.05"/>
    <x v="873"/>
    <x v="872"/>
    <n v="11"/>
    <x v="2"/>
    <n v="213.41"/>
    <n v="503.36"/>
    <s v="Returning"/>
    <n v="0.27"/>
    <s v="Bank Transfer"/>
    <s v="Online"/>
    <x v="1"/>
  </r>
  <r>
    <n v="1052"/>
    <s v="Wooden Chair"/>
    <d v="2023-04-05T00:00:00"/>
    <x v="2"/>
    <s v="Susan Jerkins"/>
    <x v="2"/>
    <n v="0.05"/>
    <x v="874"/>
    <x v="873"/>
    <n v="26"/>
    <x v="2"/>
    <n v="4771.99"/>
    <n v="5079.6499999999996"/>
    <s v="New"/>
    <n v="0.28999999999999998"/>
    <s v="Credit Card"/>
    <s v="Online"/>
    <x v="1"/>
  </r>
  <r>
    <n v="1038"/>
    <s v="Jean Pants"/>
    <d v="2023-06-15T00:00:00"/>
    <x v="4"/>
    <s v="Scott Wayne"/>
    <x v="1"/>
    <n v="0.08"/>
    <x v="875"/>
    <x v="874"/>
    <n v="42"/>
    <x v="1"/>
    <n v="1089.0899999999999"/>
    <n v="1355.44"/>
    <s v="New"/>
    <n v="0.06"/>
    <s v="Cash"/>
    <s v="Retail"/>
    <x v="1"/>
  </r>
  <r>
    <n v="1097"/>
    <s v="Freezer"/>
    <d v="2023-02-01T00:00:00"/>
    <x v="4"/>
    <s v="Scott Wayne"/>
    <x v="1"/>
    <n v="0.08"/>
    <x v="876"/>
    <x v="875"/>
    <n v="27"/>
    <x v="3"/>
    <n v="3955.19"/>
    <n v="4393.68"/>
    <s v="Returning"/>
    <n v="0.04"/>
    <s v="Credit Card"/>
    <s v="Online"/>
    <x v="1"/>
  </r>
  <r>
    <n v="1088"/>
    <s v="Office Desk"/>
    <d v="2023-01-11T00:00:00"/>
    <x v="4"/>
    <s v="Scott Wayne"/>
    <x v="2"/>
    <n v="0.05"/>
    <x v="877"/>
    <x v="876"/>
    <n v="11"/>
    <x v="1"/>
    <n v="3884.13"/>
    <n v="3915.41"/>
    <s v="Returning"/>
    <n v="0.02"/>
    <s v="Cash"/>
    <s v="Online"/>
    <x v="1"/>
  </r>
  <r>
    <n v="1079"/>
    <s v="Wardrobe"/>
    <d v="2023-10-28T00:00:00"/>
    <x v="0"/>
    <s v="Michael Smith"/>
    <x v="1"/>
    <n v="0.08"/>
    <x v="878"/>
    <x v="877"/>
    <n v="38"/>
    <x v="0"/>
    <n v="1127.76"/>
    <n v="1265.6600000000001"/>
    <s v="Returning"/>
    <n v="0.26"/>
    <s v="Bank Transfer"/>
    <s v="Retail"/>
    <x v="1"/>
  </r>
  <r>
    <n v="1030"/>
    <s v="Jeans"/>
    <d v="2023-08-05T00:00:00"/>
    <x v="0"/>
    <s v="Michael Smith"/>
    <x v="1"/>
    <n v="0.08"/>
    <x v="879"/>
    <x v="878"/>
    <n v="34"/>
    <x v="3"/>
    <n v="3125.07"/>
    <n v="3564.19"/>
    <s v="Returning"/>
    <n v="0.09"/>
    <s v="Cash"/>
    <s v="Online"/>
    <x v="0"/>
  </r>
  <r>
    <n v="1051"/>
    <s v="Tablet"/>
    <d v="2023-10-16T00:00:00"/>
    <x v="4"/>
    <s v="Scott Wayne"/>
    <x v="1"/>
    <n v="0.08"/>
    <x v="880"/>
    <x v="879"/>
    <n v="43"/>
    <x v="2"/>
    <n v="287.99"/>
    <n v="666.64"/>
    <s v="Returning"/>
    <n v="0"/>
    <s v="Bank Transfer"/>
    <s v="Online"/>
    <x v="0"/>
  </r>
  <r>
    <n v="1081"/>
    <s v="Rocking Chair"/>
    <d v="2023-04-12T00:00:00"/>
    <x v="0"/>
    <s v="Michael Smith"/>
    <x v="2"/>
    <n v="0.05"/>
    <x v="881"/>
    <x v="880"/>
    <n v="19"/>
    <x v="1"/>
    <n v="2443.69"/>
    <n v="2462.34"/>
    <s v="New"/>
    <n v="7.0000000000000007E-2"/>
    <s v="Bank Transfer"/>
    <s v="Retail"/>
    <x v="0"/>
  </r>
  <r>
    <n v="1005"/>
    <s v="Smart Phone"/>
    <d v="2023-09-24T00:00:00"/>
    <x v="3"/>
    <s v="Tracy Moore"/>
    <x v="2"/>
    <n v="0.05"/>
    <x v="882"/>
    <x v="881"/>
    <n v="6"/>
    <x v="1"/>
    <n v="122.5"/>
    <n v="385.83"/>
    <s v="Returning"/>
    <n v="0.1"/>
    <s v="Cash"/>
    <s v="Retail"/>
    <x v="1"/>
  </r>
  <r>
    <n v="1029"/>
    <s v="Camisole"/>
    <d v="2023-08-02T00:00:00"/>
    <x v="3"/>
    <s v="Tracy Moore"/>
    <x v="2"/>
    <n v="0.05"/>
    <x v="883"/>
    <x v="882"/>
    <n v="46"/>
    <x v="0"/>
    <n v="4609.66"/>
    <n v="4879.1499999999996"/>
    <s v="Returning"/>
    <n v="0.3"/>
    <s v="Cash"/>
    <s v="Retail"/>
    <x v="1"/>
  </r>
  <r>
    <n v="1004"/>
    <s v="Smartwatch"/>
    <d v="2023-06-28T00:00:00"/>
    <x v="0"/>
    <s v="Michael Smith"/>
    <x v="1"/>
    <n v="0.08"/>
    <x v="884"/>
    <x v="883"/>
    <n v="38"/>
    <x v="0"/>
    <n v="4881.63"/>
    <n v="5088.0600000000004"/>
    <s v="Returning"/>
    <n v="0.16"/>
    <s v="Credit Card"/>
    <s v="Retail"/>
    <x v="0"/>
  </r>
  <r>
    <n v="1010"/>
    <s v="Lawn Chair"/>
    <d v="2023-03-29T00:00:00"/>
    <x v="4"/>
    <s v="Scott Wayne"/>
    <x v="2"/>
    <n v="0.05"/>
    <x v="885"/>
    <x v="884"/>
    <n v="49"/>
    <x v="1"/>
    <n v="1150.3"/>
    <n v="1306.02"/>
    <s v="New"/>
    <n v="0.06"/>
    <s v="Credit Card"/>
    <s v="Retail"/>
    <x v="1"/>
  </r>
  <r>
    <n v="1056"/>
    <s v="Track Suits"/>
    <d v="2023-02-10T00:00:00"/>
    <x v="0"/>
    <s v="Michael Smith"/>
    <x v="1"/>
    <n v="0.08"/>
    <x v="886"/>
    <x v="885"/>
    <n v="42"/>
    <x v="0"/>
    <n v="1080.1199999999999"/>
    <n v="1424.1699999999901"/>
    <s v="New"/>
    <n v="0.1"/>
    <s v="Cash"/>
    <s v="Online"/>
    <x v="1"/>
  </r>
  <r>
    <n v="1017"/>
    <s v="Peaches"/>
    <d v="2023-03-17T00:00:00"/>
    <x v="0"/>
    <s v="Michael Smith"/>
    <x v="0"/>
    <n v="7.4999999999999997E-2"/>
    <x v="887"/>
    <x v="886"/>
    <n v="28"/>
    <x v="2"/>
    <n v="3780.91"/>
    <n v="3892.73"/>
    <s v="Returning"/>
    <n v="0.1"/>
    <s v="Cash"/>
    <s v="Retail"/>
    <x v="1"/>
  </r>
  <r>
    <n v="1074"/>
    <s v="French Fries"/>
    <d v="2023-02-15T00:00:00"/>
    <x v="0"/>
    <s v="Michael Smith"/>
    <x v="1"/>
    <n v="0.08"/>
    <x v="888"/>
    <x v="887"/>
    <n v="1"/>
    <x v="0"/>
    <n v="1304.23"/>
    <n v="1705.71"/>
    <s v="Returning"/>
    <n v="0.01"/>
    <s v="Cash"/>
    <s v="Retail"/>
    <x v="1"/>
  </r>
  <r>
    <n v="1017"/>
    <s v="Peaches"/>
    <d v="2023-06-09T00:00:00"/>
    <x v="2"/>
    <s v="Susan Jerkins"/>
    <x v="3"/>
    <n v="0.06"/>
    <x v="889"/>
    <x v="888"/>
    <n v="35"/>
    <x v="0"/>
    <n v="4480.63"/>
    <n v="4884.12"/>
    <s v="New"/>
    <n v="0.04"/>
    <s v="Cash"/>
    <s v="Online"/>
    <x v="1"/>
  </r>
  <r>
    <n v="1084"/>
    <s v="Card Table"/>
    <d v="2023-03-21T00:00:00"/>
    <x v="3"/>
    <s v="Tracy Moore"/>
    <x v="2"/>
    <n v="0.05"/>
    <x v="890"/>
    <x v="889"/>
    <n v="40"/>
    <x v="1"/>
    <n v="2890.95"/>
    <n v="3104.43"/>
    <s v="New"/>
    <n v="0.21"/>
    <s v="Bank Transfer"/>
    <s v="Online"/>
    <x v="1"/>
  </r>
  <r>
    <n v="1088"/>
    <s v="Office Desk"/>
    <d v="2023-11-06T00:00:00"/>
    <x v="1"/>
    <s v="Hogan Rock"/>
    <x v="2"/>
    <n v="0.05"/>
    <x v="891"/>
    <x v="890"/>
    <n v="8"/>
    <x v="1"/>
    <n v="1786.35"/>
    <n v="1935.29"/>
    <s v="New"/>
    <n v="0.04"/>
    <s v="Cash"/>
    <s v="Online"/>
    <x v="0"/>
  </r>
  <r>
    <n v="1069"/>
    <s v="Suit"/>
    <d v="2023-03-27T00:00:00"/>
    <x v="1"/>
    <s v="Hogan Rock"/>
    <x v="3"/>
    <n v="0.06"/>
    <x v="892"/>
    <x v="891"/>
    <n v="47"/>
    <x v="3"/>
    <n v="4171.83"/>
    <n v="4320.93"/>
    <s v="New"/>
    <n v="7.0000000000000007E-2"/>
    <s v="Cash"/>
    <s v="Online"/>
    <x v="1"/>
  </r>
  <r>
    <n v="1034"/>
    <s v="Socks Pack"/>
    <d v="2023-04-02T00:00:00"/>
    <x v="2"/>
    <s v="Susan Jerkins"/>
    <x v="1"/>
    <n v="0.08"/>
    <x v="893"/>
    <x v="892"/>
    <n v="7"/>
    <x v="3"/>
    <n v="2492.36"/>
    <n v="2738.68"/>
    <s v="Returning"/>
    <n v="0.11"/>
    <s v="Cash"/>
    <s v="Online"/>
    <x v="1"/>
  </r>
  <r>
    <n v="1006"/>
    <s v="Monitor"/>
    <d v="2023-05-28T00:00:00"/>
    <x v="0"/>
    <s v="Michael Smith"/>
    <x v="0"/>
    <n v="7.4999999999999997E-2"/>
    <x v="894"/>
    <x v="893"/>
    <n v="11"/>
    <x v="1"/>
    <n v="4562.58"/>
    <n v="4925.17"/>
    <s v="New"/>
    <n v="0.23"/>
    <s v="Cash"/>
    <s v="Retail"/>
    <x v="0"/>
  </r>
  <r>
    <n v="1053"/>
    <s v="Bed"/>
    <d v="2023-06-10T00:00:00"/>
    <x v="2"/>
    <s v="Susan Jerkins"/>
    <x v="3"/>
    <n v="0.06"/>
    <x v="895"/>
    <x v="894"/>
    <n v="39"/>
    <x v="0"/>
    <n v="4643.67"/>
    <n v="4829.5200000000004"/>
    <s v="Returning"/>
    <n v="0.17"/>
    <s v="Bank Transfer"/>
    <s v="Online"/>
    <x v="1"/>
  </r>
  <r>
    <n v="1066"/>
    <s v="Armoire"/>
    <d v="2023-07-21T00:00:00"/>
    <x v="2"/>
    <s v="Susan Jerkins"/>
    <x v="3"/>
    <n v="0.06"/>
    <x v="896"/>
    <x v="895"/>
    <n v="4"/>
    <x v="0"/>
    <n v="868.83"/>
    <n v="1177.75"/>
    <s v="Returning"/>
    <n v="0.21"/>
    <s v="Credit Card"/>
    <s v="Retail"/>
    <x v="1"/>
  </r>
  <r>
    <n v="1077"/>
    <s v="Skirt"/>
    <d v="2023-08-30T00:00:00"/>
    <x v="4"/>
    <s v="Scott Wayne"/>
    <x v="1"/>
    <n v="0.08"/>
    <x v="897"/>
    <x v="896"/>
    <n v="25"/>
    <x v="3"/>
    <n v="61.5"/>
    <n v="258.91999999999899"/>
    <s v="New"/>
    <n v="0.17"/>
    <s v="Credit Card"/>
    <s v="Online"/>
    <x v="0"/>
  </r>
  <r>
    <n v="1043"/>
    <s v="Oven"/>
    <d v="2023-12-19T00:00:00"/>
    <x v="3"/>
    <s v="Tracy Moore"/>
    <x v="2"/>
    <n v="0.05"/>
    <x v="898"/>
    <x v="897"/>
    <n v="12"/>
    <x v="3"/>
    <n v="4920.46"/>
    <n v="5079.68"/>
    <s v="New"/>
    <n v="0.21"/>
    <s v="Credit Card"/>
    <s v="Retail"/>
    <x v="1"/>
  </r>
  <r>
    <n v="1075"/>
    <s v="Bookshelf"/>
    <d v="2023-01-02T00:00:00"/>
    <x v="1"/>
    <s v="Hogan Rock"/>
    <x v="1"/>
    <n v="0.08"/>
    <x v="899"/>
    <x v="898"/>
    <n v="26"/>
    <x v="3"/>
    <n v="4535.38"/>
    <n v="4557.5600000000004"/>
    <s v="New"/>
    <n v="0"/>
    <s v="Credit Card"/>
    <s v="Online"/>
    <x v="1"/>
  </r>
  <r>
    <n v="1023"/>
    <s v="Tights"/>
    <d v="2023-08-13T00:00:00"/>
    <x v="0"/>
    <s v="Michael Smith"/>
    <x v="3"/>
    <n v="0.06"/>
    <x v="900"/>
    <x v="899"/>
    <n v="38"/>
    <x v="2"/>
    <n v="324.45"/>
    <n v="336.37"/>
    <s v="New"/>
    <n v="0.28000000000000003"/>
    <s v="Credit Card"/>
    <s v="Retail"/>
    <x v="1"/>
  </r>
  <r>
    <n v="1055"/>
    <s v="Cupboard"/>
    <d v="2023-10-16T00:00:00"/>
    <x v="1"/>
    <s v="Hogan Rock"/>
    <x v="3"/>
    <n v="0.06"/>
    <x v="901"/>
    <x v="900"/>
    <n v="46"/>
    <x v="2"/>
    <n v="4173.5200000000004"/>
    <n v="4294.8500000000004"/>
    <s v="Returning"/>
    <n v="0.03"/>
    <s v="Bank Transfer"/>
    <s v="Retail"/>
    <x v="1"/>
  </r>
  <r>
    <n v="1080"/>
    <s v="Headphones"/>
    <d v="2023-08-21T00:00:00"/>
    <x v="1"/>
    <s v="Hogan Rock"/>
    <x v="2"/>
    <n v="0.05"/>
    <x v="902"/>
    <x v="901"/>
    <n v="12"/>
    <x v="3"/>
    <n v="2316.13"/>
    <n v="2525.27"/>
    <s v="Returning"/>
    <n v="0.12"/>
    <s v="Credit Card"/>
    <s v="Retail"/>
    <x v="0"/>
  </r>
  <r>
    <n v="1095"/>
    <s v="Bluetooth Speaker"/>
    <d v="2023-03-18T00:00:00"/>
    <x v="3"/>
    <s v="Tracy Moore"/>
    <x v="2"/>
    <n v="0.05"/>
    <x v="903"/>
    <x v="902"/>
    <n v="43"/>
    <x v="0"/>
    <n v="1331.86"/>
    <n v="1758.98"/>
    <s v="Returning"/>
    <n v="0.23"/>
    <s v="Bank Transfer"/>
    <s v="Retail"/>
    <x v="0"/>
  </r>
  <r>
    <n v="1075"/>
    <s v="Bookshelf"/>
    <d v="2023-04-26T00:00:00"/>
    <x v="1"/>
    <s v="Hogan Rock"/>
    <x v="2"/>
    <n v="0.05"/>
    <x v="904"/>
    <x v="903"/>
    <n v="37"/>
    <x v="3"/>
    <n v="4399.8"/>
    <n v="4801.0600000000004"/>
    <s v="New"/>
    <n v="0.13"/>
    <s v="Bank Transfer"/>
    <s v="Retail"/>
    <x v="1"/>
  </r>
  <r>
    <n v="1016"/>
    <s v="Washing Machine"/>
    <d v="2023-06-03T00:00:00"/>
    <x v="1"/>
    <s v="Hogan Rock"/>
    <x v="1"/>
    <n v="0.08"/>
    <x v="905"/>
    <x v="904"/>
    <n v="46"/>
    <x v="2"/>
    <n v="1023.5"/>
    <n v="1164.4100000000001"/>
    <s v="Returning"/>
    <n v="0.28000000000000003"/>
    <s v="Credit Card"/>
    <s v="Retail"/>
    <x v="0"/>
  </r>
  <r>
    <n v="1008"/>
    <s v="Skirt"/>
    <d v="2023-04-13T00:00:00"/>
    <x v="2"/>
    <s v="Susan Jerkins"/>
    <x v="2"/>
    <n v="0.05"/>
    <x v="906"/>
    <x v="905"/>
    <n v="24"/>
    <x v="0"/>
    <n v="4739.13"/>
    <n v="4868.95"/>
    <s v="New"/>
    <n v="0.14000000000000001"/>
    <s v="Credit Card"/>
    <s v="Retail"/>
    <x v="0"/>
  </r>
  <r>
    <n v="1004"/>
    <s v="Smartwatch"/>
    <d v="2023-07-13T00:00:00"/>
    <x v="3"/>
    <s v="Tracy Moore"/>
    <x v="3"/>
    <n v="0.06"/>
    <x v="907"/>
    <x v="906"/>
    <n v="16"/>
    <x v="2"/>
    <n v="1067.83"/>
    <n v="1189.22"/>
    <s v="Returning"/>
    <n v="0.26"/>
    <s v="Credit Card"/>
    <s v="Retail"/>
    <x v="1"/>
  </r>
  <r>
    <n v="1004"/>
    <s v="Smartwatch"/>
    <d v="2023-06-15T00:00:00"/>
    <x v="4"/>
    <s v="Scott Wayne"/>
    <x v="3"/>
    <n v="0.06"/>
    <x v="908"/>
    <x v="907"/>
    <n v="13"/>
    <x v="0"/>
    <n v="3087.73"/>
    <n v="3263.96"/>
    <s v="New"/>
    <n v="0.24"/>
    <s v="Cash"/>
    <s v="Retail"/>
    <x v="0"/>
  </r>
  <r>
    <n v="1056"/>
    <s v="Track Suits"/>
    <d v="2023-12-25T00:00:00"/>
    <x v="0"/>
    <s v="Michael Smith"/>
    <x v="0"/>
    <n v="7.4999999999999997E-2"/>
    <x v="909"/>
    <x v="908"/>
    <n v="25"/>
    <x v="2"/>
    <n v="1154.28"/>
    <n v="1408.4"/>
    <s v="Returning"/>
    <n v="0.28999999999999998"/>
    <s v="Bank Transfer"/>
    <s v="Retail"/>
    <x v="1"/>
  </r>
  <r>
    <n v="1025"/>
    <s v="Mayonnaise"/>
    <d v="2023-03-31T00:00:00"/>
    <x v="1"/>
    <s v="Hogan Rock"/>
    <x v="1"/>
    <n v="0.08"/>
    <x v="910"/>
    <x v="909"/>
    <n v="4"/>
    <x v="0"/>
    <n v="2751.06"/>
    <n v="2976.0099999999902"/>
    <s v="Returning"/>
    <n v="0.28000000000000003"/>
    <s v="Credit Card"/>
    <s v="Online"/>
    <x v="1"/>
  </r>
  <r>
    <n v="1067"/>
    <s v="Grapes"/>
    <d v="2023-06-23T00:00:00"/>
    <x v="0"/>
    <s v="Michael Smith"/>
    <x v="0"/>
    <n v="7.4999999999999997E-2"/>
    <x v="911"/>
    <x v="910"/>
    <n v="11"/>
    <x v="0"/>
    <n v="3435.68"/>
    <n v="3552.6299999999901"/>
    <s v="New"/>
    <n v="0.27"/>
    <s v="Cash"/>
    <s v="Retail"/>
    <x v="1"/>
  </r>
  <r>
    <n v="1096"/>
    <s v="Radio"/>
    <d v="2023-05-02T00:00:00"/>
    <x v="4"/>
    <s v="Scott Wayne"/>
    <x v="3"/>
    <n v="0.06"/>
    <x v="912"/>
    <x v="911"/>
    <n v="32"/>
    <x v="0"/>
    <n v="991.63"/>
    <n v="1065.55"/>
    <s v="Returning"/>
    <n v="0.22"/>
    <s v="Bank Transfer"/>
    <s v="Retail"/>
    <x v="1"/>
  </r>
  <r>
    <n v="1067"/>
    <s v="Grapes"/>
    <d v="2023-05-23T00:00:00"/>
    <x v="0"/>
    <s v="Michael Smith"/>
    <x v="0"/>
    <n v="7.4999999999999997E-2"/>
    <x v="913"/>
    <x v="912"/>
    <n v="49"/>
    <x v="0"/>
    <n v="2628.38"/>
    <n v="2644.54"/>
    <s v="Returning"/>
    <n v="0.11"/>
    <s v="Cash"/>
    <s v="Online"/>
    <x v="1"/>
  </r>
  <r>
    <n v="1027"/>
    <s v="Cookies"/>
    <d v="2023-04-16T00:00:00"/>
    <x v="4"/>
    <s v="Scott Wayne"/>
    <x v="3"/>
    <n v="0.06"/>
    <x v="914"/>
    <x v="913"/>
    <n v="7"/>
    <x v="1"/>
    <n v="2371.85"/>
    <n v="2457.29"/>
    <s v="New"/>
    <n v="0.03"/>
    <s v="Cash"/>
    <s v="Retail"/>
    <x v="0"/>
  </r>
  <r>
    <n v="1093"/>
    <s v="Dining Table"/>
    <d v="2023-11-01T00:00:00"/>
    <x v="2"/>
    <s v="Susan Jerkins"/>
    <x v="0"/>
    <n v="7.4999999999999997E-2"/>
    <x v="915"/>
    <x v="914"/>
    <n v="46"/>
    <x v="2"/>
    <n v="401.64"/>
    <n v="757.26"/>
    <s v="New"/>
    <n v="0.21"/>
    <s v="Credit Card"/>
    <s v="Retail"/>
    <x v="1"/>
  </r>
  <r>
    <n v="1032"/>
    <s v="Refridgerator"/>
    <d v="2023-12-26T00:00:00"/>
    <x v="1"/>
    <s v="Hogan Rock"/>
    <x v="2"/>
    <n v="0.05"/>
    <x v="916"/>
    <x v="915"/>
    <n v="11"/>
    <x v="2"/>
    <n v="4100.62"/>
    <n v="4230"/>
    <s v="New"/>
    <n v="0.28999999999999998"/>
    <s v="Bank Transfer"/>
    <s v="Online"/>
    <x v="1"/>
  </r>
  <r>
    <n v="1050"/>
    <s v="Sneakers"/>
    <d v="2023-11-13T00:00:00"/>
    <x v="4"/>
    <s v="Scott Wayne"/>
    <x v="0"/>
    <n v="7.4999999999999997E-2"/>
    <x v="917"/>
    <x v="916"/>
    <n v="28"/>
    <x v="1"/>
    <n v="1711.63"/>
    <n v="1951.24"/>
    <s v="New"/>
    <n v="0.22"/>
    <s v="Cash"/>
    <s v="Online"/>
    <x v="1"/>
  </r>
  <r>
    <n v="1061"/>
    <s v="Laptop"/>
    <d v="2023-05-03T00:00:00"/>
    <x v="0"/>
    <s v="Michael Smith"/>
    <x v="2"/>
    <n v="0.05"/>
    <x v="918"/>
    <x v="917"/>
    <n v="41"/>
    <x v="0"/>
    <n v="2894.18"/>
    <n v="3193.92"/>
    <s v="New"/>
    <n v="0.28000000000000003"/>
    <s v="Bank Transfer"/>
    <s v="Retail"/>
    <x v="0"/>
  </r>
  <r>
    <n v="1051"/>
    <s v="Tablet"/>
    <d v="2023-01-09T00:00:00"/>
    <x v="1"/>
    <s v="Hogan Rock"/>
    <x v="2"/>
    <n v="0.05"/>
    <x v="919"/>
    <x v="918"/>
    <n v="23"/>
    <x v="0"/>
    <n v="2598.1799999999998"/>
    <n v="3042.73"/>
    <s v="Returning"/>
    <n v="0.24"/>
    <s v="Credit Card"/>
    <s v="Online"/>
    <x v="0"/>
  </r>
  <r>
    <n v="1019"/>
    <s v="Apple"/>
    <d v="2023-09-19T00:00:00"/>
    <x v="2"/>
    <s v="Susan Jerkins"/>
    <x v="1"/>
    <n v="0.08"/>
    <x v="920"/>
    <x v="919"/>
    <n v="45"/>
    <x v="2"/>
    <n v="2590.64"/>
    <n v="3036.18"/>
    <s v="New"/>
    <n v="0.05"/>
    <s v="Bank Transfer"/>
    <s v="Retail"/>
    <x v="0"/>
  </r>
  <r>
    <n v="1021"/>
    <s v="Almond Milk"/>
    <d v="2023-03-14T00:00:00"/>
    <x v="1"/>
    <s v="Hogan Rock"/>
    <x v="2"/>
    <n v="0.05"/>
    <x v="921"/>
    <x v="920"/>
    <n v="23"/>
    <x v="1"/>
    <n v="580.75"/>
    <n v="956.16"/>
    <s v="Returning"/>
    <n v="7.0000000000000007E-2"/>
    <s v="Cash"/>
    <s v="Retail"/>
    <x v="0"/>
  </r>
  <r>
    <n v="1005"/>
    <s v="Smart Phone"/>
    <d v="2023-12-25T00:00:00"/>
    <x v="4"/>
    <s v="Scott Wayne"/>
    <x v="2"/>
    <n v="0.05"/>
    <x v="922"/>
    <x v="921"/>
    <n v="28"/>
    <x v="0"/>
    <n v="2146.2399999999998"/>
    <n v="2173.4699999999998"/>
    <s v="Returning"/>
    <n v="0.1"/>
    <s v="Cash"/>
    <s v="Retail"/>
    <x v="0"/>
  </r>
  <r>
    <n v="1082"/>
    <s v="USB Drive"/>
    <d v="2023-08-11T00:00:00"/>
    <x v="2"/>
    <s v="Susan Jerkins"/>
    <x v="0"/>
    <n v="7.4999999999999997E-2"/>
    <x v="923"/>
    <x v="922"/>
    <n v="43"/>
    <x v="0"/>
    <n v="2289.2199999999998"/>
    <n v="2581"/>
    <s v="New"/>
    <n v="0.05"/>
    <s v="Bank Transfer"/>
    <s v="Online"/>
    <x v="1"/>
  </r>
  <r>
    <n v="1092"/>
    <s v="Recliner"/>
    <d v="2023-02-10T00:00:00"/>
    <x v="0"/>
    <s v="Michael Smith"/>
    <x v="3"/>
    <n v="0.06"/>
    <x v="924"/>
    <x v="923"/>
    <n v="47"/>
    <x v="0"/>
    <n v="3681.53"/>
    <n v="4076.96"/>
    <s v="Returning"/>
    <n v="0.17"/>
    <s v="Cash"/>
    <s v="Retail"/>
    <x v="0"/>
  </r>
  <r>
    <n v="1042"/>
    <s v="Frozen Pizza"/>
    <d v="2023-07-23T00:00:00"/>
    <x v="2"/>
    <s v="Susan Jerkins"/>
    <x v="1"/>
    <n v="0.08"/>
    <x v="925"/>
    <x v="924"/>
    <n v="26"/>
    <x v="3"/>
    <n v="4208.09"/>
    <n v="4226.5600000000004"/>
    <s v="Returning"/>
    <n v="0.28999999999999998"/>
    <s v="Cash"/>
    <s v="Retail"/>
    <x v="0"/>
  </r>
  <r>
    <n v="1061"/>
    <s v="Laptop"/>
    <d v="2023-09-21T00:00:00"/>
    <x v="2"/>
    <s v="Susan Jerkins"/>
    <x v="2"/>
    <n v="0.05"/>
    <x v="926"/>
    <x v="925"/>
    <n v="25"/>
    <x v="1"/>
    <n v="2747.66"/>
    <n v="3027.0099999999902"/>
    <s v="New"/>
    <n v="0.23"/>
    <s v="Cash"/>
    <s v="Online"/>
    <x v="0"/>
  </r>
  <r>
    <n v="1022"/>
    <s v="Organic Honey"/>
    <d v="2023-11-24T00:00:00"/>
    <x v="3"/>
    <s v="Tracy Moore"/>
    <x v="1"/>
    <n v="0.08"/>
    <x v="927"/>
    <x v="926"/>
    <n v="29"/>
    <x v="0"/>
    <n v="479.58"/>
    <n v="909.88"/>
    <s v="Returning"/>
    <n v="0.13"/>
    <s v="Credit Card"/>
    <s v="Retail"/>
    <x v="0"/>
  </r>
  <r>
    <n v="1021"/>
    <s v="Almond Milk"/>
    <d v="2023-06-27T00:00:00"/>
    <x v="2"/>
    <s v="Susan Jerkins"/>
    <x v="0"/>
    <n v="7.4999999999999997E-2"/>
    <x v="928"/>
    <x v="927"/>
    <n v="19"/>
    <x v="3"/>
    <n v="1222.4000000000001"/>
    <n v="1464.71"/>
    <s v="New"/>
    <n v="0"/>
    <s v="Credit Card"/>
    <s v="Retail"/>
    <x v="1"/>
  </r>
  <r>
    <n v="1070"/>
    <s v="Hutch"/>
    <d v="2023-12-14T00:00:00"/>
    <x v="2"/>
    <s v="Susan Jerkins"/>
    <x v="2"/>
    <n v="0.05"/>
    <x v="929"/>
    <x v="928"/>
    <n v="33"/>
    <x v="1"/>
    <n v="866.42"/>
    <n v="878.43"/>
    <s v="New"/>
    <n v="0.09"/>
    <s v="Cash"/>
    <s v="Retail"/>
    <x v="1"/>
  </r>
  <r>
    <n v="1001"/>
    <s v="Camera"/>
    <d v="2023-11-14T00:00:00"/>
    <x v="1"/>
    <s v="Hogan Rock"/>
    <x v="0"/>
    <n v="7.4999999999999997E-2"/>
    <x v="930"/>
    <x v="929"/>
    <n v="36"/>
    <x v="0"/>
    <n v="666.84"/>
    <n v="682.24"/>
    <s v="New"/>
    <n v="0.16"/>
    <s v="Bank Transfer"/>
    <s v="Retail"/>
    <x v="1"/>
  </r>
  <r>
    <n v="1005"/>
    <s v="Smart Phone"/>
    <d v="2023-03-25T00:00:00"/>
    <x v="0"/>
    <s v="Michael Smith"/>
    <x v="1"/>
    <n v="0.08"/>
    <x v="931"/>
    <x v="930"/>
    <n v="14"/>
    <x v="2"/>
    <n v="1861.2"/>
    <n v="2075.35"/>
    <s v="Returning"/>
    <n v="0.1"/>
    <s v="Credit Card"/>
    <s v="Retail"/>
    <x v="0"/>
  </r>
  <r>
    <n v="1012"/>
    <s v="Cabinet"/>
    <d v="2023-11-14T00:00:00"/>
    <x v="1"/>
    <s v="Hogan Rock"/>
    <x v="0"/>
    <n v="7.4999999999999997E-2"/>
    <x v="932"/>
    <x v="931"/>
    <n v="14"/>
    <x v="3"/>
    <n v="1185.5"/>
    <n v="1271.45"/>
    <s v="Returning"/>
    <n v="0.03"/>
    <s v="Bank Transfer"/>
    <s v="Retail"/>
    <x v="1"/>
  </r>
  <r>
    <n v="1090"/>
    <s v="Keyboard"/>
    <d v="2023-04-21T00:00:00"/>
    <x v="1"/>
    <s v="Hogan Rock"/>
    <x v="1"/>
    <n v="0.08"/>
    <x v="933"/>
    <x v="932"/>
    <n v="35"/>
    <x v="3"/>
    <n v="1130.5999999999999"/>
    <n v="1466.1799999999901"/>
    <s v="Returning"/>
    <n v="0.13"/>
    <s v="Cash"/>
    <s v="Online"/>
    <x v="1"/>
  </r>
  <r>
    <n v="1046"/>
    <s v="Sweat Shirts"/>
    <d v="2023-09-08T00:00:00"/>
    <x v="4"/>
    <s v="Scott Wayne"/>
    <x v="0"/>
    <n v="7.4999999999999997E-2"/>
    <x v="934"/>
    <x v="933"/>
    <n v="30"/>
    <x v="0"/>
    <n v="320.73"/>
    <n v="678.04"/>
    <s v="Returning"/>
    <n v="0.08"/>
    <s v="Cash"/>
    <s v="Retail"/>
    <x v="0"/>
  </r>
  <r>
    <n v="1034"/>
    <s v="Socks Pack"/>
    <d v="2023-01-07T00:00:00"/>
    <x v="1"/>
    <s v="Hogan Rock"/>
    <x v="1"/>
    <n v="0.08"/>
    <x v="935"/>
    <x v="934"/>
    <n v="28"/>
    <x v="0"/>
    <n v="137.47"/>
    <n v="234.63"/>
    <s v="New"/>
    <n v="0.27"/>
    <s v="Bank Transfer"/>
    <s v="Retail"/>
    <x v="1"/>
  </r>
  <r>
    <n v="1049"/>
    <s v="Coffee Table"/>
    <d v="2023-03-25T00:00:00"/>
    <x v="3"/>
    <s v="Tracy Moore"/>
    <x v="3"/>
    <n v="0.06"/>
    <x v="936"/>
    <x v="935"/>
    <n v="17"/>
    <x v="3"/>
    <n v="558.70000000000005"/>
    <n v="1004.08"/>
    <s v="Returning"/>
    <n v="0.03"/>
    <s v="Credit Card"/>
    <s v="Online"/>
    <x v="0"/>
  </r>
  <r>
    <n v="1078"/>
    <s v="Kitchen Island"/>
    <d v="2023-07-27T00:00:00"/>
    <x v="3"/>
    <s v="Tracy Moore"/>
    <x v="0"/>
    <n v="7.4999999999999997E-2"/>
    <x v="937"/>
    <x v="936"/>
    <n v="3"/>
    <x v="2"/>
    <n v="902.38"/>
    <n v="1128.9100000000001"/>
    <s v="New"/>
    <n v="0.01"/>
    <s v="Bank Transfer"/>
    <s v="Retail"/>
    <x v="1"/>
  </r>
  <r>
    <n v="1090"/>
    <s v="Keyboard"/>
    <d v="2023-11-10T00:00:00"/>
    <x v="4"/>
    <s v="Scott Wayne"/>
    <x v="0"/>
    <n v="7.4999999999999997E-2"/>
    <x v="938"/>
    <x v="937"/>
    <n v="16"/>
    <x v="2"/>
    <n v="2183.37"/>
    <n v="2263.3599999999901"/>
    <s v="Returning"/>
    <n v="0"/>
    <s v="Bank Transfer"/>
    <s v="Retail"/>
    <x v="1"/>
  </r>
  <r>
    <n v="1045"/>
    <s v="Bikers Shorts"/>
    <d v="2023-01-22T00:00:00"/>
    <x v="0"/>
    <s v="Michael Smith"/>
    <x v="3"/>
    <n v="0.06"/>
    <x v="939"/>
    <x v="938"/>
    <n v="46"/>
    <x v="1"/>
    <n v="2577.08"/>
    <n v="2961.56"/>
    <s v="Returning"/>
    <n v="0.1"/>
    <s v="Cash"/>
    <s v="Online"/>
    <x v="1"/>
  </r>
  <r>
    <n v="1027"/>
    <s v="Cookies"/>
    <d v="2023-01-03T00:00:00"/>
    <x v="0"/>
    <s v="Michael Smith"/>
    <x v="3"/>
    <n v="0.06"/>
    <x v="940"/>
    <x v="939"/>
    <n v="30"/>
    <x v="0"/>
    <n v="745.93"/>
    <n v="1143.02"/>
    <s v="Returning"/>
    <n v="0.2"/>
    <s v="Credit Card"/>
    <s v="Online"/>
    <x v="0"/>
  </r>
  <r>
    <n v="1073"/>
    <s v="Console Table"/>
    <d v="2023-05-07T00:00:00"/>
    <x v="1"/>
    <s v="Hogan Rock"/>
    <x v="0"/>
    <n v="7.4999999999999997E-2"/>
    <x v="941"/>
    <x v="940"/>
    <n v="29"/>
    <x v="2"/>
    <n v="2152.6799999999998"/>
    <n v="2475.9299999999998"/>
    <s v="Returning"/>
    <n v="0.22"/>
    <s v="Bank Transfer"/>
    <s v="Online"/>
    <x v="1"/>
  </r>
  <r>
    <n v="1026"/>
    <s v="Television"/>
    <d v="2023-10-24T00:00:00"/>
    <x v="1"/>
    <s v="Hogan Rock"/>
    <x v="3"/>
    <n v="0.06"/>
    <x v="942"/>
    <x v="941"/>
    <n v="45"/>
    <x v="1"/>
    <n v="1741.66"/>
    <n v="2169.86"/>
    <s v="Returning"/>
    <n v="0.14000000000000001"/>
    <s v="Credit Card"/>
    <s v="Online"/>
    <x v="1"/>
  </r>
  <r>
    <n v="1047"/>
    <s v="Mouse"/>
    <d v="2023-07-07T00:00:00"/>
    <x v="1"/>
    <s v="Hogan Rock"/>
    <x v="2"/>
    <n v="0.05"/>
    <x v="943"/>
    <x v="942"/>
    <n v="15"/>
    <x v="2"/>
    <n v="957.95"/>
    <n v="1329.26"/>
    <s v="New"/>
    <n v="0.21"/>
    <s v="Cash"/>
    <s v="Online"/>
    <x v="0"/>
  </r>
  <r>
    <n v="1086"/>
    <s v="Gaming Console"/>
    <d v="2023-12-28T00:00:00"/>
    <x v="0"/>
    <s v="Michael Smith"/>
    <x v="1"/>
    <n v="0.08"/>
    <x v="944"/>
    <x v="943"/>
    <n v="46"/>
    <x v="0"/>
    <n v="83.86"/>
    <n v="526.14"/>
    <s v="Returning"/>
    <n v="0.11"/>
    <s v="Credit Card"/>
    <s v="Online"/>
    <x v="1"/>
  </r>
  <r>
    <n v="1056"/>
    <s v="Track Suits"/>
    <d v="2023-01-14T00:00:00"/>
    <x v="2"/>
    <s v="Susan Jerkins"/>
    <x v="1"/>
    <n v="0.08"/>
    <x v="945"/>
    <x v="944"/>
    <n v="25"/>
    <x v="1"/>
    <n v="2361.7399999999998"/>
    <n v="2584.35"/>
    <s v="Returning"/>
    <n v="0.2"/>
    <s v="Cash"/>
    <s v="Online"/>
    <x v="0"/>
  </r>
  <r>
    <n v="1094"/>
    <s v="Microwave"/>
    <d v="2023-01-12T00:00:00"/>
    <x v="3"/>
    <s v="Tracy Moore"/>
    <x v="1"/>
    <n v="0.08"/>
    <x v="946"/>
    <x v="945"/>
    <n v="38"/>
    <x v="1"/>
    <n v="3443.98"/>
    <n v="3820.3"/>
    <s v="Returning"/>
    <n v="0.01"/>
    <s v="Credit Card"/>
    <s v="Retail"/>
    <x v="0"/>
  </r>
  <r>
    <n v="1063"/>
    <s v="Noodles"/>
    <d v="2023-03-28T00:00:00"/>
    <x v="2"/>
    <s v="Susan Jerkins"/>
    <x v="2"/>
    <n v="0.05"/>
    <x v="947"/>
    <x v="946"/>
    <n v="42"/>
    <x v="1"/>
    <n v="1170.07"/>
    <n v="1669.94999999999"/>
    <s v="Returning"/>
    <n v="0.12"/>
    <s v="Bank Transfer"/>
    <s v="Retail"/>
    <x v="1"/>
  </r>
  <r>
    <n v="1048"/>
    <s v="Chaise Lounge"/>
    <d v="2023-01-12T00:00:00"/>
    <x v="2"/>
    <s v="Susan Jerkins"/>
    <x v="3"/>
    <n v="0.06"/>
    <x v="948"/>
    <x v="947"/>
    <n v="47"/>
    <x v="2"/>
    <n v="702.44"/>
    <n v="1067.6600000000001"/>
    <s v="New"/>
    <n v="0.24"/>
    <s v="Cash"/>
    <s v="Retail"/>
    <x v="0"/>
  </r>
  <r>
    <n v="1061"/>
    <s v="Laptop"/>
    <d v="2023-01-25T00:00:00"/>
    <x v="0"/>
    <s v="Michael Smith"/>
    <x v="3"/>
    <n v="0.06"/>
    <x v="949"/>
    <x v="948"/>
    <n v="38"/>
    <x v="0"/>
    <n v="4440.8599999999997"/>
    <n v="4506.8099999999904"/>
    <s v="Returning"/>
    <n v="0.24"/>
    <s v="Bank Transfer"/>
    <s v="Online"/>
    <x v="1"/>
  </r>
  <r>
    <n v="1081"/>
    <s v="Rocking Chair"/>
    <d v="2023-10-28T00:00:00"/>
    <x v="2"/>
    <s v="Susan Jerkins"/>
    <x v="0"/>
    <n v="7.4999999999999997E-2"/>
    <x v="950"/>
    <x v="949"/>
    <n v="23"/>
    <x v="1"/>
    <n v="1411.37"/>
    <n v="1675.35"/>
    <s v="New"/>
    <n v="0.21"/>
    <s v="Cash"/>
    <s v="Retail"/>
    <x v="0"/>
  </r>
  <r>
    <n v="1026"/>
    <s v="Television"/>
    <d v="2023-08-31T00:00:00"/>
    <x v="4"/>
    <s v="Scott Wayne"/>
    <x v="3"/>
    <n v="0.06"/>
    <x v="951"/>
    <x v="950"/>
    <n v="25"/>
    <x v="3"/>
    <n v="1156.8800000000001"/>
    <n v="1454.68"/>
    <s v="Returning"/>
    <n v="0.06"/>
    <s v="Credit Card"/>
    <s v="Online"/>
    <x v="1"/>
  </r>
  <r>
    <n v="1036"/>
    <s v="Shorts"/>
    <d v="2023-05-02T00:00:00"/>
    <x v="1"/>
    <s v="Hogan Rock"/>
    <x v="0"/>
    <n v="7.4999999999999997E-2"/>
    <x v="952"/>
    <x v="951"/>
    <n v="42"/>
    <x v="0"/>
    <n v="4292.63"/>
    <n v="4387.99"/>
    <s v="New"/>
    <n v="7.0000000000000007E-2"/>
    <s v="Credit Card"/>
    <s v="Retail"/>
    <x v="0"/>
  </r>
  <r>
    <n v="1001"/>
    <s v="Camera"/>
    <d v="2023-05-27T00:00:00"/>
    <x v="4"/>
    <s v="Scott Wayne"/>
    <x v="2"/>
    <n v="0.05"/>
    <x v="953"/>
    <x v="952"/>
    <n v="7"/>
    <x v="3"/>
    <n v="4094.68"/>
    <n v="4576.5"/>
    <s v="New"/>
    <n v="0.3"/>
    <s v="Cash"/>
    <s v="Retail"/>
    <x v="1"/>
  </r>
  <r>
    <n v="1008"/>
    <s v="Skirt"/>
    <d v="2023-02-24T00:00:00"/>
    <x v="3"/>
    <s v="Tracy Moore"/>
    <x v="1"/>
    <n v="0.08"/>
    <x v="954"/>
    <x v="953"/>
    <n v="22"/>
    <x v="3"/>
    <n v="2269.3200000000002"/>
    <n v="2365.35"/>
    <s v="New"/>
    <n v="0.03"/>
    <s v="Cash"/>
    <s v="Retail"/>
    <x v="0"/>
  </r>
  <r>
    <n v="1099"/>
    <s v="Chest"/>
    <d v="2023-08-26T00:00:00"/>
    <x v="1"/>
    <s v="Hogan Rock"/>
    <x v="1"/>
    <n v="0.08"/>
    <x v="955"/>
    <x v="954"/>
    <n v="17"/>
    <x v="1"/>
    <n v="2471.73"/>
    <n v="2568.73"/>
    <s v="New"/>
    <n v="0.05"/>
    <s v="Cash"/>
    <s v="Retail"/>
    <x v="1"/>
  </r>
  <r>
    <n v="1052"/>
    <s v="Wooden Chair"/>
    <d v="2023-12-22T00:00:00"/>
    <x v="2"/>
    <s v="Susan Jerkins"/>
    <x v="1"/>
    <n v="0.08"/>
    <x v="956"/>
    <x v="955"/>
    <n v="18"/>
    <x v="1"/>
    <n v="1127.8599999999999"/>
    <n v="1586.29"/>
    <s v="New"/>
    <n v="0.04"/>
    <s v="Credit Card"/>
    <s v="Online"/>
    <x v="1"/>
  </r>
  <r>
    <n v="1079"/>
    <s v="Wardrobe"/>
    <d v="2023-06-22T00:00:00"/>
    <x v="3"/>
    <s v="Tracy Moore"/>
    <x v="3"/>
    <n v="0.06"/>
    <x v="957"/>
    <x v="956"/>
    <n v="49"/>
    <x v="2"/>
    <n v="437.59"/>
    <n v="675.54"/>
    <s v="Returning"/>
    <n v="0.1"/>
    <s v="Cash"/>
    <s v="Online"/>
    <x v="1"/>
  </r>
  <r>
    <n v="1047"/>
    <s v="Mouse"/>
    <d v="2023-08-09T00:00:00"/>
    <x v="1"/>
    <s v="Hogan Rock"/>
    <x v="0"/>
    <n v="7.4999999999999997E-2"/>
    <x v="958"/>
    <x v="957"/>
    <n v="41"/>
    <x v="2"/>
    <n v="2888.49"/>
    <n v="2929.45"/>
    <s v="New"/>
    <n v="0.06"/>
    <s v="Cash"/>
    <s v="Retail"/>
    <x v="1"/>
  </r>
  <r>
    <n v="1056"/>
    <s v="Track Suits"/>
    <d v="2023-04-29T00:00:00"/>
    <x v="2"/>
    <s v="Susan Jerkins"/>
    <x v="0"/>
    <n v="7.4999999999999997E-2"/>
    <x v="959"/>
    <x v="958"/>
    <n v="10"/>
    <x v="2"/>
    <n v="536.80999999999995"/>
    <n v="839.92"/>
    <s v="Returning"/>
    <n v="0.15"/>
    <s v="Bank Transfer"/>
    <s v="Online"/>
    <x v="0"/>
  </r>
  <r>
    <n v="1086"/>
    <s v="Gaming Console"/>
    <d v="2023-11-05T00:00:00"/>
    <x v="4"/>
    <s v="Scott Wayne"/>
    <x v="2"/>
    <n v="0.05"/>
    <x v="960"/>
    <x v="959"/>
    <n v="10"/>
    <x v="0"/>
    <n v="2273.91"/>
    <n v="2578.7999999999902"/>
    <s v="New"/>
    <n v="0.14000000000000001"/>
    <s v="Cash"/>
    <s v="Online"/>
    <x v="1"/>
  </r>
  <r>
    <n v="1014"/>
    <s v="Cheese Block"/>
    <d v="2023-07-02T00:00:00"/>
    <x v="1"/>
    <s v="Hogan Rock"/>
    <x v="3"/>
    <n v="0.06"/>
    <x v="961"/>
    <x v="960"/>
    <n v="7"/>
    <x v="2"/>
    <n v="4705.46"/>
    <n v="4747.07"/>
    <s v="New"/>
    <n v="0.27"/>
    <s v="Bank Transfer"/>
    <s v="Retail"/>
    <x v="0"/>
  </r>
  <r>
    <n v="1090"/>
    <s v="Keyboard"/>
    <d v="2023-10-15T00:00:00"/>
    <x v="2"/>
    <s v="Susan Jerkins"/>
    <x v="2"/>
    <n v="0.05"/>
    <x v="962"/>
    <x v="961"/>
    <n v="48"/>
    <x v="3"/>
    <n v="4766.53"/>
    <n v="5253.07"/>
    <s v="Returning"/>
    <n v="0.01"/>
    <s v="Bank Transfer"/>
    <s v="Online"/>
    <x v="0"/>
  </r>
  <r>
    <n v="1028"/>
    <s v="Pyjamas"/>
    <d v="2023-11-03T00:00:00"/>
    <x v="4"/>
    <s v="Scott Wayne"/>
    <x v="0"/>
    <n v="7.4999999999999997E-2"/>
    <x v="963"/>
    <x v="962"/>
    <n v="38"/>
    <x v="2"/>
    <n v="1234.69"/>
    <n v="1511.26"/>
    <s v="New"/>
    <n v="0.1"/>
    <s v="Bank Transfer"/>
    <s v="Online"/>
    <x v="0"/>
  </r>
  <r>
    <n v="1087"/>
    <s v="Sofa Set"/>
    <d v="2023-10-27T00:00:00"/>
    <x v="3"/>
    <s v="Tracy Moore"/>
    <x v="0"/>
    <n v="7.4999999999999997E-2"/>
    <x v="964"/>
    <x v="963"/>
    <n v="27"/>
    <x v="1"/>
    <n v="3139.36"/>
    <n v="3423.66"/>
    <s v="New"/>
    <n v="0.18"/>
    <s v="Credit Card"/>
    <s v="Online"/>
    <x v="1"/>
  </r>
  <r>
    <n v="1078"/>
    <s v="Kitchen Island"/>
    <d v="2023-03-23T00:00:00"/>
    <x v="3"/>
    <s v="Tracy Moore"/>
    <x v="1"/>
    <n v="0.08"/>
    <x v="965"/>
    <x v="964"/>
    <n v="33"/>
    <x v="2"/>
    <n v="2396.6799999999998"/>
    <n v="2661.54"/>
    <s v="New"/>
    <n v="0.18"/>
    <s v="Bank Transfer"/>
    <s v="Online"/>
    <x v="1"/>
  </r>
  <r>
    <n v="1088"/>
    <s v="Office Desk"/>
    <d v="2023-07-30T00:00:00"/>
    <x v="3"/>
    <s v="Tracy Moore"/>
    <x v="3"/>
    <n v="0.06"/>
    <x v="966"/>
    <x v="965"/>
    <n v="1"/>
    <x v="0"/>
    <n v="4384.6400000000003"/>
    <n v="4693.8999999999996"/>
    <s v="New"/>
    <n v="0.14000000000000001"/>
    <s v="Cash"/>
    <s v="Retail"/>
    <x v="0"/>
  </r>
  <r>
    <n v="1002"/>
    <s v="Bench"/>
    <d v="2023-05-30T00:00:00"/>
    <x v="3"/>
    <s v="Tracy Moore"/>
    <x v="0"/>
    <n v="7.4999999999999997E-2"/>
    <x v="967"/>
    <x v="966"/>
    <n v="44"/>
    <x v="0"/>
    <n v="1393.58"/>
    <n v="1533.09"/>
    <s v="Returning"/>
    <n v="0.24"/>
    <s v="Credit Card"/>
    <s v="Retail"/>
    <x v="1"/>
  </r>
  <r>
    <n v="1026"/>
    <s v="Television"/>
    <d v="2023-02-06T00:00:00"/>
    <x v="0"/>
    <s v="Michael Smith"/>
    <x v="1"/>
    <n v="0.08"/>
    <x v="968"/>
    <x v="967"/>
    <n v="34"/>
    <x v="3"/>
    <n v="68.33"/>
    <n v="219.07999999999899"/>
    <s v="New"/>
    <n v="0.02"/>
    <s v="Credit Card"/>
    <s v="Online"/>
    <x v="1"/>
  </r>
  <r>
    <n v="1014"/>
    <s v="Cheese Block"/>
    <d v="2023-12-18T00:00:00"/>
    <x v="1"/>
    <s v="Hogan Rock"/>
    <x v="3"/>
    <n v="0.06"/>
    <x v="969"/>
    <x v="968"/>
    <n v="4"/>
    <x v="0"/>
    <n v="854.68"/>
    <n v="1115.24"/>
    <s v="New"/>
    <n v="0.24"/>
    <s v="Credit Card"/>
    <s v="Retail"/>
    <x v="0"/>
  </r>
  <r>
    <n v="1059"/>
    <s v="Coffee Beans"/>
    <d v="2023-11-08T00:00:00"/>
    <x v="1"/>
    <s v="Hogan Rock"/>
    <x v="2"/>
    <n v="0.05"/>
    <x v="970"/>
    <x v="969"/>
    <n v="17"/>
    <x v="2"/>
    <n v="1780.14"/>
    <n v="2185.42"/>
    <s v="Returning"/>
    <n v="0.15"/>
    <s v="Credit Card"/>
    <s v="Retail"/>
    <x v="0"/>
  </r>
  <r>
    <n v="1056"/>
    <s v="Track Suits"/>
    <d v="2023-12-27T00:00:00"/>
    <x v="0"/>
    <s v="Michael Smith"/>
    <x v="3"/>
    <n v="0.06"/>
    <x v="971"/>
    <x v="970"/>
    <n v="4"/>
    <x v="1"/>
    <n v="1612.82"/>
    <n v="1647.25"/>
    <s v="Returning"/>
    <n v="0.04"/>
    <s v="Credit Card"/>
    <s v="Retail"/>
    <x v="0"/>
  </r>
  <r>
    <n v="1007"/>
    <s v="Fruit Jam"/>
    <d v="2023-02-28T00:00:00"/>
    <x v="2"/>
    <s v="Susan Jerkins"/>
    <x v="3"/>
    <n v="0.06"/>
    <x v="972"/>
    <x v="971"/>
    <n v="43"/>
    <x v="0"/>
    <n v="3967.25"/>
    <n v="4272.92"/>
    <s v="New"/>
    <n v="0.27"/>
    <s v="Credit Card"/>
    <s v="Online"/>
    <x v="1"/>
  </r>
  <r>
    <n v="1003"/>
    <s v="Stool"/>
    <d v="2023-05-11T00:00:00"/>
    <x v="2"/>
    <s v="Susan Jerkins"/>
    <x v="0"/>
    <n v="7.4999999999999997E-2"/>
    <x v="973"/>
    <x v="972"/>
    <n v="26"/>
    <x v="3"/>
    <n v="3418.78"/>
    <n v="3824.1"/>
    <s v="New"/>
    <n v="0.19"/>
    <s v="Credit Card"/>
    <s v="Online"/>
    <x v="0"/>
  </r>
  <r>
    <n v="1023"/>
    <s v="Tights"/>
    <d v="2023-07-21T00:00:00"/>
    <x v="3"/>
    <s v="Tracy Moore"/>
    <x v="0"/>
    <n v="7.4999999999999997E-2"/>
    <x v="974"/>
    <x v="973"/>
    <n v="4"/>
    <x v="2"/>
    <n v="1532.8"/>
    <n v="1619.69"/>
    <s v="Returning"/>
    <n v="0.05"/>
    <s v="Bank Transfer"/>
    <s v="Retail"/>
    <x v="1"/>
  </r>
  <r>
    <n v="1018"/>
    <s v="Dress Shirt"/>
    <d v="2023-08-31T00:00:00"/>
    <x v="4"/>
    <s v="Scott Wayne"/>
    <x v="3"/>
    <n v="0.06"/>
    <x v="975"/>
    <x v="974"/>
    <n v="1"/>
    <x v="3"/>
    <n v="2315.83"/>
    <n v="2333.19"/>
    <s v="New"/>
    <n v="0.01"/>
    <s v="Cash"/>
    <s v="Retail"/>
    <x v="1"/>
  </r>
  <r>
    <n v="1038"/>
    <s v="Jean Pants"/>
    <d v="2023-02-04T00:00:00"/>
    <x v="2"/>
    <s v="Susan Jerkins"/>
    <x v="0"/>
    <n v="7.4999999999999997E-2"/>
    <x v="976"/>
    <x v="975"/>
    <n v="7"/>
    <x v="0"/>
    <n v="523.02"/>
    <n v="686.25"/>
    <s v="Returning"/>
    <n v="0.04"/>
    <s v="Cash"/>
    <s v="Online"/>
    <x v="0"/>
  </r>
  <r>
    <n v="1099"/>
    <s v="Chest"/>
    <d v="2023-04-03T00:00:00"/>
    <x v="4"/>
    <s v="Scott Wayne"/>
    <x v="0"/>
    <n v="7.4999999999999997E-2"/>
    <x v="977"/>
    <x v="976"/>
    <n v="30"/>
    <x v="0"/>
    <n v="4495.82"/>
    <n v="4794.0099999999902"/>
    <s v="New"/>
    <n v="0.18"/>
    <s v="Bank Transfer"/>
    <s v="Retail"/>
    <x v="1"/>
  </r>
  <r>
    <n v="1015"/>
    <s v="Chocolate Bar"/>
    <d v="2023-07-26T00:00:00"/>
    <x v="1"/>
    <s v="Hogan Rock"/>
    <x v="0"/>
    <n v="7.4999999999999997E-2"/>
    <x v="978"/>
    <x v="977"/>
    <n v="9"/>
    <x v="3"/>
    <n v="4680.3500000000004"/>
    <n v="4758.1099999999997"/>
    <s v="Returning"/>
    <n v="0.05"/>
    <s v="Bank Transfer"/>
    <s v="Online"/>
    <x v="1"/>
  </r>
  <r>
    <n v="1064"/>
    <s v="Smartphone"/>
    <d v="2023-12-19T00:00:00"/>
    <x v="4"/>
    <s v="Scott Wayne"/>
    <x v="1"/>
    <n v="0.08"/>
    <x v="979"/>
    <x v="978"/>
    <n v="35"/>
    <x v="2"/>
    <n v="4900.03"/>
    <n v="5118.83"/>
    <s v="Returning"/>
    <n v="7.0000000000000007E-2"/>
    <s v="Credit Card"/>
    <s v="Retail"/>
    <x v="1"/>
  </r>
  <r>
    <n v="1089"/>
    <s v="Recliner"/>
    <d v="2023-11-28T00:00:00"/>
    <x v="1"/>
    <s v="Hogan Rock"/>
    <x v="1"/>
    <n v="0.08"/>
    <x v="980"/>
    <x v="979"/>
    <n v="8"/>
    <x v="0"/>
    <n v="4349.34"/>
    <n v="4629.9799999999996"/>
    <s v="Returning"/>
    <n v="0.01"/>
    <s v="Credit Card"/>
    <s v="Online"/>
    <x v="0"/>
  </r>
  <r>
    <n v="1028"/>
    <s v="Pyjamas"/>
    <d v="2023-11-01T00:00:00"/>
    <x v="0"/>
    <s v="Michael Smith"/>
    <x v="3"/>
    <n v="0.06"/>
    <x v="981"/>
    <x v="153"/>
    <n v="24"/>
    <x v="1"/>
    <n v="911.11"/>
    <n v="1214.56"/>
    <s v="New"/>
    <n v="0.22"/>
    <s v="Bank Transfer"/>
    <s v="Online"/>
    <x v="0"/>
  </r>
  <r>
    <n v="1074"/>
    <s v="French Fries"/>
    <d v="2023-12-16T00:00:00"/>
    <x v="0"/>
    <s v="Michael Smith"/>
    <x v="0"/>
    <n v="7.4999999999999997E-2"/>
    <x v="982"/>
    <x v="980"/>
    <n v="19"/>
    <x v="0"/>
    <n v="278.67"/>
    <n v="423.13"/>
    <s v="New"/>
    <n v="0.24"/>
    <s v="Credit Card"/>
    <s v="Online"/>
    <x v="0"/>
  </r>
  <r>
    <n v="1039"/>
    <s v="Hoodie"/>
    <d v="2023-08-01T00:00:00"/>
    <x v="3"/>
    <s v="Tracy Moore"/>
    <x v="1"/>
    <n v="0.08"/>
    <x v="983"/>
    <x v="981"/>
    <n v="36"/>
    <x v="2"/>
    <n v="2919"/>
    <n v="3125.01"/>
    <s v="New"/>
    <n v="0.24"/>
    <s v="Cash"/>
    <s v="Online"/>
    <x v="0"/>
  </r>
  <r>
    <n v="1057"/>
    <s v="Avocadro Pear"/>
    <d v="2023-06-08T00:00:00"/>
    <x v="2"/>
    <s v="Susan Jerkins"/>
    <x v="3"/>
    <n v="0.06"/>
    <x v="984"/>
    <x v="982"/>
    <n v="43"/>
    <x v="0"/>
    <n v="4567.3900000000003"/>
    <n v="4958.78"/>
    <s v="New"/>
    <n v="0.04"/>
    <s v="Cash"/>
    <s v="Retail"/>
    <x v="1"/>
  </r>
  <r>
    <n v="1017"/>
    <s v="Peaches"/>
    <d v="2023-01-24T00:00:00"/>
    <x v="3"/>
    <s v="Tracy Moore"/>
    <x v="0"/>
    <n v="7.4999999999999997E-2"/>
    <x v="985"/>
    <x v="983"/>
    <n v="27"/>
    <x v="3"/>
    <n v="927.89"/>
    <n v="1399.09"/>
    <s v="Returning"/>
    <n v="0.27"/>
    <s v="Credit Card"/>
    <s v="Online"/>
    <x v="1"/>
  </r>
  <r>
    <n v="1086"/>
    <s v="Gaming Console"/>
    <d v="2023-10-20T00:00:00"/>
    <x v="1"/>
    <s v="Hogan Rock"/>
    <x v="2"/>
    <n v="0.05"/>
    <x v="986"/>
    <x v="984"/>
    <n v="32"/>
    <x v="0"/>
    <n v="84.86"/>
    <n v="517.17999999999995"/>
    <s v="Returning"/>
    <n v="0.2"/>
    <s v="Credit Card"/>
    <s v="Retail"/>
    <x v="1"/>
  </r>
  <r>
    <n v="1090"/>
    <s v="Keyboard"/>
    <d v="2023-01-04T00:00:00"/>
    <x v="3"/>
    <s v="Tracy Moore"/>
    <x v="0"/>
    <n v="7.4999999999999997E-2"/>
    <x v="987"/>
    <x v="985"/>
    <n v="14"/>
    <x v="0"/>
    <n v="4037.21"/>
    <n v="4323.71"/>
    <s v="Returning"/>
    <n v="0.27"/>
    <s v="Credit Card"/>
    <s v="Online"/>
    <x v="1"/>
  </r>
  <r>
    <n v="1044"/>
    <s v="Burger"/>
    <d v="2023-08-08T00:00:00"/>
    <x v="4"/>
    <s v="Scott Wayne"/>
    <x v="0"/>
    <n v="7.4999999999999997E-2"/>
    <x v="988"/>
    <x v="986"/>
    <n v="18"/>
    <x v="2"/>
    <n v="430.14"/>
    <n v="641.17999999999995"/>
    <s v="New"/>
    <n v="0.13"/>
    <s v="Cash"/>
    <s v="Online"/>
    <x v="1"/>
  </r>
  <r>
    <n v="1025"/>
    <s v="Mayonnaise"/>
    <d v="2023-12-30T00:00:00"/>
    <x v="1"/>
    <s v="Hogan Rock"/>
    <x v="1"/>
    <n v="0.08"/>
    <x v="989"/>
    <x v="987"/>
    <n v="28"/>
    <x v="3"/>
    <n v="2097.84"/>
    <n v="2270.9899999999998"/>
    <s v="New"/>
    <n v="0.13"/>
    <s v="Credit Card"/>
    <s v="Retail"/>
    <x v="0"/>
  </r>
  <r>
    <n v="1017"/>
    <s v="Peaches"/>
    <d v="2023-01-20T00:00:00"/>
    <x v="0"/>
    <s v="Michael Smith"/>
    <x v="3"/>
    <n v="0.06"/>
    <x v="990"/>
    <x v="988"/>
    <n v="29"/>
    <x v="2"/>
    <n v="3410.49"/>
    <n v="3481.72"/>
    <s v="New"/>
    <n v="0.24"/>
    <s v="Bank Transfer"/>
    <s v="Retail"/>
    <x v="1"/>
  </r>
  <r>
    <n v="1013"/>
    <s v="Gas Cooker"/>
    <d v="2023-06-01T00:00:00"/>
    <x v="2"/>
    <s v="Susan Jerkins"/>
    <x v="3"/>
    <n v="0.06"/>
    <x v="991"/>
    <x v="989"/>
    <n v="16"/>
    <x v="0"/>
    <n v="1222.1500000000001"/>
    <n v="1284.3599999999999"/>
    <s v="Returning"/>
    <n v="0.03"/>
    <s v="Credit Card"/>
    <s v="Retail"/>
    <x v="1"/>
  </r>
  <r>
    <n v="1084"/>
    <s v="Card Table"/>
    <d v="2023-02-19T00:00:00"/>
    <x v="1"/>
    <s v="Hogan Rock"/>
    <x v="1"/>
    <n v="0.08"/>
    <x v="992"/>
    <x v="990"/>
    <n v="35"/>
    <x v="1"/>
    <n v="465.61"/>
    <n v="812.91"/>
    <s v="New"/>
    <n v="0.16"/>
    <s v="Bank Transfer"/>
    <s v="Online"/>
    <x v="1"/>
  </r>
  <r>
    <n v="1025"/>
    <s v="Mayonnaise"/>
    <d v="2023-06-26T00:00:00"/>
    <x v="1"/>
    <s v="Hogan Rock"/>
    <x v="0"/>
    <n v="7.4999999999999997E-2"/>
    <x v="993"/>
    <x v="991"/>
    <n v="47"/>
    <x v="0"/>
    <n v="3861.61"/>
    <n v="3998.91"/>
    <s v="New"/>
    <n v="0.25"/>
    <s v="Credit Card"/>
    <s v="Online"/>
    <x v="1"/>
  </r>
  <r>
    <n v="1068"/>
    <s v="Leggings"/>
    <d v="2023-04-06T00:00:00"/>
    <x v="4"/>
    <s v="Scott Wayne"/>
    <x v="2"/>
    <n v="0.05"/>
    <x v="994"/>
    <x v="992"/>
    <n v="31"/>
    <x v="2"/>
    <n v="3169.37"/>
    <n v="3304.15"/>
    <s v="Returning"/>
    <n v="0.25"/>
    <s v="Credit Card"/>
    <s v="Retail"/>
    <x v="0"/>
  </r>
  <r>
    <n v="1010"/>
    <s v="Lawn Chair"/>
    <d v="2023-04-15T00:00:00"/>
    <x v="2"/>
    <s v="Susan Jerkins"/>
    <x v="0"/>
    <n v="7.4999999999999997E-2"/>
    <x v="995"/>
    <x v="993"/>
    <n v="4"/>
    <x v="1"/>
    <n v="4943.03"/>
    <n v="5442.15"/>
    <s v="Returning"/>
    <n v="0.28999999999999998"/>
    <s v="Cash"/>
    <s v="Online"/>
    <x v="1"/>
  </r>
  <r>
    <n v="1067"/>
    <s v="Grapes"/>
    <d v="2023-09-07T00:00:00"/>
    <x v="0"/>
    <s v="Michael Smith"/>
    <x v="0"/>
    <n v="7.4999999999999997E-2"/>
    <x v="996"/>
    <x v="994"/>
    <n v="37"/>
    <x v="2"/>
    <n v="1754.32"/>
    <n v="1856.3999999999901"/>
    <s v="New"/>
    <n v="0.21"/>
    <s v="Bank Transfer"/>
    <s v="Retail"/>
    <x v="1"/>
  </r>
  <r>
    <n v="1018"/>
    <s v="Dress Shirt"/>
    <d v="2023-04-27T00:00:00"/>
    <x v="1"/>
    <s v="Hogan Rock"/>
    <x v="2"/>
    <n v="0.05"/>
    <x v="997"/>
    <x v="995"/>
    <n v="17"/>
    <x v="2"/>
    <n v="355.72"/>
    <n v="438.27"/>
    <s v="Returning"/>
    <n v="0.06"/>
    <s v="Bank Transfer"/>
    <s v="Online"/>
    <x v="0"/>
  </r>
  <r>
    <n v="1100"/>
    <s v="Protein Cookies"/>
    <d v="2023-12-20T00:00:00"/>
    <x v="1"/>
    <s v="Hogan Rock"/>
    <x v="1"/>
    <n v="0.08"/>
    <x v="998"/>
    <x v="996"/>
    <n v="39"/>
    <x v="3"/>
    <n v="3685.03"/>
    <n v="3743.39"/>
    <s v="New"/>
    <n v="0.01"/>
    <s v="Bank Transfer"/>
    <s v="Online"/>
    <x v="1"/>
  </r>
  <r>
    <n v="1086"/>
    <s v="Gaming Console"/>
    <d v="2023-08-16T00:00:00"/>
    <x v="4"/>
    <s v="Scott Wayne"/>
    <x v="3"/>
    <n v="0.06"/>
    <x v="999"/>
    <x v="997"/>
    <n v="48"/>
    <x v="1"/>
    <n v="2632.58"/>
    <n v="2926.68"/>
    <s v="Returning"/>
    <n v="0.14000000000000001"/>
    <s v="Cash"/>
    <s v="Online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s v="Wooden Chair"/>
    <d v="2023-02-03T00:00:00"/>
    <s v="Bob"/>
    <s v="Michael Smith"/>
    <x v="0"/>
    <n v="7.4999999999999997E-2"/>
    <n v="379.04775000000001"/>
    <x v="0"/>
    <n v="18"/>
    <x v="0"/>
    <n v="152.75"/>
    <n v="267.22000000000003"/>
    <s v="Returning"/>
    <n v="0.09"/>
    <s v="Cash"/>
    <s v="Online"/>
    <s v="High"/>
  </r>
  <r>
    <n v="1093"/>
    <s v="Dining Table"/>
    <d v="2023-04-21T00:00:00"/>
    <s v="Bob"/>
    <s v="Michael Smith"/>
    <x v="1"/>
    <n v="0.08"/>
    <n v="350.72160000000002"/>
    <x v="1"/>
    <n v="17"/>
    <x v="0"/>
    <n v="3816.39"/>
    <n v="4209.4399999999996"/>
    <s v="Returning"/>
    <n v="0.11"/>
    <s v="Cash"/>
    <s v="Retail"/>
    <s v="Low"/>
  </r>
  <r>
    <n v="1015"/>
    <s v="Chocolate Bar"/>
    <d v="2023-09-21T00:00:00"/>
    <s v="David"/>
    <s v="Hogan Rock"/>
    <x v="2"/>
    <n v="0.05"/>
    <n v="231.5615"/>
    <x v="2"/>
    <n v="30"/>
    <x v="1"/>
    <n v="261.56"/>
    <n v="371.4"/>
    <s v="Returning"/>
    <n v="0.2"/>
    <s v="Bank Transfer"/>
    <s v="Retail"/>
    <s v="Low"/>
  </r>
  <r>
    <n v="1072"/>
    <s v="T-Shirt"/>
    <d v="2023-08-24T00:00:00"/>
    <s v="Bob"/>
    <s v="Michael Smith"/>
    <x v="2"/>
    <n v="0.05"/>
    <n v="108.39700000000001"/>
    <x v="3"/>
    <n v="39"/>
    <x v="2"/>
    <n v="4330.03"/>
    <n v="4467.75"/>
    <s v="New"/>
    <n v="0.02"/>
    <s v="Credit Card"/>
    <s v="Retail"/>
    <s v="Low"/>
  </r>
  <r>
    <n v="1061"/>
    <s v="Laptop"/>
    <d v="2023-03-24T00:00:00"/>
    <s v="Charlie"/>
    <s v="Susan Jerkins"/>
    <x v="3"/>
    <n v="0.06"/>
    <n v="225.01199999999997"/>
    <x v="4"/>
    <n v="13"/>
    <x v="3"/>
    <n v="637.37"/>
    <n v="692.71"/>
    <s v="New"/>
    <n v="0.08"/>
    <s v="Credit Card"/>
    <s v="Online"/>
    <s v="Low"/>
  </r>
  <r>
    <n v="1021"/>
    <s v="Almond Milk"/>
    <d v="2023-02-11T00:00:00"/>
    <s v="Charlie"/>
    <s v="Susan Jerkins"/>
    <x v="1"/>
    <n v="0.08"/>
    <n v="300.892"/>
    <x v="5"/>
    <n v="32"/>
    <x v="1"/>
    <n v="900.79"/>
    <n v="1106.51"/>
    <s v="New"/>
    <n v="0.21"/>
    <s v="Cash"/>
    <s v="Online"/>
    <s v="Low"/>
  </r>
  <r>
    <n v="1083"/>
    <s v="Nightstand"/>
    <d v="2023-04-11T00:00:00"/>
    <s v="Bob"/>
    <s v="Michael Smith"/>
    <x v="1"/>
    <n v="0.08"/>
    <n v="49.464799999999997"/>
    <x v="6"/>
    <n v="29"/>
    <x v="0"/>
    <n v="2408.81"/>
    <n v="2624.09"/>
    <s v="Returning"/>
    <n v="0.14000000000000001"/>
    <s v="Cash"/>
    <s v="Online"/>
    <s v="Low"/>
  </r>
  <r>
    <n v="1087"/>
    <s v="Sofa Set"/>
    <d v="2023-01-06T00:00:00"/>
    <s v="Eve"/>
    <s v="Tracy Moore"/>
    <x v="2"/>
    <n v="0.05"/>
    <n v="384.94600000000003"/>
    <x v="7"/>
    <n v="46"/>
    <x v="0"/>
    <n v="3702.51"/>
    <n v="3964.65"/>
    <s v="New"/>
    <n v="0.12"/>
    <s v="Bank Transfer"/>
    <s v="Online"/>
    <s v="High"/>
  </r>
  <r>
    <n v="1075"/>
    <s v="Bookshelf"/>
    <d v="2023-06-29T00:00:00"/>
    <s v="David"/>
    <s v="Hogan Rock"/>
    <x v="2"/>
    <n v="0.05"/>
    <n v="211.16950000000003"/>
    <x v="8"/>
    <n v="30"/>
    <x v="0"/>
    <n v="738.06"/>
    <n v="1095.44999999999"/>
    <s v="New"/>
    <n v="0.05"/>
    <s v="Bank Transfer"/>
    <s v="Online"/>
    <s v="Low"/>
  </r>
  <r>
    <n v="1075"/>
    <s v="Bookshelf"/>
    <d v="2023-10-09T00:00:00"/>
    <s v="Charlie"/>
    <s v="Susan Jerkins"/>
    <x v="1"/>
    <n v="0.08"/>
    <n v="659.16639999999995"/>
    <x v="9"/>
    <n v="18"/>
    <x v="2"/>
    <n v="2228.35"/>
    <n v="2682.34"/>
    <s v="New"/>
    <n v="0.13"/>
    <s v="Bank Transfer"/>
    <s v="Online"/>
    <s v="High"/>
  </r>
  <r>
    <n v="1088"/>
    <s v="Office Desk"/>
    <d v="2023-11-16T00:00:00"/>
    <s v="Eve"/>
    <s v="Tracy Moore"/>
    <x v="0"/>
    <n v="7.4999999999999997E-2"/>
    <n v="638.88375000000008"/>
    <x v="10"/>
    <n v="13"/>
    <x v="0"/>
    <n v="2440.11"/>
    <n v="2517.6"/>
    <s v="New"/>
    <n v="0.23"/>
    <s v="Bank Transfer"/>
    <s v="Retail"/>
    <s v="High"/>
  </r>
  <r>
    <n v="1100"/>
    <s v="Protein Cookies"/>
    <d v="2023-08-14T00:00:00"/>
    <s v="Bob"/>
    <s v="Michael Smith"/>
    <x v="1"/>
    <n v="0.08"/>
    <n v="175.89919999999998"/>
    <x v="11"/>
    <n v="43"/>
    <x v="1"/>
    <n v="1100.81"/>
    <n v="1137.44"/>
    <s v="Returning"/>
    <n v="0.08"/>
    <s v="Bank Transfer"/>
    <s v="Online"/>
    <s v="Low"/>
  </r>
  <r>
    <n v="1024"/>
    <s v="Pasta Pack"/>
    <d v="2023-11-11T00:00:00"/>
    <s v="Eve"/>
    <s v="Tracy Moore"/>
    <x v="1"/>
    <n v="0.08"/>
    <n v="528.62400000000002"/>
    <x v="12"/>
    <n v="21"/>
    <x v="1"/>
    <n v="622.01"/>
    <n v="641.09"/>
    <s v="Returning"/>
    <n v="0"/>
    <s v="Bank Transfer"/>
    <s v="Retail"/>
    <s v="High"/>
  </r>
  <r>
    <n v="1003"/>
    <s v="Stool"/>
    <d v="2023-12-31T00:00:00"/>
    <s v="Alice"/>
    <s v="Scott Wayne"/>
    <x v="2"/>
    <n v="0.05"/>
    <n v="238.77950000000001"/>
    <x v="13"/>
    <n v="30"/>
    <x v="0"/>
    <n v="4190.28"/>
    <n v="4270.6499999999996"/>
    <s v="New"/>
    <n v="0.2"/>
    <s v="Cash"/>
    <s v="Online"/>
    <s v="Low"/>
  </r>
  <r>
    <n v="1022"/>
    <s v="Organic Honey"/>
    <d v="2023-08-17T00:00:00"/>
    <s v="Charlie"/>
    <s v="Susan Jerkins"/>
    <x v="2"/>
    <n v="0.05"/>
    <n v="440.67750000000001"/>
    <x v="14"/>
    <n v="21"/>
    <x v="1"/>
    <n v="2537.1999999999998"/>
    <n v="2869.6"/>
    <s v="New"/>
    <n v="0.28999999999999998"/>
    <s v="Bank Transfer"/>
    <s v="Retail"/>
    <s v="High"/>
  </r>
  <r>
    <n v="1053"/>
    <s v="Bed"/>
    <d v="2023-10-16T00:00:00"/>
    <s v="Bob"/>
    <s v="Michael Smith"/>
    <x v="0"/>
    <n v="7.4999999999999997E-2"/>
    <n v="167.68724999999998"/>
    <x v="15"/>
    <n v="48"/>
    <x v="0"/>
    <n v="121.19"/>
    <n v="487.65"/>
    <s v="New"/>
    <n v="0.18"/>
    <s v="Cash"/>
    <s v="Retail"/>
    <s v="Low"/>
  </r>
  <r>
    <n v="1002"/>
    <s v="Bench"/>
    <d v="2023-05-30T00:00:00"/>
    <s v="David"/>
    <s v="Hogan Rock"/>
    <x v="0"/>
    <n v="7.4999999999999997E-2"/>
    <n v="510.77625"/>
    <x v="16"/>
    <n v="17"/>
    <x v="0"/>
    <n v="4024.76"/>
    <n v="4420.1499999999996"/>
    <s v="Returning"/>
    <n v="0.04"/>
    <s v="Cash"/>
    <s v="Online"/>
    <s v="High"/>
  </r>
  <r>
    <n v="1088"/>
    <s v="Office Desk"/>
    <d v="2023-10-04T00:00:00"/>
    <s v="Bob"/>
    <s v="Michael Smith"/>
    <x v="3"/>
    <n v="0.06"/>
    <n v="367.005"/>
    <x v="17"/>
    <n v="40"/>
    <x v="3"/>
    <n v="4904.93"/>
    <n v="5034.3500000000004"/>
    <s v="New"/>
    <n v="0.1"/>
    <s v="Credit Card"/>
    <s v="Retail"/>
    <s v="High"/>
  </r>
  <r>
    <n v="1030"/>
    <s v="Jeans"/>
    <d v="2023-07-17T00:00:00"/>
    <s v="David"/>
    <s v="Hogan Rock"/>
    <x v="1"/>
    <n v="0.08"/>
    <n v="241.8784"/>
    <x v="18"/>
    <n v="19"/>
    <x v="2"/>
    <n v="3049.33"/>
    <n v="3209.22"/>
    <s v="Returning"/>
    <n v="0.26"/>
    <s v="Cash"/>
    <s v="Online"/>
    <s v="Low"/>
  </r>
  <r>
    <n v="1038"/>
    <s v="Jean Pants"/>
    <d v="2023-03-11T00:00:00"/>
    <s v="Bob"/>
    <s v="Michael Smith"/>
    <x v="2"/>
    <n v="0.05"/>
    <n v="72.617499999999993"/>
    <x v="19"/>
    <n v="15"/>
    <x v="2"/>
    <n v="2543.36"/>
    <n v="2790.1"/>
    <s v="Returning"/>
    <n v="7.0000000000000007E-2"/>
    <s v="Cash"/>
    <s v="Online"/>
    <s v="Low"/>
  </r>
  <r>
    <n v="1002"/>
    <s v="Bench"/>
    <d v="2023-04-22T00:00:00"/>
    <s v="Eve"/>
    <s v="Tracy Moore"/>
    <x v="0"/>
    <n v="7.4999999999999997E-2"/>
    <n v="491.34224999999992"/>
    <x v="20"/>
    <n v="9"/>
    <x v="3"/>
    <n v="4398.16"/>
    <n v="4439.12"/>
    <s v="New"/>
    <n v="0.18"/>
    <s v="Bank Transfer"/>
    <s v="Online"/>
    <s v="High"/>
  </r>
  <r>
    <n v="1064"/>
    <s v="Smartphone"/>
    <d v="2023-01-04T00:00:00"/>
    <s v="Eve"/>
    <s v="Tracy Moore"/>
    <x v="3"/>
    <n v="0.06"/>
    <n v="444.72659999999996"/>
    <x v="21"/>
    <n v="10"/>
    <x v="3"/>
    <n v="4764.96"/>
    <n v="5074.42"/>
    <s v="New"/>
    <n v="0.12"/>
    <s v="Cash"/>
    <s v="Online"/>
    <s v="High"/>
  </r>
  <r>
    <n v="1060"/>
    <s v="Head Warmer"/>
    <d v="2023-12-16T00:00:00"/>
    <s v="Eve"/>
    <s v="Tracy Moore"/>
    <x v="3"/>
    <n v="0.06"/>
    <n v="193.48259999999999"/>
    <x v="22"/>
    <n v="44"/>
    <x v="2"/>
    <n v="3784.96"/>
    <n v="4276.99"/>
    <s v="New"/>
    <n v="0.06"/>
    <s v="Bank Transfer"/>
    <s v="Retail"/>
    <s v="Low"/>
  </r>
  <r>
    <n v="1021"/>
    <s v="Almond Milk"/>
    <d v="2023-11-27T00:00:00"/>
    <s v="Alice"/>
    <s v="Scott Wayne"/>
    <x v="2"/>
    <n v="0.05"/>
    <n v="324.19200000000001"/>
    <x v="23"/>
    <n v="31"/>
    <x v="0"/>
    <n v="2254.9899999999998"/>
    <n v="2441.79"/>
    <s v="Returning"/>
    <n v="0.24"/>
    <s v="Bank Transfer"/>
    <s v="Online"/>
    <s v="High"/>
  </r>
  <r>
    <n v="1033"/>
    <s v="TV Stand"/>
    <d v="2023-11-14T00:00:00"/>
    <s v="David"/>
    <s v="Hogan Rock"/>
    <x v="2"/>
    <n v="0.05"/>
    <n v="200.59000000000003"/>
    <x v="24"/>
    <n v="23"/>
    <x v="0"/>
    <n v="2981.5"/>
    <n v="3360.4"/>
    <s v="Returning"/>
    <n v="0.22"/>
    <s v="Bank Transfer"/>
    <s v="Retail"/>
    <s v="Low"/>
  </r>
  <r>
    <n v="1076"/>
    <s v="Polo Shirt"/>
    <d v="2023-12-16T00:00:00"/>
    <s v="Eve"/>
    <s v="Tracy Moore"/>
    <x v="3"/>
    <n v="0.06"/>
    <n v="429.64499999999998"/>
    <x v="25"/>
    <n v="30"/>
    <x v="2"/>
    <n v="3519.63"/>
    <n v="3774.65"/>
    <s v="New"/>
    <n v="0.2"/>
    <s v="Credit Card"/>
    <s v="Retail"/>
    <s v="High"/>
  </r>
  <r>
    <n v="1058"/>
    <s v="Wardrobe"/>
    <d v="2023-04-05T00:00:00"/>
    <s v="Alice"/>
    <s v="Scott Wayne"/>
    <x v="0"/>
    <n v="7.4999999999999997E-2"/>
    <n v="155.41725"/>
    <x v="26"/>
    <n v="33"/>
    <x v="0"/>
    <n v="1011.65"/>
    <n v="1084.28"/>
    <s v="Returning"/>
    <n v="7.0000000000000007E-2"/>
    <s v="Bank Transfer"/>
    <s v="Retail"/>
    <s v="Low"/>
  </r>
  <r>
    <n v="1022"/>
    <s v="Organic Honey"/>
    <d v="2023-06-01T00:00:00"/>
    <s v="David"/>
    <s v="Hogan Rock"/>
    <x v="3"/>
    <n v="0.06"/>
    <n v="534.78779999999995"/>
    <x v="27"/>
    <n v="9"/>
    <x v="3"/>
    <n v="2263.65"/>
    <n v="2558.9499999999998"/>
    <s v="New"/>
    <n v="0.03"/>
    <s v="Cash"/>
    <s v="Online"/>
    <s v="High"/>
  </r>
  <r>
    <n v="1089"/>
    <s v="Recliner"/>
    <d v="2023-11-07T00:00:00"/>
    <s v="Bob"/>
    <s v="Michael Smith"/>
    <x v="1"/>
    <n v="0.08"/>
    <n v="235.62880000000001"/>
    <x v="28"/>
    <n v="47"/>
    <x v="0"/>
    <n v="4157.62"/>
    <n v="4314.5599999999904"/>
    <s v="New"/>
    <n v="0.17"/>
    <s v="Bank Transfer"/>
    <s v="Retail"/>
    <s v="Low"/>
  </r>
  <r>
    <n v="1049"/>
    <s v="Coffee Table"/>
    <d v="2023-05-17T00:00:00"/>
    <s v="Alice"/>
    <s v="Scott Wayne"/>
    <x v="1"/>
    <n v="0.08"/>
    <n v="299.28640000000001"/>
    <x v="29"/>
    <n v="1"/>
    <x v="0"/>
    <n v="3290.89"/>
    <n v="3317.75"/>
    <s v="Returning"/>
    <n v="0.17"/>
    <s v="Bank Transfer"/>
    <s v="Online"/>
    <s v="Low"/>
  </r>
  <r>
    <n v="1091"/>
    <s v="Granola Bar"/>
    <d v="2023-09-04T00:00:00"/>
    <s v="Charlie"/>
    <s v="Susan Jerkins"/>
    <x v="2"/>
    <n v="0.05"/>
    <n v="33.755500000000005"/>
    <x v="30"/>
    <n v="44"/>
    <x v="1"/>
    <n v="2085.46"/>
    <n v="2406.58"/>
    <s v="Returning"/>
    <n v="0.06"/>
    <s v="Bank Transfer"/>
    <s v="Retail"/>
    <s v="Low"/>
  </r>
  <r>
    <n v="1059"/>
    <s v="Coffee Beans"/>
    <d v="2023-08-31T00:00:00"/>
    <s v="Alice"/>
    <s v="Scott Wayne"/>
    <x v="0"/>
    <n v="7.4999999999999997E-2"/>
    <n v="90.297749999999994"/>
    <x v="31"/>
    <n v="35"/>
    <x v="1"/>
    <n v="3333.64"/>
    <n v="3764.52"/>
    <s v="Returning"/>
    <n v="0.02"/>
    <s v="Credit Card"/>
    <s v="Online"/>
    <s v="Low"/>
  </r>
  <r>
    <n v="1042"/>
    <s v="Frozen Pizza"/>
    <d v="2023-01-31T00:00:00"/>
    <s v="Alice"/>
    <s v="Scott Wayne"/>
    <x v="0"/>
    <n v="7.4999999999999997E-2"/>
    <n v="390.52724999999998"/>
    <x v="32"/>
    <n v="11"/>
    <x v="1"/>
    <n v="635.20000000000005"/>
    <n v="814.14"/>
    <s v="Returning"/>
    <n v="0.02"/>
    <s v="Cash"/>
    <s v="Online"/>
    <s v="High"/>
  </r>
  <r>
    <n v="1092"/>
    <s v="Recliner"/>
    <d v="2023-02-09T00:00:00"/>
    <s v="David"/>
    <s v="Hogan Rock"/>
    <x v="1"/>
    <n v="0.08"/>
    <n v="219.93360000000001"/>
    <x v="33"/>
    <n v="34"/>
    <x v="0"/>
    <n v="2037.41"/>
    <n v="2238.65"/>
    <s v="New"/>
    <n v="0.3"/>
    <s v="Credit Card"/>
    <s v="Online"/>
    <s v="Low"/>
  </r>
  <r>
    <n v="1060"/>
    <s v="Head Warmer"/>
    <d v="2023-08-17T00:00:00"/>
    <s v="Bob"/>
    <s v="Michael Smith"/>
    <x v="3"/>
    <n v="0.06"/>
    <n v="502.27499999999998"/>
    <x v="34"/>
    <n v="16"/>
    <x v="2"/>
    <n v="3975.99"/>
    <n v="4422.59"/>
    <s v="New"/>
    <n v="0.24"/>
    <s v="Cash"/>
    <s v="Online"/>
    <s v="High"/>
  </r>
  <r>
    <n v="1080"/>
    <s v="Headphones"/>
    <d v="2023-02-05T00:00:00"/>
    <s v="Charlie"/>
    <s v="Susan Jerkins"/>
    <x v="2"/>
    <n v="0.05"/>
    <n v="12.273000000000001"/>
    <x v="35"/>
    <n v="9"/>
    <x v="3"/>
    <n v="1141.52"/>
    <n v="1550.19"/>
    <s v="New"/>
    <n v="0.28000000000000003"/>
    <s v="Credit Card"/>
    <s v="Retail"/>
    <s v="Low"/>
  </r>
  <r>
    <n v="1015"/>
    <s v="Chocolate Bar"/>
    <d v="2023-08-11T00:00:00"/>
    <s v="Eve"/>
    <s v="Tracy Moore"/>
    <x v="3"/>
    <n v="0.06"/>
    <n v="231.18180000000001"/>
    <x v="36"/>
    <n v="32"/>
    <x v="0"/>
    <n v="970.51"/>
    <n v="1330.84"/>
    <s v="Returning"/>
    <n v="0.06"/>
    <s v="Cash"/>
    <s v="Retail"/>
    <s v="Low"/>
  </r>
  <r>
    <n v="1062"/>
    <s v="Boxers"/>
    <d v="2023-01-06T00:00:00"/>
    <s v="Eve"/>
    <s v="Tracy Moore"/>
    <x v="3"/>
    <n v="0.06"/>
    <n v="206.38319999999999"/>
    <x v="37"/>
    <n v="15"/>
    <x v="2"/>
    <n v="4756.55"/>
    <n v="4888.46"/>
    <s v="New"/>
    <n v="0.28999999999999998"/>
    <s v="Credit Card"/>
    <s v="Online"/>
    <s v="Low"/>
  </r>
  <r>
    <n v="1062"/>
    <s v="Boxers"/>
    <d v="2023-11-18T00:00:00"/>
    <s v="Alice"/>
    <s v="Scott Wayne"/>
    <x v="3"/>
    <n v="0.06"/>
    <n v="17.480399999999999"/>
    <x v="38"/>
    <n v="12"/>
    <x v="0"/>
    <n v="1088.99"/>
    <n v="1545"/>
    <s v="Returning"/>
    <n v="0.04"/>
    <s v="Bank Transfer"/>
    <s v="Retail"/>
    <s v="Low"/>
  </r>
  <r>
    <n v="1047"/>
    <s v="Mouse"/>
    <d v="2023-08-08T00:00:00"/>
    <s v="David"/>
    <s v="Hogan Rock"/>
    <x v="0"/>
    <n v="7.4999999999999997E-2"/>
    <n v="99.84375"/>
    <x v="39"/>
    <n v="33"/>
    <x v="3"/>
    <n v="1341.55"/>
    <n v="1427.21"/>
    <s v="Returning"/>
    <n v="0.15"/>
    <s v="Credit Card"/>
    <s v="Online"/>
    <s v="Low"/>
  </r>
  <r>
    <n v="1062"/>
    <s v="Boxers"/>
    <d v="2023-03-16T00:00:00"/>
    <s v="David"/>
    <s v="Hogan Rock"/>
    <x v="1"/>
    <n v="0.08"/>
    <n v="335.60480000000001"/>
    <x v="40"/>
    <n v="45"/>
    <x v="0"/>
    <n v="4849.6000000000004"/>
    <n v="5166.72"/>
    <s v="Returning"/>
    <n v="0.25"/>
    <s v="Credit Card"/>
    <s v="Online"/>
    <s v="Low"/>
  </r>
  <r>
    <n v="1051"/>
    <s v="Tablet"/>
    <d v="2023-01-04T00:00:00"/>
    <s v="Eve"/>
    <s v="Tracy Moore"/>
    <x v="0"/>
    <n v="7.4999999999999997E-2"/>
    <n v="373.45199999999994"/>
    <x v="41"/>
    <n v="14"/>
    <x v="3"/>
    <n v="3686.81"/>
    <n v="3710.92"/>
    <s v="New"/>
    <n v="0.1"/>
    <s v="Bank Transfer"/>
    <s v="Retail"/>
    <s v="Low"/>
  </r>
  <r>
    <n v="1055"/>
    <s v="Cupboard"/>
    <d v="2023-12-01T00:00:00"/>
    <s v="Charlie"/>
    <s v="Susan Jerkins"/>
    <x v="1"/>
    <n v="0.08"/>
    <n v="328.19760000000002"/>
    <x v="42"/>
    <n v="8"/>
    <x v="0"/>
    <n v="3513"/>
    <n v="3838.42"/>
    <s v="Returning"/>
    <n v="0.13"/>
    <s v="Bank Transfer"/>
    <s v="Online"/>
    <s v="Low"/>
  </r>
  <r>
    <n v="1064"/>
    <s v="Smartphone"/>
    <d v="2023-05-14T00:00:00"/>
    <s v="Bob"/>
    <s v="Michael Smith"/>
    <x v="2"/>
    <n v="0.05"/>
    <n v="267.81400000000002"/>
    <x v="43"/>
    <n v="8"/>
    <x v="3"/>
    <n v="4271.99"/>
    <n v="4417.79"/>
    <s v="Returning"/>
    <n v="0.04"/>
    <s v="Cash"/>
    <s v="Online"/>
    <s v="High"/>
  </r>
  <r>
    <n v="1003"/>
    <s v="Stool"/>
    <d v="2023-04-28T00:00:00"/>
    <s v="Charlie"/>
    <s v="Susan Jerkins"/>
    <x v="2"/>
    <n v="0.05"/>
    <n v="299.59000000000003"/>
    <x v="44"/>
    <n v="27"/>
    <x v="0"/>
    <n v="623.32000000000005"/>
    <n v="853.66"/>
    <s v="Returning"/>
    <n v="0.04"/>
    <s v="Cash"/>
    <s v="Online"/>
    <s v="High"/>
  </r>
  <r>
    <n v="1051"/>
    <s v="Tablet"/>
    <d v="2023-04-04T00:00:00"/>
    <s v="Bob"/>
    <s v="Michael Smith"/>
    <x v="3"/>
    <n v="0.06"/>
    <n v="11.895"/>
    <x v="45"/>
    <n v="12"/>
    <x v="3"/>
    <n v="3544.48"/>
    <n v="3723.66"/>
    <s v="Returning"/>
    <n v="0.19"/>
    <s v="Cash"/>
    <s v="Online"/>
    <s v="Low"/>
  </r>
  <r>
    <n v="1007"/>
    <s v="Fruit Jam"/>
    <d v="2023-03-03T00:00:00"/>
    <s v="Eve"/>
    <s v="Tracy Moore"/>
    <x v="1"/>
    <n v="0.08"/>
    <n v="375.56319999999999"/>
    <x v="46"/>
    <n v="1"/>
    <x v="1"/>
    <n v="2543.2600000000002"/>
    <n v="2637.91"/>
    <s v="Returning"/>
    <n v="0.2"/>
    <s v="Credit Card"/>
    <s v="Online"/>
    <s v="Low"/>
  </r>
  <r>
    <n v="1021"/>
    <s v="Almond Milk"/>
    <d v="2023-07-13T00:00:00"/>
    <s v="Bob"/>
    <s v="Michael Smith"/>
    <x v="1"/>
    <n v="0.08"/>
    <n v="771.09119999999996"/>
    <x v="47"/>
    <n v="43"/>
    <x v="0"/>
    <n v="4154.3"/>
    <n v="4469.07"/>
    <s v="Returning"/>
    <n v="0.23"/>
    <s v="Cash"/>
    <s v="Retail"/>
    <s v="High"/>
  </r>
  <r>
    <n v="1073"/>
    <s v="Console Table"/>
    <d v="2023-12-01T00:00:00"/>
    <s v="David"/>
    <s v="Hogan Rock"/>
    <x v="1"/>
    <n v="0.08"/>
    <n v="419.0736"/>
    <x v="48"/>
    <n v="40"/>
    <x v="0"/>
    <n v="2565.3000000000002"/>
    <n v="3007.47"/>
    <s v="Returning"/>
    <n v="0.17"/>
    <s v="Credit Card"/>
    <s v="Retail"/>
    <s v="High"/>
  </r>
  <r>
    <n v="1039"/>
    <s v="Hoodie"/>
    <d v="2023-07-22T00:00:00"/>
    <s v="Alice"/>
    <s v="Scott Wayne"/>
    <x v="3"/>
    <n v="0.06"/>
    <n v="408.46019999999999"/>
    <x v="49"/>
    <n v="42"/>
    <x v="2"/>
    <n v="3120.19"/>
    <n v="3600.14"/>
    <s v="Returning"/>
    <n v="0.19"/>
    <s v="Credit Card"/>
    <s v="Retail"/>
    <s v="High"/>
  </r>
  <r>
    <n v="1018"/>
    <s v="Dress Shirt"/>
    <d v="2023-01-26T00:00:00"/>
    <s v="Alice"/>
    <s v="Scott Wayne"/>
    <x v="3"/>
    <n v="0.06"/>
    <n v="191.24699999999999"/>
    <x v="50"/>
    <n v="11"/>
    <x v="2"/>
    <n v="2414.8200000000002"/>
    <n v="2519.0700000000002"/>
    <s v="Returning"/>
    <n v="0"/>
    <s v="Cash"/>
    <s v="Online"/>
    <s v="Low"/>
  </r>
  <r>
    <n v="1004"/>
    <s v="Smartwatch"/>
    <d v="2023-06-22T00:00:00"/>
    <s v="Eve"/>
    <s v="Tracy Moore"/>
    <x v="2"/>
    <n v="0.05"/>
    <n v="388.12550000000005"/>
    <x v="51"/>
    <n v="39"/>
    <x v="3"/>
    <n v="2416.89"/>
    <n v="2778.3999999999901"/>
    <s v="Returning"/>
    <n v="0.05"/>
    <s v="Cash"/>
    <s v="Online"/>
    <s v="High"/>
  </r>
  <r>
    <n v="1089"/>
    <s v="Recliner"/>
    <d v="2023-10-27T00:00:00"/>
    <s v="David"/>
    <s v="Hogan Rock"/>
    <x v="0"/>
    <n v="7.4999999999999997E-2"/>
    <n v="581.39400000000001"/>
    <x v="52"/>
    <n v="43"/>
    <x v="0"/>
    <n v="3851.45"/>
    <n v="4186.9799999999996"/>
    <s v="Returning"/>
    <n v="0.3"/>
    <s v="Credit Card"/>
    <s v="Online"/>
    <s v="High"/>
  </r>
  <r>
    <n v="1060"/>
    <s v="Head Warmer"/>
    <d v="2023-05-13T00:00:00"/>
    <s v="Charlie"/>
    <s v="Susan Jerkins"/>
    <x v="1"/>
    <n v="0.08"/>
    <n v="420.8664"/>
    <x v="53"/>
    <n v="31"/>
    <x v="3"/>
    <n v="3161.4"/>
    <n v="3339.66"/>
    <s v="Returning"/>
    <n v="0.02"/>
    <s v="Bank Transfer"/>
    <s v="Online"/>
    <s v="High"/>
  </r>
  <r>
    <n v="1014"/>
    <s v="Cheese Block"/>
    <d v="2023-11-22T00:00:00"/>
    <s v="David"/>
    <s v="Hogan Rock"/>
    <x v="1"/>
    <n v="0.08"/>
    <n v="781.00320000000011"/>
    <x v="54"/>
    <n v="17"/>
    <x v="1"/>
    <n v="3184.65"/>
    <n v="3204.01"/>
    <s v="New"/>
    <n v="0.2"/>
    <s v="Bank Transfer"/>
    <s v="Online"/>
    <s v="High"/>
  </r>
  <r>
    <n v="1009"/>
    <s v="Jacket"/>
    <d v="2023-04-28T00:00:00"/>
    <s v="Alice"/>
    <s v="Scott Wayne"/>
    <x v="0"/>
    <n v="7.4999999999999997E-2"/>
    <n v="100.72125"/>
    <x v="55"/>
    <n v="33"/>
    <x v="2"/>
    <n v="2278.9"/>
    <n v="2626.9"/>
    <s v="New"/>
    <n v="0.05"/>
    <s v="Credit Card"/>
    <s v="Online"/>
    <s v="Low"/>
  </r>
  <r>
    <n v="1090"/>
    <s v="Keyboard"/>
    <d v="2023-11-20T00:00:00"/>
    <s v="Alice"/>
    <s v="Scott Wayne"/>
    <x v="1"/>
    <n v="0.08"/>
    <n v="21.4224"/>
    <x v="56"/>
    <n v="32"/>
    <x v="3"/>
    <n v="2678.99"/>
    <n v="3152.2799999999902"/>
    <s v="Returning"/>
    <n v="0.22"/>
    <s v="Cash"/>
    <s v="Retail"/>
    <s v="Low"/>
  </r>
  <r>
    <n v="1053"/>
    <s v="Bed"/>
    <d v="2023-10-02T00:00:00"/>
    <s v="David"/>
    <s v="Hogan Rock"/>
    <x v="3"/>
    <n v="0.06"/>
    <n v="463.47419999999994"/>
    <x v="57"/>
    <n v="29"/>
    <x v="3"/>
    <n v="3741.3"/>
    <n v="4061.04"/>
    <s v="Returning"/>
    <n v="0.21"/>
    <s v="Credit Card"/>
    <s v="Online"/>
    <s v="High"/>
  </r>
  <r>
    <n v="1002"/>
    <s v="Bench"/>
    <d v="2023-07-31T00:00:00"/>
    <s v="David"/>
    <s v="Hogan Rock"/>
    <x v="3"/>
    <n v="0.06"/>
    <n v="485.4504"/>
    <x v="58"/>
    <n v="21"/>
    <x v="2"/>
    <n v="4138.41"/>
    <n v="4361.7"/>
    <s v="Returning"/>
    <n v="7.0000000000000007E-2"/>
    <s v="Credit Card"/>
    <s v="Retail"/>
    <s v="High"/>
  </r>
  <r>
    <n v="1084"/>
    <s v="Card Table"/>
    <d v="2023-08-13T00:00:00"/>
    <s v="Alice"/>
    <s v="Scott Wayne"/>
    <x v="1"/>
    <n v="0.08"/>
    <n v="103.20399999999999"/>
    <x v="59"/>
    <n v="21"/>
    <x v="0"/>
    <n v="3497.98"/>
    <n v="3765.31"/>
    <s v="New"/>
    <n v="0.08"/>
    <s v="Cash"/>
    <s v="Online"/>
    <s v="Low"/>
  </r>
  <r>
    <n v="1092"/>
    <s v="Recliner"/>
    <d v="2023-01-20T00:00:00"/>
    <s v="Charlie"/>
    <s v="Susan Jerkins"/>
    <x v="3"/>
    <n v="0.06"/>
    <n v="163.75620000000001"/>
    <x v="60"/>
    <n v="40"/>
    <x v="3"/>
    <n v="4624.16"/>
    <n v="4731.9799999999996"/>
    <s v="New"/>
    <n v="0.2"/>
    <s v="Bank Transfer"/>
    <s v="Retail"/>
    <s v="Low"/>
  </r>
  <r>
    <n v="1060"/>
    <s v="Head Warmer"/>
    <d v="2023-04-23T00:00:00"/>
    <s v="Eve"/>
    <s v="Tracy Moore"/>
    <x v="3"/>
    <n v="0.06"/>
    <n v="16.426199999999998"/>
    <x v="61"/>
    <n v="23"/>
    <x v="2"/>
    <n v="4110.6000000000004"/>
    <n v="4488.37"/>
    <s v="New"/>
    <n v="0.12"/>
    <s v="Credit Card"/>
    <s v="Online"/>
    <s v="Low"/>
  </r>
  <r>
    <n v="1071"/>
    <s v="Game Table"/>
    <d v="2023-05-20T00:00:00"/>
    <s v="Eve"/>
    <s v="Tracy Moore"/>
    <x v="1"/>
    <n v="0.08"/>
    <n v="240.30080000000001"/>
    <x v="62"/>
    <n v="6"/>
    <x v="0"/>
    <n v="2831.23"/>
    <n v="3206.98"/>
    <s v="Returning"/>
    <n v="0.06"/>
    <s v="Bank Transfer"/>
    <s v="Retail"/>
    <s v="Low"/>
  </r>
  <r>
    <n v="1044"/>
    <s v="Burger"/>
    <d v="2023-02-16T00:00:00"/>
    <s v="David"/>
    <s v="Hogan Rock"/>
    <x v="2"/>
    <n v="0.05"/>
    <n v="387.70500000000004"/>
    <x v="63"/>
    <n v="22"/>
    <x v="1"/>
    <n v="3373.46"/>
    <n v="3454.76"/>
    <s v="Returning"/>
    <n v="0.22"/>
    <s v="Bank Transfer"/>
    <s v="Retail"/>
    <s v="High"/>
  </r>
  <r>
    <n v="1008"/>
    <s v="Skirt"/>
    <d v="2023-01-01T00:00:00"/>
    <s v="Eve"/>
    <s v="Tracy Moore"/>
    <x v="0"/>
    <n v="7.4999999999999997E-2"/>
    <n v="392.08575000000002"/>
    <x v="64"/>
    <n v="38"/>
    <x v="2"/>
    <n v="4635.2299999999996"/>
    <n v="5075.4399999999996"/>
    <s v="Returning"/>
    <n v="0.05"/>
    <s v="Cash"/>
    <s v="Online"/>
    <s v="High"/>
  </r>
  <r>
    <n v="1047"/>
    <s v="Mouse"/>
    <d v="2023-03-31T00:00:00"/>
    <s v="Alice"/>
    <s v="Scott Wayne"/>
    <x v="3"/>
    <n v="0.06"/>
    <n v="212.76900000000001"/>
    <x v="65"/>
    <n v="37"/>
    <x v="3"/>
    <n v="3114.88"/>
    <n v="3256.78"/>
    <s v="Returning"/>
    <n v="0.26"/>
    <s v="Credit Card"/>
    <s v="Online"/>
    <s v="Low"/>
  </r>
  <r>
    <n v="1035"/>
    <s v="Doughnut"/>
    <d v="2023-05-22T00:00:00"/>
    <s v="Alice"/>
    <s v="Scott Wayne"/>
    <x v="2"/>
    <n v="0.05"/>
    <n v="189.011"/>
    <x v="66"/>
    <n v="45"/>
    <x v="1"/>
    <n v="4132.79"/>
    <n v="4624.1000000000004"/>
    <s v="New"/>
    <n v="0.15"/>
    <s v="Credit Card"/>
    <s v="Retail"/>
    <s v="Low"/>
  </r>
  <r>
    <n v="1078"/>
    <s v="Kitchen Island"/>
    <d v="2023-11-16T00:00:00"/>
    <s v="David"/>
    <s v="Hogan Rock"/>
    <x v="3"/>
    <n v="0.06"/>
    <n v="6.8040000000000003"/>
    <x v="67"/>
    <n v="8"/>
    <x v="0"/>
    <n v="3459.61"/>
    <n v="3657.23"/>
    <s v="Returning"/>
    <n v="0.03"/>
    <s v="Bank Transfer"/>
    <s v="Online"/>
    <s v="Low"/>
  </r>
  <r>
    <n v="1081"/>
    <s v="Rocking Chair"/>
    <d v="2023-02-07T00:00:00"/>
    <s v="David"/>
    <s v="Hogan Rock"/>
    <x v="3"/>
    <n v="0.06"/>
    <n v="184.08180000000002"/>
    <x v="68"/>
    <n v="41"/>
    <x v="0"/>
    <n v="2782.08"/>
    <n v="2879.24"/>
    <s v="New"/>
    <n v="0.21"/>
    <s v="Bank Transfer"/>
    <s v="Online"/>
    <s v="Low"/>
  </r>
  <r>
    <n v="1036"/>
    <s v="Shorts"/>
    <d v="2023-10-20T00:00:00"/>
    <s v="David"/>
    <s v="Hogan Rock"/>
    <x v="0"/>
    <n v="7.4999999999999997E-2"/>
    <n v="487.49549999999994"/>
    <x v="69"/>
    <n v="49"/>
    <x v="2"/>
    <n v="1247.0999999999999"/>
    <n v="1429.4399999999901"/>
    <s v="New"/>
    <n v="0.16"/>
    <s v="Cash"/>
    <s v="Online"/>
    <s v="High"/>
  </r>
  <r>
    <n v="1050"/>
    <s v="Sneakers"/>
    <d v="2023-05-19T00:00:00"/>
    <s v="Charlie"/>
    <s v="Susan Jerkins"/>
    <x v="3"/>
    <n v="0.06"/>
    <n v="584.6712"/>
    <x v="70"/>
    <n v="35"/>
    <x v="2"/>
    <n v="2158.69"/>
    <n v="2384.38"/>
    <s v="Returning"/>
    <n v="0.09"/>
    <s v="Bank Transfer"/>
    <s v="Retail"/>
    <s v="High"/>
  </r>
  <r>
    <n v="1004"/>
    <s v="Smartwatch"/>
    <d v="2023-12-22T00:00:00"/>
    <s v="Eve"/>
    <s v="Tracy Moore"/>
    <x v="0"/>
    <n v="7.4999999999999997E-2"/>
    <n v="636.4425"/>
    <x v="71"/>
    <n v="11"/>
    <x v="2"/>
    <n v="4840.33"/>
    <n v="4884.29"/>
    <s v="New"/>
    <n v="0.13"/>
    <s v="Cash"/>
    <s v="Online"/>
    <s v="High"/>
  </r>
  <r>
    <n v="1002"/>
    <s v="Bench"/>
    <d v="2023-11-29T00:00:00"/>
    <s v="David"/>
    <s v="Hogan Rock"/>
    <x v="0"/>
    <n v="7.4999999999999997E-2"/>
    <n v="25.019249999999996"/>
    <x v="72"/>
    <n v="24"/>
    <x v="0"/>
    <n v="3305.94"/>
    <n v="3599.27"/>
    <s v="New"/>
    <n v="0.09"/>
    <s v="Credit Card"/>
    <s v="Retail"/>
    <s v="Low"/>
  </r>
  <r>
    <n v="1006"/>
    <s v="Monitor"/>
    <d v="2023-09-16T00:00:00"/>
    <s v="Bob"/>
    <s v="Michael Smith"/>
    <x v="0"/>
    <n v="7.4999999999999997E-2"/>
    <n v="674.68124999999998"/>
    <x v="73"/>
    <n v="49"/>
    <x v="1"/>
    <n v="2843.76"/>
    <n v="3146.6"/>
    <s v="New"/>
    <n v="0.08"/>
    <s v="Cash"/>
    <s v="Retail"/>
    <s v="High"/>
  </r>
  <r>
    <n v="1054"/>
    <s v="Glider"/>
    <d v="2023-06-10T00:00:00"/>
    <s v="Bob"/>
    <s v="Michael Smith"/>
    <x v="2"/>
    <n v="0.05"/>
    <n v="392.68299999999999"/>
    <x v="74"/>
    <n v="21"/>
    <x v="0"/>
    <n v="4668.1400000000003"/>
    <n v="5040.22"/>
    <s v="New"/>
    <n v="0.05"/>
    <s v="Bank Transfer"/>
    <s v="Online"/>
    <s v="High"/>
  </r>
  <r>
    <n v="1004"/>
    <s v="Smartwatch"/>
    <d v="2023-06-27T00:00:00"/>
    <s v="Alice"/>
    <s v="Scott Wayne"/>
    <x v="1"/>
    <n v="0.08"/>
    <n v="626.05759999999998"/>
    <x v="75"/>
    <n v="2"/>
    <x v="3"/>
    <n v="2953.23"/>
    <n v="2977.52"/>
    <s v="Returning"/>
    <n v="0.11"/>
    <s v="Credit Card"/>
    <s v="Retail"/>
    <s v="High"/>
  </r>
  <r>
    <n v="1054"/>
    <s v="Glider"/>
    <d v="2023-01-10T00:00:00"/>
    <s v="Eve"/>
    <s v="Tracy Moore"/>
    <x v="2"/>
    <n v="0.05"/>
    <n v="231.708"/>
    <x v="76"/>
    <n v="40"/>
    <x v="0"/>
    <n v="2654.11"/>
    <n v="2929.32"/>
    <s v="Returning"/>
    <n v="0.08"/>
    <s v="Cash"/>
    <s v="Online"/>
    <s v="Low"/>
  </r>
  <r>
    <n v="1093"/>
    <s v="Dining Table"/>
    <d v="2023-09-18T00:00:00"/>
    <s v="David"/>
    <s v="Hogan Rock"/>
    <x v="1"/>
    <n v="0.08"/>
    <n v="323.22000000000003"/>
    <x v="77"/>
    <n v="19"/>
    <x v="3"/>
    <n v="3808.59"/>
    <n v="3844.51"/>
    <s v="New"/>
    <n v="0.21"/>
    <s v="Credit Card"/>
    <s v="Online"/>
    <s v="Low"/>
  </r>
  <r>
    <n v="1063"/>
    <s v="Noodles"/>
    <d v="2023-05-18T00:00:00"/>
    <s v="Bob"/>
    <s v="Michael Smith"/>
    <x v="1"/>
    <n v="0.08"/>
    <n v="247.90959999999998"/>
    <x v="78"/>
    <n v="39"/>
    <x v="1"/>
    <n v="3577.69"/>
    <n v="3931.25"/>
    <s v="Returning"/>
    <n v="0.21"/>
    <s v="Cash"/>
    <s v="Retail"/>
    <s v="Low"/>
  </r>
  <r>
    <n v="1018"/>
    <s v="Dress Shirt"/>
    <d v="2023-06-21T00:00:00"/>
    <s v="Eve"/>
    <s v="Tracy Moore"/>
    <x v="0"/>
    <n v="7.4999999999999997E-2"/>
    <n v="56.278500000000001"/>
    <x v="79"/>
    <n v="28"/>
    <x v="2"/>
    <n v="1006.14"/>
    <n v="1043.45"/>
    <s v="New"/>
    <n v="0.15"/>
    <s v="Bank Transfer"/>
    <s v="Retail"/>
    <s v="Low"/>
  </r>
  <r>
    <n v="1090"/>
    <s v="Keyboard"/>
    <d v="2023-01-13T00:00:00"/>
    <s v="Alice"/>
    <s v="Scott Wayne"/>
    <x v="3"/>
    <n v="0.06"/>
    <n v="141.5718"/>
    <x v="80"/>
    <n v="17"/>
    <x v="2"/>
    <n v="2382.98"/>
    <n v="2839.73"/>
    <s v="Returning"/>
    <n v="0.23"/>
    <s v="Bank Transfer"/>
    <s v="Retail"/>
    <s v="Low"/>
  </r>
  <r>
    <n v="1044"/>
    <s v="Burger"/>
    <d v="2023-06-17T00:00:00"/>
    <s v="Charlie"/>
    <s v="Susan Jerkins"/>
    <x v="0"/>
    <n v="7.4999999999999997E-2"/>
    <n v="190.6035"/>
    <x v="81"/>
    <n v="6"/>
    <x v="0"/>
    <n v="2388.9499999999998"/>
    <n v="2742.97"/>
    <s v="Returning"/>
    <n v="0.25"/>
    <s v="Credit Card"/>
    <s v="Retail"/>
    <s v="Low"/>
  </r>
  <r>
    <n v="1034"/>
    <s v="Socks Pack"/>
    <d v="2023-05-10T00:00:00"/>
    <s v="Eve"/>
    <s v="Tracy Moore"/>
    <x v="3"/>
    <n v="0.06"/>
    <n v="293.54159999999996"/>
    <x v="82"/>
    <n v="19"/>
    <x v="2"/>
    <n v="1922.21"/>
    <n v="2180.83"/>
    <s v="Returning"/>
    <n v="0.17"/>
    <s v="Credit Card"/>
    <s v="Retail"/>
    <s v="Low"/>
  </r>
  <r>
    <n v="1074"/>
    <s v="French Fries"/>
    <d v="2023-03-25T00:00:00"/>
    <s v="Eve"/>
    <s v="Tracy Moore"/>
    <x v="1"/>
    <n v="0.08"/>
    <n v="599.976"/>
    <x v="83"/>
    <n v="38"/>
    <x v="1"/>
    <n v="2610.6"/>
    <n v="2836.94"/>
    <s v="Returning"/>
    <n v="0.19"/>
    <s v="Credit Card"/>
    <s v="Online"/>
    <s v="High"/>
  </r>
  <r>
    <n v="1062"/>
    <s v="Boxers"/>
    <d v="2023-11-17T00:00:00"/>
    <s v="Charlie"/>
    <s v="Susan Jerkins"/>
    <x v="0"/>
    <n v="7.4999999999999997E-2"/>
    <n v="359.30400000000003"/>
    <x v="84"/>
    <n v="28"/>
    <x v="2"/>
    <n v="2094.88"/>
    <n v="2168.91"/>
    <s v="Returning"/>
    <n v="0.08"/>
    <s v="Cash"/>
    <s v="Retail"/>
    <s v="Low"/>
  </r>
  <r>
    <n v="1100"/>
    <s v="Protein Cookies"/>
    <d v="2023-11-15T00:00:00"/>
    <s v="Eve"/>
    <s v="Tracy Moore"/>
    <x v="3"/>
    <n v="0.06"/>
    <n v="40.359599999999993"/>
    <x v="85"/>
    <n v="2"/>
    <x v="0"/>
    <n v="1036.76"/>
    <n v="1189.3499999999999"/>
    <s v="New"/>
    <n v="0.27"/>
    <s v="Bank Transfer"/>
    <s v="Online"/>
    <s v="Low"/>
  </r>
  <r>
    <n v="1014"/>
    <s v="Cheese Block"/>
    <d v="2023-04-11T00:00:00"/>
    <s v="Alice"/>
    <s v="Scott Wayne"/>
    <x v="2"/>
    <n v="0.05"/>
    <n v="479.10600000000005"/>
    <x v="86"/>
    <n v="38"/>
    <x v="1"/>
    <n v="2091.21"/>
    <n v="2527"/>
    <s v="Returning"/>
    <n v="0.01"/>
    <s v="Credit Card"/>
    <s v="Online"/>
    <s v="High"/>
  </r>
  <r>
    <n v="1095"/>
    <s v="Bluetooth Speaker"/>
    <d v="2023-11-25T00:00:00"/>
    <s v="Alice"/>
    <s v="Scott Wayne"/>
    <x v="3"/>
    <n v="0.06"/>
    <n v="565.9781999999999"/>
    <x v="87"/>
    <n v="37"/>
    <x v="3"/>
    <n v="407.77"/>
    <n v="860.95"/>
    <s v="New"/>
    <n v="0.1"/>
    <s v="Credit Card"/>
    <s v="Retail"/>
    <s v="High"/>
  </r>
  <r>
    <n v="1048"/>
    <s v="Chaise Lounge"/>
    <d v="2023-09-30T00:00:00"/>
    <s v="Charlie"/>
    <s v="Susan Jerkins"/>
    <x v="0"/>
    <n v="7.4999999999999997E-2"/>
    <n v="590.50350000000003"/>
    <x v="88"/>
    <n v="4"/>
    <x v="0"/>
    <n v="2900.14"/>
    <n v="2910.5099999999902"/>
    <s v="New"/>
    <n v="0.22"/>
    <s v="Credit Card"/>
    <s v="Retail"/>
    <s v="High"/>
  </r>
  <r>
    <n v="1015"/>
    <s v="Chocolate Bar"/>
    <d v="2023-09-22T00:00:00"/>
    <s v="David"/>
    <s v="Hogan Rock"/>
    <x v="2"/>
    <n v="0.05"/>
    <n v="495.70749999999998"/>
    <x v="89"/>
    <n v="22"/>
    <x v="3"/>
    <n v="4275.59"/>
    <n v="4576.72"/>
    <s v="Returning"/>
    <n v="0.02"/>
    <s v="Cash"/>
    <s v="Retail"/>
    <s v="High"/>
  </r>
  <r>
    <n v="1072"/>
    <s v="T-Shirt"/>
    <d v="2023-02-07T00:00:00"/>
    <s v="Bob"/>
    <s v="Michael Smith"/>
    <x v="3"/>
    <n v="0.06"/>
    <n v="329.4228"/>
    <x v="90"/>
    <n v="26"/>
    <x v="1"/>
    <n v="3640.17"/>
    <n v="4002.63"/>
    <s v="New"/>
    <n v="0.05"/>
    <s v="Credit Card"/>
    <s v="Retail"/>
    <s v="High"/>
  </r>
  <r>
    <n v="1078"/>
    <s v="Kitchen Island"/>
    <d v="2023-04-04T00:00:00"/>
    <s v="David"/>
    <s v="Hogan Rock"/>
    <x v="3"/>
    <n v="0.06"/>
    <n v="577.88459999999998"/>
    <x v="91"/>
    <n v="49"/>
    <x v="0"/>
    <n v="1833.95"/>
    <n v="2147.14"/>
    <s v="Returning"/>
    <n v="0.18"/>
    <s v="Credit Card"/>
    <s v="Retail"/>
    <s v="High"/>
  </r>
  <r>
    <n v="1087"/>
    <s v="Sofa Set"/>
    <d v="2023-04-05T00:00:00"/>
    <s v="Eve"/>
    <s v="Tracy Moore"/>
    <x v="3"/>
    <n v="0.06"/>
    <n v="50.909399999999998"/>
    <x v="92"/>
    <n v="43"/>
    <x v="0"/>
    <n v="481"/>
    <n v="531.02"/>
    <s v="New"/>
    <n v="0.17"/>
    <s v="Cash"/>
    <s v="Online"/>
    <s v="Low"/>
  </r>
  <r>
    <n v="1062"/>
    <s v="Boxers"/>
    <d v="2023-11-01T00:00:00"/>
    <s v="Bob"/>
    <s v="Michael Smith"/>
    <x v="3"/>
    <n v="0.06"/>
    <n v="223.21439999999998"/>
    <x v="93"/>
    <n v="36"/>
    <x v="1"/>
    <n v="1050.6400000000001"/>
    <n v="1167.33"/>
    <s v="New"/>
    <n v="0.22"/>
    <s v="Cash"/>
    <s v="Online"/>
    <s v="Low"/>
  </r>
  <r>
    <n v="1040"/>
    <s v="Cap"/>
    <d v="2023-03-10T00:00:00"/>
    <s v="Charlie"/>
    <s v="Susan Jerkins"/>
    <x v="3"/>
    <n v="0.06"/>
    <n v="139.87619999999998"/>
    <x v="94"/>
    <n v="13"/>
    <x v="2"/>
    <n v="2750.18"/>
    <n v="2882.85"/>
    <s v="Returning"/>
    <n v="0.24"/>
    <s v="Credit Card"/>
    <s v="Online"/>
    <s v="Low"/>
  </r>
  <r>
    <n v="1085"/>
    <s v="Settee"/>
    <d v="2023-11-14T00:00:00"/>
    <s v="Charlie"/>
    <s v="Susan Jerkins"/>
    <x v="2"/>
    <n v="0.05"/>
    <n v="101.9375"/>
    <x v="95"/>
    <n v="32"/>
    <x v="0"/>
    <n v="1074.93"/>
    <n v="1492.48"/>
    <s v="Returning"/>
    <n v="0.04"/>
    <s v="Credit Card"/>
    <s v="Retail"/>
    <s v="Low"/>
  </r>
  <r>
    <n v="1080"/>
    <s v="Headphones"/>
    <d v="2023-08-24T00:00:00"/>
    <s v="Bob"/>
    <s v="Michael Smith"/>
    <x v="1"/>
    <n v="0.08"/>
    <n v="119.51600000000001"/>
    <x v="96"/>
    <n v="17"/>
    <x v="0"/>
    <n v="2742.67"/>
    <n v="2979.64"/>
    <s v="Returning"/>
    <n v="0.01"/>
    <s v="Cash"/>
    <s v="Retail"/>
    <s v="Low"/>
  </r>
  <r>
    <n v="1082"/>
    <s v="USB Drive"/>
    <d v="2023-11-30T00:00:00"/>
    <s v="Alice"/>
    <s v="Scott Wayne"/>
    <x v="2"/>
    <n v="0.05"/>
    <n v="313.09500000000003"/>
    <x v="97"/>
    <n v="41"/>
    <x v="3"/>
    <n v="1196.42"/>
    <n v="1444.97"/>
    <s v="Returning"/>
    <n v="0.21"/>
    <s v="Bank Transfer"/>
    <s v="Online"/>
    <s v="High"/>
  </r>
  <r>
    <n v="1053"/>
    <s v="Bed"/>
    <d v="2023-05-17T00:00:00"/>
    <s v="Bob"/>
    <s v="Michael Smith"/>
    <x v="2"/>
    <n v="0.05"/>
    <n v="391.75450000000001"/>
    <x v="98"/>
    <n v="36"/>
    <x v="2"/>
    <n v="4252.17"/>
    <n v="4720.2700000000004"/>
    <s v="New"/>
    <n v="0.09"/>
    <s v="Cash"/>
    <s v="Retail"/>
    <s v="High"/>
  </r>
  <r>
    <n v="1024"/>
    <s v="Pasta Pack"/>
    <d v="2023-03-17T00:00:00"/>
    <s v="Eve"/>
    <s v="Tracy Moore"/>
    <x v="2"/>
    <n v="0.05"/>
    <n v="291.25749999999999"/>
    <x v="99"/>
    <n v="46"/>
    <x v="3"/>
    <n v="2016.49"/>
    <n v="2338.66"/>
    <s v="Returning"/>
    <n v="0.19"/>
    <s v="Bank Transfer"/>
    <s v="Retail"/>
    <s v="High"/>
  </r>
  <r>
    <n v="1026"/>
    <s v="Television"/>
    <d v="2023-02-04T00:00:00"/>
    <s v="Alice"/>
    <s v="Scott Wayne"/>
    <x v="1"/>
    <n v="0.08"/>
    <n v="124.3944"/>
    <x v="100"/>
    <n v="19"/>
    <x v="3"/>
    <n v="1265.48"/>
    <n v="1715.83"/>
    <s v="New"/>
    <n v="0.05"/>
    <s v="Credit Card"/>
    <s v="Retail"/>
    <s v="Low"/>
  </r>
  <r>
    <n v="1089"/>
    <s v="Recliner"/>
    <d v="2023-01-01T00:00:00"/>
    <s v="Charlie"/>
    <s v="Susan Jerkins"/>
    <x v="0"/>
    <n v="7.4999999999999997E-2"/>
    <n v="609.75974999999994"/>
    <x v="101"/>
    <n v="35"/>
    <x v="2"/>
    <n v="4071.01"/>
    <n v="4304.7"/>
    <s v="New"/>
    <n v="0.14000000000000001"/>
    <s v="Credit Card"/>
    <s v="Online"/>
    <s v="High"/>
  </r>
  <r>
    <n v="1060"/>
    <s v="Head Warmer"/>
    <d v="2023-10-23T00:00:00"/>
    <s v="Bob"/>
    <s v="Michael Smith"/>
    <x v="1"/>
    <n v="0.08"/>
    <n v="511.67599999999999"/>
    <x v="102"/>
    <n v="46"/>
    <x v="2"/>
    <n v="1747.05"/>
    <n v="1830.27"/>
    <s v="New"/>
    <n v="0.15"/>
    <s v="Bank Transfer"/>
    <s v="Retail"/>
    <s v="High"/>
  </r>
  <r>
    <n v="1041"/>
    <s v="Bread"/>
    <d v="2023-11-16T00:00:00"/>
    <s v="David"/>
    <s v="Hogan Rock"/>
    <x v="2"/>
    <n v="0.05"/>
    <n v="197.14200000000002"/>
    <x v="103"/>
    <n v="40"/>
    <x v="1"/>
    <n v="601.86"/>
    <n v="1067.53"/>
    <s v="New"/>
    <n v="0.18"/>
    <s v="Cash"/>
    <s v="Online"/>
    <s v="Low"/>
  </r>
  <r>
    <n v="1029"/>
    <s v="Camisole"/>
    <d v="2023-03-01T00:00:00"/>
    <s v="David"/>
    <s v="Hogan Rock"/>
    <x v="3"/>
    <n v="0.06"/>
    <n v="406.43340000000001"/>
    <x v="104"/>
    <n v="28"/>
    <x v="2"/>
    <n v="2873.53"/>
    <n v="3108.3"/>
    <s v="New"/>
    <n v="0.15"/>
    <s v="Credit Card"/>
    <s v="Retail"/>
    <s v="High"/>
  </r>
  <r>
    <n v="1015"/>
    <s v="Chocolate Bar"/>
    <d v="2023-11-16T00:00:00"/>
    <s v="Eve"/>
    <s v="Tracy Moore"/>
    <x v="3"/>
    <n v="0.06"/>
    <n v="160.3836"/>
    <x v="105"/>
    <n v="1"/>
    <x v="0"/>
    <n v="2928.74"/>
    <n v="3027.74"/>
    <s v="New"/>
    <n v="0.15"/>
    <s v="Bank Transfer"/>
    <s v="Retail"/>
    <s v="Low"/>
  </r>
  <r>
    <n v="1045"/>
    <s v="Bikers Shorts"/>
    <d v="2023-12-15T00:00:00"/>
    <s v="David"/>
    <s v="Hogan Rock"/>
    <x v="2"/>
    <n v="0.05"/>
    <n v="175.87"/>
    <x v="106"/>
    <n v="42"/>
    <x v="2"/>
    <n v="3587.74"/>
    <n v="3745.91"/>
    <s v="Returning"/>
    <n v="0.1"/>
    <s v="Cash"/>
    <s v="Online"/>
    <s v="Low"/>
  </r>
  <r>
    <n v="1065"/>
    <s v="Potatoes"/>
    <d v="2023-11-24T00:00:00"/>
    <s v="Bob"/>
    <s v="Michael Smith"/>
    <x v="3"/>
    <n v="0.06"/>
    <n v="550.98660000000007"/>
    <x v="107"/>
    <n v="18"/>
    <x v="1"/>
    <n v="1239.0899999999999"/>
    <n v="1273.98"/>
    <s v="New"/>
    <n v="0.02"/>
    <s v="Bank Transfer"/>
    <s v="Retail"/>
    <s v="High"/>
  </r>
  <r>
    <n v="1089"/>
    <s v="Recliner"/>
    <d v="2023-09-24T00:00:00"/>
    <s v="Bob"/>
    <s v="Michael Smith"/>
    <x v="2"/>
    <n v="0.05"/>
    <n v="148.79949999999999"/>
    <x v="108"/>
    <n v="48"/>
    <x v="1"/>
    <n v="2246.67"/>
    <n v="2486.14"/>
    <s v="New"/>
    <n v="0.03"/>
    <s v="Cash"/>
    <s v="Retail"/>
    <s v="Low"/>
  </r>
  <r>
    <n v="1071"/>
    <s v="Game Table"/>
    <d v="2023-12-27T00:00:00"/>
    <s v="David"/>
    <s v="Hogan Rock"/>
    <x v="3"/>
    <n v="0.06"/>
    <n v="285.1728"/>
    <x v="109"/>
    <n v="40"/>
    <x v="1"/>
    <n v="1447.72"/>
    <n v="1875.75"/>
    <s v="New"/>
    <n v="0.13"/>
    <s v="Cash"/>
    <s v="Retail"/>
    <s v="Low"/>
  </r>
  <r>
    <n v="1009"/>
    <s v="Jacket"/>
    <d v="2023-08-17T00:00:00"/>
    <s v="Bob"/>
    <s v="Michael Smith"/>
    <x v="1"/>
    <n v="0.08"/>
    <n v="712.99199999999996"/>
    <x v="110"/>
    <n v="33"/>
    <x v="2"/>
    <n v="450.72"/>
    <n v="918.17"/>
    <s v="Returning"/>
    <n v="0.11"/>
    <s v="Cash"/>
    <s v="Online"/>
    <s v="High"/>
  </r>
  <r>
    <n v="1088"/>
    <s v="Office Desk"/>
    <d v="2023-09-27T00:00:00"/>
    <s v="Eve"/>
    <s v="Tracy Moore"/>
    <x v="0"/>
    <n v="7.4999999999999997E-2"/>
    <n v="532.98299999999995"/>
    <x v="111"/>
    <n v="12"/>
    <x v="2"/>
    <n v="4389.24"/>
    <n v="4856.2199999999903"/>
    <s v="Returning"/>
    <n v="0.15"/>
    <s v="Cash"/>
    <s v="Retail"/>
    <s v="High"/>
  </r>
  <r>
    <n v="1001"/>
    <s v="Camera"/>
    <d v="2023-11-12T00:00:00"/>
    <s v="Alice"/>
    <s v="Scott Wayne"/>
    <x v="0"/>
    <n v="7.4999999999999997E-2"/>
    <n v="53.685749999999992"/>
    <x v="112"/>
    <n v="8"/>
    <x v="3"/>
    <n v="3657.91"/>
    <n v="3729.27"/>
    <s v="New"/>
    <n v="0.09"/>
    <s v="Bank Transfer"/>
    <s v="Retail"/>
    <s v="Low"/>
  </r>
  <r>
    <n v="1008"/>
    <s v="Skirt"/>
    <d v="2023-10-13T00:00:00"/>
    <s v="Eve"/>
    <s v="Tracy Moore"/>
    <x v="1"/>
    <n v="0.08"/>
    <n v="124.664"/>
    <x v="113"/>
    <n v="24"/>
    <x v="3"/>
    <n v="1542.24"/>
    <n v="1739.45"/>
    <s v="Returning"/>
    <n v="0.21"/>
    <s v="Bank Transfer"/>
    <s v="Retail"/>
    <s v="Low"/>
  </r>
  <r>
    <n v="1088"/>
    <s v="Office Desk"/>
    <d v="2023-10-18T00:00:00"/>
    <s v="Eve"/>
    <s v="Tracy Moore"/>
    <x v="1"/>
    <n v="0.08"/>
    <n v="14.2104"/>
    <x v="114"/>
    <n v="16"/>
    <x v="0"/>
    <n v="3016.9"/>
    <n v="3040.73"/>
    <s v="New"/>
    <n v="0.26"/>
    <s v="Bank Transfer"/>
    <s v="Retail"/>
    <s v="Low"/>
  </r>
  <r>
    <n v="1063"/>
    <s v="Noodles"/>
    <d v="2023-08-01T00:00:00"/>
    <s v="Bob"/>
    <s v="Michael Smith"/>
    <x v="2"/>
    <n v="0.05"/>
    <n v="317.30650000000003"/>
    <x v="115"/>
    <n v="4"/>
    <x v="3"/>
    <n v="1046.26"/>
    <n v="1475.29"/>
    <s v="Returning"/>
    <n v="0.09"/>
    <s v="Bank Transfer"/>
    <s v="Retail"/>
    <s v="High"/>
  </r>
  <r>
    <n v="1011"/>
    <s v="Coffee Table"/>
    <d v="2023-06-14T00:00:00"/>
    <s v="Alice"/>
    <s v="Scott Wayne"/>
    <x v="2"/>
    <n v="0.05"/>
    <n v="226.59850000000003"/>
    <x v="116"/>
    <n v="38"/>
    <x v="0"/>
    <n v="4456.67"/>
    <n v="4642.46"/>
    <s v="New"/>
    <n v="0.06"/>
    <s v="Bank Transfer"/>
    <s v="Online"/>
    <s v="Low"/>
  </r>
  <r>
    <n v="1081"/>
    <s v="Rocking Chair"/>
    <d v="2023-01-05T00:00:00"/>
    <s v="Bob"/>
    <s v="Michael Smith"/>
    <x v="2"/>
    <n v="0.05"/>
    <n v="71.465999999999994"/>
    <x v="117"/>
    <n v="44"/>
    <x v="1"/>
    <n v="618.79"/>
    <n v="938.04"/>
    <s v="Returning"/>
    <n v="0.03"/>
    <s v="Cash"/>
    <s v="Online"/>
    <s v="Low"/>
  </r>
  <r>
    <n v="1008"/>
    <s v="Skirt"/>
    <d v="2023-12-05T00:00:00"/>
    <s v="Charlie"/>
    <s v="Susan Jerkins"/>
    <x v="3"/>
    <n v="0.06"/>
    <n v="575.01299999999992"/>
    <x v="118"/>
    <n v="27"/>
    <x v="3"/>
    <n v="68.989999999999995"/>
    <n v="429.29"/>
    <s v="Returning"/>
    <n v="0.18"/>
    <s v="Credit Card"/>
    <s v="Retail"/>
    <s v="High"/>
  </r>
  <r>
    <n v="1035"/>
    <s v="Doughnut"/>
    <d v="2023-03-19T00:00:00"/>
    <s v="Bob"/>
    <s v="Michael Smith"/>
    <x v="2"/>
    <n v="0.05"/>
    <n v="267.18150000000003"/>
    <x v="119"/>
    <n v="9"/>
    <x v="2"/>
    <n v="2534.94"/>
    <n v="2755.56"/>
    <s v="Returning"/>
    <n v="0.13"/>
    <s v="Credit Card"/>
    <s v="Retail"/>
    <s v="High"/>
  </r>
  <r>
    <n v="1035"/>
    <s v="Doughnut"/>
    <d v="2023-03-03T00:00:00"/>
    <s v="Bob"/>
    <s v="Michael Smith"/>
    <x v="1"/>
    <n v="0.08"/>
    <n v="199.57919999999999"/>
    <x v="120"/>
    <n v="47"/>
    <x v="3"/>
    <n v="2936.48"/>
    <n v="3096.64"/>
    <s v="New"/>
    <n v="0.06"/>
    <s v="Bank Transfer"/>
    <s v="Online"/>
    <s v="Low"/>
  </r>
  <r>
    <n v="1033"/>
    <s v="TV Stand"/>
    <d v="2023-05-12T00:00:00"/>
    <s v="Bob"/>
    <s v="Michael Smith"/>
    <x v="0"/>
    <n v="7.4999999999999997E-2"/>
    <n v="379.19849999999997"/>
    <x v="121"/>
    <n v="16"/>
    <x v="0"/>
    <n v="2915.88"/>
    <n v="3397.36"/>
    <s v="New"/>
    <n v="0.2"/>
    <s v="Bank Transfer"/>
    <s v="Retail"/>
    <s v="High"/>
  </r>
  <r>
    <n v="1005"/>
    <s v="Smart Phone"/>
    <d v="2023-03-30T00:00:00"/>
    <s v="Alice"/>
    <s v="Scott Wayne"/>
    <x v="3"/>
    <n v="0.06"/>
    <n v="409.69439999999997"/>
    <x v="122"/>
    <n v="12"/>
    <x v="3"/>
    <n v="319.83"/>
    <n v="802.43"/>
    <s v="New"/>
    <n v="0.04"/>
    <s v="Credit Card"/>
    <s v="Retail"/>
    <s v="High"/>
  </r>
  <r>
    <n v="1041"/>
    <s v="Bread"/>
    <d v="2023-08-25T00:00:00"/>
    <s v="Bob"/>
    <s v="Michael Smith"/>
    <x v="2"/>
    <n v="0.05"/>
    <n v="42.738500000000002"/>
    <x v="123"/>
    <n v="31"/>
    <x v="1"/>
    <n v="1604.52"/>
    <n v="1756.34"/>
    <s v="Returning"/>
    <n v="0.17"/>
    <s v="Cash"/>
    <s v="Retail"/>
    <s v="Low"/>
  </r>
  <r>
    <n v="1028"/>
    <s v="Pyjamas"/>
    <d v="2023-02-11T00:00:00"/>
    <s v="Alice"/>
    <s v="Scott Wayne"/>
    <x v="3"/>
    <n v="0.06"/>
    <n v="169.17420000000001"/>
    <x v="124"/>
    <n v="24"/>
    <x v="2"/>
    <n v="2521.0300000000002"/>
    <n v="2766.05"/>
    <s v="Returning"/>
    <n v="0.16"/>
    <s v="Bank Transfer"/>
    <s v="Retail"/>
    <s v="Low"/>
  </r>
  <r>
    <n v="1007"/>
    <s v="Fruit Jam"/>
    <d v="2023-03-30T00:00:00"/>
    <s v="David"/>
    <s v="Hogan Rock"/>
    <x v="3"/>
    <n v="0.06"/>
    <n v="485.33760000000001"/>
    <x v="125"/>
    <n v="14"/>
    <x v="0"/>
    <n v="1122.07"/>
    <n v="1608.76"/>
    <s v="New"/>
    <n v="0.22"/>
    <s v="Cash"/>
    <s v="Retail"/>
    <s v="High"/>
  </r>
  <r>
    <n v="1073"/>
    <s v="Console Table"/>
    <d v="2023-10-23T00:00:00"/>
    <s v="Charlie"/>
    <s v="Susan Jerkins"/>
    <x v="2"/>
    <n v="0.05"/>
    <n v="232.53400000000002"/>
    <x v="126"/>
    <n v="45"/>
    <x v="2"/>
    <n v="4369.5"/>
    <n v="4381.8900000000003"/>
    <s v="Returning"/>
    <n v="0.02"/>
    <s v="Credit Card"/>
    <s v="Retail"/>
    <s v="Low"/>
  </r>
  <r>
    <n v="1072"/>
    <s v="T-Shirt"/>
    <d v="2023-11-24T00:00:00"/>
    <s v="Alice"/>
    <s v="Scott Wayne"/>
    <x v="3"/>
    <n v="0.06"/>
    <n v="330.66659999999996"/>
    <x v="127"/>
    <n v="25"/>
    <x v="2"/>
    <n v="481.19"/>
    <n v="693.4"/>
    <s v="New"/>
    <n v="0.27"/>
    <s v="Credit Card"/>
    <s v="Retail"/>
    <s v="High"/>
  </r>
  <r>
    <n v="1012"/>
    <s v="Cabinet"/>
    <d v="2023-10-22T00:00:00"/>
    <s v="David"/>
    <s v="Hogan Rock"/>
    <x v="0"/>
    <n v="7.4999999999999997E-2"/>
    <n v="328.86599999999999"/>
    <x v="128"/>
    <n v="34"/>
    <x v="0"/>
    <n v="2462.5500000000002"/>
    <n v="2521.77"/>
    <s v="New"/>
    <n v="0.21"/>
    <s v="Bank Transfer"/>
    <s v="Retail"/>
    <s v="Low"/>
  </r>
  <r>
    <n v="1034"/>
    <s v="Socks Pack"/>
    <d v="2023-04-14T00:00:00"/>
    <s v="Alice"/>
    <s v="Scott Wayne"/>
    <x v="1"/>
    <n v="0.08"/>
    <n v="42.768799999999999"/>
    <x v="129"/>
    <n v="3"/>
    <x v="2"/>
    <n v="3472.51"/>
    <n v="3732"/>
    <s v="New"/>
    <n v="0.06"/>
    <s v="Cash"/>
    <s v="Online"/>
    <s v="Low"/>
  </r>
  <r>
    <n v="1033"/>
    <s v="TV Stand"/>
    <d v="2023-01-14T00:00:00"/>
    <s v="Alice"/>
    <s v="Scott Wayne"/>
    <x v="1"/>
    <n v="0.08"/>
    <n v="139.27360000000002"/>
    <x v="130"/>
    <n v="24"/>
    <x v="2"/>
    <n v="1345.67"/>
    <n v="1367.76"/>
    <s v="New"/>
    <n v="0.06"/>
    <s v="Bank Transfer"/>
    <s v="Online"/>
    <s v="Low"/>
  </r>
  <r>
    <n v="1048"/>
    <s v="Chaise Lounge"/>
    <d v="2023-10-15T00:00:00"/>
    <s v="Charlie"/>
    <s v="Susan Jerkins"/>
    <x v="0"/>
    <n v="7.4999999999999997E-2"/>
    <n v="338.31449999999995"/>
    <x v="131"/>
    <n v="42"/>
    <x v="3"/>
    <n v="3139.99"/>
    <n v="3349.37"/>
    <s v="Returning"/>
    <n v="0.13"/>
    <s v="Credit Card"/>
    <s v="Retail"/>
    <s v="Low"/>
  </r>
  <r>
    <n v="1023"/>
    <s v="Tights"/>
    <d v="2023-06-28T00:00:00"/>
    <s v="Eve"/>
    <s v="Tracy Moore"/>
    <x v="3"/>
    <n v="0.06"/>
    <n v="130.25639999999999"/>
    <x v="132"/>
    <n v="9"/>
    <x v="2"/>
    <n v="4155.46"/>
    <n v="4273.6000000000004"/>
    <s v="Returning"/>
    <n v="0.25"/>
    <s v="Cash"/>
    <s v="Retail"/>
    <s v="Low"/>
  </r>
  <r>
    <n v="1062"/>
    <s v="Boxers"/>
    <d v="2023-05-05T00:00:00"/>
    <s v="Eve"/>
    <s v="Tracy Moore"/>
    <x v="2"/>
    <n v="0.05"/>
    <n v="29.7395"/>
    <x v="133"/>
    <n v="26"/>
    <x v="2"/>
    <n v="992.17"/>
    <n v="1263.49"/>
    <s v="Returning"/>
    <n v="0.25"/>
    <s v="Bank Transfer"/>
    <s v="Retail"/>
    <s v="Low"/>
  </r>
  <r>
    <n v="1088"/>
    <s v="Office Desk"/>
    <d v="2023-12-19T00:00:00"/>
    <s v="Alice"/>
    <s v="Scott Wayne"/>
    <x v="3"/>
    <n v="0.06"/>
    <n v="507.12779999999992"/>
    <x v="134"/>
    <n v="20"/>
    <x v="2"/>
    <n v="4590.24"/>
    <n v="5088.28"/>
    <s v="New"/>
    <n v="0.16"/>
    <s v="Bank Transfer"/>
    <s v="Retail"/>
    <s v="High"/>
  </r>
  <r>
    <n v="1037"/>
    <s v="Turtleneck Top"/>
    <d v="2023-01-23T00:00:00"/>
    <s v="Bob"/>
    <s v="Michael Smith"/>
    <x v="0"/>
    <n v="7.4999999999999997E-2"/>
    <n v="736.03574999999989"/>
    <x v="135"/>
    <n v="40"/>
    <x v="2"/>
    <n v="2790.11"/>
    <n v="3192.37"/>
    <s v="Returning"/>
    <n v="0.26"/>
    <s v="Bank Transfer"/>
    <s v="Online"/>
    <s v="High"/>
  </r>
  <r>
    <n v="1099"/>
    <s v="Chest"/>
    <d v="2023-03-04T00:00:00"/>
    <s v="David"/>
    <s v="Hogan Rock"/>
    <x v="3"/>
    <n v="0.06"/>
    <n v="477.12659999999994"/>
    <x v="136"/>
    <n v="10"/>
    <x v="0"/>
    <n v="1531.2"/>
    <n v="1955.56"/>
    <s v="New"/>
    <n v="0"/>
    <s v="Credit Card"/>
    <s v="Online"/>
    <s v="High"/>
  </r>
  <r>
    <n v="1044"/>
    <s v="Burger"/>
    <d v="2023-05-23T00:00:00"/>
    <s v="Bob"/>
    <s v="Michael Smith"/>
    <x v="1"/>
    <n v="0.08"/>
    <n v="684.19759999999997"/>
    <x v="137"/>
    <n v="19"/>
    <x v="1"/>
    <n v="2182.75"/>
    <n v="2504.0299999999902"/>
    <s v="New"/>
    <n v="0.01"/>
    <s v="Bank Transfer"/>
    <s v="Online"/>
    <s v="High"/>
  </r>
  <r>
    <n v="1086"/>
    <s v="Gaming Console"/>
    <d v="2023-06-02T00:00:00"/>
    <s v="Bob"/>
    <s v="Michael Smith"/>
    <x v="3"/>
    <n v="0.06"/>
    <n v="149.73420000000002"/>
    <x v="138"/>
    <n v="3"/>
    <x v="3"/>
    <n v="1595.35"/>
    <n v="1625.70999999999"/>
    <s v="New"/>
    <n v="0.27"/>
    <s v="Cash"/>
    <s v="Online"/>
    <s v="Low"/>
  </r>
  <r>
    <n v="1091"/>
    <s v="Granola Bar"/>
    <d v="2023-05-25T00:00:00"/>
    <s v="Alice"/>
    <s v="Scott Wayne"/>
    <x v="0"/>
    <n v="7.4999999999999997E-2"/>
    <n v="720.76574999999991"/>
    <x v="139"/>
    <n v="24"/>
    <x v="2"/>
    <n v="3639.3"/>
    <n v="3750.63"/>
    <s v="New"/>
    <n v="0.23"/>
    <s v="Bank Transfer"/>
    <s v="Retail"/>
    <s v="High"/>
  </r>
  <r>
    <n v="1035"/>
    <s v="Doughnut"/>
    <d v="2023-08-13T00:00:00"/>
    <s v="Alice"/>
    <s v="Scott Wayne"/>
    <x v="1"/>
    <n v="0.08"/>
    <n v="163.9648"/>
    <x v="140"/>
    <n v="5"/>
    <x v="2"/>
    <n v="3991.69"/>
    <n v="4454.97"/>
    <s v="New"/>
    <n v="0.14000000000000001"/>
    <s v="Credit Card"/>
    <s v="Retail"/>
    <s v="Low"/>
  </r>
  <r>
    <n v="1065"/>
    <s v="Potatoes"/>
    <d v="2023-11-05T00:00:00"/>
    <s v="Alice"/>
    <s v="Scott Wayne"/>
    <x v="3"/>
    <n v="0.06"/>
    <n v="571.14959999999996"/>
    <x v="141"/>
    <n v="3"/>
    <x v="0"/>
    <n v="4173.04"/>
    <n v="4362.4399999999996"/>
    <s v="New"/>
    <n v="0.23"/>
    <s v="Bank Transfer"/>
    <s v="Retail"/>
    <s v="High"/>
  </r>
  <r>
    <n v="1099"/>
    <s v="Chest"/>
    <d v="2023-04-14T00:00:00"/>
    <s v="Alice"/>
    <s v="Scott Wayne"/>
    <x v="3"/>
    <n v="0.06"/>
    <n v="596.92259999999987"/>
    <x v="142"/>
    <n v="27"/>
    <x v="1"/>
    <n v="4929.55"/>
    <n v="4990.33"/>
    <s v="Returning"/>
    <n v="0.28999999999999998"/>
    <s v="Credit Card"/>
    <s v="Online"/>
    <s v="High"/>
  </r>
  <r>
    <n v="1047"/>
    <s v="Mouse"/>
    <d v="2023-04-14T00:00:00"/>
    <s v="Eve"/>
    <s v="Tracy Moore"/>
    <x v="1"/>
    <n v="0.08"/>
    <n v="571.6848"/>
    <x v="143"/>
    <n v="16"/>
    <x v="2"/>
    <n v="3966.86"/>
    <n v="4321.04"/>
    <s v="Returning"/>
    <n v="0.23"/>
    <s v="Credit Card"/>
    <s v="Retail"/>
    <s v="High"/>
  </r>
  <r>
    <n v="1078"/>
    <s v="Kitchen Island"/>
    <d v="2023-02-08T00:00:00"/>
    <s v="Alice"/>
    <s v="Scott Wayne"/>
    <x v="2"/>
    <n v="0.05"/>
    <n v="490.666"/>
    <x v="144"/>
    <n v="49"/>
    <x v="0"/>
    <n v="3026.85"/>
    <n v="3183.58"/>
    <s v="Returning"/>
    <n v="0.25"/>
    <s v="Cash"/>
    <s v="Retail"/>
    <s v="High"/>
  </r>
  <r>
    <n v="1003"/>
    <s v="Stool"/>
    <d v="2023-07-17T00:00:00"/>
    <s v="Eve"/>
    <s v="Tracy Moore"/>
    <x v="1"/>
    <n v="0.08"/>
    <n v="459.0752"/>
    <x v="145"/>
    <n v="15"/>
    <x v="3"/>
    <n v="1729.14"/>
    <n v="1870.88"/>
    <s v="Returning"/>
    <n v="0.23"/>
    <s v="Cash"/>
    <s v="Online"/>
    <s v="High"/>
  </r>
  <r>
    <n v="1001"/>
    <s v="Camera"/>
    <d v="2023-05-14T00:00:00"/>
    <s v="Eve"/>
    <s v="Tracy Moore"/>
    <x v="2"/>
    <n v="0.05"/>
    <n v="133.47300000000001"/>
    <x v="146"/>
    <n v="35"/>
    <x v="3"/>
    <n v="2745.75"/>
    <n v="3244.76"/>
    <s v="New"/>
    <n v="0.05"/>
    <s v="Bank Transfer"/>
    <s v="Online"/>
    <s v="Low"/>
  </r>
  <r>
    <n v="1005"/>
    <s v="Smart Phone"/>
    <d v="2023-03-08T00:00:00"/>
    <s v="Alice"/>
    <s v="Scott Wayne"/>
    <x v="0"/>
    <n v="7.4999999999999997E-2"/>
    <n v="331.96949999999998"/>
    <x v="147"/>
    <n v="12"/>
    <x v="2"/>
    <n v="253.29"/>
    <n v="683.78"/>
    <s v="New"/>
    <n v="0.25"/>
    <s v="Credit Card"/>
    <s v="Online"/>
    <s v="Low"/>
  </r>
  <r>
    <n v="1090"/>
    <s v="Keyboard"/>
    <d v="2023-06-28T00:00:00"/>
    <s v="Charlie"/>
    <s v="Susan Jerkins"/>
    <x v="0"/>
    <n v="7.4999999999999997E-2"/>
    <n v="448.21875"/>
    <x v="148"/>
    <n v="41"/>
    <x v="2"/>
    <n v="3736.88"/>
    <n v="3946.77"/>
    <s v="Returning"/>
    <n v="0.06"/>
    <s v="Credit Card"/>
    <s v="Online"/>
    <s v="High"/>
  </r>
  <r>
    <n v="1014"/>
    <s v="Cheese Block"/>
    <d v="2023-02-11T00:00:00"/>
    <s v="David"/>
    <s v="Hogan Rock"/>
    <x v="1"/>
    <n v="0.08"/>
    <n v="65.880799999999994"/>
    <x v="149"/>
    <n v="44"/>
    <x v="1"/>
    <n v="2257.48"/>
    <n v="2747.81"/>
    <s v="Returning"/>
    <n v="0.27"/>
    <s v="Cash"/>
    <s v="Online"/>
    <s v="Low"/>
  </r>
  <r>
    <n v="1027"/>
    <s v="Cookies"/>
    <d v="2023-01-15T00:00:00"/>
    <s v="Bob"/>
    <s v="Michael Smith"/>
    <x v="1"/>
    <n v="0.08"/>
    <n v="500.89600000000002"/>
    <x v="150"/>
    <n v="26"/>
    <x v="1"/>
    <n v="149.11000000000001"/>
    <n v="477.67"/>
    <s v="Returning"/>
    <n v="0.14000000000000001"/>
    <s v="Cash"/>
    <s v="Retail"/>
    <s v="High"/>
  </r>
  <r>
    <n v="1009"/>
    <s v="Jacket"/>
    <d v="2023-04-21T00:00:00"/>
    <s v="Eve"/>
    <s v="Tracy Moore"/>
    <x v="0"/>
    <n v="7.4999999999999997E-2"/>
    <n v="736.02449999999999"/>
    <x v="151"/>
    <n v="47"/>
    <x v="2"/>
    <n v="359.41"/>
    <n v="733"/>
    <s v="Returning"/>
    <n v="0.2"/>
    <s v="Bank Transfer"/>
    <s v="Retail"/>
    <s v="High"/>
  </r>
  <r>
    <n v="1079"/>
    <s v="Wardrobe"/>
    <d v="2023-06-06T00:00:00"/>
    <s v="David"/>
    <s v="Hogan Rock"/>
    <x v="2"/>
    <n v="0.05"/>
    <n v="99.103499999999997"/>
    <x v="152"/>
    <n v="34"/>
    <x v="0"/>
    <n v="1967.96"/>
    <n v="1993.4"/>
    <s v="Returning"/>
    <n v="0.15"/>
    <s v="Credit Card"/>
    <s v="Online"/>
    <s v="Low"/>
  </r>
  <r>
    <n v="1015"/>
    <s v="Chocolate Bar"/>
    <d v="2023-10-16T00:00:00"/>
    <s v="Charlie"/>
    <s v="Susan Jerkins"/>
    <x v="0"/>
    <n v="7.4999999999999997E-2"/>
    <n v="596.0017499999999"/>
    <x v="153"/>
    <n v="23"/>
    <x v="1"/>
    <n v="2937.94"/>
    <n v="3007.53"/>
    <s v="Returning"/>
    <n v="0.03"/>
    <s v="Cash"/>
    <s v="Retail"/>
    <s v="High"/>
  </r>
  <r>
    <n v="1090"/>
    <s v="Keyboard"/>
    <d v="2023-08-19T00:00:00"/>
    <s v="Bob"/>
    <s v="Michael Smith"/>
    <x v="1"/>
    <n v="0.08"/>
    <n v="727.05600000000004"/>
    <x v="154"/>
    <n v="31"/>
    <x v="2"/>
    <n v="2347.81"/>
    <n v="2668.02"/>
    <s v="Returning"/>
    <n v="0.09"/>
    <s v="Bank Transfer"/>
    <s v="Retail"/>
    <s v="High"/>
  </r>
  <r>
    <n v="1042"/>
    <s v="Frozen Pizza"/>
    <d v="2023-06-06T00:00:00"/>
    <s v="Bob"/>
    <s v="Michael Smith"/>
    <x v="0"/>
    <n v="7.4999999999999997E-2"/>
    <n v="708.1987499999999"/>
    <x v="155"/>
    <n v="20"/>
    <x v="1"/>
    <n v="3115.06"/>
    <n v="3565.58"/>
    <s v="Returning"/>
    <n v="0.3"/>
    <s v="Credit Card"/>
    <s v="Retail"/>
    <s v="High"/>
  </r>
  <r>
    <n v="1077"/>
    <s v="Skirt"/>
    <d v="2023-02-07T00:00:00"/>
    <s v="Eve"/>
    <s v="Tracy Moore"/>
    <x v="1"/>
    <n v="0.08"/>
    <n v="768.42720000000008"/>
    <x v="156"/>
    <n v="12"/>
    <x v="2"/>
    <n v="2427.46"/>
    <n v="2743.09"/>
    <s v="New"/>
    <n v="0.28999999999999998"/>
    <s v="Credit Card"/>
    <s v="Retail"/>
    <s v="High"/>
  </r>
  <r>
    <n v="1051"/>
    <s v="Tablet"/>
    <d v="2023-04-07T00:00:00"/>
    <s v="Alice"/>
    <s v="Scott Wayne"/>
    <x v="1"/>
    <n v="0.08"/>
    <n v="420.99599999999998"/>
    <x v="157"/>
    <n v="23"/>
    <x v="3"/>
    <n v="3325.43"/>
    <n v="3401.1"/>
    <s v="New"/>
    <n v="0.1"/>
    <s v="Cash"/>
    <s v="Online"/>
    <s v="High"/>
  </r>
  <r>
    <n v="1063"/>
    <s v="Noodles"/>
    <d v="2023-10-16T00:00:00"/>
    <s v="Charlie"/>
    <s v="Susan Jerkins"/>
    <x v="0"/>
    <n v="7.4999999999999997E-2"/>
    <n v="733.15125"/>
    <x v="158"/>
    <n v="4"/>
    <x v="2"/>
    <n v="1134.67"/>
    <n v="1201.3900000000001"/>
    <s v="New"/>
    <n v="0.3"/>
    <s v="Bank Transfer"/>
    <s v="Retail"/>
    <s v="High"/>
  </r>
  <r>
    <n v="1096"/>
    <s v="Radio"/>
    <d v="2023-09-11T00:00:00"/>
    <s v="Eve"/>
    <s v="Tracy Moore"/>
    <x v="2"/>
    <n v="0.05"/>
    <n v="379.86850000000004"/>
    <x v="159"/>
    <n v="23"/>
    <x v="3"/>
    <n v="608.57000000000005"/>
    <n v="1032.22"/>
    <s v="New"/>
    <n v="0.25"/>
    <s v="Cash"/>
    <s v="Retail"/>
    <s v="High"/>
  </r>
  <r>
    <n v="1052"/>
    <s v="Wooden Chair"/>
    <d v="2023-07-15T00:00:00"/>
    <s v="Charlie"/>
    <s v="Susan Jerkins"/>
    <x v="3"/>
    <n v="0.06"/>
    <n v="102.03299999999999"/>
    <x v="160"/>
    <n v="48"/>
    <x v="1"/>
    <n v="3002.35"/>
    <n v="3080.61"/>
    <s v="Returning"/>
    <n v="0.18"/>
    <s v="Bank Transfer"/>
    <s v="Retail"/>
    <s v="Low"/>
  </r>
  <r>
    <n v="1096"/>
    <s v="Radio"/>
    <d v="2023-03-27T00:00:00"/>
    <s v="Alice"/>
    <s v="Scott Wayne"/>
    <x v="0"/>
    <n v="7.4999999999999997E-2"/>
    <n v="361.59825000000001"/>
    <x v="161"/>
    <n v="48"/>
    <x v="2"/>
    <n v="2449.21"/>
    <n v="2714.12"/>
    <s v="New"/>
    <n v="0.01"/>
    <s v="Credit Card"/>
    <s v="Online"/>
    <s v="Low"/>
  </r>
  <r>
    <n v="1004"/>
    <s v="Smartwatch"/>
    <d v="2023-11-18T00:00:00"/>
    <s v="Alice"/>
    <s v="Scott Wayne"/>
    <x v="3"/>
    <n v="0.06"/>
    <n v="432.68879999999996"/>
    <x v="162"/>
    <n v="1"/>
    <x v="1"/>
    <n v="182.99"/>
    <n v="211.18"/>
    <s v="Returning"/>
    <n v="0.27"/>
    <s v="Bank Transfer"/>
    <s v="Retail"/>
    <s v="High"/>
  </r>
  <r>
    <n v="1094"/>
    <s v="Microwave"/>
    <d v="2023-01-10T00:00:00"/>
    <s v="Eve"/>
    <s v="Tracy Moore"/>
    <x v="0"/>
    <n v="7.4999999999999997E-2"/>
    <n v="191.15025"/>
    <x v="163"/>
    <n v="25"/>
    <x v="3"/>
    <n v="1933.39"/>
    <n v="1982.92"/>
    <s v="New"/>
    <n v="0.17"/>
    <s v="Bank Transfer"/>
    <s v="Online"/>
    <s v="Low"/>
  </r>
  <r>
    <n v="1023"/>
    <s v="Tights"/>
    <d v="2023-01-05T00:00:00"/>
    <s v="Alice"/>
    <s v="Scott Wayne"/>
    <x v="3"/>
    <n v="0.06"/>
    <n v="386.52539999999999"/>
    <x v="164"/>
    <n v="2"/>
    <x v="2"/>
    <n v="575.32000000000005"/>
    <n v="914.77"/>
    <s v="Returning"/>
    <n v="0.26"/>
    <s v="Bank Transfer"/>
    <s v="Online"/>
    <s v="High"/>
  </r>
  <r>
    <n v="1015"/>
    <s v="Chocolate Bar"/>
    <d v="2023-05-03T00:00:00"/>
    <s v="David"/>
    <s v="Hogan Rock"/>
    <x v="2"/>
    <n v="0.05"/>
    <n v="334.96700000000004"/>
    <x v="165"/>
    <n v="30"/>
    <x v="1"/>
    <n v="2680.22"/>
    <n v="3027.9199999999901"/>
    <s v="Returning"/>
    <n v="0.25"/>
    <s v="Bank Transfer"/>
    <s v="Online"/>
    <s v="High"/>
  </r>
  <r>
    <n v="1043"/>
    <s v="Oven"/>
    <d v="2023-11-26T00:00:00"/>
    <s v="Bob"/>
    <s v="Michael Smith"/>
    <x v="2"/>
    <n v="0.05"/>
    <n v="85.536500000000004"/>
    <x v="166"/>
    <n v="3"/>
    <x v="3"/>
    <n v="2009.1"/>
    <n v="2186.42"/>
    <s v="New"/>
    <n v="0.25"/>
    <s v="Bank Transfer"/>
    <s v="Online"/>
    <s v="Low"/>
  </r>
  <r>
    <n v="1029"/>
    <s v="Camisole"/>
    <d v="2023-12-19T00:00:00"/>
    <s v="Eve"/>
    <s v="Tracy Moore"/>
    <x v="0"/>
    <n v="7.4999999999999997E-2"/>
    <n v="427.07549999999998"/>
    <x v="167"/>
    <n v="21"/>
    <x v="1"/>
    <n v="3085.1"/>
    <n v="3200.75"/>
    <s v="New"/>
    <n v="0.21"/>
    <s v="Cash"/>
    <s v="Retail"/>
    <s v="High"/>
  </r>
  <r>
    <n v="1036"/>
    <s v="Shorts"/>
    <d v="2023-04-28T00:00:00"/>
    <s v="Charlie"/>
    <s v="Susan Jerkins"/>
    <x v="1"/>
    <n v="0.08"/>
    <n v="619.12879999999996"/>
    <x v="168"/>
    <n v="25"/>
    <x v="0"/>
    <n v="4037.73"/>
    <n v="4446.45"/>
    <s v="Returning"/>
    <n v="0.09"/>
    <s v="Bank Transfer"/>
    <s v="Online"/>
    <s v="High"/>
  </r>
  <r>
    <n v="1013"/>
    <s v="Gas Cooker"/>
    <d v="2023-10-21T00:00:00"/>
    <s v="David"/>
    <s v="Hogan Rock"/>
    <x v="3"/>
    <n v="0.06"/>
    <n v="302.34419999999994"/>
    <x v="169"/>
    <n v="20"/>
    <x v="3"/>
    <n v="1533.36"/>
    <n v="1649.73999999999"/>
    <s v="Returning"/>
    <n v="0.1"/>
    <s v="Bank Transfer"/>
    <s v="Online"/>
    <s v="High"/>
  </r>
  <r>
    <n v="1032"/>
    <s v="Refridgerator"/>
    <d v="2023-06-08T00:00:00"/>
    <s v="Eve"/>
    <s v="Tracy Moore"/>
    <x v="1"/>
    <n v="0.08"/>
    <n v="17.585599999999999"/>
    <x v="170"/>
    <n v="49"/>
    <x v="3"/>
    <n v="4812.41"/>
    <n v="5088"/>
    <s v="Returning"/>
    <n v="0.09"/>
    <s v="Credit Card"/>
    <s v="Online"/>
    <s v="Low"/>
  </r>
  <r>
    <n v="1071"/>
    <s v="Game Table"/>
    <d v="2023-10-30T00:00:00"/>
    <s v="Alice"/>
    <s v="Scott Wayne"/>
    <x v="1"/>
    <n v="0.08"/>
    <n v="15.1584"/>
    <x v="171"/>
    <n v="22"/>
    <x v="3"/>
    <n v="2701.39"/>
    <n v="3185.81"/>
    <s v="New"/>
    <n v="0.01"/>
    <s v="Bank Transfer"/>
    <s v="Online"/>
    <s v="Low"/>
  </r>
  <r>
    <n v="1059"/>
    <s v="Coffee Beans"/>
    <d v="2023-08-16T00:00:00"/>
    <s v="Alice"/>
    <s v="Scott Wayne"/>
    <x v="1"/>
    <n v="0.08"/>
    <n v="290.7672"/>
    <x v="172"/>
    <n v="21"/>
    <x v="2"/>
    <n v="3110.54"/>
    <n v="3192.99"/>
    <s v="New"/>
    <n v="0.17"/>
    <s v="Credit Card"/>
    <s v="Online"/>
    <s v="Low"/>
  </r>
  <r>
    <n v="1086"/>
    <s v="Gaming Console"/>
    <d v="2023-12-31T00:00:00"/>
    <s v="Alice"/>
    <s v="Scott Wayne"/>
    <x v="2"/>
    <n v="0.05"/>
    <n v="463.46600000000001"/>
    <x v="173"/>
    <n v="33"/>
    <x v="2"/>
    <n v="3419.33"/>
    <n v="3890.3599999999901"/>
    <s v="Returning"/>
    <n v="0.21"/>
    <s v="Cash"/>
    <s v="Retail"/>
    <s v="High"/>
  </r>
  <r>
    <n v="1028"/>
    <s v="Pyjamas"/>
    <d v="2023-08-04T00:00:00"/>
    <s v="Alice"/>
    <s v="Scott Wayne"/>
    <x v="0"/>
    <n v="7.4999999999999997E-2"/>
    <n v="177.29249999999999"/>
    <x v="174"/>
    <n v="38"/>
    <x v="2"/>
    <n v="3350.32"/>
    <n v="3449.94"/>
    <s v="New"/>
    <n v="0.26"/>
    <s v="Cash"/>
    <s v="Online"/>
    <s v="Low"/>
  </r>
  <r>
    <n v="1066"/>
    <s v="Armoire"/>
    <d v="2023-07-03T00:00:00"/>
    <s v="Charlie"/>
    <s v="Susan Jerkins"/>
    <x v="0"/>
    <n v="7.4999999999999997E-2"/>
    <n v="478.51499999999999"/>
    <x v="175"/>
    <n v="15"/>
    <x v="0"/>
    <n v="2579.31"/>
    <n v="2867.36"/>
    <s v="Returning"/>
    <n v="0.04"/>
    <s v="Bank Transfer"/>
    <s v="Retail"/>
    <s v="High"/>
  </r>
  <r>
    <n v="1042"/>
    <s v="Frozen Pizza"/>
    <d v="2023-01-15T00:00:00"/>
    <s v="David"/>
    <s v="Hogan Rock"/>
    <x v="2"/>
    <n v="0.05"/>
    <n v="114.92750000000001"/>
    <x v="176"/>
    <n v="46"/>
    <x v="0"/>
    <n v="2172.38"/>
    <n v="2367.11"/>
    <s v="New"/>
    <n v="0.16"/>
    <s v="Cash"/>
    <s v="Retail"/>
    <s v="Low"/>
  </r>
  <r>
    <n v="1045"/>
    <s v="Bikers Shorts"/>
    <d v="2023-06-06T00:00:00"/>
    <s v="Bob"/>
    <s v="Michael Smith"/>
    <x v="2"/>
    <n v="0.05"/>
    <n v="164.22650000000002"/>
    <x v="177"/>
    <n v="15"/>
    <x v="3"/>
    <n v="316.22000000000003"/>
    <n v="799.04"/>
    <s v="New"/>
    <n v="0"/>
    <s v="Bank Transfer"/>
    <s v="Online"/>
    <s v="Low"/>
  </r>
  <r>
    <n v="1062"/>
    <s v="Boxers"/>
    <d v="2023-05-16T00:00:00"/>
    <s v="Charlie"/>
    <s v="Susan Jerkins"/>
    <x v="0"/>
    <n v="7.4999999999999997E-2"/>
    <n v="637.17150000000004"/>
    <x v="178"/>
    <n v="46"/>
    <x v="0"/>
    <n v="159.32"/>
    <n v="303.36"/>
    <s v="New"/>
    <n v="0.03"/>
    <s v="Cash"/>
    <s v="Retail"/>
    <s v="High"/>
  </r>
  <r>
    <n v="1057"/>
    <s v="Avocadro Pear"/>
    <d v="2023-09-18T00:00:00"/>
    <s v="Charlie"/>
    <s v="Susan Jerkins"/>
    <x v="1"/>
    <n v="0.08"/>
    <n v="585.25839999999994"/>
    <x v="179"/>
    <n v="25"/>
    <x v="1"/>
    <n v="1821.91"/>
    <n v="2027.74"/>
    <s v="New"/>
    <n v="0.02"/>
    <s v="Bank Transfer"/>
    <s v="Retail"/>
    <s v="High"/>
  </r>
  <r>
    <n v="1006"/>
    <s v="Monitor"/>
    <d v="2023-06-06T00:00:00"/>
    <s v="Bob"/>
    <s v="Michael Smith"/>
    <x v="3"/>
    <n v="0.06"/>
    <n v="62.667000000000002"/>
    <x v="180"/>
    <n v="21"/>
    <x v="3"/>
    <n v="1701.62"/>
    <n v="2193.2199999999998"/>
    <s v="New"/>
    <n v="0.22"/>
    <s v="Bank Transfer"/>
    <s v="Retail"/>
    <s v="Low"/>
  </r>
  <r>
    <n v="1028"/>
    <s v="Pyjamas"/>
    <d v="2023-02-16T00:00:00"/>
    <s v="Bob"/>
    <s v="Michael Smith"/>
    <x v="3"/>
    <n v="0.06"/>
    <n v="260.64899999999994"/>
    <x v="181"/>
    <n v="24"/>
    <x v="3"/>
    <n v="1969.09"/>
    <n v="2241.96"/>
    <s v="Returning"/>
    <n v="0.02"/>
    <s v="Credit Card"/>
    <s v="Online"/>
    <s v="Low"/>
  </r>
  <r>
    <n v="1028"/>
    <s v="Pyjamas"/>
    <d v="2023-11-20T00:00:00"/>
    <s v="Alice"/>
    <s v="Scott Wayne"/>
    <x v="3"/>
    <n v="0.06"/>
    <n v="23.326799999999999"/>
    <x v="182"/>
    <n v="5"/>
    <x v="1"/>
    <n v="734.92"/>
    <n v="991.21"/>
    <s v="Returning"/>
    <n v="0.21"/>
    <s v="Credit Card"/>
    <s v="Online"/>
    <s v="Low"/>
  </r>
  <r>
    <n v="1044"/>
    <s v="Burger"/>
    <d v="2023-11-28T00:00:00"/>
    <s v="Charlie"/>
    <s v="Susan Jerkins"/>
    <x v="1"/>
    <n v="0.08"/>
    <n v="388.86480000000006"/>
    <x v="183"/>
    <n v="6"/>
    <x v="3"/>
    <n v="3703.93"/>
    <n v="3840.24"/>
    <s v="New"/>
    <n v="7.0000000000000007E-2"/>
    <s v="Credit Card"/>
    <s v="Online"/>
    <s v="Low"/>
  </r>
  <r>
    <n v="1084"/>
    <s v="Card Table"/>
    <d v="2023-06-22T00:00:00"/>
    <s v="Eve"/>
    <s v="Tracy Moore"/>
    <x v="0"/>
    <n v="7.4999999999999997E-2"/>
    <n v="499.35750000000002"/>
    <x v="184"/>
    <n v="49"/>
    <x v="0"/>
    <n v="4291.97"/>
    <n v="4645.6400000000003"/>
    <s v="Returning"/>
    <n v="0.26"/>
    <s v="Credit Card"/>
    <s v="Online"/>
    <s v="High"/>
  </r>
  <r>
    <n v="1030"/>
    <s v="Jeans"/>
    <d v="2023-05-10T00:00:00"/>
    <s v="Bob"/>
    <s v="Michael Smith"/>
    <x v="2"/>
    <n v="0.05"/>
    <n v="63.659000000000006"/>
    <x v="185"/>
    <n v="43"/>
    <x v="2"/>
    <n v="4696.6400000000003"/>
    <n v="4713.68"/>
    <s v="Returning"/>
    <n v="0.24"/>
    <s v="Bank Transfer"/>
    <s v="Online"/>
    <s v="Low"/>
  </r>
  <r>
    <n v="1062"/>
    <s v="Boxers"/>
    <d v="2023-04-05T00:00:00"/>
    <s v="Bob"/>
    <s v="Michael Smith"/>
    <x v="0"/>
    <n v="7.4999999999999997E-2"/>
    <n v="221.99699999999999"/>
    <x v="186"/>
    <n v="48"/>
    <x v="1"/>
    <n v="2487.19"/>
    <n v="2521.4499999999998"/>
    <s v="New"/>
    <n v="0.28999999999999998"/>
    <s v="Cash"/>
    <s v="Online"/>
    <s v="Low"/>
  </r>
  <r>
    <n v="1075"/>
    <s v="Bookshelf"/>
    <d v="2023-04-25T00:00:00"/>
    <s v="David"/>
    <s v="Hogan Rock"/>
    <x v="1"/>
    <n v="0.08"/>
    <n v="323.08640000000003"/>
    <x v="187"/>
    <n v="44"/>
    <x v="0"/>
    <n v="3519.29"/>
    <n v="3822.98"/>
    <s v="Returning"/>
    <n v="0.27"/>
    <s v="Bank Transfer"/>
    <s v="Online"/>
    <s v="Low"/>
  </r>
  <r>
    <n v="1092"/>
    <s v="Recliner"/>
    <d v="2023-08-31T00:00:00"/>
    <s v="Eve"/>
    <s v="Tracy Moore"/>
    <x v="2"/>
    <n v="0.05"/>
    <n v="460.16800000000006"/>
    <x v="188"/>
    <n v="47"/>
    <x v="1"/>
    <n v="4284.9799999999996"/>
    <n v="4462.3999999999996"/>
    <s v="New"/>
    <n v="0.28000000000000003"/>
    <s v="Credit Card"/>
    <s v="Retail"/>
    <s v="High"/>
  </r>
  <r>
    <n v="1089"/>
    <s v="Recliner"/>
    <d v="2023-10-19T00:00:00"/>
    <s v="Eve"/>
    <s v="Tracy Moore"/>
    <x v="1"/>
    <n v="0.08"/>
    <n v="794.6576"/>
    <x v="189"/>
    <n v="23"/>
    <x v="1"/>
    <n v="2120.54"/>
    <n v="2597.67"/>
    <s v="Returning"/>
    <n v="0.26"/>
    <s v="Credit Card"/>
    <s v="Retail"/>
    <s v="High"/>
  </r>
  <r>
    <n v="1062"/>
    <s v="Boxers"/>
    <d v="2023-10-09T00:00:00"/>
    <s v="Bob"/>
    <s v="Michael Smith"/>
    <x v="3"/>
    <n v="0.06"/>
    <n v="32.677199999999999"/>
    <x v="190"/>
    <n v="4"/>
    <x v="3"/>
    <n v="1581.59"/>
    <n v="2034.1499999999901"/>
    <s v="Returning"/>
    <n v="0.21"/>
    <s v="Cash"/>
    <s v="Online"/>
    <s v="Low"/>
  </r>
  <r>
    <n v="1097"/>
    <s v="Freezer"/>
    <d v="2023-10-26T00:00:00"/>
    <s v="Alice"/>
    <s v="Scott Wayne"/>
    <x v="3"/>
    <n v="0.06"/>
    <n v="458.03879999999998"/>
    <x v="191"/>
    <n v="27"/>
    <x v="3"/>
    <n v="4686.79"/>
    <n v="5046.51"/>
    <s v="Returning"/>
    <n v="0.05"/>
    <s v="Credit Card"/>
    <s v="Retail"/>
    <s v="High"/>
  </r>
  <r>
    <n v="1001"/>
    <s v="Camera"/>
    <d v="2023-10-10T00:00:00"/>
    <s v="David"/>
    <s v="Hogan Rock"/>
    <x v="1"/>
    <n v="0.08"/>
    <n v="302.40559999999999"/>
    <x v="192"/>
    <n v="18"/>
    <x v="0"/>
    <n v="2602.6"/>
    <n v="3013.49"/>
    <s v="Returning"/>
    <n v="0.08"/>
    <s v="Bank Transfer"/>
    <s v="Online"/>
    <s v="Low"/>
  </r>
  <r>
    <n v="1027"/>
    <s v="Cookies"/>
    <d v="2023-03-10T00:00:00"/>
    <s v="Eve"/>
    <s v="Tracy Moore"/>
    <x v="2"/>
    <n v="0.05"/>
    <n v="199.26700000000002"/>
    <x v="193"/>
    <n v="21"/>
    <x v="1"/>
    <n v="2511.41"/>
    <n v="2848.3999999999901"/>
    <s v="Returning"/>
    <n v="0.06"/>
    <s v="Bank Transfer"/>
    <s v="Online"/>
    <s v="Low"/>
  </r>
  <r>
    <n v="1062"/>
    <s v="Boxers"/>
    <d v="2023-05-28T00:00:00"/>
    <s v="Bob"/>
    <s v="Michael Smith"/>
    <x v="2"/>
    <n v="0.05"/>
    <n v="378.36100000000005"/>
    <x v="194"/>
    <n v="28"/>
    <x v="3"/>
    <n v="933.16"/>
    <n v="1004.69999999999"/>
    <s v="Returning"/>
    <n v="0.18"/>
    <s v="Bank Transfer"/>
    <s v="Online"/>
    <s v="High"/>
  </r>
  <r>
    <n v="1077"/>
    <s v="Skirt"/>
    <d v="2023-01-11T00:00:00"/>
    <s v="Eve"/>
    <s v="Tracy Moore"/>
    <x v="0"/>
    <n v="7.4999999999999997E-2"/>
    <n v="689.43150000000003"/>
    <x v="195"/>
    <n v="35"/>
    <x v="3"/>
    <n v="585.37"/>
    <n v="970.49"/>
    <s v="Returning"/>
    <n v="0.15"/>
    <s v="Bank Transfer"/>
    <s v="Retail"/>
    <s v="High"/>
  </r>
  <r>
    <n v="1003"/>
    <s v="Stool"/>
    <d v="2023-09-11T00:00:00"/>
    <s v="David"/>
    <s v="Hogan Rock"/>
    <x v="3"/>
    <n v="0.06"/>
    <n v="570.85140000000001"/>
    <x v="196"/>
    <n v="22"/>
    <x v="1"/>
    <n v="4218.43"/>
    <n v="4331.42"/>
    <s v="New"/>
    <n v="0.26"/>
    <s v="Bank Transfer"/>
    <s v="Online"/>
    <s v="High"/>
  </r>
  <r>
    <n v="1070"/>
    <s v="Hutch"/>
    <d v="2023-11-26T00:00:00"/>
    <s v="David"/>
    <s v="Hogan Rock"/>
    <x v="0"/>
    <n v="7.4999999999999997E-2"/>
    <n v="436.01325000000003"/>
    <x v="197"/>
    <n v="40"/>
    <x v="0"/>
    <n v="3089.96"/>
    <n v="3258.45"/>
    <s v="New"/>
    <n v="0.28999999999999998"/>
    <s v="Cash"/>
    <s v="Online"/>
    <s v="High"/>
  </r>
  <r>
    <n v="1072"/>
    <s v="T-Shirt"/>
    <d v="2023-12-26T00:00:00"/>
    <s v="Charlie"/>
    <s v="Susan Jerkins"/>
    <x v="0"/>
    <n v="7.4999999999999997E-2"/>
    <n v="272.66249999999997"/>
    <x v="198"/>
    <n v="23"/>
    <x v="0"/>
    <n v="1662.83"/>
    <n v="2074.25"/>
    <s v="New"/>
    <n v="0.12"/>
    <s v="Bank Transfer"/>
    <s v="Online"/>
    <s v="Low"/>
  </r>
  <r>
    <n v="1027"/>
    <s v="Cookies"/>
    <d v="2023-02-07T00:00:00"/>
    <s v="Bob"/>
    <s v="Michael Smith"/>
    <x v="1"/>
    <n v="0.08"/>
    <n v="631.73919999999998"/>
    <x v="199"/>
    <n v="3"/>
    <x v="1"/>
    <n v="999.09"/>
    <n v="1271.99"/>
    <s v="New"/>
    <n v="0.15"/>
    <s v="Credit Card"/>
    <s v="Online"/>
    <s v="High"/>
  </r>
  <r>
    <n v="1009"/>
    <s v="Jacket"/>
    <d v="2023-05-14T00:00:00"/>
    <s v="David"/>
    <s v="Hogan Rock"/>
    <x v="1"/>
    <n v="0.08"/>
    <n v="206.7928"/>
    <x v="200"/>
    <n v="40"/>
    <x v="0"/>
    <n v="2799.71"/>
    <n v="3231.08"/>
    <s v="Returning"/>
    <n v="0.28999999999999998"/>
    <s v="Credit Card"/>
    <s v="Retail"/>
    <s v="Low"/>
  </r>
  <r>
    <n v="1062"/>
    <s v="Boxers"/>
    <d v="2023-07-19T00:00:00"/>
    <s v="Charlie"/>
    <s v="Susan Jerkins"/>
    <x v="0"/>
    <n v="7.4999999999999997E-2"/>
    <n v="426.32474999999999"/>
    <x v="201"/>
    <n v="10"/>
    <x v="3"/>
    <n v="2940.4"/>
    <n v="3054.79"/>
    <s v="Returning"/>
    <n v="0.08"/>
    <s v="Credit Card"/>
    <s v="Online"/>
    <s v="High"/>
  </r>
  <r>
    <n v="1037"/>
    <s v="Turtleneck Top"/>
    <d v="2023-01-23T00:00:00"/>
    <s v="Charlie"/>
    <s v="Susan Jerkins"/>
    <x v="3"/>
    <n v="0.06"/>
    <n v="218.99579999999997"/>
    <x v="202"/>
    <n v="25"/>
    <x v="1"/>
    <n v="1074.6199999999999"/>
    <n v="1382.4299999999901"/>
    <s v="Returning"/>
    <n v="0.24"/>
    <s v="Credit Card"/>
    <s v="Retail"/>
    <s v="Low"/>
  </r>
  <r>
    <n v="1097"/>
    <s v="Freezer"/>
    <d v="2023-10-30T00:00:00"/>
    <s v="Eve"/>
    <s v="Tracy Moore"/>
    <x v="1"/>
    <n v="0.08"/>
    <n v="528.05200000000002"/>
    <x v="203"/>
    <n v="49"/>
    <x v="3"/>
    <n v="4264.46"/>
    <n v="4315.5200000000004"/>
    <s v="New"/>
    <n v="7.0000000000000007E-2"/>
    <s v="Cash"/>
    <s v="Retail"/>
    <s v="High"/>
  </r>
  <r>
    <n v="1051"/>
    <s v="Tablet"/>
    <d v="2023-12-12T00:00:00"/>
    <s v="Eve"/>
    <s v="Tracy Moore"/>
    <x v="0"/>
    <n v="7.4999999999999997E-2"/>
    <n v="185.99624999999997"/>
    <x v="204"/>
    <n v="8"/>
    <x v="2"/>
    <n v="467.11"/>
    <n v="792.21"/>
    <s v="New"/>
    <n v="0.2"/>
    <s v="Credit Card"/>
    <s v="Online"/>
    <s v="Low"/>
  </r>
  <r>
    <n v="1044"/>
    <s v="Burger"/>
    <d v="2023-10-29T00:00:00"/>
    <s v="Charlie"/>
    <s v="Susan Jerkins"/>
    <x v="0"/>
    <n v="7.4999999999999997E-2"/>
    <n v="149.75774999999999"/>
    <x v="205"/>
    <n v="11"/>
    <x v="2"/>
    <n v="1812.66"/>
    <n v="2196.3000000000002"/>
    <s v="New"/>
    <n v="0.08"/>
    <s v="Cash"/>
    <s v="Online"/>
    <s v="Low"/>
  </r>
  <r>
    <n v="1024"/>
    <s v="Pasta Pack"/>
    <d v="2023-12-29T00:00:00"/>
    <s v="Eve"/>
    <s v="Tracy Moore"/>
    <x v="0"/>
    <n v="7.4999999999999997E-2"/>
    <n v="689.29274999999996"/>
    <x v="206"/>
    <n v="5"/>
    <x v="0"/>
    <n v="3417.9"/>
    <n v="3714.52"/>
    <s v="Returning"/>
    <n v="0.27"/>
    <s v="Credit Card"/>
    <s v="Retail"/>
    <s v="High"/>
  </r>
  <r>
    <n v="1079"/>
    <s v="Wardrobe"/>
    <d v="2023-08-06T00:00:00"/>
    <s v="David"/>
    <s v="Hogan Rock"/>
    <x v="0"/>
    <n v="7.4999999999999997E-2"/>
    <n v="83.089499999999987"/>
    <x v="207"/>
    <n v="45"/>
    <x v="2"/>
    <n v="1406.9"/>
    <n v="1547.35"/>
    <s v="New"/>
    <n v="0.17"/>
    <s v="Cash"/>
    <s v="Retail"/>
    <s v="Low"/>
  </r>
  <r>
    <n v="1059"/>
    <s v="Coffee Beans"/>
    <d v="2023-05-21T00:00:00"/>
    <s v="Alice"/>
    <s v="Scott Wayne"/>
    <x v="0"/>
    <n v="7.4999999999999997E-2"/>
    <n v="383.17349999999993"/>
    <x v="208"/>
    <n v="37"/>
    <x v="3"/>
    <n v="4146.99"/>
    <n v="4172.3499999999904"/>
    <s v="Returning"/>
    <n v="0.06"/>
    <s v="Cash"/>
    <s v="Retail"/>
    <s v="High"/>
  </r>
  <r>
    <n v="1032"/>
    <s v="Refridgerator"/>
    <d v="2023-04-14T00:00:00"/>
    <s v="David"/>
    <s v="Hogan Rock"/>
    <x v="0"/>
    <n v="7.4999999999999997E-2"/>
    <n v="171.483"/>
    <x v="209"/>
    <n v="45"/>
    <x v="2"/>
    <n v="3712.35"/>
    <n v="3780.88"/>
    <s v="New"/>
    <n v="7.0000000000000007E-2"/>
    <s v="Cash"/>
    <s v="Retail"/>
    <s v="Low"/>
  </r>
  <r>
    <n v="1096"/>
    <s v="Radio"/>
    <d v="2023-07-29T00:00:00"/>
    <s v="Charlie"/>
    <s v="Susan Jerkins"/>
    <x v="1"/>
    <n v="0.08"/>
    <n v="38.832800000000006"/>
    <x v="210"/>
    <n v="38"/>
    <x v="3"/>
    <n v="3955.66"/>
    <n v="4270.59"/>
    <s v="Returning"/>
    <n v="0.15"/>
    <s v="Credit Card"/>
    <s v="Online"/>
    <s v="Low"/>
  </r>
  <r>
    <n v="1088"/>
    <s v="Office Desk"/>
    <d v="2023-04-21T00:00:00"/>
    <s v="Charlie"/>
    <s v="Susan Jerkins"/>
    <x v="3"/>
    <n v="0.06"/>
    <n v="27.395399999999999"/>
    <x v="211"/>
    <n v="29"/>
    <x v="0"/>
    <n v="639.58000000000004"/>
    <n v="1107.45"/>
    <s v="New"/>
    <n v="0.28999999999999998"/>
    <s v="Cash"/>
    <s v="Retail"/>
    <s v="Low"/>
  </r>
  <r>
    <n v="1052"/>
    <s v="Wooden Chair"/>
    <d v="2023-04-14T00:00:00"/>
    <s v="David"/>
    <s v="Hogan Rock"/>
    <x v="0"/>
    <n v="7.4999999999999997E-2"/>
    <n v="137.60249999999999"/>
    <x v="212"/>
    <n v="5"/>
    <x v="0"/>
    <n v="745.71"/>
    <n v="856.91"/>
    <s v="Returning"/>
    <n v="0.23"/>
    <s v="Bank Transfer"/>
    <s v="Retail"/>
    <s v="Low"/>
  </r>
  <r>
    <n v="1062"/>
    <s v="Boxers"/>
    <d v="2023-11-12T00:00:00"/>
    <s v="Eve"/>
    <s v="Tracy Moore"/>
    <x v="2"/>
    <n v="0.05"/>
    <n v="434.05150000000003"/>
    <x v="213"/>
    <n v="9"/>
    <x v="3"/>
    <n v="1468.05"/>
    <n v="1838.21"/>
    <s v="New"/>
    <n v="0.15"/>
    <s v="Bank Transfer"/>
    <s v="Retail"/>
    <s v="High"/>
  </r>
  <r>
    <n v="1058"/>
    <s v="Wardrobe"/>
    <d v="2023-06-20T00:00:00"/>
    <s v="Eve"/>
    <s v="Tracy Moore"/>
    <x v="1"/>
    <n v="0.08"/>
    <n v="231.72319999999999"/>
    <x v="214"/>
    <n v="48"/>
    <x v="2"/>
    <n v="2614.48"/>
    <n v="3049.04"/>
    <s v="New"/>
    <n v="0.1"/>
    <s v="Credit Card"/>
    <s v="Retail"/>
    <s v="Low"/>
  </r>
  <r>
    <n v="1052"/>
    <s v="Wooden Chair"/>
    <d v="2023-12-22T00:00:00"/>
    <s v="Charlie"/>
    <s v="Susan Jerkins"/>
    <x v="1"/>
    <n v="0.08"/>
    <n v="760.76400000000001"/>
    <x v="215"/>
    <n v="2"/>
    <x v="0"/>
    <n v="3752.68"/>
    <n v="4017.91"/>
    <s v="Returning"/>
    <n v="0.16"/>
    <s v="Bank Transfer"/>
    <s v="Online"/>
    <s v="High"/>
  </r>
  <r>
    <n v="1012"/>
    <s v="Cabinet"/>
    <d v="2023-11-20T00:00:00"/>
    <s v="Bob"/>
    <s v="Michael Smith"/>
    <x v="0"/>
    <n v="7.4999999999999997E-2"/>
    <n v="439.35450000000003"/>
    <x v="216"/>
    <n v="1"/>
    <x v="1"/>
    <n v="4190.83"/>
    <n v="4528.7699999999904"/>
    <s v="Returning"/>
    <n v="0.22"/>
    <s v="Bank Transfer"/>
    <s v="Online"/>
    <s v="High"/>
  </r>
  <r>
    <n v="1039"/>
    <s v="Hoodie"/>
    <d v="2023-05-13T00:00:00"/>
    <s v="Eve"/>
    <s v="Tracy Moore"/>
    <x v="1"/>
    <n v="0.08"/>
    <n v="353.79839999999996"/>
    <x v="217"/>
    <n v="40"/>
    <x v="0"/>
    <n v="3536.46"/>
    <n v="3945.82"/>
    <s v="New"/>
    <n v="0.24"/>
    <s v="Bank Transfer"/>
    <s v="Online"/>
    <s v="Low"/>
  </r>
  <r>
    <n v="1002"/>
    <s v="Bench"/>
    <d v="2023-10-20T00:00:00"/>
    <s v="David"/>
    <s v="Hogan Rock"/>
    <x v="0"/>
    <n v="7.4999999999999997E-2"/>
    <n v="438.21600000000001"/>
    <x v="218"/>
    <n v="30"/>
    <x v="2"/>
    <n v="4646.55"/>
    <n v="4784.28"/>
    <s v="Returning"/>
    <n v="0.1"/>
    <s v="Credit Card"/>
    <s v="Retail"/>
    <s v="High"/>
  </r>
  <r>
    <n v="1003"/>
    <s v="Stool"/>
    <d v="2023-11-24T00:00:00"/>
    <s v="Eve"/>
    <s v="Tracy Moore"/>
    <x v="3"/>
    <n v="0.06"/>
    <n v="312.91860000000003"/>
    <x v="219"/>
    <n v="11"/>
    <x v="1"/>
    <n v="3706.78"/>
    <n v="3862.26"/>
    <s v="New"/>
    <n v="0.22"/>
    <s v="Credit Card"/>
    <s v="Retail"/>
    <s v="High"/>
  </r>
  <r>
    <n v="1056"/>
    <s v="Track Suits"/>
    <d v="2023-05-07T00:00:00"/>
    <s v="David"/>
    <s v="Hogan Rock"/>
    <x v="3"/>
    <n v="0.06"/>
    <n v="456.71280000000002"/>
    <x v="220"/>
    <n v="28"/>
    <x v="2"/>
    <n v="1566.03"/>
    <n v="1576.34"/>
    <s v="Returning"/>
    <n v="0.2"/>
    <s v="Bank Transfer"/>
    <s v="Online"/>
    <s v="High"/>
  </r>
  <r>
    <n v="1081"/>
    <s v="Rocking Chair"/>
    <d v="2023-04-16T00:00:00"/>
    <s v="Charlie"/>
    <s v="Susan Jerkins"/>
    <x v="1"/>
    <n v="0.08"/>
    <n v="231.73680000000002"/>
    <x v="221"/>
    <n v="44"/>
    <x v="3"/>
    <n v="1362.15"/>
    <n v="1844.07"/>
    <s v="New"/>
    <n v="0.28999999999999998"/>
    <s v="Credit Card"/>
    <s v="Online"/>
    <s v="Low"/>
  </r>
  <r>
    <n v="1059"/>
    <s v="Coffee Beans"/>
    <d v="2023-04-02T00:00:00"/>
    <s v="Eve"/>
    <s v="Tracy Moore"/>
    <x v="1"/>
    <n v="0.08"/>
    <n v="287.61599999999999"/>
    <x v="222"/>
    <n v="12"/>
    <x v="1"/>
    <n v="3496.15"/>
    <n v="3955.75"/>
    <s v="Returning"/>
    <n v="0.28000000000000003"/>
    <s v="Cash"/>
    <s v="Retail"/>
    <s v="Low"/>
  </r>
  <r>
    <n v="1002"/>
    <s v="Bench"/>
    <d v="2023-10-14T00:00:00"/>
    <s v="David"/>
    <s v="Hogan Rock"/>
    <x v="2"/>
    <n v="0.05"/>
    <n v="447.57650000000007"/>
    <x v="223"/>
    <n v="39"/>
    <x v="2"/>
    <n v="1004.71"/>
    <n v="1389.35"/>
    <s v="New"/>
    <n v="0.24"/>
    <s v="Bank Transfer"/>
    <s v="Online"/>
    <s v="High"/>
  </r>
  <r>
    <n v="1002"/>
    <s v="Bench"/>
    <d v="2023-02-20T00:00:00"/>
    <s v="Charlie"/>
    <s v="Susan Jerkins"/>
    <x v="1"/>
    <n v="0.08"/>
    <n v="757.59360000000004"/>
    <x v="224"/>
    <n v="26"/>
    <x v="1"/>
    <n v="508.94"/>
    <n v="557.69000000000005"/>
    <s v="New"/>
    <n v="0.22"/>
    <s v="Credit Card"/>
    <s v="Retail"/>
    <s v="High"/>
  </r>
  <r>
    <n v="1092"/>
    <s v="Recliner"/>
    <d v="2023-01-29T00:00:00"/>
    <s v="Bob"/>
    <s v="Michael Smith"/>
    <x v="2"/>
    <n v="0.05"/>
    <n v="446.81650000000002"/>
    <x v="225"/>
    <n v="13"/>
    <x v="2"/>
    <n v="2684.5"/>
    <n v="2913.78"/>
    <s v="New"/>
    <n v="0.08"/>
    <s v="Credit Card"/>
    <s v="Retail"/>
    <s v="High"/>
  </r>
  <r>
    <n v="1054"/>
    <s v="Glider"/>
    <d v="2023-10-23T00:00:00"/>
    <s v="David"/>
    <s v="Hogan Rock"/>
    <x v="3"/>
    <n v="0.06"/>
    <n v="255.1524"/>
    <x v="226"/>
    <n v="8"/>
    <x v="1"/>
    <n v="4117.13"/>
    <n v="4177.0600000000004"/>
    <s v="Returning"/>
    <n v="0.25"/>
    <s v="Bank Transfer"/>
    <s v="Retail"/>
    <s v="Low"/>
  </r>
  <r>
    <n v="1087"/>
    <s v="Sofa Set"/>
    <d v="2023-10-24T00:00:00"/>
    <s v="Bob"/>
    <s v="Michael Smith"/>
    <x v="3"/>
    <n v="0.06"/>
    <n v="469.53719999999998"/>
    <x v="227"/>
    <n v="28"/>
    <x v="2"/>
    <n v="551.83000000000004"/>
    <n v="569.63"/>
    <s v="New"/>
    <n v="0.13"/>
    <s v="Credit Card"/>
    <s v="Retail"/>
    <s v="High"/>
  </r>
  <r>
    <n v="1096"/>
    <s v="Radio"/>
    <d v="2023-08-02T00:00:00"/>
    <s v="Bob"/>
    <s v="Michael Smith"/>
    <x v="0"/>
    <n v="7.4999999999999997E-2"/>
    <n v="361.17900000000003"/>
    <x v="228"/>
    <n v="30"/>
    <x v="3"/>
    <n v="3969.86"/>
    <n v="4281.79"/>
    <s v="Returning"/>
    <n v="0.08"/>
    <s v="Bank Transfer"/>
    <s v="Retail"/>
    <s v="Low"/>
  </r>
  <r>
    <n v="1097"/>
    <s v="Freezer"/>
    <d v="2023-09-24T00:00:00"/>
    <s v="Alice"/>
    <s v="Scott Wayne"/>
    <x v="3"/>
    <n v="0.06"/>
    <n v="301.53840000000002"/>
    <x v="229"/>
    <n v="9"/>
    <x v="1"/>
    <n v="4067.28"/>
    <n v="4548.09"/>
    <s v="Returning"/>
    <n v="0.12"/>
    <s v="Credit Card"/>
    <s v="Retail"/>
    <s v="High"/>
  </r>
  <r>
    <n v="1001"/>
    <s v="Camera"/>
    <d v="2023-09-14T00:00:00"/>
    <s v="Eve"/>
    <s v="Tracy Moore"/>
    <x v="2"/>
    <n v="0.05"/>
    <n v="106.3165"/>
    <x v="230"/>
    <n v="39"/>
    <x v="1"/>
    <n v="2437.2600000000002"/>
    <n v="2889.67"/>
    <s v="Returning"/>
    <n v="0.25"/>
    <s v="Cash"/>
    <s v="Online"/>
    <s v="Low"/>
  </r>
  <r>
    <n v="1019"/>
    <s v="Apple"/>
    <d v="2023-10-29T00:00:00"/>
    <s v="David"/>
    <s v="Hogan Rock"/>
    <x v="1"/>
    <n v="0.08"/>
    <n v="476.17519999999996"/>
    <x v="231"/>
    <n v="31"/>
    <x v="1"/>
    <n v="333.69"/>
    <n v="685.1"/>
    <s v="New"/>
    <n v="0.04"/>
    <s v="Bank Transfer"/>
    <s v="Online"/>
    <s v="High"/>
  </r>
  <r>
    <n v="1002"/>
    <s v="Bench"/>
    <d v="2023-04-11T00:00:00"/>
    <s v="Bob"/>
    <s v="Michael Smith"/>
    <x v="0"/>
    <n v="7.4999999999999997E-2"/>
    <n v="145.70624999999998"/>
    <x v="232"/>
    <n v="21"/>
    <x v="1"/>
    <n v="914.22"/>
    <n v="971.57"/>
    <s v="Returning"/>
    <n v="0.14000000000000001"/>
    <s v="Cash"/>
    <s v="Online"/>
    <s v="Low"/>
  </r>
  <r>
    <n v="1053"/>
    <s v="Bed"/>
    <d v="2023-12-12T00:00:00"/>
    <s v="Alice"/>
    <s v="Scott Wayne"/>
    <x v="2"/>
    <n v="0.05"/>
    <n v="169.12450000000001"/>
    <x v="233"/>
    <n v="47"/>
    <x v="3"/>
    <n v="3551.76"/>
    <n v="3696.1"/>
    <s v="Returning"/>
    <n v="0.15"/>
    <s v="Bank Transfer"/>
    <s v="Retail"/>
    <s v="Low"/>
  </r>
  <r>
    <n v="1044"/>
    <s v="Burger"/>
    <d v="2023-04-20T00:00:00"/>
    <s v="Charlie"/>
    <s v="Susan Jerkins"/>
    <x v="1"/>
    <n v="0.08"/>
    <n v="685.18399999999997"/>
    <x v="234"/>
    <n v="34"/>
    <x v="1"/>
    <n v="3573.3"/>
    <n v="3740.13"/>
    <s v="Returning"/>
    <n v="0.01"/>
    <s v="Credit Card"/>
    <s v="Online"/>
    <s v="High"/>
  </r>
  <r>
    <n v="1090"/>
    <s v="Keyboard"/>
    <d v="2023-07-01T00:00:00"/>
    <s v="David"/>
    <s v="Hogan Rock"/>
    <x v="0"/>
    <n v="7.4999999999999997E-2"/>
    <n v="161.25375"/>
    <x v="235"/>
    <n v="31"/>
    <x v="0"/>
    <n v="4496.8599999999997"/>
    <n v="4880.7999999999902"/>
    <s v="New"/>
    <n v="0.06"/>
    <s v="Cash"/>
    <s v="Retail"/>
    <s v="Low"/>
  </r>
  <r>
    <n v="1032"/>
    <s v="Refridgerator"/>
    <d v="2023-11-09T00:00:00"/>
    <s v="Bob"/>
    <s v="Michael Smith"/>
    <x v="3"/>
    <n v="0.06"/>
    <n v="48.2682"/>
    <x v="236"/>
    <n v="25"/>
    <x v="3"/>
    <n v="2934.3"/>
    <n v="3337.4"/>
    <s v="Returning"/>
    <n v="0.25"/>
    <s v="Credit Card"/>
    <s v="Retail"/>
    <s v="Low"/>
  </r>
  <r>
    <n v="1070"/>
    <s v="Hutch"/>
    <d v="2023-01-01T00:00:00"/>
    <s v="Eve"/>
    <s v="Tracy Moore"/>
    <x v="2"/>
    <n v="0.05"/>
    <n v="39.158999999999999"/>
    <x v="237"/>
    <n v="12"/>
    <x v="0"/>
    <n v="664.33"/>
    <n v="863.03"/>
    <s v="Returning"/>
    <n v="0.25"/>
    <s v="Bank Transfer"/>
    <s v="Retail"/>
    <s v="Low"/>
  </r>
  <r>
    <n v="1032"/>
    <s v="Refridgerator"/>
    <d v="2023-11-15T00:00:00"/>
    <s v="Alice"/>
    <s v="Scott Wayne"/>
    <x v="1"/>
    <n v="0.08"/>
    <n v="753.10160000000008"/>
    <x v="238"/>
    <n v="1"/>
    <x v="1"/>
    <n v="651"/>
    <n v="865.76"/>
    <s v="Returning"/>
    <n v="0.09"/>
    <s v="Bank Transfer"/>
    <s v="Retail"/>
    <s v="High"/>
  </r>
  <r>
    <n v="1068"/>
    <s v="Leggings"/>
    <d v="2023-02-24T00:00:00"/>
    <s v="Bob"/>
    <s v="Michael Smith"/>
    <x v="0"/>
    <n v="7.4999999999999997E-2"/>
    <n v="383.88825000000003"/>
    <x v="239"/>
    <n v="22"/>
    <x v="2"/>
    <n v="3619.61"/>
    <n v="3651.42"/>
    <s v="Returning"/>
    <n v="0.26"/>
    <s v="Bank Transfer"/>
    <s v="Online"/>
    <s v="High"/>
  </r>
  <r>
    <n v="1055"/>
    <s v="Cupboard"/>
    <d v="2023-05-29T00:00:00"/>
    <s v="Eve"/>
    <s v="Tracy Moore"/>
    <x v="0"/>
    <n v="7.4999999999999997E-2"/>
    <n v="311.48849999999999"/>
    <x v="240"/>
    <n v="40"/>
    <x v="0"/>
    <n v="959.73"/>
    <n v="1111.4100000000001"/>
    <s v="New"/>
    <n v="0.23"/>
    <s v="Bank Transfer"/>
    <s v="Online"/>
    <s v="Low"/>
  </r>
  <r>
    <n v="1075"/>
    <s v="Bookshelf"/>
    <d v="2023-11-05T00:00:00"/>
    <s v="Bob"/>
    <s v="Michael Smith"/>
    <x v="3"/>
    <n v="0.06"/>
    <n v="487.66199999999998"/>
    <x v="241"/>
    <n v="37"/>
    <x v="1"/>
    <n v="1675.51"/>
    <n v="1906.6399999999901"/>
    <s v="New"/>
    <n v="0.13"/>
    <s v="Bank Transfer"/>
    <s v="Online"/>
    <s v="High"/>
  </r>
  <r>
    <n v="1056"/>
    <s v="Track Suits"/>
    <d v="2023-05-17T00:00:00"/>
    <s v="David"/>
    <s v="Hogan Rock"/>
    <x v="1"/>
    <n v="0.08"/>
    <n v="669.97440000000006"/>
    <x v="242"/>
    <n v="47"/>
    <x v="0"/>
    <n v="2461.6999999999998"/>
    <n v="2529.02"/>
    <s v="Returning"/>
    <n v="0.22"/>
    <s v="Cash"/>
    <s v="Retail"/>
    <s v="High"/>
  </r>
  <r>
    <n v="1017"/>
    <s v="Peaches"/>
    <d v="2023-07-21T00:00:00"/>
    <s v="David"/>
    <s v="Hogan Rock"/>
    <x v="3"/>
    <n v="0.06"/>
    <n v="203.32139999999998"/>
    <x v="243"/>
    <n v="1"/>
    <x v="1"/>
    <n v="172.59"/>
    <n v="404.69"/>
    <s v="Returning"/>
    <n v="0.28999999999999998"/>
    <s v="Bank Transfer"/>
    <s v="Online"/>
    <s v="Low"/>
  </r>
  <r>
    <n v="1038"/>
    <s v="Jean Pants"/>
    <d v="2023-11-09T00:00:00"/>
    <s v="David"/>
    <s v="Hogan Rock"/>
    <x v="3"/>
    <n v="0.06"/>
    <n v="418.00919999999996"/>
    <x v="244"/>
    <n v="1"/>
    <x v="1"/>
    <n v="1281.6500000000001"/>
    <n v="1709.71"/>
    <s v="Returning"/>
    <n v="0.14000000000000001"/>
    <s v="Credit Card"/>
    <s v="Online"/>
    <s v="High"/>
  </r>
  <r>
    <n v="1024"/>
    <s v="Pasta Pack"/>
    <d v="2023-04-27T00:00:00"/>
    <s v="Alice"/>
    <s v="Scott Wayne"/>
    <x v="1"/>
    <n v="0.08"/>
    <n v="618.7296"/>
    <x v="245"/>
    <n v="42"/>
    <x v="1"/>
    <n v="2069.0500000000002"/>
    <n v="2363.9"/>
    <s v="Returning"/>
    <n v="7.0000000000000007E-2"/>
    <s v="Cash"/>
    <s v="Online"/>
    <s v="High"/>
  </r>
  <r>
    <n v="1069"/>
    <s v="Suit"/>
    <d v="2023-06-03T00:00:00"/>
    <s v="David"/>
    <s v="Hogan Rock"/>
    <x v="1"/>
    <n v="0.08"/>
    <n v="526.48320000000001"/>
    <x v="246"/>
    <n v="42"/>
    <x v="2"/>
    <n v="1434.2"/>
    <n v="1482.88"/>
    <s v="New"/>
    <n v="0.28000000000000003"/>
    <s v="Credit Card"/>
    <s v="Retail"/>
    <s v="High"/>
  </r>
  <r>
    <n v="1098"/>
    <s v="File Cabinet"/>
    <d v="2023-10-18T00:00:00"/>
    <s v="Eve"/>
    <s v="Tracy Moore"/>
    <x v="1"/>
    <n v="0.08"/>
    <n v="128.06319999999999"/>
    <x v="247"/>
    <n v="21"/>
    <x v="0"/>
    <n v="725.03"/>
    <n v="828.94999999999902"/>
    <s v="New"/>
    <n v="0.18"/>
    <s v="Bank Transfer"/>
    <s v="Online"/>
    <s v="Low"/>
  </r>
  <r>
    <n v="1070"/>
    <s v="Hutch"/>
    <d v="2023-03-04T00:00:00"/>
    <s v="Bob"/>
    <s v="Michael Smith"/>
    <x v="2"/>
    <n v="0.05"/>
    <n v="438.56200000000001"/>
    <x v="248"/>
    <n v="15"/>
    <x v="3"/>
    <n v="3653.66"/>
    <n v="3896.19"/>
    <s v="New"/>
    <n v="0.03"/>
    <s v="Credit Card"/>
    <s v="Retail"/>
    <s v="High"/>
  </r>
  <r>
    <n v="1086"/>
    <s v="Gaming Console"/>
    <d v="2023-09-01T00:00:00"/>
    <s v="Charlie"/>
    <s v="Susan Jerkins"/>
    <x v="1"/>
    <n v="0.08"/>
    <n v="434.96320000000003"/>
    <x v="249"/>
    <n v="17"/>
    <x v="3"/>
    <n v="4075.08"/>
    <n v="4262.21"/>
    <s v="New"/>
    <n v="0.17"/>
    <s v="Cash"/>
    <s v="Online"/>
    <s v="High"/>
  </r>
  <r>
    <n v="1011"/>
    <s v="Coffee Table"/>
    <d v="2023-01-25T00:00:00"/>
    <s v="Eve"/>
    <s v="Tracy Moore"/>
    <x v="0"/>
    <n v="7.4999999999999997E-2"/>
    <n v="217.23599999999999"/>
    <x v="250"/>
    <n v="22"/>
    <x v="3"/>
    <n v="1324.52"/>
    <n v="1510.3"/>
    <s v="Returning"/>
    <n v="0.15"/>
    <s v="Cash"/>
    <s v="Retail"/>
    <s v="Low"/>
  </r>
  <r>
    <n v="1016"/>
    <s v="Washing Machine"/>
    <d v="2023-03-31T00:00:00"/>
    <s v="Eve"/>
    <s v="Tracy Moore"/>
    <x v="3"/>
    <n v="0.06"/>
    <n v="258.5856"/>
    <x v="251"/>
    <n v="38"/>
    <x v="3"/>
    <n v="3883.38"/>
    <n v="4152.72"/>
    <s v="Returning"/>
    <n v="0.26"/>
    <s v="Cash"/>
    <s v="Online"/>
    <s v="Low"/>
  </r>
  <r>
    <n v="1097"/>
    <s v="Freezer"/>
    <d v="2023-03-16T00:00:00"/>
    <s v="David"/>
    <s v="Hogan Rock"/>
    <x v="2"/>
    <n v="0.05"/>
    <n v="23.5975"/>
    <x v="252"/>
    <n v="35"/>
    <x v="1"/>
    <n v="1958.49"/>
    <n v="2254.84"/>
    <s v="New"/>
    <n v="0.16"/>
    <s v="Credit Card"/>
    <s v="Online"/>
    <s v="Low"/>
  </r>
  <r>
    <n v="1073"/>
    <s v="Console Table"/>
    <d v="2023-10-21T00:00:00"/>
    <s v="Alice"/>
    <s v="Scott Wayne"/>
    <x v="1"/>
    <n v="0.08"/>
    <n v="109.27040000000001"/>
    <x v="253"/>
    <n v="45"/>
    <x v="0"/>
    <n v="2558.09"/>
    <n v="2958.55"/>
    <s v="New"/>
    <n v="0.08"/>
    <s v="Cash"/>
    <s v="Online"/>
    <s v="Low"/>
  </r>
  <r>
    <n v="1059"/>
    <s v="Coffee Beans"/>
    <d v="2023-07-29T00:00:00"/>
    <s v="Bob"/>
    <s v="Michael Smith"/>
    <x v="2"/>
    <n v="0.05"/>
    <n v="383.94550000000004"/>
    <x v="254"/>
    <n v="16"/>
    <x v="0"/>
    <n v="4287.21"/>
    <n v="4464.28"/>
    <s v="Returning"/>
    <n v="0.2"/>
    <s v="Credit Card"/>
    <s v="Retail"/>
    <s v="High"/>
  </r>
  <r>
    <n v="1070"/>
    <s v="Hutch"/>
    <d v="2023-12-13T00:00:00"/>
    <s v="Alice"/>
    <s v="Scott Wayne"/>
    <x v="1"/>
    <n v="0.08"/>
    <n v="8.0096000000000007"/>
    <x v="255"/>
    <n v="8"/>
    <x v="2"/>
    <n v="3762.27"/>
    <n v="4166.95"/>
    <s v="Returning"/>
    <n v="0.16"/>
    <s v="Bank Transfer"/>
    <s v="Online"/>
    <s v="Low"/>
  </r>
  <r>
    <n v="1080"/>
    <s v="Headphones"/>
    <d v="2023-01-17T00:00:00"/>
    <s v="Bob"/>
    <s v="Michael Smith"/>
    <x v="2"/>
    <n v="0.05"/>
    <n v="211.20000000000002"/>
    <x v="256"/>
    <n v="47"/>
    <x v="0"/>
    <n v="4035.33"/>
    <n v="4211.25"/>
    <s v="Returning"/>
    <n v="7.0000000000000007E-2"/>
    <s v="Bank Transfer"/>
    <s v="Online"/>
    <s v="Low"/>
  </r>
  <r>
    <n v="1093"/>
    <s v="Dining Table"/>
    <d v="2023-05-08T00:00:00"/>
    <s v="Bob"/>
    <s v="Michael Smith"/>
    <x v="3"/>
    <n v="0.06"/>
    <n v="316.37100000000004"/>
    <x v="257"/>
    <n v="17"/>
    <x v="0"/>
    <n v="727.38"/>
    <n v="764.54"/>
    <s v="Returning"/>
    <n v="0.17"/>
    <s v="Credit Card"/>
    <s v="Retail"/>
    <s v="High"/>
  </r>
  <r>
    <n v="1003"/>
    <s v="Stool"/>
    <d v="2023-12-30T00:00:00"/>
    <s v="Alice"/>
    <s v="Scott Wayne"/>
    <x v="3"/>
    <n v="0.06"/>
    <n v="38.452799999999996"/>
    <x v="258"/>
    <n v="17"/>
    <x v="0"/>
    <n v="395.11"/>
    <n v="676.66"/>
    <s v="Returning"/>
    <n v="0.25"/>
    <s v="Cash"/>
    <s v="Retail"/>
    <s v="Low"/>
  </r>
  <r>
    <n v="1020"/>
    <s v="Apron"/>
    <d v="2023-09-08T00:00:00"/>
    <s v="Eve"/>
    <s v="Tracy Moore"/>
    <x v="0"/>
    <n v="7.4999999999999997E-2"/>
    <n v="730.01024999999993"/>
    <x v="259"/>
    <n v="26"/>
    <x v="2"/>
    <n v="4472.3500000000004"/>
    <n v="4770.42"/>
    <s v="New"/>
    <n v="0.01"/>
    <s v="Credit Card"/>
    <s v="Retail"/>
    <s v="High"/>
  </r>
  <r>
    <n v="1059"/>
    <s v="Coffee Beans"/>
    <d v="2023-06-28T00:00:00"/>
    <s v="Bob"/>
    <s v="Michael Smith"/>
    <x v="0"/>
    <n v="7.4999999999999997E-2"/>
    <n v="175.398"/>
    <x v="260"/>
    <n v="13"/>
    <x v="3"/>
    <n v="1969.78"/>
    <n v="2437.6999999999998"/>
    <s v="New"/>
    <n v="0.19"/>
    <s v="Credit Card"/>
    <s v="Retail"/>
    <s v="Low"/>
  </r>
  <r>
    <n v="1036"/>
    <s v="Shorts"/>
    <d v="2023-07-01T00:00:00"/>
    <s v="Alice"/>
    <s v="Scott Wayne"/>
    <x v="1"/>
    <n v="0.08"/>
    <n v="248.92560000000003"/>
    <x v="261"/>
    <n v="17"/>
    <x v="0"/>
    <n v="1475"/>
    <n v="1840.77"/>
    <s v="Returning"/>
    <n v="0.1"/>
    <s v="Credit Card"/>
    <s v="Online"/>
    <s v="Low"/>
  </r>
  <r>
    <n v="1019"/>
    <s v="Apple"/>
    <d v="2023-06-01T00:00:00"/>
    <s v="Bob"/>
    <s v="Michael Smith"/>
    <x v="3"/>
    <n v="0.06"/>
    <n v="186.54179999999999"/>
    <x v="262"/>
    <n v="38"/>
    <x v="2"/>
    <n v="3637.25"/>
    <n v="4096.96"/>
    <s v="Returning"/>
    <n v="0.09"/>
    <s v="Bank Transfer"/>
    <s v="Online"/>
    <s v="Low"/>
  </r>
  <r>
    <n v="1090"/>
    <s v="Keyboard"/>
    <d v="2023-01-25T00:00:00"/>
    <s v="Charlie"/>
    <s v="Susan Jerkins"/>
    <x v="2"/>
    <n v="0.05"/>
    <n v="119.056"/>
    <x v="263"/>
    <n v="17"/>
    <x v="2"/>
    <n v="4190.26"/>
    <n v="4645.3500000000004"/>
    <s v="New"/>
    <n v="0.12"/>
    <s v="Credit Card"/>
    <s v="Retail"/>
    <s v="Low"/>
  </r>
  <r>
    <n v="1067"/>
    <s v="Grapes"/>
    <d v="2023-06-29T00:00:00"/>
    <s v="Eve"/>
    <s v="Tracy Moore"/>
    <x v="2"/>
    <n v="0.05"/>
    <n v="5.7295000000000007"/>
    <x v="264"/>
    <n v="48"/>
    <x v="1"/>
    <n v="4319.32"/>
    <n v="4625.5599999999904"/>
    <s v="Returning"/>
    <n v="0.1"/>
    <s v="Bank Transfer"/>
    <s v="Online"/>
    <s v="Low"/>
  </r>
  <r>
    <n v="1019"/>
    <s v="Apple"/>
    <d v="2023-07-17T00:00:00"/>
    <s v="David"/>
    <s v="Hogan Rock"/>
    <x v="2"/>
    <n v="0.05"/>
    <n v="366.02550000000002"/>
    <x v="265"/>
    <n v="14"/>
    <x v="2"/>
    <n v="1614.19"/>
    <n v="1882.79"/>
    <s v="New"/>
    <n v="0.25"/>
    <s v="Credit Card"/>
    <s v="Retail"/>
    <s v="High"/>
  </r>
  <r>
    <n v="1020"/>
    <s v="Apron"/>
    <d v="2023-12-10T00:00:00"/>
    <s v="Bob"/>
    <s v="Michael Smith"/>
    <x v="0"/>
    <n v="7.4999999999999997E-2"/>
    <n v="725.38274999999999"/>
    <x v="266"/>
    <n v="45"/>
    <x v="3"/>
    <n v="4268.45"/>
    <n v="4551.5999999999904"/>
    <s v="New"/>
    <n v="0.08"/>
    <s v="Bank Transfer"/>
    <s v="Online"/>
    <s v="High"/>
  </r>
  <r>
    <n v="1096"/>
    <s v="Radio"/>
    <d v="2023-06-10T00:00:00"/>
    <s v="Charlie"/>
    <s v="Susan Jerkins"/>
    <x v="2"/>
    <n v="0.05"/>
    <n v="116.02550000000002"/>
    <x v="267"/>
    <n v="6"/>
    <x v="0"/>
    <n v="252.62"/>
    <n v="742"/>
    <s v="New"/>
    <n v="0.22"/>
    <s v="Credit Card"/>
    <s v="Retail"/>
    <s v="Low"/>
  </r>
  <r>
    <n v="1071"/>
    <s v="Game Table"/>
    <d v="2023-06-26T00:00:00"/>
    <s v="David"/>
    <s v="Hogan Rock"/>
    <x v="0"/>
    <n v="7.4999999999999997E-2"/>
    <n v="499.81274999999999"/>
    <x v="268"/>
    <n v="35"/>
    <x v="2"/>
    <n v="295.82"/>
    <n v="684.67"/>
    <s v="New"/>
    <n v="0.03"/>
    <s v="Credit Card"/>
    <s v="Online"/>
    <s v="High"/>
  </r>
  <r>
    <n v="1052"/>
    <s v="Wooden Chair"/>
    <d v="2023-10-12T00:00:00"/>
    <s v="David"/>
    <s v="Hogan Rock"/>
    <x v="0"/>
    <n v="7.4999999999999997E-2"/>
    <n v="558.35775000000001"/>
    <x v="269"/>
    <n v="46"/>
    <x v="3"/>
    <n v="3136.42"/>
    <n v="3198.49"/>
    <s v="Returning"/>
    <n v="0.28999999999999998"/>
    <s v="Cash"/>
    <s v="Retail"/>
    <s v="High"/>
  </r>
  <r>
    <n v="1033"/>
    <s v="TV Stand"/>
    <d v="2023-03-04T00:00:00"/>
    <s v="Bob"/>
    <s v="Michael Smith"/>
    <x v="1"/>
    <n v="0.08"/>
    <n v="679.95280000000002"/>
    <x v="270"/>
    <n v="14"/>
    <x v="2"/>
    <n v="362.38"/>
    <n v="753.81"/>
    <s v="Returning"/>
    <n v="0.19"/>
    <s v="Cash"/>
    <s v="Retail"/>
    <s v="High"/>
  </r>
  <r>
    <n v="1040"/>
    <s v="Cap"/>
    <d v="2023-05-30T00:00:00"/>
    <s v="Alice"/>
    <s v="Scott Wayne"/>
    <x v="2"/>
    <n v="0.05"/>
    <n v="214.20150000000001"/>
    <x v="271"/>
    <n v="47"/>
    <x v="2"/>
    <n v="1656.82"/>
    <n v="1750.3799999999901"/>
    <s v="New"/>
    <n v="0.21"/>
    <s v="Credit Card"/>
    <s v="Online"/>
    <s v="Low"/>
  </r>
  <r>
    <n v="1039"/>
    <s v="Hoodie"/>
    <d v="2023-06-03T00:00:00"/>
    <s v="Bob"/>
    <s v="Michael Smith"/>
    <x v="2"/>
    <n v="0.05"/>
    <n v="154.95100000000002"/>
    <x v="272"/>
    <n v="8"/>
    <x v="2"/>
    <n v="3380.14"/>
    <n v="3609.3399999999901"/>
    <s v="Returning"/>
    <n v="0.09"/>
    <s v="Credit Card"/>
    <s v="Online"/>
    <s v="Low"/>
  </r>
  <r>
    <n v="1082"/>
    <s v="USB Drive"/>
    <d v="2023-06-05T00:00:00"/>
    <s v="Charlie"/>
    <s v="Susan Jerkins"/>
    <x v="3"/>
    <n v="0.06"/>
    <n v="199.2252"/>
    <x v="273"/>
    <n v="15"/>
    <x v="2"/>
    <n v="1719.47"/>
    <n v="1832.6"/>
    <s v="Returning"/>
    <n v="0.12"/>
    <s v="Credit Card"/>
    <s v="Online"/>
    <s v="Low"/>
  </r>
  <r>
    <n v="1001"/>
    <s v="Camera"/>
    <d v="2023-02-18T00:00:00"/>
    <s v="David"/>
    <s v="Hogan Rock"/>
    <x v="1"/>
    <n v="0.08"/>
    <n v="572.39599999999996"/>
    <x v="274"/>
    <n v="27"/>
    <x v="2"/>
    <n v="939.02"/>
    <n v="1286.92"/>
    <s v="Returning"/>
    <n v="7.0000000000000007E-2"/>
    <s v="Credit Card"/>
    <s v="Retail"/>
    <s v="High"/>
  </r>
  <r>
    <n v="1011"/>
    <s v="Coffee Table"/>
    <d v="2023-12-03T00:00:00"/>
    <s v="Bob"/>
    <s v="Michael Smith"/>
    <x v="3"/>
    <n v="0.06"/>
    <n v="491.16719999999998"/>
    <x v="275"/>
    <n v="13"/>
    <x v="3"/>
    <n v="1442.69"/>
    <n v="1882.57"/>
    <s v="Returning"/>
    <n v="0.28000000000000003"/>
    <s v="Cash"/>
    <s v="Online"/>
    <s v="High"/>
  </r>
  <r>
    <n v="1092"/>
    <s v="Recliner"/>
    <d v="2023-03-25T00:00:00"/>
    <s v="Alice"/>
    <s v="Scott Wayne"/>
    <x v="1"/>
    <n v="0.08"/>
    <n v="151.83840000000001"/>
    <x v="276"/>
    <n v="49"/>
    <x v="0"/>
    <n v="2315"/>
    <n v="2467.2800000000002"/>
    <s v="New"/>
    <n v="0.15"/>
    <s v="Bank Transfer"/>
    <s v="Retail"/>
    <s v="Low"/>
  </r>
  <r>
    <n v="1057"/>
    <s v="Avocadro Pear"/>
    <d v="2023-12-27T00:00:00"/>
    <s v="Bob"/>
    <s v="Michael Smith"/>
    <x v="2"/>
    <n v="0.05"/>
    <n v="188.61600000000001"/>
    <x v="277"/>
    <n v="31"/>
    <x v="0"/>
    <n v="2403.16"/>
    <n v="2453.35"/>
    <s v="Returning"/>
    <n v="0.19"/>
    <s v="Credit Card"/>
    <s v="Online"/>
    <s v="Low"/>
  </r>
  <r>
    <n v="1089"/>
    <s v="Recliner"/>
    <d v="2023-06-26T00:00:00"/>
    <s v="Eve"/>
    <s v="Tracy Moore"/>
    <x v="0"/>
    <n v="7.4999999999999997E-2"/>
    <n v="677.19074999999987"/>
    <x v="278"/>
    <n v="35"/>
    <x v="0"/>
    <n v="3925.85"/>
    <n v="4082.1099999999901"/>
    <s v="New"/>
    <n v="0.22"/>
    <s v="Cash"/>
    <s v="Online"/>
    <s v="High"/>
  </r>
  <r>
    <n v="1050"/>
    <s v="Sneakers"/>
    <d v="2023-05-28T00:00:00"/>
    <s v="Alice"/>
    <s v="Scott Wayne"/>
    <x v="0"/>
    <n v="7.4999999999999997E-2"/>
    <n v="606.47024999999996"/>
    <x v="279"/>
    <n v="6"/>
    <x v="0"/>
    <n v="3763.26"/>
    <n v="4102.72"/>
    <s v="New"/>
    <n v="0.11"/>
    <s v="Credit Card"/>
    <s v="Retail"/>
    <s v="High"/>
  </r>
  <r>
    <n v="1023"/>
    <s v="Tights"/>
    <d v="2023-04-28T00:00:00"/>
    <s v="Charlie"/>
    <s v="Susan Jerkins"/>
    <x v="0"/>
    <n v="7.4999999999999997E-2"/>
    <n v="738.75750000000005"/>
    <x v="280"/>
    <n v="5"/>
    <x v="3"/>
    <n v="2311.25"/>
    <n v="2482.34"/>
    <s v="Returning"/>
    <n v="0.22"/>
    <s v="Credit Card"/>
    <s v="Retail"/>
    <s v="High"/>
  </r>
  <r>
    <n v="1031"/>
    <s v="Butter"/>
    <d v="2023-12-08T00:00:00"/>
    <s v="David"/>
    <s v="Hogan Rock"/>
    <x v="0"/>
    <n v="7.4999999999999997E-2"/>
    <n v="567.52949999999998"/>
    <x v="281"/>
    <n v="22"/>
    <x v="1"/>
    <n v="4236.05"/>
    <n v="4382.32"/>
    <s v="New"/>
    <n v="0.2"/>
    <s v="Bank Transfer"/>
    <s v="Online"/>
    <s v="High"/>
  </r>
  <r>
    <n v="1094"/>
    <s v="Microwave"/>
    <d v="2023-03-04T00:00:00"/>
    <s v="Bob"/>
    <s v="Michael Smith"/>
    <x v="0"/>
    <n v="7.4999999999999997E-2"/>
    <n v="299.44725"/>
    <x v="282"/>
    <n v="49"/>
    <x v="1"/>
    <n v="615.47"/>
    <n v="715.84"/>
    <s v="Returning"/>
    <n v="0.21"/>
    <s v="Credit Card"/>
    <s v="Retail"/>
    <s v="Low"/>
  </r>
  <r>
    <n v="1042"/>
    <s v="Frozen Pizza"/>
    <d v="2023-07-08T00:00:00"/>
    <s v="Alice"/>
    <s v="Scott Wayne"/>
    <x v="3"/>
    <n v="0.06"/>
    <n v="356.83859999999999"/>
    <x v="283"/>
    <n v="23"/>
    <x v="3"/>
    <n v="1314"/>
    <n v="1567.78"/>
    <s v="Returning"/>
    <n v="0.15"/>
    <s v="Credit Card"/>
    <s v="Retail"/>
    <s v="High"/>
  </r>
  <r>
    <n v="1099"/>
    <s v="Chest"/>
    <d v="2023-12-26T00:00:00"/>
    <s v="Eve"/>
    <s v="Tracy Moore"/>
    <x v="1"/>
    <n v="0.08"/>
    <n v="531.52319999999997"/>
    <x v="284"/>
    <n v="25"/>
    <x v="3"/>
    <n v="4148.4799999999996"/>
    <n v="4293.6899999999996"/>
    <s v="New"/>
    <n v="0.11"/>
    <s v="Bank Transfer"/>
    <s v="Online"/>
    <s v="High"/>
  </r>
  <r>
    <n v="1007"/>
    <s v="Fruit Jam"/>
    <d v="2023-02-18T00:00:00"/>
    <s v="Alice"/>
    <s v="Scott Wayne"/>
    <x v="2"/>
    <n v="0.05"/>
    <n v="43.835500000000003"/>
    <x v="285"/>
    <n v="34"/>
    <x v="2"/>
    <n v="1921.07"/>
    <n v="2289.27"/>
    <s v="Returning"/>
    <n v="7.0000000000000007E-2"/>
    <s v="Bank Transfer"/>
    <s v="Retail"/>
    <s v="Low"/>
  </r>
  <r>
    <n v="1016"/>
    <s v="Washing Machine"/>
    <d v="2023-11-23T00:00:00"/>
    <s v="Eve"/>
    <s v="Tracy Moore"/>
    <x v="3"/>
    <n v="0.06"/>
    <n v="329.43119999999999"/>
    <x v="286"/>
    <n v="26"/>
    <x v="2"/>
    <n v="4906.8500000000004"/>
    <n v="4954.3900000000003"/>
    <s v="New"/>
    <n v="0.25"/>
    <s v="Bank Transfer"/>
    <s v="Online"/>
    <s v="High"/>
  </r>
  <r>
    <n v="1090"/>
    <s v="Keyboard"/>
    <d v="2023-09-14T00:00:00"/>
    <s v="Charlie"/>
    <s v="Susan Jerkins"/>
    <x v="1"/>
    <n v="0.08"/>
    <n v="569.78239999999994"/>
    <x v="287"/>
    <n v="47"/>
    <x v="2"/>
    <n v="2357.9499999999998"/>
    <n v="2693.33"/>
    <s v="New"/>
    <n v="0.18"/>
    <s v="Bank Transfer"/>
    <s v="Online"/>
    <s v="High"/>
  </r>
  <r>
    <n v="1060"/>
    <s v="Head Warmer"/>
    <d v="2023-08-12T00:00:00"/>
    <s v="David"/>
    <s v="Hogan Rock"/>
    <x v="0"/>
    <n v="7.4999999999999997E-2"/>
    <n v="131.73599999999999"/>
    <x v="288"/>
    <n v="5"/>
    <x v="0"/>
    <n v="3970.08"/>
    <n v="4096.4799999999996"/>
    <s v="Returning"/>
    <n v="0.13"/>
    <s v="Cash"/>
    <s v="Retail"/>
    <s v="Low"/>
  </r>
  <r>
    <n v="1002"/>
    <s v="Bench"/>
    <d v="2023-05-21T00:00:00"/>
    <s v="Charlie"/>
    <s v="Susan Jerkins"/>
    <x v="1"/>
    <n v="0.08"/>
    <n v="626.26"/>
    <x v="289"/>
    <n v="26"/>
    <x v="2"/>
    <n v="2041.42"/>
    <n v="2291.17"/>
    <s v="Returning"/>
    <n v="0.28000000000000003"/>
    <s v="Cash"/>
    <s v="Online"/>
    <s v="High"/>
  </r>
  <r>
    <n v="1001"/>
    <s v="Camera"/>
    <d v="2023-08-03T00:00:00"/>
    <s v="Bob"/>
    <s v="Michael Smith"/>
    <x v="1"/>
    <n v="0.08"/>
    <n v="470.34800000000001"/>
    <x v="290"/>
    <n v="20"/>
    <x v="1"/>
    <n v="2153.52"/>
    <n v="2303.6999999999998"/>
    <s v="Returning"/>
    <n v="0.01"/>
    <s v="Cash"/>
    <s v="Retail"/>
    <s v="High"/>
  </r>
  <r>
    <n v="1048"/>
    <s v="Chaise Lounge"/>
    <d v="2023-07-30T00:00:00"/>
    <s v="Alice"/>
    <s v="Scott Wayne"/>
    <x v="0"/>
    <n v="7.4999999999999997E-2"/>
    <n v="714.52499999999998"/>
    <x v="291"/>
    <n v="6"/>
    <x v="0"/>
    <n v="1945.27"/>
    <n v="2309.4299999999998"/>
    <s v="New"/>
    <n v="0.26"/>
    <s v="Credit Card"/>
    <s v="Online"/>
    <s v="High"/>
  </r>
  <r>
    <n v="1012"/>
    <s v="Cabinet"/>
    <d v="2023-11-14T00:00:00"/>
    <s v="Eve"/>
    <s v="Tracy Moore"/>
    <x v="0"/>
    <n v="7.4999999999999997E-2"/>
    <n v="38.9985"/>
    <x v="292"/>
    <n v="6"/>
    <x v="2"/>
    <n v="3609.42"/>
    <n v="4082.62"/>
    <s v="Returning"/>
    <n v="0.3"/>
    <s v="Bank Transfer"/>
    <s v="Retail"/>
    <s v="Low"/>
  </r>
  <r>
    <n v="1069"/>
    <s v="Suit"/>
    <d v="2023-02-01T00:00:00"/>
    <s v="Eve"/>
    <s v="Tracy Moore"/>
    <x v="0"/>
    <n v="7.4999999999999997E-2"/>
    <n v="204.50475"/>
    <x v="293"/>
    <n v="18"/>
    <x v="0"/>
    <n v="2760.21"/>
    <n v="3219.58"/>
    <s v="New"/>
    <n v="0.27"/>
    <s v="Bank Transfer"/>
    <s v="Retail"/>
    <s v="Low"/>
  </r>
  <r>
    <n v="1037"/>
    <s v="Turtleneck Top"/>
    <d v="2023-06-07T00:00:00"/>
    <s v="Alice"/>
    <s v="Scott Wayne"/>
    <x v="2"/>
    <n v="0.05"/>
    <n v="302.76900000000001"/>
    <x v="294"/>
    <n v="4"/>
    <x v="1"/>
    <n v="4721.7"/>
    <n v="5017.58"/>
    <s v="New"/>
    <n v="0.24"/>
    <s v="Cash"/>
    <s v="Retail"/>
    <s v="High"/>
  </r>
  <r>
    <n v="1032"/>
    <s v="Refridgerator"/>
    <d v="2023-10-12T00:00:00"/>
    <s v="Alice"/>
    <s v="Scott Wayne"/>
    <x v="0"/>
    <n v="7.4999999999999997E-2"/>
    <n v="227.69550000000001"/>
    <x v="295"/>
    <n v="17"/>
    <x v="2"/>
    <n v="1291.9100000000001"/>
    <n v="1528.59"/>
    <s v="Returning"/>
    <n v="0.11"/>
    <s v="Credit Card"/>
    <s v="Retail"/>
    <s v="Low"/>
  </r>
  <r>
    <n v="1009"/>
    <s v="Jacket"/>
    <d v="2023-11-01T00:00:00"/>
    <s v="Bob"/>
    <s v="Michael Smith"/>
    <x v="2"/>
    <n v="0.05"/>
    <n v="358.64000000000004"/>
    <x v="296"/>
    <n v="14"/>
    <x v="1"/>
    <n v="547.79"/>
    <n v="958.76"/>
    <s v="Returning"/>
    <n v="7.0000000000000007E-2"/>
    <s v="Credit Card"/>
    <s v="Retail"/>
    <s v="High"/>
  </r>
  <r>
    <n v="1099"/>
    <s v="Chest"/>
    <d v="2023-10-13T00:00:00"/>
    <s v="Charlie"/>
    <s v="Susan Jerkins"/>
    <x v="0"/>
    <n v="7.4999999999999997E-2"/>
    <n v="571.06124999999997"/>
    <x v="297"/>
    <n v="14"/>
    <x v="1"/>
    <n v="1996.64"/>
    <n v="2341.4699999999998"/>
    <s v="Returning"/>
    <n v="0.22"/>
    <s v="Credit Card"/>
    <s v="Online"/>
    <s v="High"/>
  </r>
  <r>
    <n v="1019"/>
    <s v="Apple"/>
    <d v="2023-05-24T00:00:00"/>
    <s v="Eve"/>
    <s v="Tracy Moore"/>
    <x v="2"/>
    <n v="0.05"/>
    <n v="55.745500000000007"/>
    <x v="298"/>
    <n v="13"/>
    <x v="1"/>
    <n v="3102.73"/>
    <n v="3202.68"/>
    <s v="New"/>
    <n v="0.09"/>
    <s v="Cash"/>
    <s v="Online"/>
    <s v="Low"/>
  </r>
  <r>
    <n v="1048"/>
    <s v="Chaise Lounge"/>
    <d v="2023-01-19T00:00:00"/>
    <s v="Bob"/>
    <s v="Michael Smith"/>
    <x v="1"/>
    <n v="0.08"/>
    <n v="414.97280000000001"/>
    <x v="299"/>
    <n v="7"/>
    <x v="2"/>
    <n v="4310.95"/>
    <n v="4723.2"/>
    <s v="Returning"/>
    <n v="0.05"/>
    <s v="Credit Card"/>
    <s v="Retail"/>
    <s v="High"/>
  </r>
  <r>
    <n v="1080"/>
    <s v="Headphones"/>
    <d v="2023-01-18T00:00:00"/>
    <s v="Charlie"/>
    <s v="Susan Jerkins"/>
    <x v="3"/>
    <n v="0.06"/>
    <n v="308.28120000000001"/>
    <x v="300"/>
    <n v="44"/>
    <x v="3"/>
    <n v="1763.67"/>
    <n v="1983.82"/>
    <s v="New"/>
    <n v="0.24"/>
    <s v="Credit Card"/>
    <s v="Online"/>
    <s v="High"/>
  </r>
  <r>
    <n v="1003"/>
    <s v="Stool"/>
    <d v="2023-09-14T00:00:00"/>
    <s v="Bob"/>
    <s v="Michael Smith"/>
    <x v="1"/>
    <n v="0.08"/>
    <n v="300.47040000000004"/>
    <x v="301"/>
    <n v="15"/>
    <x v="2"/>
    <n v="3286.24"/>
    <n v="3388.8399999999901"/>
    <s v="Returning"/>
    <n v="0.09"/>
    <s v="Credit Card"/>
    <s v="Retail"/>
    <s v="Low"/>
  </r>
  <r>
    <n v="1020"/>
    <s v="Apron"/>
    <d v="2023-03-19T00:00:00"/>
    <s v="Eve"/>
    <s v="Tracy Moore"/>
    <x v="1"/>
    <n v="0.08"/>
    <n v="746.87679999999989"/>
    <x v="302"/>
    <n v="19"/>
    <x v="1"/>
    <n v="1783.48"/>
    <n v="1931.56"/>
    <s v="Returning"/>
    <n v="0.27"/>
    <s v="Bank Transfer"/>
    <s v="Retail"/>
    <s v="High"/>
  </r>
  <r>
    <n v="1024"/>
    <s v="Pasta Pack"/>
    <d v="2023-06-24T00:00:00"/>
    <s v="Alice"/>
    <s v="Scott Wayne"/>
    <x v="0"/>
    <n v="7.4999999999999997E-2"/>
    <n v="621.92324999999994"/>
    <x v="303"/>
    <n v="43"/>
    <x v="2"/>
    <n v="3105.24"/>
    <n v="3246.33"/>
    <s v="New"/>
    <n v="0.25"/>
    <s v="Cash"/>
    <s v="Online"/>
    <s v="High"/>
  </r>
  <r>
    <n v="1054"/>
    <s v="Glider"/>
    <d v="2023-07-13T00:00:00"/>
    <s v="Alice"/>
    <s v="Scott Wayne"/>
    <x v="2"/>
    <n v="0.05"/>
    <n v="350.11850000000004"/>
    <x v="304"/>
    <n v="47"/>
    <x v="1"/>
    <n v="4429.8"/>
    <n v="4694.21"/>
    <s v="New"/>
    <n v="0.25"/>
    <s v="Bank Transfer"/>
    <s v="Online"/>
    <s v="High"/>
  </r>
  <r>
    <n v="1033"/>
    <s v="TV Stand"/>
    <d v="2023-04-23T00:00:00"/>
    <s v="Charlie"/>
    <s v="Susan Jerkins"/>
    <x v="3"/>
    <n v="0.06"/>
    <n v="430.3098"/>
    <x v="305"/>
    <n v="44"/>
    <x v="3"/>
    <n v="1195.22"/>
    <n v="1320.06"/>
    <s v="Returning"/>
    <n v="0.23"/>
    <s v="Bank Transfer"/>
    <s v="Retail"/>
    <s v="High"/>
  </r>
  <r>
    <n v="1024"/>
    <s v="Pasta Pack"/>
    <d v="2023-04-24T00:00:00"/>
    <s v="David"/>
    <s v="Hogan Rock"/>
    <x v="0"/>
    <n v="7.4999999999999997E-2"/>
    <n v="350.32424999999995"/>
    <x v="306"/>
    <n v="35"/>
    <x v="0"/>
    <n v="2051"/>
    <n v="2121.5500000000002"/>
    <s v="Returning"/>
    <n v="0.26"/>
    <s v="Cash"/>
    <s v="Retail"/>
    <s v="Low"/>
  </r>
  <r>
    <n v="1075"/>
    <s v="Bookshelf"/>
    <d v="2023-08-10T00:00:00"/>
    <s v="Charlie"/>
    <s v="Susan Jerkins"/>
    <x v="0"/>
    <n v="7.4999999999999997E-2"/>
    <n v="691.33875"/>
    <x v="307"/>
    <n v="17"/>
    <x v="3"/>
    <n v="4966.66"/>
    <n v="5037.2699999999904"/>
    <s v="Returning"/>
    <n v="0.24"/>
    <s v="Bank Transfer"/>
    <s v="Retail"/>
    <s v="High"/>
  </r>
  <r>
    <n v="1072"/>
    <s v="T-Shirt"/>
    <d v="2023-06-15T00:00:00"/>
    <s v="David"/>
    <s v="Hogan Rock"/>
    <x v="0"/>
    <n v="7.4999999999999997E-2"/>
    <n v="523.23674999999992"/>
    <x v="308"/>
    <n v="35"/>
    <x v="3"/>
    <n v="4349.3599999999997"/>
    <n v="4645.17"/>
    <s v="Returning"/>
    <n v="0.18"/>
    <s v="Credit Card"/>
    <s v="Retail"/>
    <s v="High"/>
  </r>
  <r>
    <n v="1036"/>
    <s v="Shorts"/>
    <d v="2023-11-15T00:00:00"/>
    <s v="Bob"/>
    <s v="Michael Smith"/>
    <x v="1"/>
    <n v="0.08"/>
    <n v="585.3528"/>
    <x v="309"/>
    <n v="19"/>
    <x v="0"/>
    <n v="2844.97"/>
    <n v="3215"/>
    <s v="Returning"/>
    <n v="0.09"/>
    <s v="Credit Card"/>
    <s v="Retail"/>
    <s v="High"/>
  </r>
  <r>
    <n v="1038"/>
    <s v="Jean Pants"/>
    <d v="2023-05-12T00:00:00"/>
    <s v="Bob"/>
    <s v="Michael Smith"/>
    <x v="2"/>
    <n v="0.05"/>
    <n v="431.53700000000003"/>
    <x v="310"/>
    <n v="20"/>
    <x v="2"/>
    <n v="2607.31"/>
    <n v="2774.86"/>
    <s v="New"/>
    <n v="0.27"/>
    <s v="Credit Card"/>
    <s v="Retail"/>
    <s v="High"/>
  </r>
  <r>
    <n v="1084"/>
    <s v="Card Table"/>
    <d v="2023-09-21T00:00:00"/>
    <s v="Eve"/>
    <s v="Tracy Moore"/>
    <x v="2"/>
    <n v="0.05"/>
    <n v="140.66550000000001"/>
    <x v="311"/>
    <n v="36"/>
    <x v="0"/>
    <n v="1458.77"/>
    <n v="1485.75"/>
    <s v="New"/>
    <n v="0.25"/>
    <s v="Credit Card"/>
    <s v="Online"/>
    <s v="Low"/>
  </r>
  <r>
    <n v="1099"/>
    <s v="Chest"/>
    <d v="2023-02-24T00:00:00"/>
    <s v="David"/>
    <s v="Hogan Rock"/>
    <x v="3"/>
    <n v="0.06"/>
    <n v="485.4"/>
    <x v="312"/>
    <n v="35"/>
    <x v="2"/>
    <n v="2610.19"/>
    <n v="2682.53"/>
    <s v="New"/>
    <n v="0.14000000000000001"/>
    <s v="Cash"/>
    <s v="Retail"/>
    <s v="High"/>
  </r>
  <r>
    <n v="1089"/>
    <s v="Recliner"/>
    <d v="2023-12-25T00:00:00"/>
    <s v="Eve"/>
    <s v="Tracy Moore"/>
    <x v="2"/>
    <n v="0.05"/>
    <n v="101.64400000000001"/>
    <x v="313"/>
    <n v="32"/>
    <x v="2"/>
    <n v="4248.5"/>
    <n v="4706.7"/>
    <s v="New"/>
    <n v="0.01"/>
    <s v="Bank Transfer"/>
    <s v="Retail"/>
    <s v="Low"/>
  </r>
  <r>
    <n v="1099"/>
    <s v="Chest"/>
    <d v="2023-05-11T00:00:00"/>
    <s v="Alice"/>
    <s v="Scott Wayne"/>
    <x v="2"/>
    <n v="0.05"/>
    <n v="175.94450000000001"/>
    <x v="314"/>
    <n v="48"/>
    <x v="1"/>
    <n v="3441.61"/>
    <n v="3693.45"/>
    <s v="Returning"/>
    <n v="0.19"/>
    <s v="Bank Transfer"/>
    <s v="Online"/>
    <s v="Low"/>
  </r>
  <r>
    <n v="1025"/>
    <s v="Mayonnaise"/>
    <d v="2023-10-15T00:00:00"/>
    <s v="David"/>
    <s v="Hogan Rock"/>
    <x v="0"/>
    <n v="7.4999999999999997E-2"/>
    <n v="256.69049999999999"/>
    <x v="315"/>
    <n v="44"/>
    <x v="1"/>
    <n v="1485.72"/>
    <n v="1717.97"/>
    <s v="New"/>
    <n v="0.02"/>
    <s v="Credit Card"/>
    <s v="Retail"/>
    <s v="Low"/>
  </r>
  <r>
    <n v="1093"/>
    <s v="Dining Table"/>
    <d v="2023-09-23T00:00:00"/>
    <s v="Charlie"/>
    <s v="Susan Jerkins"/>
    <x v="0"/>
    <n v="7.4999999999999997E-2"/>
    <n v="734.05499999999995"/>
    <x v="316"/>
    <n v="40"/>
    <x v="0"/>
    <n v="1047.25"/>
    <n v="1075.8900000000001"/>
    <s v="New"/>
    <n v="0.28000000000000003"/>
    <s v="Credit Card"/>
    <s v="Retail"/>
    <s v="High"/>
  </r>
  <r>
    <n v="1018"/>
    <s v="Dress Shirt"/>
    <d v="2024-01-01T00:00:00"/>
    <s v="Alice"/>
    <s v="Scott Wayne"/>
    <x v="1"/>
    <n v="0.08"/>
    <n v="686.37759999999992"/>
    <x v="317"/>
    <n v="24"/>
    <x v="3"/>
    <n v="1362.78"/>
    <n v="1729.81"/>
    <s v="New"/>
    <n v="0.28999999999999998"/>
    <s v="Bank Transfer"/>
    <s v="Online"/>
    <s v="High"/>
  </r>
  <r>
    <n v="1082"/>
    <s v="USB Drive"/>
    <d v="2023-06-11T00:00:00"/>
    <s v="Alice"/>
    <s v="Scott Wayne"/>
    <x v="0"/>
    <n v="7.4999999999999997E-2"/>
    <n v="528.11849999999993"/>
    <x v="318"/>
    <n v="17"/>
    <x v="0"/>
    <n v="890.31"/>
    <n v="1159.06"/>
    <s v="Returning"/>
    <n v="0.06"/>
    <s v="Cash"/>
    <s v="Retail"/>
    <s v="High"/>
  </r>
  <r>
    <n v="1066"/>
    <s v="Armoire"/>
    <d v="2023-03-28T00:00:00"/>
    <s v="Charlie"/>
    <s v="Susan Jerkins"/>
    <x v="0"/>
    <n v="7.4999999999999997E-2"/>
    <n v="547.33949999999993"/>
    <x v="319"/>
    <n v="7"/>
    <x v="2"/>
    <n v="523.41999999999996"/>
    <n v="632.43999999999903"/>
    <s v="New"/>
    <n v="0.2"/>
    <s v="Bank Transfer"/>
    <s v="Online"/>
    <s v="High"/>
  </r>
  <r>
    <n v="1054"/>
    <s v="Glider"/>
    <d v="2023-02-24T00:00:00"/>
    <s v="Alice"/>
    <s v="Scott Wayne"/>
    <x v="0"/>
    <n v="7.4999999999999997E-2"/>
    <n v="424.839"/>
    <x v="320"/>
    <n v="43"/>
    <x v="1"/>
    <n v="2124.7199999999998"/>
    <n v="2188.66"/>
    <s v="Returning"/>
    <n v="0.03"/>
    <s v="Credit Card"/>
    <s v="Retail"/>
    <s v="High"/>
  </r>
  <r>
    <n v="1035"/>
    <s v="Doughnut"/>
    <d v="2023-10-15T00:00:00"/>
    <s v="David"/>
    <s v="Hogan Rock"/>
    <x v="0"/>
    <n v="7.4999999999999997E-2"/>
    <n v="710.71500000000003"/>
    <x v="321"/>
    <n v="1"/>
    <x v="0"/>
    <n v="610.83000000000004"/>
    <n v="808.69"/>
    <s v="New"/>
    <n v="0.22"/>
    <s v="Credit Card"/>
    <s v="Online"/>
    <s v="High"/>
  </r>
  <r>
    <n v="1080"/>
    <s v="Headphones"/>
    <d v="2023-06-27T00:00:00"/>
    <s v="Eve"/>
    <s v="Tracy Moore"/>
    <x v="1"/>
    <n v="0.08"/>
    <n v="401.03680000000003"/>
    <x v="322"/>
    <n v="35"/>
    <x v="0"/>
    <n v="900.97"/>
    <n v="1321.18"/>
    <s v="Returning"/>
    <n v="0.1"/>
    <s v="Cash"/>
    <s v="Online"/>
    <s v="High"/>
  </r>
  <r>
    <n v="1061"/>
    <s v="Laptop"/>
    <d v="2023-12-15T00:00:00"/>
    <s v="Alice"/>
    <s v="Scott Wayne"/>
    <x v="0"/>
    <n v="7.4999999999999997E-2"/>
    <n v="290.03474999999997"/>
    <x v="323"/>
    <n v="32"/>
    <x v="1"/>
    <n v="2759.26"/>
    <n v="3193.25"/>
    <s v="New"/>
    <n v="0.2"/>
    <s v="Bank Transfer"/>
    <s v="Online"/>
    <s v="Low"/>
  </r>
  <r>
    <n v="1041"/>
    <s v="Bread"/>
    <d v="2023-01-08T00:00:00"/>
    <s v="David"/>
    <s v="Hogan Rock"/>
    <x v="3"/>
    <n v="0.06"/>
    <n v="102.84299999999999"/>
    <x v="324"/>
    <n v="36"/>
    <x v="1"/>
    <n v="864.77"/>
    <n v="1170.1599999999901"/>
    <s v="Returning"/>
    <n v="0.11"/>
    <s v="Cash"/>
    <s v="Retail"/>
    <s v="Low"/>
  </r>
  <r>
    <n v="1100"/>
    <s v="Protein Cookies"/>
    <d v="2023-11-17T00:00:00"/>
    <s v="Bob"/>
    <s v="Michael Smith"/>
    <x v="3"/>
    <n v="0.06"/>
    <n v="473.00639999999999"/>
    <x v="325"/>
    <n v="13"/>
    <x v="1"/>
    <n v="366.2"/>
    <n v="732.69"/>
    <s v="New"/>
    <n v="0.04"/>
    <s v="Cash"/>
    <s v="Retail"/>
    <s v="High"/>
  </r>
  <r>
    <n v="1033"/>
    <s v="TV Stand"/>
    <d v="2023-11-09T00:00:00"/>
    <s v="David"/>
    <s v="Hogan Rock"/>
    <x v="3"/>
    <n v="0.06"/>
    <n v="442.25939999999997"/>
    <x v="326"/>
    <n v="6"/>
    <x v="2"/>
    <n v="1621.07"/>
    <n v="1687.5"/>
    <s v="Returning"/>
    <n v="0.12"/>
    <s v="Credit Card"/>
    <s v="Online"/>
    <s v="High"/>
  </r>
  <r>
    <n v="1068"/>
    <s v="Leggings"/>
    <d v="2023-09-04T00:00:00"/>
    <s v="Eve"/>
    <s v="Tracy Moore"/>
    <x v="3"/>
    <n v="0.06"/>
    <n v="234.3066"/>
    <x v="327"/>
    <n v="14"/>
    <x v="1"/>
    <n v="1140.58"/>
    <n v="1438.76"/>
    <s v="Returning"/>
    <n v="0.03"/>
    <s v="Bank Transfer"/>
    <s v="Online"/>
    <s v="Low"/>
  </r>
  <r>
    <n v="1033"/>
    <s v="TV Stand"/>
    <d v="2023-11-19T00:00:00"/>
    <s v="David"/>
    <s v="Hogan Rock"/>
    <x v="0"/>
    <n v="7.4999999999999997E-2"/>
    <n v="26.205750000000002"/>
    <x v="328"/>
    <n v="37"/>
    <x v="3"/>
    <n v="2600.7600000000002"/>
    <n v="2937.57"/>
    <s v="New"/>
    <n v="0.17"/>
    <s v="Credit Card"/>
    <s v="Retail"/>
    <s v="Low"/>
  </r>
  <r>
    <n v="1014"/>
    <s v="Cheese Block"/>
    <d v="2023-09-12T00:00:00"/>
    <s v="Charlie"/>
    <s v="Susan Jerkins"/>
    <x v="3"/>
    <n v="0.06"/>
    <n v="504.36419999999998"/>
    <x v="329"/>
    <n v="48"/>
    <x v="0"/>
    <n v="556.72"/>
    <n v="665.07"/>
    <s v="Returning"/>
    <n v="0.01"/>
    <s v="Bank Transfer"/>
    <s v="Retail"/>
    <s v="High"/>
  </r>
  <r>
    <n v="1021"/>
    <s v="Almond Milk"/>
    <d v="2023-11-24T00:00:00"/>
    <s v="Eve"/>
    <s v="Tracy Moore"/>
    <x v="0"/>
    <n v="7.4999999999999997E-2"/>
    <n v="15.977999999999998"/>
    <x v="330"/>
    <n v="15"/>
    <x v="1"/>
    <n v="3771.27"/>
    <n v="4212.55"/>
    <s v="Returning"/>
    <n v="0.16"/>
    <s v="Credit Card"/>
    <s v="Retail"/>
    <s v="Low"/>
  </r>
  <r>
    <n v="1048"/>
    <s v="Chaise Lounge"/>
    <d v="2023-02-23T00:00:00"/>
    <s v="Bob"/>
    <s v="Michael Smith"/>
    <x v="1"/>
    <n v="0.08"/>
    <n v="565.33040000000005"/>
    <x v="331"/>
    <n v="47"/>
    <x v="1"/>
    <n v="4535.8599999999997"/>
    <n v="4641.41"/>
    <s v="New"/>
    <n v="0.27"/>
    <s v="Credit Card"/>
    <s v="Retail"/>
    <s v="High"/>
  </r>
  <r>
    <n v="1020"/>
    <s v="Apron"/>
    <d v="2023-09-06T00:00:00"/>
    <s v="Charlie"/>
    <s v="Susan Jerkins"/>
    <x v="3"/>
    <n v="0.06"/>
    <n v="582.33299999999997"/>
    <x v="332"/>
    <n v="4"/>
    <x v="2"/>
    <n v="3730"/>
    <n v="3893.6"/>
    <s v="New"/>
    <n v="0.25"/>
    <s v="Bank Transfer"/>
    <s v="Retail"/>
    <s v="High"/>
  </r>
  <r>
    <n v="1008"/>
    <s v="Skirt"/>
    <d v="2023-08-27T00:00:00"/>
    <s v="David"/>
    <s v="Hogan Rock"/>
    <x v="2"/>
    <n v="0.05"/>
    <n v="221.64250000000004"/>
    <x v="333"/>
    <n v="40"/>
    <x v="2"/>
    <n v="2687.49"/>
    <n v="3001.56"/>
    <s v="Returning"/>
    <n v="0.26"/>
    <s v="Bank Transfer"/>
    <s v="Online"/>
    <s v="Low"/>
  </r>
  <r>
    <n v="1007"/>
    <s v="Fruit Jam"/>
    <d v="2023-08-17T00:00:00"/>
    <s v="Eve"/>
    <s v="Tracy Moore"/>
    <x v="3"/>
    <n v="0.06"/>
    <n v="145.57439999999997"/>
    <x v="334"/>
    <n v="16"/>
    <x v="0"/>
    <n v="4310.3100000000004"/>
    <n v="4633.1000000000004"/>
    <s v="New"/>
    <n v="0.28000000000000003"/>
    <s v="Credit Card"/>
    <s v="Retail"/>
    <s v="Low"/>
  </r>
  <r>
    <n v="1067"/>
    <s v="Grapes"/>
    <d v="2023-03-08T00:00:00"/>
    <s v="Bob"/>
    <s v="Michael Smith"/>
    <x v="3"/>
    <n v="0.06"/>
    <n v="424.69319999999999"/>
    <x v="335"/>
    <n v="28"/>
    <x v="3"/>
    <n v="3489.85"/>
    <n v="3842.5499999999902"/>
    <s v="New"/>
    <n v="0.03"/>
    <s v="Bank Transfer"/>
    <s v="Online"/>
    <s v="High"/>
  </r>
  <r>
    <n v="1017"/>
    <s v="Peaches"/>
    <d v="2023-02-20T00:00:00"/>
    <s v="Charlie"/>
    <s v="Susan Jerkins"/>
    <x v="0"/>
    <n v="7.4999999999999997E-2"/>
    <n v="614.21774999999991"/>
    <x v="336"/>
    <n v="16"/>
    <x v="0"/>
    <n v="102.23"/>
    <n v="167.12"/>
    <s v="New"/>
    <n v="0.04"/>
    <s v="Credit Card"/>
    <s v="Retail"/>
    <s v="High"/>
  </r>
  <r>
    <n v="1033"/>
    <s v="TV Stand"/>
    <d v="2023-04-07T00:00:00"/>
    <s v="Bob"/>
    <s v="Michael Smith"/>
    <x v="3"/>
    <n v="0.06"/>
    <n v="330.57959999999997"/>
    <x v="337"/>
    <n v="4"/>
    <x v="1"/>
    <n v="2000.75"/>
    <n v="2426.9899999999998"/>
    <s v="Returning"/>
    <n v="0.17"/>
    <s v="Bank Transfer"/>
    <s v="Online"/>
    <s v="High"/>
  </r>
  <r>
    <n v="1048"/>
    <s v="Chaise Lounge"/>
    <d v="2023-04-02T00:00:00"/>
    <s v="David"/>
    <s v="Hogan Rock"/>
    <x v="2"/>
    <n v="0.05"/>
    <n v="483.6825"/>
    <x v="338"/>
    <n v="45"/>
    <x v="3"/>
    <n v="4262.21"/>
    <n v="4533.3100000000004"/>
    <s v="Returning"/>
    <n v="0.27"/>
    <s v="Credit Card"/>
    <s v="Online"/>
    <s v="High"/>
  </r>
  <r>
    <n v="1076"/>
    <s v="Polo Shirt"/>
    <d v="2023-09-21T00:00:00"/>
    <s v="Bob"/>
    <s v="Michael Smith"/>
    <x v="0"/>
    <n v="7.4999999999999997E-2"/>
    <n v="45.863999999999997"/>
    <x v="339"/>
    <n v="26"/>
    <x v="3"/>
    <n v="1762"/>
    <n v="2002.95"/>
    <s v="Returning"/>
    <n v="0.28999999999999998"/>
    <s v="Credit Card"/>
    <s v="Retail"/>
    <s v="Low"/>
  </r>
  <r>
    <n v="1059"/>
    <s v="Coffee Beans"/>
    <d v="2023-10-18T00:00:00"/>
    <s v="Alice"/>
    <s v="Scott Wayne"/>
    <x v="0"/>
    <n v="7.4999999999999997E-2"/>
    <n v="382.31099999999998"/>
    <x v="340"/>
    <n v="28"/>
    <x v="3"/>
    <n v="224.32"/>
    <n v="715.06"/>
    <s v="Returning"/>
    <n v="0.01"/>
    <s v="Credit Card"/>
    <s v="Online"/>
    <s v="High"/>
  </r>
  <r>
    <n v="1086"/>
    <s v="Gaming Console"/>
    <d v="2023-04-06T00:00:00"/>
    <s v="Charlie"/>
    <s v="Susan Jerkins"/>
    <x v="1"/>
    <n v="0.08"/>
    <n v="577.01519999999994"/>
    <x v="341"/>
    <n v="32"/>
    <x v="3"/>
    <n v="3743.59"/>
    <n v="4116.38"/>
    <s v="Returning"/>
    <n v="0.11"/>
    <s v="Cash"/>
    <s v="Online"/>
    <s v="High"/>
  </r>
  <r>
    <n v="1022"/>
    <s v="Organic Honey"/>
    <d v="2023-03-29T00:00:00"/>
    <s v="Bob"/>
    <s v="Michael Smith"/>
    <x v="1"/>
    <n v="0.08"/>
    <n v="691.21119999999996"/>
    <x v="342"/>
    <n v="45"/>
    <x v="0"/>
    <n v="4020.09"/>
    <n v="4087.91"/>
    <s v="Returning"/>
    <n v="0.06"/>
    <s v="Bank Transfer"/>
    <s v="Online"/>
    <s v="High"/>
  </r>
  <r>
    <n v="1030"/>
    <s v="Jeans"/>
    <d v="2023-03-19T00:00:00"/>
    <s v="David"/>
    <s v="Hogan Rock"/>
    <x v="3"/>
    <n v="0.06"/>
    <n v="112.4778"/>
    <x v="343"/>
    <n v="2"/>
    <x v="2"/>
    <n v="844.94"/>
    <n v="1225.6400000000001"/>
    <s v="Returning"/>
    <n v="0.23"/>
    <s v="Credit Card"/>
    <s v="Online"/>
    <s v="Low"/>
  </r>
  <r>
    <n v="1038"/>
    <s v="Jean Pants"/>
    <d v="2023-10-15T00:00:00"/>
    <s v="David"/>
    <s v="Hogan Rock"/>
    <x v="1"/>
    <n v="0.08"/>
    <n v="641.60239999999999"/>
    <x v="344"/>
    <n v="31"/>
    <x v="2"/>
    <n v="2709.84"/>
    <n v="2766.51"/>
    <s v="New"/>
    <n v="0.19"/>
    <s v="Cash"/>
    <s v="Retail"/>
    <s v="High"/>
  </r>
  <r>
    <n v="1051"/>
    <s v="Tablet"/>
    <d v="2023-04-30T00:00:00"/>
    <s v="Bob"/>
    <s v="Michael Smith"/>
    <x v="1"/>
    <n v="0.08"/>
    <n v="445.74400000000003"/>
    <x v="345"/>
    <n v="3"/>
    <x v="1"/>
    <n v="1000.18"/>
    <n v="1023.64"/>
    <s v="Returning"/>
    <n v="0.04"/>
    <s v="Credit Card"/>
    <s v="Online"/>
    <s v="High"/>
  </r>
  <r>
    <n v="1054"/>
    <s v="Glider"/>
    <d v="2023-10-29T00:00:00"/>
    <s v="David"/>
    <s v="Hogan Rock"/>
    <x v="1"/>
    <n v="0.08"/>
    <n v="322.07040000000001"/>
    <x v="346"/>
    <n v="8"/>
    <x v="2"/>
    <n v="3610.21"/>
    <n v="3817.99"/>
    <s v="Returning"/>
    <n v="0.15"/>
    <s v="Cash"/>
    <s v="Retail"/>
    <s v="Low"/>
  </r>
  <r>
    <n v="1008"/>
    <s v="Skirt"/>
    <d v="2023-06-14T00:00:00"/>
    <s v="Eve"/>
    <s v="Tracy Moore"/>
    <x v="0"/>
    <n v="7.4999999999999997E-2"/>
    <n v="105.2985"/>
    <x v="347"/>
    <n v="24"/>
    <x v="2"/>
    <n v="1394.17"/>
    <n v="1891.02"/>
    <s v="New"/>
    <n v="0.21"/>
    <s v="Credit Card"/>
    <s v="Online"/>
    <s v="Low"/>
  </r>
  <r>
    <n v="1027"/>
    <s v="Cookies"/>
    <d v="2023-07-01T00:00:00"/>
    <s v="Eve"/>
    <s v="Tracy Moore"/>
    <x v="0"/>
    <n v="7.4999999999999997E-2"/>
    <n v="649.98225000000002"/>
    <x v="348"/>
    <n v="15"/>
    <x v="2"/>
    <n v="1615.26"/>
    <n v="1710.95"/>
    <s v="New"/>
    <n v="0.23"/>
    <s v="Credit Card"/>
    <s v="Retail"/>
    <s v="High"/>
  </r>
  <r>
    <n v="1027"/>
    <s v="Cookies"/>
    <d v="2023-08-11T00:00:00"/>
    <s v="Eve"/>
    <s v="Tracy Moore"/>
    <x v="0"/>
    <n v="7.4999999999999997E-2"/>
    <n v="124.27499999999999"/>
    <x v="349"/>
    <n v="43"/>
    <x v="2"/>
    <n v="4232.6099999999997"/>
    <n v="4572.21"/>
    <s v="New"/>
    <n v="0.01"/>
    <s v="Cash"/>
    <s v="Retail"/>
    <s v="Low"/>
  </r>
  <r>
    <n v="1098"/>
    <s v="File Cabinet"/>
    <d v="2023-11-07T00:00:00"/>
    <s v="Alice"/>
    <s v="Scott Wayne"/>
    <x v="1"/>
    <n v="0.08"/>
    <n v="253.352"/>
    <x v="350"/>
    <n v="31"/>
    <x v="1"/>
    <n v="2407.8000000000002"/>
    <n v="2502.7600000000002"/>
    <s v="Returning"/>
    <n v="0.27"/>
    <s v="Cash"/>
    <s v="Retail"/>
    <s v="Low"/>
  </r>
  <r>
    <n v="1021"/>
    <s v="Almond Milk"/>
    <d v="2023-01-07T00:00:00"/>
    <s v="Bob"/>
    <s v="Michael Smith"/>
    <x v="0"/>
    <n v="7.4999999999999997E-2"/>
    <n v="222.85874999999999"/>
    <x v="351"/>
    <n v="9"/>
    <x v="0"/>
    <n v="3365.28"/>
    <n v="3730.43"/>
    <s v="New"/>
    <n v="0.17"/>
    <s v="Bank Transfer"/>
    <s v="Online"/>
    <s v="Low"/>
  </r>
  <r>
    <n v="1030"/>
    <s v="Jeans"/>
    <d v="2023-11-26T00:00:00"/>
    <s v="Alice"/>
    <s v="Scott Wayne"/>
    <x v="1"/>
    <n v="0.08"/>
    <n v="698.16"/>
    <x v="352"/>
    <n v="39"/>
    <x v="3"/>
    <n v="2041.75"/>
    <n v="2299.37"/>
    <s v="Returning"/>
    <n v="0.24"/>
    <s v="Bank Transfer"/>
    <s v="Retail"/>
    <s v="High"/>
  </r>
  <r>
    <n v="1097"/>
    <s v="Freezer"/>
    <d v="2023-09-20T00:00:00"/>
    <s v="David"/>
    <s v="Hogan Rock"/>
    <x v="0"/>
    <n v="7.4999999999999997E-2"/>
    <n v="506.98199999999997"/>
    <x v="353"/>
    <n v="45"/>
    <x v="2"/>
    <n v="1525.13"/>
    <n v="1868.32"/>
    <s v="Returning"/>
    <n v="0.24"/>
    <s v="Cash"/>
    <s v="Retail"/>
    <s v="High"/>
  </r>
  <r>
    <n v="1028"/>
    <s v="Pyjamas"/>
    <d v="2023-06-10T00:00:00"/>
    <s v="Alice"/>
    <s v="Scott Wayne"/>
    <x v="0"/>
    <n v="7.4999999999999997E-2"/>
    <n v="599.03625"/>
    <x v="354"/>
    <n v="2"/>
    <x v="0"/>
    <n v="3146.12"/>
    <n v="3255.5299999999902"/>
    <s v="Returning"/>
    <n v="0.06"/>
    <s v="Bank Transfer"/>
    <s v="Online"/>
    <s v="High"/>
  </r>
  <r>
    <n v="1064"/>
    <s v="Smartphone"/>
    <d v="2023-05-31T00:00:00"/>
    <s v="David"/>
    <s v="Hogan Rock"/>
    <x v="2"/>
    <n v="0.05"/>
    <n v="128.98150000000001"/>
    <x v="355"/>
    <n v="8"/>
    <x v="2"/>
    <n v="816.54"/>
    <n v="1191.9000000000001"/>
    <s v="New"/>
    <n v="0.03"/>
    <s v="Cash"/>
    <s v="Retail"/>
    <s v="Low"/>
  </r>
  <r>
    <n v="1097"/>
    <s v="Freezer"/>
    <d v="2023-03-26T00:00:00"/>
    <s v="David"/>
    <s v="Hogan Rock"/>
    <x v="3"/>
    <n v="0.06"/>
    <n v="377.17500000000001"/>
    <x v="356"/>
    <n v="7"/>
    <x v="2"/>
    <n v="1896.35"/>
    <n v="2394.1999999999998"/>
    <s v="New"/>
    <n v="0.22"/>
    <s v="Bank Transfer"/>
    <s v="Online"/>
    <s v="High"/>
  </r>
  <r>
    <n v="1069"/>
    <s v="Suit"/>
    <d v="2023-05-27T00:00:00"/>
    <s v="Charlie"/>
    <s v="Susan Jerkins"/>
    <x v="1"/>
    <n v="0.08"/>
    <n v="460.82319999999999"/>
    <x v="357"/>
    <n v="44"/>
    <x v="3"/>
    <n v="1084.73"/>
    <n v="1420.9"/>
    <s v="Returning"/>
    <n v="0.05"/>
    <s v="Credit Card"/>
    <s v="Online"/>
    <s v="High"/>
  </r>
  <r>
    <n v="1061"/>
    <s v="Laptop"/>
    <d v="2023-04-22T00:00:00"/>
    <s v="Eve"/>
    <s v="Tracy Moore"/>
    <x v="2"/>
    <n v="0.05"/>
    <n v="417.25100000000003"/>
    <x v="358"/>
    <n v="39"/>
    <x v="3"/>
    <n v="3494.19"/>
    <n v="3746"/>
    <s v="Returning"/>
    <n v="0.25"/>
    <s v="Bank Transfer"/>
    <s v="Retail"/>
    <s v="High"/>
  </r>
  <r>
    <n v="1048"/>
    <s v="Chaise Lounge"/>
    <d v="2023-02-05T00:00:00"/>
    <s v="David"/>
    <s v="Hogan Rock"/>
    <x v="0"/>
    <n v="7.4999999999999997E-2"/>
    <n v="680.26949999999999"/>
    <x v="359"/>
    <n v="42"/>
    <x v="3"/>
    <n v="4723.83"/>
    <n v="5186.1899999999996"/>
    <s v="Returning"/>
    <n v="0.22"/>
    <s v="Credit Card"/>
    <s v="Online"/>
    <s v="High"/>
  </r>
  <r>
    <n v="1019"/>
    <s v="Apple"/>
    <d v="2023-10-12T00:00:00"/>
    <s v="Charlie"/>
    <s v="Susan Jerkins"/>
    <x v="1"/>
    <n v="0.08"/>
    <n v="17.628"/>
    <x v="360"/>
    <n v="16"/>
    <x v="2"/>
    <n v="4977.78"/>
    <n v="4995.55"/>
    <s v="New"/>
    <n v="0.25"/>
    <s v="Credit Card"/>
    <s v="Online"/>
    <s v="Low"/>
  </r>
  <r>
    <n v="1004"/>
    <s v="Smartwatch"/>
    <d v="2023-07-07T00:00:00"/>
    <s v="Eve"/>
    <s v="Tracy Moore"/>
    <x v="0"/>
    <n v="7.4999999999999997E-2"/>
    <n v="507.96"/>
    <x v="361"/>
    <n v="35"/>
    <x v="2"/>
    <n v="2278.87"/>
    <n v="2646.5299999999902"/>
    <s v="Returning"/>
    <n v="0.09"/>
    <s v="Bank Transfer"/>
    <s v="Online"/>
    <s v="High"/>
  </r>
  <r>
    <n v="1035"/>
    <s v="Doughnut"/>
    <d v="2023-03-23T00:00:00"/>
    <s v="David"/>
    <s v="Hogan Rock"/>
    <x v="3"/>
    <n v="0.06"/>
    <n v="36.790199999999999"/>
    <x v="362"/>
    <n v="30"/>
    <x v="2"/>
    <n v="1300.03"/>
    <n v="1745.52"/>
    <s v="New"/>
    <n v="0.09"/>
    <s v="Cash"/>
    <s v="Retail"/>
    <s v="Low"/>
  </r>
  <r>
    <n v="1064"/>
    <s v="Smartphone"/>
    <d v="2023-01-02T00:00:00"/>
    <s v="David"/>
    <s v="Hogan Rock"/>
    <x v="2"/>
    <n v="0.05"/>
    <n v="276.685"/>
    <x v="363"/>
    <n v="10"/>
    <x v="3"/>
    <n v="2242.0100000000002"/>
    <n v="2282.23"/>
    <s v="Returning"/>
    <n v="0.2"/>
    <s v="Credit Card"/>
    <s v="Online"/>
    <s v="High"/>
  </r>
  <r>
    <n v="1049"/>
    <s v="Coffee Table"/>
    <d v="2023-10-30T00:00:00"/>
    <s v="Alice"/>
    <s v="Scott Wayne"/>
    <x v="3"/>
    <n v="0.06"/>
    <n v="176.8536"/>
    <x v="364"/>
    <n v="38"/>
    <x v="1"/>
    <n v="4243.9799999999996"/>
    <n v="4474.5099999999902"/>
    <s v="New"/>
    <n v="0.01"/>
    <s v="Credit Card"/>
    <s v="Online"/>
    <s v="Low"/>
  </r>
  <r>
    <n v="1017"/>
    <s v="Peaches"/>
    <d v="2023-07-16T00:00:00"/>
    <s v="Alice"/>
    <s v="Scott Wayne"/>
    <x v="2"/>
    <n v="0.05"/>
    <n v="156.85450000000003"/>
    <x v="365"/>
    <n v="18"/>
    <x v="0"/>
    <n v="1069.73"/>
    <n v="1180.04"/>
    <s v="Returning"/>
    <n v="0.22"/>
    <s v="Bank Transfer"/>
    <s v="Online"/>
    <s v="Low"/>
  </r>
  <r>
    <n v="1044"/>
    <s v="Burger"/>
    <d v="2023-01-11T00:00:00"/>
    <s v="Eve"/>
    <s v="Tracy Moore"/>
    <x v="0"/>
    <n v="7.4999999999999997E-2"/>
    <n v="269.57175000000001"/>
    <x v="366"/>
    <n v="5"/>
    <x v="1"/>
    <n v="4762.87"/>
    <n v="5050.46"/>
    <s v="New"/>
    <n v="0.25"/>
    <s v="Cash"/>
    <s v="Retail"/>
    <s v="Low"/>
  </r>
  <r>
    <n v="1092"/>
    <s v="Recliner"/>
    <d v="2023-08-22T00:00:00"/>
    <s v="David"/>
    <s v="Hogan Rock"/>
    <x v="3"/>
    <n v="0.06"/>
    <n v="375.048"/>
    <x v="367"/>
    <n v="29"/>
    <x v="2"/>
    <n v="1742.24"/>
    <n v="2070.52"/>
    <s v="New"/>
    <n v="0.12"/>
    <s v="Cash"/>
    <s v="Online"/>
    <s v="High"/>
  </r>
  <r>
    <n v="1030"/>
    <s v="Jeans"/>
    <d v="2023-07-14T00:00:00"/>
    <s v="Bob"/>
    <s v="Michael Smith"/>
    <x v="3"/>
    <n v="0.06"/>
    <n v="204.4254"/>
    <x v="368"/>
    <n v="39"/>
    <x v="2"/>
    <n v="4929.7299999999996"/>
    <n v="5088.0199999999904"/>
    <s v="New"/>
    <n v="0.23"/>
    <s v="Bank Transfer"/>
    <s v="Retail"/>
    <s v="Low"/>
  </r>
  <r>
    <n v="1093"/>
    <s v="Dining Table"/>
    <d v="2023-04-29T00:00:00"/>
    <s v="Alice"/>
    <s v="Scott Wayne"/>
    <x v="0"/>
    <n v="7.4999999999999997E-2"/>
    <n v="551.529"/>
    <x v="369"/>
    <n v="34"/>
    <x v="1"/>
    <n v="4201.1099999999997"/>
    <n v="4436.5"/>
    <s v="New"/>
    <n v="0.05"/>
    <s v="Cash"/>
    <s v="Online"/>
    <s v="High"/>
  </r>
  <r>
    <n v="1046"/>
    <s v="Sweat Shirts"/>
    <d v="2023-01-20T00:00:00"/>
    <s v="Eve"/>
    <s v="Tracy Moore"/>
    <x v="3"/>
    <n v="0.06"/>
    <n v="246.28919999999997"/>
    <x v="370"/>
    <n v="43"/>
    <x v="2"/>
    <n v="4052.42"/>
    <n v="4199.3"/>
    <s v="New"/>
    <n v="0.1"/>
    <s v="Bank Transfer"/>
    <s v="Retail"/>
    <s v="Low"/>
  </r>
  <r>
    <n v="1006"/>
    <s v="Monitor"/>
    <d v="2023-09-18T00:00:00"/>
    <s v="David"/>
    <s v="Hogan Rock"/>
    <x v="1"/>
    <n v="0.08"/>
    <n v="62.136000000000003"/>
    <x v="371"/>
    <n v="45"/>
    <x v="0"/>
    <n v="1623.63"/>
    <n v="1814.63"/>
    <s v="New"/>
    <n v="0.28999999999999998"/>
    <s v="Bank Transfer"/>
    <s v="Retail"/>
    <s v="Low"/>
  </r>
  <r>
    <n v="1099"/>
    <s v="Chest"/>
    <d v="2023-10-20T00:00:00"/>
    <s v="David"/>
    <s v="Hogan Rock"/>
    <x v="2"/>
    <n v="0.05"/>
    <n v="392.96100000000001"/>
    <x v="372"/>
    <n v="23"/>
    <x v="2"/>
    <n v="93.45"/>
    <n v="181.62"/>
    <s v="Returning"/>
    <n v="0.3"/>
    <s v="Bank Transfer"/>
    <s v="Retail"/>
    <s v="High"/>
  </r>
  <r>
    <n v="1037"/>
    <s v="Turtleneck Top"/>
    <d v="2023-09-13T00:00:00"/>
    <s v="Bob"/>
    <s v="Michael Smith"/>
    <x v="2"/>
    <n v="0.05"/>
    <n v="146.45050000000001"/>
    <x v="373"/>
    <n v="5"/>
    <x v="0"/>
    <n v="1941.56"/>
    <n v="2385.48"/>
    <s v="Returning"/>
    <n v="0.15"/>
    <s v="Credit Card"/>
    <s v="Online"/>
    <s v="Low"/>
  </r>
  <r>
    <n v="1024"/>
    <s v="Pasta Pack"/>
    <d v="2023-08-10T00:00:00"/>
    <s v="Eve"/>
    <s v="Tracy Moore"/>
    <x v="2"/>
    <n v="0.05"/>
    <n v="219.21950000000004"/>
    <x v="374"/>
    <n v="30"/>
    <x v="1"/>
    <n v="1543.96"/>
    <n v="1558.87"/>
    <s v="Returning"/>
    <n v="0.28000000000000003"/>
    <s v="Credit Card"/>
    <s v="Online"/>
    <s v="Low"/>
  </r>
  <r>
    <n v="1093"/>
    <s v="Dining Table"/>
    <d v="2023-08-14T00:00:00"/>
    <s v="David"/>
    <s v="Hogan Rock"/>
    <x v="1"/>
    <n v="0.08"/>
    <n v="550.87120000000004"/>
    <x v="375"/>
    <n v="6"/>
    <x v="1"/>
    <n v="235.12"/>
    <n v="677.5"/>
    <s v="Returning"/>
    <n v="0.16"/>
    <s v="Credit Card"/>
    <s v="Online"/>
    <s v="High"/>
  </r>
  <r>
    <n v="1046"/>
    <s v="Sweat Shirts"/>
    <d v="2023-02-22T00:00:00"/>
    <s v="Alice"/>
    <s v="Scott Wayne"/>
    <x v="2"/>
    <n v="0.05"/>
    <n v="169.56600000000003"/>
    <x v="376"/>
    <n v="46"/>
    <x v="2"/>
    <n v="2551.56"/>
    <n v="2841.68"/>
    <s v="New"/>
    <n v="0.09"/>
    <s v="Bank Transfer"/>
    <s v="Retail"/>
    <s v="Low"/>
  </r>
  <r>
    <n v="1053"/>
    <s v="Bed"/>
    <d v="2023-12-21T00:00:00"/>
    <s v="Bob"/>
    <s v="Michael Smith"/>
    <x v="0"/>
    <n v="7.4999999999999997E-2"/>
    <n v="49.515000000000001"/>
    <x v="377"/>
    <n v="44"/>
    <x v="0"/>
    <n v="2045"/>
    <n v="2217.5100000000002"/>
    <s v="Returning"/>
    <n v="0.08"/>
    <s v="Credit Card"/>
    <s v="Online"/>
    <s v="Low"/>
  </r>
  <r>
    <n v="1095"/>
    <s v="Bluetooth Speaker"/>
    <d v="2023-12-08T00:00:00"/>
    <s v="Eve"/>
    <s v="Tracy Moore"/>
    <x v="3"/>
    <n v="0.06"/>
    <n v="228.10920000000002"/>
    <x v="378"/>
    <n v="4"/>
    <x v="2"/>
    <n v="3191.05"/>
    <n v="3555.35"/>
    <s v="New"/>
    <n v="0.28000000000000003"/>
    <s v="Credit Card"/>
    <s v="Online"/>
    <s v="Low"/>
  </r>
  <r>
    <n v="1099"/>
    <s v="Chest"/>
    <d v="2023-12-30T00:00:00"/>
    <s v="Bob"/>
    <s v="Michael Smith"/>
    <x v="1"/>
    <n v="0.08"/>
    <n v="756.00320000000011"/>
    <x v="379"/>
    <n v="29"/>
    <x v="3"/>
    <n v="3124.87"/>
    <n v="3383.67"/>
    <s v="New"/>
    <n v="0.05"/>
    <s v="Credit Card"/>
    <s v="Retail"/>
    <s v="High"/>
  </r>
  <r>
    <n v="1060"/>
    <s v="Head Warmer"/>
    <d v="2023-10-07T00:00:00"/>
    <s v="Alice"/>
    <s v="Scott Wayne"/>
    <x v="2"/>
    <n v="0.05"/>
    <n v="322.6585"/>
    <x v="380"/>
    <n v="23"/>
    <x v="3"/>
    <n v="647.70000000000005"/>
    <n v="902.26"/>
    <s v="New"/>
    <n v="0.17"/>
    <s v="Bank Transfer"/>
    <s v="Online"/>
    <s v="High"/>
  </r>
  <r>
    <n v="1097"/>
    <s v="Freezer"/>
    <d v="2023-03-22T00:00:00"/>
    <s v="Eve"/>
    <s v="Tracy Moore"/>
    <x v="0"/>
    <n v="7.4999999999999997E-2"/>
    <n v="506.07299999999998"/>
    <x v="381"/>
    <n v="6"/>
    <x v="3"/>
    <n v="4885.9799999999996"/>
    <n v="4949.95"/>
    <s v="Returning"/>
    <n v="0.17"/>
    <s v="Bank Transfer"/>
    <s v="Online"/>
    <s v="High"/>
  </r>
  <r>
    <n v="1063"/>
    <s v="Noodles"/>
    <d v="2023-07-21T00:00:00"/>
    <s v="Bob"/>
    <s v="Michael Smith"/>
    <x v="3"/>
    <n v="0.06"/>
    <n v="381.5754"/>
    <x v="382"/>
    <n v="32"/>
    <x v="3"/>
    <n v="975.31"/>
    <n v="1176.17"/>
    <s v="New"/>
    <n v="0.22"/>
    <s v="Bank Transfer"/>
    <s v="Retail"/>
    <s v="High"/>
  </r>
  <r>
    <n v="1085"/>
    <s v="Settee"/>
    <d v="2023-06-07T00:00:00"/>
    <s v="Charlie"/>
    <s v="Susan Jerkins"/>
    <x v="3"/>
    <n v="0.06"/>
    <n v="124.2012"/>
    <x v="383"/>
    <n v="42"/>
    <x v="2"/>
    <n v="2254.11"/>
    <n v="2382.23"/>
    <s v="Returning"/>
    <n v="0.15"/>
    <s v="Credit Card"/>
    <s v="Retail"/>
    <s v="Low"/>
  </r>
  <r>
    <n v="1032"/>
    <s v="Refridgerator"/>
    <d v="2023-04-30T00:00:00"/>
    <s v="Alice"/>
    <s v="Scott Wayne"/>
    <x v="1"/>
    <n v="0.08"/>
    <n v="339.32080000000002"/>
    <x v="384"/>
    <n v="18"/>
    <x v="3"/>
    <n v="2466.1799999999998"/>
    <n v="2483.87"/>
    <s v="Returning"/>
    <n v="0.08"/>
    <s v="Cash"/>
    <s v="Online"/>
    <s v="Low"/>
  </r>
  <r>
    <n v="1087"/>
    <s v="Sofa Set"/>
    <d v="2023-02-28T00:00:00"/>
    <s v="Alice"/>
    <s v="Scott Wayne"/>
    <x v="1"/>
    <n v="0.08"/>
    <n v="602.74400000000003"/>
    <x v="385"/>
    <n v="15"/>
    <x v="0"/>
    <n v="4074.66"/>
    <n v="4261.1099999999997"/>
    <s v="Returning"/>
    <n v="0.05"/>
    <s v="Credit Card"/>
    <s v="Retail"/>
    <s v="High"/>
  </r>
  <r>
    <n v="1033"/>
    <s v="TV Stand"/>
    <d v="2023-08-03T00:00:00"/>
    <s v="Alice"/>
    <s v="Scott Wayne"/>
    <x v="1"/>
    <n v="0.08"/>
    <n v="88.287199999999999"/>
    <x v="386"/>
    <n v="40"/>
    <x v="1"/>
    <n v="541.19000000000005"/>
    <n v="595.20000000000005"/>
    <s v="Returning"/>
    <n v="0.19"/>
    <s v="Credit Card"/>
    <s v="Online"/>
    <s v="Low"/>
  </r>
  <r>
    <n v="1067"/>
    <s v="Grapes"/>
    <d v="2023-05-08T00:00:00"/>
    <s v="Charlie"/>
    <s v="Susan Jerkins"/>
    <x v="0"/>
    <n v="7.4999999999999997E-2"/>
    <n v="213.80549999999997"/>
    <x v="387"/>
    <n v="32"/>
    <x v="1"/>
    <n v="2171.79"/>
    <n v="2307.64"/>
    <s v="Returning"/>
    <n v="0.22"/>
    <s v="Bank Transfer"/>
    <s v="Online"/>
    <s v="Low"/>
  </r>
  <r>
    <n v="1018"/>
    <s v="Dress Shirt"/>
    <d v="2023-08-12T00:00:00"/>
    <s v="Charlie"/>
    <s v="Susan Jerkins"/>
    <x v="0"/>
    <n v="7.4999999999999997E-2"/>
    <n v="212.667"/>
    <x v="388"/>
    <n v="9"/>
    <x v="3"/>
    <n v="3161.09"/>
    <n v="3216.42"/>
    <s v="New"/>
    <n v="0.17"/>
    <s v="Bank Transfer"/>
    <s v="Online"/>
    <s v="Low"/>
  </r>
  <r>
    <n v="1025"/>
    <s v="Mayonnaise"/>
    <d v="2023-07-28T00:00:00"/>
    <s v="David"/>
    <s v="Hogan Rock"/>
    <x v="1"/>
    <n v="0.08"/>
    <n v="350.1592"/>
    <x v="389"/>
    <n v="37"/>
    <x v="3"/>
    <n v="1115.02"/>
    <n v="1174.48"/>
    <s v="New"/>
    <n v="0.22"/>
    <s v="Credit Card"/>
    <s v="Online"/>
    <s v="Low"/>
  </r>
  <r>
    <n v="1095"/>
    <s v="Bluetooth Speaker"/>
    <d v="2023-04-25T00:00:00"/>
    <s v="Bob"/>
    <s v="Michael Smith"/>
    <x v="2"/>
    <n v="0.05"/>
    <n v="490.28250000000003"/>
    <x v="390"/>
    <n v="10"/>
    <x v="3"/>
    <n v="3155.97"/>
    <n v="3263.49"/>
    <s v="Returning"/>
    <n v="0.04"/>
    <s v="Credit Card"/>
    <s v="Online"/>
    <s v="High"/>
  </r>
  <r>
    <n v="1054"/>
    <s v="Glider"/>
    <d v="2023-07-28T00:00:00"/>
    <s v="David"/>
    <s v="Hogan Rock"/>
    <x v="3"/>
    <n v="0.06"/>
    <n v="46.096799999999995"/>
    <x v="391"/>
    <n v="20"/>
    <x v="2"/>
    <n v="4622.1400000000003"/>
    <n v="5122.07"/>
    <s v="New"/>
    <n v="0.26"/>
    <s v="Cash"/>
    <s v="Retail"/>
    <s v="Low"/>
  </r>
  <r>
    <n v="1058"/>
    <s v="Wardrobe"/>
    <d v="2023-01-14T00:00:00"/>
    <s v="Bob"/>
    <s v="Michael Smith"/>
    <x v="3"/>
    <n v="0.06"/>
    <n v="314.10840000000002"/>
    <x v="392"/>
    <n v="6"/>
    <x v="1"/>
    <n v="4987.71"/>
    <n v="4998.78"/>
    <s v="Returning"/>
    <n v="0.17"/>
    <s v="Cash"/>
    <s v="Retail"/>
    <s v="High"/>
  </r>
  <r>
    <n v="1067"/>
    <s v="Grapes"/>
    <d v="2023-01-09T00:00:00"/>
    <s v="Charlie"/>
    <s v="Susan Jerkins"/>
    <x v="0"/>
    <n v="7.4999999999999997E-2"/>
    <n v="140.67824999999999"/>
    <x v="393"/>
    <n v="48"/>
    <x v="3"/>
    <n v="210.63"/>
    <n v="533.57999999999902"/>
    <s v="New"/>
    <n v="0.04"/>
    <s v="Bank Transfer"/>
    <s v="Online"/>
    <s v="Low"/>
  </r>
  <r>
    <n v="1046"/>
    <s v="Sweat Shirts"/>
    <d v="2023-02-09T00:00:00"/>
    <s v="Charlie"/>
    <s v="Susan Jerkins"/>
    <x v="3"/>
    <n v="0.06"/>
    <n v="582.58199999999999"/>
    <x v="394"/>
    <n v="3"/>
    <x v="0"/>
    <n v="1216.1600000000001"/>
    <n v="1295.3699999999999"/>
    <s v="New"/>
    <n v="0.14000000000000001"/>
    <s v="Cash"/>
    <s v="Retail"/>
    <s v="High"/>
  </r>
  <r>
    <n v="1024"/>
    <s v="Pasta Pack"/>
    <d v="2023-08-25T00:00:00"/>
    <s v="David"/>
    <s v="Hogan Rock"/>
    <x v="2"/>
    <n v="0.05"/>
    <n v="61.085000000000008"/>
    <x v="395"/>
    <n v="42"/>
    <x v="3"/>
    <n v="1586.02"/>
    <n v="2047.13"/>
    <s v="New"/>
    <n v="0.25"/>
    <s v="Cash"/>
    <s v="Retail"/>
    <s v="Low"/>
  </r>
  <r>
    <n v="1032"/>
    <s v="Refridgerator"/>
    <d v="2023-10-08T00:00:00"/>
    <s v="Eve"/>
    <s v="Tracy Moore"/>
    <x v="3"/>
    <n v="0.06"/>
    <n v="245.739"/>
    <x v="396"/>
    <n v="11"/>
    <x v="1"/>
    <n v="2025.67"/>
    <n v="2081.5500000000002"/>
    <s v="New"/>
    <n v="0.27"/>
    <s v="Bank Transfer"/>
    <s v="Online"/>
    <s v="Low"/>
  </r>
  <r>
    <n v="1047"/>
    <s v="Mouse"/>
    <d v="2023-12-25T00:00:00"/>
    <s v="David"/>
    <s v="Hogan Rock"/>
    <x v="0"/>
    <n v="7.4999999999999997E-2"/>
    <n v="555.37950000000001"/>
    <x v="397"/>
    <n v="43"/>
    <x v="3"/>
    <n v="1249.17"/>
    <n v="1727.15"/>
    <s v="New"/>
    <n v="0.08"/>
    <s v="Cash"/>
    <s v="Retail"/>
    <s v="High"/>
  </r>
  <r>
    <n v="1086"/>
    <s v="Gaming Console"/>
    <d v="2023-07-20T00:00:00"/>
    <s v="Bob"/>
    <s v="Michael Smith"/>
    <x v="0"/>
    <n v="7.4999999999999997E-2"/>
    <n v="530.63175000000001"/>
    <x v="398"/>
    <n v="17"/>
    <x v="1"/>
    <n v="1057.27"/>
    <n v="1366.62"/>
    <s v="New"/>
    <n v="0.21"/>
    <s v="Credit Card"/>
    <s v="Retail"/>
    <s v="High"/>
  </r>
  <r>
    <n v="1023"/>
    <s v="Tights"/>
    <d v="2023-09-03T00:00:00"/>
    <s v="David"/>
    <s v="Hogan Rock"/>
    <x v="2"/>
    <n v="0.05"/>
    <n v="214.25050000000002"/>
    <x v="399"/>
    <n v="32"/>
    <x v="3"/>
    <n v="4775.04"/>
    <n v="4785.66"/>
    <s v="New"/>
    <n v="0.03"/>
    <s v="Cash"/>
    <s v="Online"/>
    <s v="Low"/>
  </r>
  <r>
    <n v="1066"/>
    <s v="Armoire"/>
    <d v="2023-10-05T00:00:00"/>
    <s v="Alice"/>
    <s v="Scott Wayne"/>
    <x v="2"/>
    <n v="0.05"/>
    <n v="176.52950000000001"/>
    <x v="400"/>
    <n v="4"/>
    <x v="0"/>
    <n v="4596.68"/>
    <n v="5044.74"/>
    <s v="New"/>
    <n v="0.01"/>
    <s v="Bank Transfer"/>
    <s v="Online"/>
    <s v="Low"/>
  </r>
  <r>
    <n v="1027"/>
    <s v="Cookies"/>
    <d v="2023-08-23T00:00:00"/>
    <s v="Bob"/>
    <s v="Michael Smith"/>
    <x v="3"/>
    <n v="0.06"/>
    <n v="242.1816"/>
    <x v="401"/>
    <n v="4"/>
    <x v="3"/>
    <n v="282.61"/>
    <n v="548.25"/>
    <s v="New"/>
    <n v="0.17"/>
    <s v="Credit Card"/>
    <s v="Online"/>
    <s v="Low"/>
  </r>
  <r>
    <n v="1002"/>
    <s v="Bench"/>
    <d v="2023-01-04T00:00:00"/>
    <s v="Bob"/>
    <s v="Michael Smith"/>
    <x v="3"/>
    <n v="0.06"/>
    <n v="162.9804"/>
    <x v="402"/>
    <n v="17"/>
    <x v="0"/>
    <n v="1727.12"/>
    <n v="1865.83"/>
    <s v="New"/>
    <n v="0.21"/>
    <s v="Cash"/>
    <s v="Online"/>
    <s v="Low"/>
  </r>
  <r>
    <n v="1090"/>
    <s v="Keyboard"/>
    <d v="2023-06-03T00:00:00"/>
    <s v="Eve"/>
    <s v="Tracy Moore"/>
    <x v="0"/>
    <n v="7.4999999999999997E-2"/>
    <n v="159.96"/>
    <x v="403"/>
    <n v="41"/>
    <x v="0"/>
    <n v="2055.4899999999998"/>
    <n v="2441.46"/>
    <s v="New"/>
    <n v="0.24"/>
    <s v="Credit Card"/>
    <s v="Online"/>
    <s v="Low"/>
  </r>
  <r>
    <n v="1017"/>
    <s v="Peaches"/>
    <d v="2023-01-29T00:00:00"/>
    <s v="Charlie"/>
    <s v="Susan Jerkins"/>
    <x v="2"/>
    <n v="0.05"/>
    <n v="244.10450000000003"/>
    <x v="404"/>
    <n v="19"/>
    <x v="3"/>
    <n v="1233.1199999999999"/>
    <n v="1697.1899999999901"/>
    <s v="New"/>
    <n v="0.1"/>
    <s v="Credit Card"/>
    <s v="Online"/>
    <s v="Low"/>
  </r>
  <r>
    <n v="1033"/>
    <s v="TV Stand"/>
    <d v="2023-04-19T00:00:00"/>
    <s v="Bob"/>
    <s v="Michael Smith"/>
    <x v="2"/>
    <n v="0.05"/>
    <n v="137.92400000000001"/>
    <x v="405"/>
    <n v="5"/>
    <x v="0"/>
    <n v="3162.92"/>
    <n v="3409.93"/>
    <s v="New"/>
    <n v="0"/>
    <s v="Cash"/>
    <s v="Online"/>
    <s v="Low"/>
  </r>
  <r>
    <n v="1009"/>
    <s v="Jacket"/>
    <d v="2023-04-08T00:00:00"/>
    <s v="Charlie"/>
    <s v="Susan Jerkins"/>
    <x v="2"/>
    <n v="0.05"/>
    <n v="147.29349999999999"/>
    <x v="406"/>
    <n v="32"/>
    <x v="2"/>
    <n v="3219.88"/>
    <n v="3384.5"/>
    <s v="Returning"/>
    <n v="0.14000000000000001"/>
    <s v="Cash"/>
    <s v="Retail"/>
    <s v="Low"/>
  </r>
  <r>
    <n v="1043"/>
    <s v="Oven"/>
    <d v="2023-08-03T00:00:00"/>
    <s v="David"/>
    <s v="Hogan Rock"/>
    <x v="3"/>
    <n v="0.06"/>
    <n v="396.11340000000001"/>
    <x v="407"/>
    <n v="22"/>
    <x v="3"/>
    <n v="4260"/>
    <n v="4656.58"/>
    <s v="New"/>
    <n v="0"/>
    <s v="Bank Transfer"/>
    <s v="Online"/>
    <s v="High"/>
  </r>
  <r>
    <n v="1048"/>
    <s v="Chaise Lounge"/>
    <d v="2023-10-20T00:00:00"/>
    <s v="Alice"/>
    <s v="Scott Wayne"/>
    <x v="2"/>
    <n v="0.05"/>
    <n v="484.42600000000004"/>
    <x v="408"/>
    <n v="6"/>
    <x v="3"/>
    <n v="3717.3"/>
    <n v="4061.37"/>
    <s v="New"/>
    <n v="0.03"/>
    <s v="Bank Transfer"/>
    <s v="Retail"/>
    <s v="High"/>
  </r>
  <r>
    <n v="1039"/>
    <s v="Hoodie"/>
    <d v="2023-03-16T00:00:00"/>
    <s v="Eve"/>
    <s v="Tracy Moore"/>
    <x v="0"/>
    <n v="7.4999999999999997E-2"/>
    <n v="455.70075000000003"/>
    <x v="409"/>
    <n v="35"/>
    <x v="0"/>
    <n v="2735.74"/>
    <n v="3181.22999999999"/>
    <s v="New"/>
    <n v="0.1"/>
    <s v="Credit Card"/>
    <s v="Retail"/>
    <s v="High"/>
  </r>
  <r>
    <n v="1093"/>
    <s v="Dining Table"/>
    <d v="2023-11-22T00:00:00"/>
    <s v="Charlie"/>
    <s v="Susan Jerkins"/>
    <x v="0"/>
    <n v="7.4999999999999997E-2"/>
    <n v="64.657499999999999"/>
    <x v="410"/>
    <n v="22"/>
    <x v="0"/>
    <n v="3285.25"/>
    <n v="3634.58"/>
    <s v="New"/>
    <n v="0.13"/>
    <s v="Bank Transfer"/>
    <s v="Online"/>
    <s v="Low"/>
  </r>
  <r>
    <n v="1042"/>
    <s v="Frozen Pizza"/>
    <d v="2023-05-26T00:00:00"/>
    <s v="Bob"/>
    <s v="Michael Smith"/>
    <x v="3"/>
    <n v="0.06"/>
    <n v="50.896799999999999"/>
    <x v="411"/>
    <n v="1"/>
    <x v="3"/>
    <n v="1406.24"/>
    <n v="1535.57"/>
    <s v="New"/>
    <n v="0.08"/>
    <s v="Credit Card"/>
    <s v="Retail"/>
    <s v="Low"/>
  </r>
  <r>
    <n v="1026"/>
    <s v="Television"/>
    <d v="2023-05-08T00:00:00"/>
    <s v="Charlie"/>
    <s v="Susan Jerkins"/>
    <x v="1"/>
    <n v="0.08"/>
    <n v="761.52719999999999"/>
    <x v="412"/>
    <n v="20"/>
    <x v="2"/>
    <n v="2985.63"/>
    <n v="3452.14"/>
    <s v="New"/>
    <n v="0.17"/>
    <s v="Credit Card"/>
    <s v="Retail"/>
    <s v="High"/>
  </r>
  <r>
    <n v="1099"/>
    <s v="Chest"/>
    <d v="2023-12-07T00:00:00"/>
    <s v="Bob"/>
    <s v="Michael Smith"/>
    <x v="3"/>
    <n v="0.06"/>
    <n v="182.59079999999997"/>
    <x v="413"/>
    <n v="22"/>
    <x v="0"/>
    <n v="2471.67"/>
    <n v="2533.04"/>
    <s v="Returning"/>
    <n v="0.02"/>
    <s v="Bank Transfer"/>
    <s v="Retail"/>
    <s v="Low"/>
  </r>
  <r>
    <n v="1050"/>
    <s v="Sneakers"/>
    <d v="2023-02-11T00:00:00"/>
    <s v="Charlie"/>
    <s v="Susan Jerkins"/>
    <x v="1"/>
    <n v="0.08"/>
    <n v="80.916800000000009"/>
    <x v="414"/>
    <n v="48"/>
    <x v="0"/>
    <n v="710.06"/>
    <n v="851.349999999999"/>
    <s v="Returning"/>
    <n v="0.04"/>
    <s v="Bank Transfer"/>
    <s v="Online"/>
    <s v="Low"/>
  </r>
  <r>
    <n v="1025"/>
    <s v="Mayonnaise"/>
    <d v="2023-12-22T00:00:00"/>
    <s v="Bob"/>
    <s v="Michael Smith"/>
    <x v="2"/>
    <n v="0.05"/>
    <n v="301.52699999999999"/>
    <x v="415"/>
    <n v="11"/>
    <x v="1"/>
    <n v="1250.5899999999999"/>
    <n v="1515.48999999999"/>
    <s v="Returning"/>
    <n v="0.21"/>
    <s v="Bank Transfer"/>
    <s v="Retail"/>
    <s v="High"/>
  </r>
  <r>
    <n v="1024"/>
    <s v="Pasta Pack"/>
    <d v="2023-02-10T00:00:00"/>
    <s v="David"/>
    <s v="Hogan Rock"/>
    <x v="3"/>
    <n v="0.06"/>
    <n v="376.44719999999995"/>
    <x v="416"/>
    <n v="13"/>
    <x v="2"/>
    <n v="1493.88"/>
    <n v="1781.09"/>
    <s v="New"/>
    <n v="0.04"/>
    <s v="Cash"/>
    <s v="Retail"/>
    <s v="High"/>
  </r>
  <r>
    <n v="1013"/>
    <s v="Gas Cooker"/>
    <d v="2023-02-03T00:00:00"/>
    <s v="Bob"/>
    <s v="Michael Smith"/>
    <x v="0"/>
    <n v="7.4999999999999997E-2"/>
    <n v="489.01499999999999"/>
    <x v="417"/>
    <n v="42"/>
    <x v="2"/>
    <n v="4625.33"/>
    <n v="4642.83"/>
    <s v="New"/>
    <n v="0.19"/>
    <s v="Credit Card"/>
    <s v="Online"/>
    <s v="High"/>
  </r>
  <r>
    <n v="1060"/>
    <s v="Head Warmer"/>
    <d v="2023-01-17T00:00:00"/>
    <s v="Bob"/>
    <s v="Michael Smith"/>
    <x v="2"/>
    <n v="0.05"/>
    <n v="137.364"/>
    <x v="418"/>
    <n v="3"/>
    <x v="3"/>
    <n v="1190.4100000000001"/>
    <n v="1582.89"/>
    <s v="New"/>
    <n v="0.02"/>
    <s v="Credit Card"/>
    <s v="Retail"/>
    <s v="Low"/>
  </r>
  <r>
    <n v="1007"/>
    <s v="Fruit Jam"/>
    <d v="2023-06-14T00:00:00"/>
    <s v="Alice"/>
    <s v="Scott Wayne"/>
    <x v="0"/>
    <n v="7.4999999999999997E-2"/>
    <n v="18.72"/>
    <x v="419"/>
    <n v="9"/>
    <x v="2"/>
    <n v="1481.76"/>
    <n v="1668.95"/>
    <s v="Returning"/>
    <n v="0.12"/>
    <s v="Credit Card"/>
    <s v="Retail"/>
    <s v="Low"/>
  </r>
  <r>
    <n v="1057"/>
    <s v="Avocadro Pear"/>
    <d v="2023-06-02T00:00:00"/>
    <s v="Bob"/>
    <s v="Michael Smith"/>
    <x v="2"/>
    <n v="0.05"/>
    <n v="482.6825"/>
    <x v="420"/>
    <n v="12"/>
    <x v="3"/>
    <n v="1878.3"/>
    <n v="2087.4499999999998"/>
    <s v="New"/>
    <n v="0.05"/>
    <s v="Bank Transfer"/>
    <s v="Retail"/>
    <s v="High"/>
  </r>
  <r>
    <n v="1036"/>
    <s v="Shorts"/>
    <d v="2023-03-17T00:00:00"/>
    <s v="Alice"/>
    <s v="Scott Wayne"/>
    <x v="3"/>
    <n v="0.06"/>
    <n v="155.03040000000001"/>
    <x v="421"/>
    <n v="23"/>
    <x v="1"/>
    <n v="3335.53"/>
    <n v="3742.12"/>
    <s v="New"/>
    <n v="0.03"/>
    <s v="Bank Transfer"/>
    <s v="Retail"/>
    <s v="Low"/>
  </r>
  <r>
    <n v="1045"/>
    <s v="Bikers Shorts"/>
    <d v="2023-03-28T00:00:00"/>
    <s v="Eve"/>
    <s v="Tracy Moore"/>
    <x v="1"/>
    <n v="0.08"/>
    <n v="543.41279999999995"/>
    <x v="422"/>
    <n v="14"/>
    <x v="2"/>
    <n v="635.28"/>
    <n v="831.13"/>
    <s v="Returning"/>
    <n v="0.17"/>
    <s v="Bank Transfer"/>
    <s v="Retail"/>
    <s v="High"/>
  </r>
  <r>
    <n v="1020"/>
    <s v="Apron"/>
    <d v="2023-04-27T00:00:00"/>
    <s v="Alice"/>
    <s v="Scott Wayne"/>
    <x v="2"/>
    <n v="0.05"/>
    <n v="354.78200000000004"/>
    <x v="423"/>
    <n v="33"/>
    <x v="0"/>
    <n v="4772.03"/>
    <n v="4805.17"/>
    <s v="Returning"/>
    <n v="0.28000000000000003"/>
    <s v="Bank Transfer"/>
    <s v="Online"/>
    <s v="High"/>
  </r>
  <r>
    <n v="1065"/>
    <s v="Potatoes"/>
    <d v="2023-12-28T00:00:00"/>
    <s v="David"/>
    <s v="Hogan Rock"/>
    <x v="1"/>
    <n v="0.08"/>
    <n v="491.12559999999996"/>
    <x v="424"/>
    <n v="18"/>
    <x v="1"/>
    <n v="4334.58"/>
    <n v="4431.04"/>
    <s v="New"/>
    <n v="0.02"/>
    <s v="Bank Transfer"/>
    <s v="Retail"/>
    <s v="High"/>
  </r>
  <r>
    <n v="1008"/>
    <s v="Skirt"/>
    <d v="2023-12-08T00:00:00"/>
    <s v="Alice"/>
    <s v="Scott Wayne"/>
    <x v="2"/>
    <n v="0.05"/>
    <n v="159.88900000000001"/>
    <x v="425"/>
    <n v="49"/>
    <x v="3"/>
    <n v="2907.22"/>
    <n v="3385.6099999999901"/>
    <s v="New"/>
    <n v="0.13"/>
    <s v="Cash"/>
    <s v="Online"/>
    <s v="Low"/>
  </r>
  <r>
    <n v="1016"/>
    <s v="Washing Machine"/>
    <d v="2023-01-27T00:00:00"/>
    <s v="Eve"/>
    <s v="Tracy Moore"/>
    <x v="0"/>
    <n v="7.4999999999999997E-2"/>
    <n v="208.78874999999999"/>
    <x v="426"/>
    <n v="41"/>
    <x v="1"/>
    <n v="3386.49"/>
    <n v="3430.99"/>
    <s v="New"/>
    <n v="0.21"/>
    <s v="Bank Transfer"/>
    <s v="Retail"/>
    <s v="Low"/>
  </r>
  <r>
    <n v="1014"/>
    <s v="Cheese Block"/>
    <d v="2023-11-09T00:00:00"/>
    <s v="David"/>
    <s v="Hogan Rock"/>
    <x v="0"/>
    <n v="7.4999999999999997E-2"/>
    <n v="451.26900000000001"/>
    <x v="427"/>
    <n v="9"/>
    <x v="3"/>
    <n v="132.47"/>
    <n v="316.39"/>
    <s v="New"/>
    <n v="0.14000000000000001"/>
    <s v="Credit Card"/>
    <s v="Online"/>
    <s v="High"/>
  </r>
  <r>
    <n v="1076"/>
    <s v="Polo Shirt"/>
    <d v="2023-10-14T00:00:00"/>
    <s v="Charlie"/>
    <s v="Susan Jerkins"/>
    <x v="2"/>
    <n v="0.05"/>
    <n v="433.71750000000003"/>
    <x v="428"/>
    <n v="23"/>
    <x v="1"/>
    <n v="1727.78"/>
    <n v="1984.34"/>
    <s v="Returning"/>
    <n v="0.24"/>
    <s v="Bank Transfer"/>
    <s v="Online"/>
    <s v="High"/>
  </r>
  <r>
    <n v="1087"/>
    <s v="Sofa Set"/>
    <d v="2023-05-14T00:00:00"/>
    <s v="Charlie"/>
    <s v="Susan Jerkins"/>
    <x v="1"/>
    <n v="0.08"/>
    <n v="757.81280000000004"/>
    <x v="429"/>
    <n v="10"/>
    <x v="3"/>
    <n v="3988.52"/>
    <n v="4240.2299999999996"/>
    <s v="New"/>
    <n v="0.05"/>
    <s v="Credit Card"/>
    <s v="Online"/>
    <s v="High"/>
  </r>
  <r>
    <n v="1015"/>
    <s v="Chocolate Bar"/>
    <d v="2023-08-07T00:00:00"/>
    <s v="Alice"/>
    <s v="Scott Wayne"/>
    <x v="3"/>
    <n v="0.06"/>
    <n v="68.908199999999994"/>
    <x v="430"/>
    <n v="19"/>
    <x v="2"/>
    <n v="433.54"/>
    <n v="445.48"/>
    <s v="New"/>
    <n v="0.28999999999999998"/>
    <s v="Bank Transfer"/>
    <s v="Retail"/>
    <s v="Low"/>
  </r>
  <r>
    <n v="1092"/>
    <s v="Recliner"/>
    <d v="2023-06-17T00:00:00"/>
    <s v="Alice"/>
    <s v="Scott Wayne"/>
    <x v="3"/>
    <n v="0.06"/>
    <n v="97.967999999999989"/>
    <x v="431"/>
    <n v="47"/>
    <x v="0"/>
    <n v="1447.45"/>
    <n v="1703.02"/>
    <s v="Returning"/>
    <n v="0.12"/>
    <s v="Bank Transfer"/>
    <s v="Retail"/>
    <s v="Low"/>
  </r>
  <r>
    <n v="1098"/>
    <s v="File Cabinet"/>
    <d v="2023-04-08T00:00:00"/>
    <s v="Eve"/>
    <s v="Tracy Moore"/>
    <x v="0"/>
    <n v="7.4999999999999997E-2"/>
    <n v="708.96674999999993"/>
    <x v="432"/>
    <n v="5"/>
    <x v="3"/>
    <n v="2947.22"/>
    <n v="3145.27"/>
    <s v="New"/>
    <n v="0.1"/>
    <s v="Credit Card"/>
    <s v="Retail"/>
    <s v="High"/>
  </r>
  <r>
    <n v="1066"/>
    <s v="Armoire"/>
    <d v="2023-09-25T00:00:00"/>
    <s v="Eve"/>
    <s v="Tracy Moore"/>
    <x v="3"/>
    <n v="0.06"/>
    <n v="443.50199999999995"/>
    <x v="433"/>
    <n v="47"/>
    <x v="1"/>
    <n v="1319.24"/>
    <n v="1805.56"/>
    <s v="New"/>
    <n v="0.26"/>
    <s v="Credit Card"/>
    <s v="Retail"/>
    <s v="High"/>
  </r>
  <r>
    <n v="1032"/>
    <s v="Refridgerator"/>
    <d v="2023-08-25T00:00:00"/>
    <s v="Bob"/>
    <s v="Michael Smith"/>
    <x v="0"/>
    <n v="7.4999999999999997E-2"/>
    <n v="663.12299999999993"/>
    <x v="434"/>
    <n v="23"/>
    <x v="3"/>
    <n v="4673.1899999999996"/>
    <n v="4761.1799999999903"/>
    <s v="Returning"/>
    <n v="0.17"/>
    <s v="Credit Card"/>
    <s v="Retail"/>
    <s v="High"/>
  </r>
  <r>
    <n v="1087"/>
    <s v="Sofa Set"/>
    <d v="2023-11-05T00:00:00"/>
    <s v="Eve"/>
    <s v="Tracy Moore"/>
    <x v="3"/>
    <n v="0.06"/>
    <n v="126.36359999999999"/>
    <x v="435"/>
    <n v="30"/>
    <x v="3"/>
    <n v="698.74"/>
    <n v="882.28"/>
    <s v="Returning"/>
    <n v="0.15"/>
    <s v="Credit Card"/>
    <s v="Online"/>
    <s v="Low"/>
  </r>
  <r>
    <n v="1063"/>
    <s v="Noodles"/>
    <d v="2023-06-22T00:00:00"/>
    <s v="Bob"/>
    <s v="Michael Smith"/>
    <x v="2"/>
    <n v="0.05"/>
    <n v="295.85500000000002"/>
    <x v="436"/>
    <n v="25"/>
    <x v="3"/>
    <n v="3997.1"/>
    <n v="4212.6499999999996"/>
    <s v="New"/>
    <n v="0.22"/>
    <s v="Cash"/>
    <s v="Online"/>
    <s v="High"/>
  </r>
  <r>
    <n v="1086"/>
    <s v="Gaming Console"/>
    <d v="2023-07-09T00:00:00"/>
    <s v="David"/>
    <s v="Hogan Rock"/>
    <x v="0"/>
    <n v="7.4999999999999997E-2"/>
    <n v="528.096"/>
    <x v="437"/>
    <n v="28"/>
    <x v="1"/>
    <n v="2564.35"/>
    <n v="2765.79"/>
    <s v="Returning"/>
    <n v="0.17"/>
    <s v="Credit Card"/>
    <s v="Online"/>
    <s v="High"/>
  </r>
  <r>
    <n v="1051"/>
    <s v="Tablet"/>
    <d v="2023-05-02T00:00:00"/>
    <s v="Alice"/>
    <s v="Scott Wayne"/>
    <x v="0"/>
    <n v="7.4999999999999997E-2"/>
    <n v="512.48325"/>
    <x v="438"/>
    <n v="34"/>
    <x v="0"/>
    <n v="3764.14"/>
    <n v="4100.3999999999996"/>
    <s v="Returning"/>
    <n v="0.05"/>
    <s v="Bank Transfer"/>
    <s v="Retail"/>
    <s v="High"/>
  </r>
  <r>
    <n v="1025"/>
    <s v="Mayonnaise"/>
    <d v="2023-02-15T00:00:00"/>
    <s v="David"/>
    <s v="Hogan Rock"/>
    <x v="2"/>
    <n v="0.05"/>
    <n v="207.035"/>
    <x v="439"/>
    <n v="45"/>
    <x v="2"/>
    <n v="1588.04"/>
    <n v="1703.6399999999901"/>
    <s v="New"/>
    <n v="0.2"/>
    <s v="Bank Transfer"/>
    <s v="Retail"/>
    <s v="Low"/>
  </r>
  <r>
    <n v="1058"/>
    <s v="Wardrobe"/>
    <d v="2023-03-05T00:00:00"/>
    <s v="Eve"/>
    <s v="Tracy Moore"/>
    <x v="0"/>
    <n v="7.4999999999999997E-2"/>
    <n v="18.93075"/>
    <x v="440"/>
    <n v="48"/>
    <x v="0"/>
    <n v="2596.7199999999998"/>
    <n v="2715.0499999999902"/>
    <s v="Returning"/>
    <n v="0.04"/>
    <s v="Cash"/>
    <s v="Online"/>
    <s v="Low"/>
  </r>
  <r>
    <n v="1063"/>
    <s v="Noodles"/>
    <d v="2023-05-10T00:00:00"/>
    <s v="David"/>
    <s v="Hogan Rock"/>
    <x v="3"/>
    <n v="0.06"/>
    <n v="352.25819999999999"/>
    <x v="441"/>
    <n v="47"/>
    <x v="3"/>
    <n v="4291.33"/>
    <n v="4658.6400000000003"/>
    <s v="New"/>
    <n v="0.24"/>
    <s v="Credit Card"/>
    <s v="Retail"/>
    <s v="High"/>
  </r>
  <r>
    <n v="1062"/>
    <s v="Boxers"/>
    <d v="2023-11-06T00:00:00"/>
    <s v="David"/>
    <s v="Hogan Rock"/>
    <x v="3"/>
    <n v="0.06"/>
    <n v="156.3426"/>
    <x v="442"/>
    <n v="25"/>
    <x v="1"/>
    <n v="2361.0500000000002"/>
    <n v="2616.19"/>
    <s v="New"/>
    <n v="0.3"/>
    <s v="Bank Transfer"/>
    <s v="Retail"/>
    <s v="Low"/>
  </r>
  <r>
    <n v="1022"/>
    <s v="Organic Honey"/>
    <d v="2023-12-29T00:00:00"/>
    <s v="David"/>
    <s v="Hogan Rock"/>
    <x v="0"/>
    <n v="7.4999999999999997E-2"/>
    <n v="341.81400000000002"/>
    <x v="443"/>
    <n v="10"/>
    <x v="0"/>
    <n v="1830.61"/>
    <n v="2044.04"/>
    <s v="New"/>
    <n v="0.11"/>
    <s v="Cash"/>
    <s v="Online"/>
    <s v="Low"/>
  </r>
  <r>
    <n v="1058"/>
    <s v="Wardrobe"/>
    <d v="2023-07-12T00:00:00"/>
    <s v="Eve"/>
    <s v="Tracy Moore"/>
    <x v="3"/>
    <n v="0.06"/>
    <n v="574.80299999999988"/>
    <x v="444"/>
    <n v="14"/>
    <x v="3"/>
    <n v="2703.97"/>
    <n v="2796.8799999999901"/>
    <s v="New"/>
    <n v="0.13"/>
    <s v="Bank Transfer"/>
    <s v="Online"/>
    <s v="High"/>
  </r>
  <r>
    <n v="1058"/>
    <s v="Wardrobe"/>
    <d v="2023-11-03T00:00:00"/>
    <s v="David"/>
    <s v="Hogan Rock"/>
    <x v="1"/>
    <n v="0.08"/>
    <n v="324.036"/>
    <x v="445"/>
    <n v="42"/>
    <x v="2"/>
    <n v="3600.95"/>
    <n v="3702.8399999999901"/>
    <s v="Returning"/>
    <n v="0.01"/>
    <s v="Cash"/>
    <s v="Retail"/>
    <s v="Low"/>
  </r>
  <r>
    <n v="1086"/>
    <s v="Gaming Console"/>
    <d v="2023-06-30T00:00:00"/>
    <s v="Bob"/>
    <s v="Michael Smith"/>
    <x v="0"/>
    <n v="7.4999999999999997E-2"/>
    <n v="631.053"/>
    <x v="446"/>
    <n v="46"/>
    <x v="2"/>
    <n v="2245.64"/>
    <n v="2260.81"/>
    <s v="New"/>
    <n v="0"/>
    <s v="Cash"/>
    <s v="Retail"/>
    <s v="High"/>
  </r>
  <r>
    <n v="1049"/>
    <s v="Coffee Table"/>
    <d v="2023-10-19T00:00:00"/>
    <s v="Eve"/>
    <s v="Tracy Moore"/>
    <x v="2"/>
    <n v="0.05"/>
    <n v="98.327500000000001"/>
    <x v="447"/>
    <n v="30"/>
    <x v="2"/>
    <n v="4697.4399999999996"/>
    <n v="4752.24"/>
    <s v="New"/>
    <n v="0.28000000000000003"/>
    <s v="Credit Card"/>
    <s v="Online"/>
    <s v="Low"/>
  </r>
  <r>
    <n v="1052"/>
    <s v="Wooden Chair"/>
    <d v="2023-10-09T00:00:00"/>
    <s v="David"/>
    <s v="Hogan Rock"/>
    <x v="1"/>
    <n v="0.08"/>
    <n v="540.58879999999999"/>
    <x v="448"/>
    <n v="41"/>
    <x v="3"/>
    <n v="1509.98"/>
    <n v="1792.83"/>
    <s v="New"/>
    <n v="0.04"/>
    <s v="Cash"/>
    <s v="Retail"/>
    <s v="High"/>
  </r>
  <r>
    <n v="1042"/>
    <s v="Frozen Pizza"/>
    <d v="2023-01-29T00:00:00"/>
    <s v="Eve"/>
    <s v="Tracy Moore"/>
    <x v="0"/>
    <n v="7.4999999999999997E-2"/>
    <n v="732.92775000000006"/>
    <x v="449"/>
    <n v="25"/>
    <x v="1"/>
    <n v="2403.54"/>
    <n v="2850.56"/>
    <s v="New"/>
    <n v="0.13"/>
    <s v="Bank Transfer"/>
    <s v="Online"/>
    <s v="High"/>
  </r>
  <r>
    <n v="1070"/>
    <s v="Hutch"/>
    <d v="2023-05-29T00:00:00"/>
    <s v="Charlie"/>
    <s v="Susan Jerkins"/>
    <x v="2"/>
    <n v="0.05"/>
    <n v="55.437000000000005"/>
    <x v="450"/>
    <n v="14"/>
    <x v="0"/>
    <n v="3796.79"/>
    <n v="3947.5"/>
    <s v="Returning"/>
    <n v="0.24"/>
    <s v="Bank Transfer"/>
    <s v="Online"/>
    <s v="Low"/>
  </r>
  <r>
    <n v="1015"/>
    <s v="Chocolate Bar"/>
    <d v="2023-09-24T00:00:00"/>
    <s v="Bob"/>
    <s v="Michael Smith"/>
    <x v="3"/>
    <n v="0.06"/>
    <n v="10.9422"/>
    <x v="451"/>
    <n v="35"/>
    <x v="2"/>
    <n v="3461.15"/>
    <n v="3631.75"/>
    <s v="Returning"/>
    <n v="0.27"/>
    <s v="Credit Card"/>
    <s v="Online"/>
    <s v="Low"/>
  </r>
  <r>
    <n v="1054"/>
    <s v="Glider"/>
    <d v="2023-10-23T00:00:00"/>
    <s v="David"/>
    <s v="Hogan Rock"/>
    <x v="2"/>
    <n v="0.05"/>
    <n v="219.62350000000004"/>
    <x v="452"/>
    <n v="48"/>
    <x v="3"/>
    <n v="4325.0200000000004"/>
    <n v="4391.67"/>
    <s v="Returning"/>
    <n v="0.16"/>
    <s v="Credit Card"/>
    <s v="Retail"/>
    <s v="Low"/>
  </r>
  <r>
    <n v="1060"/>
    <s v="Head Warmer"/>
    <d v="2023-01-11T00:00:00"/>
    <s v="Charlie"/>
    <s v="Susan Jerkins"/>
    <x v="1"/>
    <n v="0.08"/>
    <n v="81.359200000000001"/>
    <x v="453"/>
    <n v="34"/>
    <x v="3"/>
    <n v="4984.21"/>
    <n v="5184.6400000000003"/>
    <s v="New"/>
    <n v="0.17"/>
    <s v="Cash"/>
    <s v="Online"/>
    <s v="Low"/>
  </r>
  <r>
    <n v="1097"/>
    <s v="Freezer"/>
    <d v="2023-06-13T00:00:00"/>
    <s v="Charlie"/>
    <s v="Susan Jerkins"/>
    <x v="3"/>
    <n v="0.06"/>
    <n v="450.54059999999998"/>
    <x v="454"/>
    <n v="10"/>
    <x v="0"/>
    <n v="2162.9499999999998"/>
    <n v="2191.1899999999901"/>
    <s v="Returning"/>
    <n v="0.2"/>
    <s v="Credit Card"/>
    <s v="Online"/>
    <s v="High"/>
  </r>
  <r>
    <n v="1008"/>
    <s v="Skirt"/>
    <d v="2023-04-23T00:00:00"/>
    <s v="Eve"/>
    <s v="Tracy Moore"/>
    <x v="0"/>
    <n v="7.4999999999999997E-2"/>
    <n v="686.55225000000007"/>
    <x v="455"/>
    <n v="35"/>
    <x v="2"/>
    <n v="600.20000000000005"/>
    <n v="1059.82"/>
    <s v="Returning"/>
    <n v="0.28999999999999998"/>
    <s v="Bank Transfer"/>
    <s v="Retail"/>
    <s v="High"/>
  </r>
  <r>
    <n v="1053"/>
    <s v="Bed"/>
    <d v="2023-07-06T00:00:00"/>
    <s v="Charlie"/>
    <s v="Susan Jerkins"/>
    <x v="3"/>
    <n v="0.06"/>
    <n v="263.80860000000001"/>
    <x v="456"/>
    <n v="11"/>
    <x v="3"/>
    <n v="200.56"/>
    <n v="540.38"/>
    <s v="New"/>
    <n v="0.18"/>
    <s v="Bank Transfer"/>
    <s v="Online"/>
    <s v="Low"/>
  </r>
  <r>
    <n v="1060"/>
    <s v="Head Warmer"/>
    <d v="2023-10-22T00:00:00"/>
    <s v="Bob"/>
    <s v="Michael Smith"/>
    <x v="0"/>
    <n v="7.4999999999999997E-2"/>
    <n v="199.59375"/>
    <x v="457"/>
    <n v="11"/>
    <x v="0"/>
    <n v="3648.04"/>
    <n v="4143.51"/>
    <s v="Returning"/>
    <n v="0.17"/>
    <s v="Credit Card"/>
    <s v="Retail"/>
    <s v="Low"/>
  </r>
  <r>
    <n v="1005"/>
    <s v="Smart Phone"/>
    <d v="2023-08-20T00:00:00"/>
    <s v="Bob"/>
    <s v="Michael Smith"/>
    <x v="0"/>
    <n v="7.4999999999999997E-2"/>
    <n v="330.04424999999998"/>
    <x v="458"/>
    <n v="21"/>
    <x v="1"/>
    <n v="4376.37"/>
    <n v="4818.95"/>
    <s v="New"/>
    <n v="0"/>
    <s v="Credit Card"/>
    <s v="Retail"/>
    <s v="Low"/>
  </r>
  <r>
    <n v="1068"/>
    <s v="Leggings"/>
    <d v="2023-08-15T00:00:00"/>
    <s v="Alice"/>
    <s v="Scott Wayne"/>
    <x v="2"/>
    <n v="0.05"/>
    <n v="363.10650000000004"/>
    <x v="459"/>
    <n v="21"/>
    <x v="1"/>
    <n v="1142.53"/>
    <n v="1384.3"/>
    <s v="Returning"/>
    <n v="0.02"/>
    <s v="Credit Card"/>
    <s v="Retail"/>
    <s v="High"/>
  </r>
  <r>
    <n v="1006"/>
    <s v="Monitor"/>
    <d v="2023-11-06T00:00:00"/>
    <s v="Bob"/>
    <s v="Michael Smith"/>
    <x v="2"/>
    <n v="0.05"/>
    <n v="9.4819999999999993"/>
    <x v="460"/>
    <n v="22"/>
    <x v="1"/>
    <n v="834.32"/>
    <n v="1098.97"/>
    <s v="Returning"/>
    <n v="0.17"/>
    <s v="Cash"/>
    <s v="Online"/>
    <s v="Low"/>
  </r>
  <r>
    <n v="1096"/>
    <s v="Radio"/>
    <d v="2023-04-08T00:00:00"/>
    <s v="Charlie"/>
    <s v="Susan Jerkins"/>
    <x v="2"/>
    <n v="0.05"/>
    <n v="296.77950000000004"/>
    <x v="461"/>
    <n v="45"/>
    <x v="2"/>
    <n v="357.92"/>
    <n v="461.3"/>
    <s v="Returning"/>
    <n v="0.28000000000000003"/>
    <s v="Cash"/>
    <s v="Online"/>
    <s v="High"/>
  </r>
  <r>
    <n v="1094"/>
    <s v="Microwave"/>
    <d v="2023-02-24T00:00:00"/>
    <s v="Bob"/>
    <s v="Michael Smith"/>
    <x v="1"/>
    <n v="0.08"/>
    <n v="493.72720000000004"/>
    <x v="462"/>
    <n v="7"/>
    <x v="0"/>
    <n v="4122.38"/>
    <n v="4358.78"/>
    <s v="Returning"/>
    <n v="0.26"/>
    <s v="Bank Transfer"/>
    <s v="Retail"/>
    <s v="High"/>
  </r>
  <r>
    <n v="1047"/>
    <s v="Mouse"/>
    <d v="2023-04-21T00:00:00"/>
    <s v="Eve"/>
    <s v="Tracy Moore"/>
    <x v="1"/>
    <n v="0.08"/>
    <n v="513.04880000000003"/>
    <x v="463"/>
    <n v="17"/>
    <x v="0"/>
    <n v="1591.34"/>
    <n v="2043.82"/>
    <s v="New"/>
    <n v="0.28999999999999998"/>
    <s v="Cash"/>
    <s v="Retail"/>
    <s v="High"/>
  </r>
  <r>
    <n v="1099"/>
    <s v="Chest"/>
    <d v="2023-06-01T00:00:00"/>
    <s v="Alice"/>
    <s v="Scott Wayne"/>
    <x v="2"/>
    <n v="0.05"/>
    <n v="124.801"/>
    <x v="464"/>
    <n v="2"/>
    <x v="3"/>
    <n v="2038.4"/>
    <n v="2073.3200000000002"/>
    <s v="New"/>
    <n v="0.16"/>
    <s v="Cash"/>
    <s v="Retail"/>
    <s v="Low"/>
  </r>
  <r>
    <n v="1055"/>
    <s v="Cupboard"/>
    <d v="2023-09-03T00:00:00"/>
    <s v="Charlie"/>
    <s v="Susan Jerkins"/>
    <x v="1"/>
    <n v="0.08"/>
    <n v="573.52959999999996"/>
    <x v="465"/>
    <n v="12"/>
    <x v="3"/>
    <n v="2538.61"/>
    <n v="2971.75"/>
    <s v="Returning"/>
    <n v="0.24"/>
    <s v="Cash"/>
    <s v="Online"/>
    <s v="High"/>
  </r>
  <r>
    <n v="1040"/>
    <s v="Cap"/>
    <d v="2023-03-10T00:00:00"/>
    <s v="Alice"/>
    <s v="Scott Wayne"/>
    <x v="3"/>
    <n v="0.06"/>
    <n v="60.286799999999999"/>
    <x v="466"/>
    <n v="42"/>
    <x v="3"/>
    <n v="4205.29"/>
    <n v="4382.3500000000004"/>
    <s v="New"/>
    <n v="0.25"/>
    <s v="Cash"/>
    <s v="Retail"/>
    <s v="Low"/>
  </r>
  <r>
    <n v="1052"/>
    <s v="Wooden Chair"/>
    <d v="2023-11-08T00:00:00"/>
    <s v="Charlie"/>
    <s v="Susan Jerkins"/>
    <x v="3"/>
    <n v="0.06"/>
    <n v="124.36680000000001"/>
    <x v="467"/>
    <n v="18"/>
    <x v="0"/>
    <n v="3271.62"/>
    <n v="3722.38"/>
    <s v="Returning"/>
    <n v="0.19"/>
    <s v="Bank Transfer"/>
    <s v="Retail"/>
    <s v="Low"/>
  </r>
  <r>
    <n v="1016"/>
    <s v="Washing Machine"/>
    <d v="2023-10-16T00:00:00"/>
    <s v="Eve"/>
    <s v="Tracy Moore"/>
    <x v="1"/>
    <n v="0.08"/>
    <n v="702.95600000000002"/>
    <x v="468"/>
    <n v="11"/>
    <x v="3"/>
    <n v="3094.57"/>
    <n v="3565.6"/>
    <s v="Returning"/>
    <n v="0.1"/>
    <s v="Credit Card"/>
    <s v="Retail"/>
    <s v="High"/>
  </r>
  <r>
    <n v="1013"/>
    <s v="Gas Cooker"/>
    <d v="2023-09-07T00:00:00"/>
    <s v="Alice"/>
    <s v="Scott Wayne"/>
    <x v="1"/>
    <n v="0.08"/>
    <n v="593.06880000000001"/>
    <x v="469"/>
    <n v="16"/>
    <x v="0"/>
    <n v="919.58"/>
    <n v="1258.3"/>
    <s v="Returning"/>
    <n v="0.14000000000000001"/>
    <s v="Bank Transfer"/>
    <s v="Online"/>
    <s v="High"/>
  </r>
  <r>
    <n v="1030"/>
    <s v="Jeans"/>
    <d v="2023-02-05T00:00:00"/>
    <s v="David"/>
    <s v="Hogan Rock"/>
    <x v="3"/>
    <n v="0.06"/>
    <n v="14.1648"/>
    <x v="470"/>
    <n v="49"/>
    <x v="0"/>
    <n v="2590.29"/>
    <n v="2925.86"/>
    <s v="Returning"/>
    <n v="0.26"/>
    <s v="Cash"/>
    <s v="Retail"/>
    <s v="Low"/>
  </r>
  <r>
    <n v="1019"/>
    <s v="Apple"/>
    <d v="2023-08-27T00:00:00"/>
    <s v="Charlie"/>
    <s v="Susan Jerkins"/>
    <x v="0"/>
    <n v="7.4999999999999997E-2"/>
    <n v="191.91900000000001"/>
    <x v="471"/>
    <n v="18"/>
    <x v="1"/>
    <n v="3591.14"/>
    <n v="3822.99"/>
    <s v="Returning"/>
    <n v="0.09"/>
    <s v="Credit Card"/>
    <s v="Online"/>
    <s v="Low"/>
  </r>
  <r>
    <n v="1017"/>
    <s v="Peaches"/>
    <d v="2023-05-28T00:00:00"/>
    <s v="David"/>
    <s v="Hogan Rock"/>
    <x v="3"/>
    <n v="0.06"/>
    <n v="133.35719999999998"/>
    <x v="472"/>
    <n v="35"/>
    <x v="3"/>
    <n v="4867.6400000000003"/>
    <n v="5287.05"/>
    <s v="Returning"/>
    <n v="0.28000000000000003"/>
    <s v="Credit Card"/>
    <s v="Online"/>
    <s v="Low"/>
  </r>
  <r>
    <n v="1063"/>
    <s v="Noodles"/>
    <d v="2023-08-15T00:00:00"/>
    <s v="Alice"/>
    <s v="Scott Wayne"/>
    <x v="3"/>
    <n v="0.06"/>
    <n v="166.8588"/>
    <x v="473"/>
    <n v="26"/>
    <x v="1"/>
    <n v="1046.96"/>
    <n v="1528.15"/>
    <s v="New"/>
    <n v="7.0000000000000007E-2"/>
    <s v="Credit Card"/>
    <s v="Retail"/>
    <s v="Low"/>
  </r>
  <r>
    <n v="1019"/>
    <s v="Apple"/>
    <d v="2023-09-01T00:00:00"/>
    <s v="David"/>
    <s v="Hogan Rock"/>
    <x v="1"/>
    <n v="0.08"/>
    <n v="204.06720000000001"/>
    <x v="474"/>
    <n v="16"/>
    <x v="2"/>
    <n v="97.24"/>
    <n v="487.03"/>
    <s v="New"/>
    <n v="0.22"/>
    <s v="Bank Transfer"/>
    <s v="Retail"/>
    <s v="Low"/>
  </r>
  <r>
    <n v="1092"/>
    <s v="Recliner"/>
    <d v="2023-12-03T00:00:00"/>
    <s v="David"/>
    <s v="Hogan Rock"/>
    <x v="3"/>
    <n v="0.06"/>
    <n v="43.140599999999999"/>
    <x v="475"/>
    <n v="6"/>
    <x v="2"/>
    <n v="422.74"/>
    <n v="737.49"/>
    <s v="Returning"/>
    <n v="0.19"/>
    <s v="Credit Card"/>
    <s v="Retail"/>
    <s v="Low"/>
  </r>
  <r>
    <n v="1058"/>
    <s v="Wardrobe"/>
    <d v="2023-12-31T00:00:00"/>
    <s v="Alice"/>
    <s v="Scott Wayne"/>
    <x v="1"/>
    <n v="0.08"/>
    <n v="371.48080000000004"/>
    <x v="476"/>
    <n v="44"/>
    <x v="2"/>
    <n v="1910.47"/>
    <n v="2217.8000000000002"/>
    <s v="New"/>
    <n v="0.22"/>
    <s v="Bank Transfer"/>
    <s v="Online"/>
    <s v="Low"/>
  </r>
  <r>
    <n v="1055"/>
    <s v="Cupboard"/>
    <d v="2023-07-20T00:00:00"/>
    <s v="Eve"/>
    <s v="Tracy Moore"/>
    <x v="1"/>
    <n v="0.08"/>
    <n v="588.3248000000001"/>
    <x v="477"/>
    <n v="43"/>
    <x v="0"/>
    <n v="4111.7"/>
    <n v="4537.9399999999996"/>
    <s v="Returning"/>
    <n v="0.13"/>
    <s v="Bank Transfer"/>
    <s v="Online"/>
    <s v="High"/>
  </r>
  <r>
    <n v="1090"/>
    <s v="Keyboard"/>
    <d v="2023-06-03T00:00:00"/>
    <s v="David"/>
    <s v="Hogan Rock"/>
    <x v="2"/>
    <n v="0.05"/>
    <n v="305.33200000000005"/>
    <x v="478"/>
    <n v="47"/>
    <x v="0"/>
    <n v="85.35"/>
    <n v="360.539999999999"/>
    <s v="New"/>
    <n v="0.28000000000000003"/>
    <s v="Cash"/>
    <s v="Online"/>
    <s v="High"/>
  </r>
  <r>
    <n v="1090"/>
    <s v="Keyboard"/>
    <d v="2023-03-14T00:00:00"/>
    <s v="David"/>
    <s v="Hogan Rock"/>
    <x v="3"/>
    <n v="0.06"/>
    <n v="405.68580000000003"/>
    <x v="479"/>
    <n v="47"/>
    <x v="0"/>
    <n v="2310.8200000000002"/>
    <n v="2714.71"/>
    <s v="New"/>
    <n v="0.19"/>
    <s v="Cash"/>
    <s v="Retail"/>
    <s v="High"/>
  </r>
  <r>
    <n v="1062"/>
    <s v="Boxers"/>
    <d v="2023-07-20T00:00:00"/>
    <s v="Eve"/>
    <s v="Tracy Moore"/>
    <x v="0"/>
    <n v="7.4999999999999997E-2"/>
    <n v="67.753500000000003"/>
    <x v="480"/>
    <n v="48"/>
    <x v="3"/>
    <n v="1679.69"/>
    <n v="1939.04"/>
    <s v="New"/>
    <n v="0.09"/>
    <s v="Credit Card"/>
    <s v="Online"/>
    <s v="Low"/>
  </r>
  <r>
    <n v="1023"/>
    <s v="Tights"/>
    <d v="2023-10-23T00:00:00"/>
    <s v="David"/>
    <s v="Hogan Rock"/>
    <x v="2"/>
    <n v="0.05"/>
    <n v="475.98800000000006"/>
    <x v="481"/>
    <n v="42"/>
    <x v="1"/>
    <n v="309.77999999999997"/>
    <n v="350.38"/>
    <s v="Returning"/>
    <n v="0.19"/>
    <s v="Credit Card"/>
    <s v="Retail"/>
    <s v="High"/>
  </r>
  <r>
    <n v="1009"/>
    <s v="Jacket"/>
    <d v="2023-01-17T00:00:00"/>
    <s v="David"/>
    <s v="Hogan Rock"/>
    <x v="1"/>
    <n v="0.08"/>
    <n v="672.0856"/>
    <x v="482"/>
    <n v="12"/>
    <x v="0"/>
    <n v="2278.67"/>
    <n v="2476.8000000000002"/>
    <s v="New"/>
    <n v="0.09"/>
    <s v="Cash"/>
    <s v="Retail"/>
    <s v="High"/>
  </r>
  <r>
    <n v="1012"/>
    <s v="Cabinet"/>
    <d v="2023-05-09T00:00:00"/>
    <s v="David"/>
    <s v="Hogan Rock"/>
    <x v="1"/>
    <n v="0.08"/>
    <n v="645.63120000000004"/>
    <x v="483"/>
    <n v="13"/>
    <x v="1"/>
    <n v="1311.01"/>
    <n v="1538.79"/>
    <s v="Returning"/>
    <n v="0.09"/>
    <s v="Bank Transfer"/>
    <s v="Retail"/>
    <s v="High"/>
  </r>
  <r>
    <n v="1001"/>
    <s v="Camera"/>
    <d v="2023-08-05T00:00:00"/>
    <s v="Bob"/>
    <s v="Michael Smith"/>
    <x v="0"/>
    <n v="7.4999999999999997E-2"/>
    <n v="618.56550000000004"/>
    <x v="484"/>
    <n v="4"/>
    <x v="1"/>
    <n v="1791.83"/>
    <n v="1871.22"/>
    <s v="Returning"/>
    <n v="0.12"/>
    <s v="Bank Transfer"/>
    <s v="Online"/>
    <s v="High"/>
  </r>
  <r>
    <n v="1058"/>
    <s v="Wardrobe"/>
    <d v="2023-03-02T00:00:00"/>
    <s v="Eve"/>
    <s v="Tracy Moore"/>
    <x v="1"/>
    <n v="0.08"/>
    <n v="746.70640000000003"/>
    <x v="485"/>
    <n v="39"/>
    <x v="1"/>
    <n v="3542.8"/>
    <n v="3603.02"/>
    <s v="Returning"/>
    <n v="0.26"/>
    <s v="Cash"/>
    <s v="Online"/>
    <s v="High"/>
  </r>
  <r>
    <n v="1001"/>
    <s v="Camera"/>
    <d v="2023-04-14T00:00:00"/>
    <s v="David"/>
    <s v="Hogan Rock"/>
    <x v="3"/>
    <n v="0.06"/>
    <n v="329.28659999999996"/>
    <x v="486"/>
    <n v="2"/>
    <x v="3"/>
    <n v="2631.68"/>
    <n v="2904.06"/>
    <s v="New"/>
    <n v="0.15"/>
    <s v="Bank Transfer"/>
    <s v="Online"/>
    <s v="High"/>
  </r>
  <r>
    <n v="1034"/>
    <s v="Socks Pack"/>
    <d v="2023-02-11T00:00:00"/>
    <s v="Eve"/>
    <s v="Tracy Moore"/>
    <x v="2"/>
    <n v="0.05"/>
    <n v="104.1395"/>
    <x v="487"/>
    <n v="26"/>
    <x v="3"/>
    <n v="667"/>
    <n v="718.72"/>
    <s v="New"/>
    <n v="0.2"/>
    <s v="Cash"/>
    <s v="Retail"/>
    <s v="Low"/>
  </r>
  <r>
    <n v="1096"/>
    <s v="Radio"/>
    <d v="2023-01-25T00:00:00"/>
    <s v="Charlie"/>
    <s v="Susan Jerkins"/>
    <x v="1"/>
    <n v="0.08"/>
    <n v="496.49279999999999"/>
    <x v="488"/>
    <n v="27"/>
    <x v="2"/>
    <n v="4809"/>
    <n v="4967.4399999999996"/>
    <s v="New"/>
    <n v="0.12"/>
    <s v="Cash"/>
    <s v="Online"/>
    <s v="High"/>
  </r>
  <r>
    <n v="1048"/>
    <s v="Chaise Lounge"/>
    <d v="2023-02-08T00:00:00"/>
    <s v="Charlie"/>
    <s v="Susan Jerkins"/>
    <x v="1"/>
    <n v="0.08"/>
    <n v="596.36239999999998"/>
    <x v="489"/>
    <n v="27"/>
    <x v="2"/>
    <n v="3197.76"/>
    <n v="3572.61"/>
    <s v="Returning"/>
    <n v="0.08"/>
    <s v="Credit Card"/>
    <s v="Online"/>
    <s v="High"/>
  </r>
  <r>
    <n v="1089"/>
    <s v="Recliner"/>
    <d v="2023-10-18T00:00:00"/>
    <s v="David"/>
    <s v="Hogan Rock"/>
    <x v="0"/>
    <n v="7.4999999999999997E-2"/>
    <n v="555.40350000000001"/>
    <x v="490"/>
    <n v="15"/>
    <x v="1"/>
    <n v="3841.05"/>
    <n v="4323.62"/>
    <s v="Returning"/>
    <n v="0.28999999999999998"/>
    <s v="Credit Card"/>
    <s v="Retail"/>
    <s v="High"/>
  </r>
  <r>
    <n v="1001"/>
    <s v="Camera"/>
    <d v="2023-05-11T00:00:00"/>
    <s v="Eve"/>
    <s v="Tracy Moore"/>
    <x v="3"/>
    <n v="0.06"/>
    <n v="315.74099999999999"/>
    <x v="491"/>
    <n v="8"/>
    <x v="2"/>
    <n v="442.11"/>
    <n v="803.87"/>
    <s v="New"/>
    <n v="0.18"/>
    <s v="Cash"/>
    <s v="Retail"/>
    <s v="High"/>
  </r>
  <r>
    <n v="1016"/>
    <s v="Washing Machine"/>
    <d v="2023-08-17T00:00:00"/>
    <s v="Eve"/>
    <s v="Tracy Moore"/>
    <x v="1"/>
    <n v="0.08"/>
    <n v="62.219200000000001"/>
    <x v="492"/>
    <n v="7"/>
    <x v="1"/>
    <n v="282.94"/>
    <n v="779.32999999999902"/>
    <s v="Returning"/>
    <n v="0.28000000000000003"/>
    <s v="Credit Card"/>
    <s v="Online"/>
    <s v="Low"/>
  </r>
  <r>
    <n v="1061"/>
    <s v="Laptop"/>
    <d v="2023-04-18T00:00:00"/>
    <s v="Eve"/>
    <s v="Tracy Moore"/>
    <x v="0"/>
    <n v="7.4999999999999997E-2"/>
    <n v="283.05149999999998"/>
    <x v="493"/>
    <n v="47"/>
    <x v="3"/>
    <n v="146.27000000000001"/>
    <n v="498.46"/>
    <s v="New"/>
    <n v="0.06"/>
    <s v="Cash"/>
    <s v="Retail"/>
    <s v="Low"/>
  </r>
  <r>
    <n v="1064"/>
    <s v="Smartphone"/>
    <d v="2023-06-21T00:00:00"/>
    <s v="Bob"/>
    <s v="Michael Smith"/>
    <x v="1"/>
    <n v="0.08"/>
    <n v="737.24720000000002"/>
    <x v="494"/>
    <n v="46"/>
    <x v="3"/>
    <n v="984.53"/>
    <n v="1138.49"/>
    <s v="New"/>
    <n v="0.04"/>
    <s v="Bank Transfer"/>
    <s v="Online"/>
    <s v="High"/>
  </r>
  <r>
    <n v="1063"/>
    <s v="Noodles"/>
    <d v="2023-04-12T00:00:00"/>
    <s v="Charlie"/>
    <s v="Susan Jerkins"/>
    <x v="0"/>
    <n v="7.4999999999999997E-2"/>
    <n v="441.45299999999997"/>
    <x v="495"/>
    <n v="40"/>
    <x v="3"/>
    <n v="2101.3200000000002"/>
    <n v="2440.63"/>
    <s v="New"/>
    <n v="0.26"/>
    <s v="Bank Transfer"/>
    <s v="Retail"/>
    <s v="High"/>
  </r>
  <r>
    <n v="1069"/>
    <s v="Suit"/>
    <d v="2023-12-20T00:00:00"/>
    <s v="Eve"/>
    <s v="Tracy Moore"/>
    <x v="0"/>
    <n v="7.4999999999999997E-2"/>
    <n v="407.21174999999999"/>
    <x v="496"/>
    <n v="12"/>
    <x v="0"/>
    <n v="4682.34"/>
    <n v="5036.3999999999996"/>
    <s v="New"/>
    <n v="0.2"/>
    <s v="Bank Transfer"/>
    <s v="Retail"/>
    <s v="High"/>
  </r>
  <r>
    <n v="1022"/>
    <s v="Organic Honey"/>
    <d v="2023-01-12T00:00:00"/>
    <s v="Eve"/>
    <s v="Tracy Moore"/>
    <x v="3"/>
    <n v="0.06"/>
    <n v="165.69900000000001"/>
    <x v="497"/>
    <n v="13"/>
    <x v="1"/>
    <n v="2312.4499999999998"/>
    <n v="2504.6"/>
    <s v="Returning"/>
    <n v="0.06"/>
    <s v="Bank Transfer"/>
    <s v="Online"/>
    <s v="Low"/>
  </r>
  <r>
    <n v="1093"/>
    <s v="Dining Table"/>
    <d v="2023-10-02T00:00:00"/>
    <s v="Bob"/>
    <s v="Michael Smith"/>
    <x v="1"/>
    <n v="0.08"/>
    <n v="299.81119999999999"/>
    <x v="498"/>
    <n v="43"/>
    <x v="3"/>
    <n v="1486.76"/>
    <n v="1505.44"/>
    <s v="New"/>
    <n v="0.08"/>
    <s v="Cash"/>
    <s v="Retail"/>
    <s v="Low"/>
  </r>
  <r>
    <n v="1067"/>
    <s v="Grapes"/>
    <d v="2023-04-11T00:00:00"/>
    <s v="Bob"/>
    <s v="Michael Smith"/>
    <x v="3"/>
    <n v="0.06"/>
    <n v="537.83579999999995"/>
    <x v="499"/>
    <n v="17"/>
    <x v="1"/>
    <n v="2831.58"/>
    <n v="3186.15"/>
    <s v="New"/>
    <n v="0.24"/>
    <s v="Bank Transfer"/>
    <s v="Retail"/>
    <s v="High"/>
  </r>
  <r>
    <n v="1076"/>
    <s v="Polo Shirt"/>
    <d v="2023-02-13T00:00:00"/>
    <s v="Eve"/>
    <s v="Tracy Moore"/>
    <x v="0"/>
    <n v="7.4999999999999997E-2"/>
    <n v="502.34849999999994"/>
    <x v="500"/>
    <n v="17"/>
    <x v="2"/>
    <n v="604.08000000000004"/>
    <n v="624.71"/>
    <s v="New"/>
    <n v="0.14000000000000001"/>
    <s v="Bank Transfer"/>
    <s v="Retail"/>
    <s v="High"/>
  </r>
  <r>
    <n v="1026"/>
    <s v="Television"/>
    <d v="2023-11-01T00:00:00"/>
    <s v="Alice"/>
    <s v="Scott Wayne"/>
    <x v="2"/>
    <n v="0.05"/>
    <n v="394.75650000000002"/>
    <x v="501"/>
    <n v="36"/>
    <x v="2"/>
    <n v="3067.05"/>
    <n v="3386.33"/>
    <s v="New"/>
    <n v="0.2"/>
    <s v="Bank Transfer"/>
    <s v="Online"/>
    <s v="High"/>
  </r>
  <r>
    <n v="1016"/>
    <s v="Washing Machine"/>
    <d v="2023-01-17T00:00:00"/>
    <s v="Eve"/>
    <s v="Tracy Moore"/>
    <x v="1"/>
    <n v="0.08"/>
    <n v="367.84160000000003"/>
    <x v="502"/>
    <n v="21"/>
    <x v="3"/>
    <n v="2863.74"/>
    <n v="2953.91"/>
    <s v="New"/>
    <n v="0.1"/>
    <s v="Bank Transfer"/>
    <s v="Retail"/>
    <s v="Low"/>
  </r>
  <r>
    <n v="1051"/>
    <s v="Tablet"/>
    <d v="2023-11-26T00:00:00"/>
    <s v="Eve"/>
    <s v="Tracy Moore"/>
    <x v="2"/>
    <n v="0.05"/>
    <n v="316.97250000000003"/>
    <x v="503"/>
    <n v="8"/>
    <x v="1"/>
    <n v="3970.37"/>
    <n v="4257.5199999999904"/>
    <s v="New"/>
    <n v="0.11"/>
    <s v="Cash"/>
    <s v="Retail"/>
    <s v="High"/>
  </r>
  <r>
    <n v="1086"/>
    <s v="Gaming Console"/>
    <d v="2023-02-26T00:00:00"/>
    <s v="Bob"/>
    <s v="Michael Smith"/>
    <x v="1"/>
    <n v="0.08"/>
    <n v="204.72"/>
    <x v="504"/>
    <n v="5"/>
    <x v="3"/>
    <n v="4934.1000000000004"/>
    <n v="5191.0200000000004"/>
    <s v="New"/>
    <n v="0.3"/>
    <s v="Bank Transfer"/>
    <s v="Online"/>
    <s v="Low"/>
  </r>
  <r>
    <n v="1057"/>
    <s v="Avocadro Pear"/>
    <d v="2023-11-07T00:00:00"/>
    <s v="Bob"/>
    <s v="Michael Smith"/>
    <x v="3"/>
    <n v="0.06"/>
    <n v="425.04360000000003"/>
    <x v="505"/>
    <n v="26"/>
    <x v="2"/>
    <n v="1291.82"/>
    <n v="1308.4399999999901"/>
    <s v="Returning"/>
    <n v="7.0000000000000007E-2"/>
    <s v="Credit Card"/>
    <s v="Online"/>
    <s v="High"/>
  </r>
  <r>
    <n v="1029"/>
    <s v="Camisole"/>
    <d v="2023-10-30T00:00:00"/>
    <s v="Eve"/>
    <s v="Tracy Moore"/>
    <x v="3"/>
    <n v="0.06"/>
    <n v="259.995"/>
    <x v="506"/>
    <n v="16"/>
    <x v="3"/>
    <n v="2572.8000000000002"/>
    <n v="2760.6"/>
    <s v="Returning"/>
    <n v="0.15"/>
    <s v="Credit Card"/>
    <s v="Retail"/>
    <s v="Low"/>
  </r>
  <r>
    <n v="1078"/>
    <s v="Kitchen Island"/>
    <d v="2023-01-12T00:00:00"/>
    <s v="Eve"/>
    <s v="Tracy Moore"/>
    <x v="3"/>
    <n v="0.06"/>
    <n v="268.87199999999996"/>
    <x v="507"/>
    <n v="36"/>
    <x v="1"/>
    <n v="4548.88"/>
    <n v="4853.41"/>
    <s v="Returning"/>
    <n v="0.25"/>
    <s v="Credit Card"/>
    <s v="Retail"/>
    <s v="Low"/>
  </r>
  <r>
    <n v="1092"/>
    <s v="Recliner"/>
    <d v="2023-11-14T00:00:00"/>
    <s v="Eve"/>
    <s v="Tracy Moore"/>
    <x v="3"/>
    <n v="0.06"/>
    <n v="391.69739999999996"/>
    <x v="508"/>
    <n v="28"/>
    <x v="2"/>
    <n v="3936.69"/>
    <n v="4362.51"/>
    <s v="Returning"/>
    <n v="7.0000000000000007E-2"/>
    <s v="Credit Card"/>
    <s v="Retail"/>
    <s v="High"/>
  </r>
  <r>
    <n v="1069"/>
    <s v="Suit"/>
    <d v="2023-03-21T00:00:00"/>
    <s v="Bob"/>
    <s v="Michael Smith"/>
    <x v="3"/>
    <n v="0.06"/>
    <n v="562.1508"/>
    <x v="509"/>
    <n v="29"/>
    <x v="0"/>
    <n v="2462.66"/>
    <n v="2908.0899999999901"/>
    <s v="New"/>
    <n v="0.12"/>
    <s v="Credit Card"/>
    <s v="Online"/>
    <s v="High"/>
  </r>
  <r>
    <n v="1047"/>
    <s v="Mouse"/>
    <d v="2023-08-04T00:00:00"/>
    <s v="Eve"/>
    <s v="Tracy Moore"/>
    <x v="2"/>
    <n v="0.05"/>
    <n v="36.683"/>
    <x v="510"/>
    <n v="47"/>
    <x v="2"/>
    <n v="4729.59"/>
    <n v="4976.68"/>
    <s v="Returning"/>
    <n v="0.18"/>
    <s v="Credit Card"/>
    <s v="Retail"/>
    <s v="Low"/>
  </r>
  <r>
    <n v="1094"/>
    <s v="Microwave"/>
    <d v="2023-12-05T00:00:00"/>
    <s v="Eve"/>
    <s v="Tracy Moore"/>
    <x v="3"/>
    <n v="0.06"/>
    <n v="495.89759999999995"/>
    <x v="511"/>
    <n v="12"/>
    <x v="0"/>
    <n v="333.32"/>
    <n v="700.25"/>
    <s v="Returning"/>
    <n v="0.14000000000000001"/>
    <s v="Cash"/>
    <s v="Online"/>
    <s v="High"/>
  </r>
  <r>
    <n v="1062"/>
    <s v="Boxers"/>
    <d v="2023-09-21T00:00:00"/>
    <s v="David"/>
    <s v="Hogan Rock"/>
    <x v="0"/>
    <n v="7.4999999999999997E-2"/>
    <n v="224.59425000000002"/>
    <x v="512"/>
    <n v="37"/>
    <x v="3"/>
    <n v="4658.4399999999996"/>
    <n v="4823.5"/>
    <s v="Returning"/>
    <n v="0.14000000000000001"/>
    <s v="Credit Card"/>
    <s v="Online"/>
    <s v="Low"/>
  </r>
  <r>
    <n v="1069"/>
    <s v="Suit"/>
    <d v="2023-05-29T00:00:00"/>
    <s v="Alice"/>
    <s v="Scott Wayne"/>
    <x v="0"/>
    <n v="7.4999999999999997E-2"/>
    <n v="337.11"/>
    <x v="513"/>
    <n v="30"/>
    <x v="3"/>
    <n v="300.01"/>
    <n v="477.67999999999898"/>
    <s v="New"/>
    <n v="0.11"/>
    <s v="Bank Transfer"/>
    <s v="Retail"/>
    <s v="Low"/>
  </r>
  <r>
    <n v="1076"/>
    <s v="Polo Shirt"/>
    <d v="2023-03-22T00:00:00"/>
    <s v="Charlie"/>
    <s v="Susan Jerkins"/>
    <x v="2"/>
    <n v="0.05"/>
    <n v="15.847000000000001"/>
    <x v="514"/>
    <n v="23"/>
    <x v="1"/>
    <n v="2759.16"/>
    <n v="2864.45"/>
    <s v="Returning"/>
    <n v="0.18"/>
    <s v="Credit Card"/>
    <s v="Retail"/>
    <s v="Low"/>
  </r>
  <r>
    <n v="1016"/>
    <s v="Washing Machine"/>
    <d v="2023-08-03T00:00:00"/>
    <s v="Alice"/>
    <s v="Scott Wayne"/>
    <x v="1"/>
    <n v="0.08"/>
    <n v="246.42880000000002"/>
    <x v="515"/>
    <n v="16"/>
    <x v="0"/>
    <n v="4457.68"/>
    <n v="4743.03"/>
    <s v="Returning"/>
    <n v="0.19"/>
    <s v="Cash"/>
    <s v="Online"/>
    <s v="Low"/>
  </r>
  <r>
    <n v="1090"/>
    <s v="Keyboard"/>
    <d v="2023-07-17T00:00:00"/>
    <s v="David"/>
    <s v="Hogan Rock"/>
    <x v="0"/>
    <n v="7.4999999999999997E-2"/>
    <n v="380.70375000000001"/>
    <x v="516"/>
    <n v="14"/>
    <x v="3"/>
    <n v="1350.47"/>
    <n v="1514.61"/>
    <s v="New"/>
    <n v="0.2"/>
    <s v="Credit Card"/>
    <s v="Retail"/>
    <s v="High"/>
  </r>
  <r>
    <n v="1090"/>
    <s v="Keyboard"/>
    <d v="2023-07-19T00:00:00"/>
    <s v="Charlie"/>
    <s v="Susan Jerkins"/>
    <x v="1"/>
    <n v="0.08"/>
    <n v="52.491199999999999"/>
    <x v="517"/>
    <n v="10"/>
    <x v="0"/>
    <n v="2387.63"/>
    <n v="2438.9699999999998"/>
    <s v="Returning"/>
    <n v="0.02"/>
    <s v="Bank Transfer"/>
    <s v="Retail"/>
    <s v="Low"/>
  </r>
  <r>
    <n v="1048"/>
    <s v="Chaise Lounge"/>
    <d v="2023-01-25T00:00:00"/>
    <s v="Eve"/>
    <s v="Tracy Moore"/>
    <x v="2"/>
    <n v="0.05"/>
    <n v="248.09250000000003"/>
    <x v="518"/>
    <n v="7"/>
    <x v="3"/>
    <n v="1655.43"/>
    <n v="2001.08"/>
    <s v="New"/>
    <n v="0.19"/>
    <s v="Bank Transfer"/>
    <s v="Online"/>
    <s v="Low"/>
  </r>
  <r>
    <n v="1085"/>
    <s v="Settee"/>
    <d v="2023-03-30T00:00:00"/>
    <s v="David"/>
    <s v="Hogan Rock"/>
    <x v="1"/>
    <n v="0.08"/>
    <n v="742.27199999999993"/>
    <x v="519"/>
    <n v="45"/>
    <x v="2"/>
    <n v="4763.1099999999997"/>
    <n v="5119.91"/>
    <s v="Returning"/>
    <n v="0.28999999999999998"/>
    <s v="Cash"/>
    <s v="Retail"/>
    <s v="High"/>
  </r>
  <r>
    <n v="1039"/>
    <s v="Hoodie"/>
    <d v="2023-09-25T00:00:00"/>
    <s v="Eve"/>
    <s v="Tracy Moore"/>
    <x v="1"/>
    <n v="0.08"/>
    <n v="91.47120000000001"/>
    <x v="520"/>
    <n v="37"/>
    <x v="3"/>
    <n v="4127.05"/>
    <n v="4313.45"/>
    <s v="New"/>
    <n v="0.16"/>
    <s v="Cash"/>
    <s v="Online"/>
    <s v="Low"/>
  </r>
  <r>
    <n v="1100"/>
    <s v="Protein Cookies"/>
    <d v="2023-05-23T00:00:00"/>
    <s v="Bob"/>
    <s v="Michael Smith"/>
    <x v="1"/>
    <n v="0.08"/>
    <n v="613.43680000000006"/>
    <x v="521"/>
    <n v="29"/>
    <x v="1"/>
    <n v="3559.56"/>
    <n v="3607.15"/>
    <s v="Returning"/>
    <n v="0.21"/>
    <s v="Cash"/>
    <s v="Retail"/>
    <s v="High"/>
  </r>
  <r>
    <n v="1033"/>
    <s v="TV Stand"/>
    <d v="2023-02-28T00:00:00"/>
    <s v="David"/>
    <s v="Hogan Rock"/>
    <x v="1"/>
    <n v="0.08"/>
    <n v="332.45920000000001"/>
    <x v="522"/>
    <n v="3"/>
    <x v="2"/>
    <n v="2958.75"/>
    <n v="3177.64"/>
    <s v="Returning"/>
    <n v="0.17"/>
    <s v="Cash"/>
    <s v="Online"/>
    <s v="Low"/>
  </r>
  <r>
    <n v="1094"/>
    <s v="Microwave"/>
    <d v="2023-12-31T00:00:00"/>
    <s v="Bob"/>
    <s v="Michael Smith"/>
    <x v="2"/>
    <n v="0.05"/>
    <n v="329.31100000000004"/>
    <x v="523"/>
    <n v="15"/>
    <x v="1"/>
    <n v="4111.93"/>
    <n v="4338.67"/>
    <s v="Returning"/>
    <n v="0.26"/>
    <s v="Credit Card"/>
    <s v="Online"/>
    <s v="High"/>
  </r>
  <r>
    <n v="1023"/>
    <s v="Tights"/>
    <d v="2023-01-26T00:00:00"/>
    <s v="David"/>
    <s v="Hogan Rock"/>
    <x v="0"/>
    <n v="7.4999999999999997E-2"/>
    <n v="200.72550000000001"/>
    <x v="524"/>
    <n v="36"/>
    <x v="2"/>
    <n v="1991.72"/>
    <n v="2329.37"/>
    <s v="New"/>
    <n v="0.28000000000000003"/>
    <s v="Credit Card"/>
    <s v="Retail"/>
    <s v="Low"/>
  </r>
  <r>
    <n v="1010"/>
    <s v="Lawn Chair"/>
    <d v="2023-02-16T00:00:00"/>
    <s v="David"/>
    <s v="Hogan Rock"/>
    <x v="3"/>
    <n v="0.06"/>
    <n v="100.73819999999999"/>
    <x v="525"/>
    <n v="47"/>
    <x v="0"/>
    <n v="2265.38"/>
    <n v="2429.9299999999998"/>
    <s v="Returning"/>
    <n v="0.06"/>
    <s v="Bank Transfer"/>
    <s v="Online"/>
    <s v="Low"/>
  </r>
  <r>
    <n v="1069"/>
    <s v="Suit"/>
    <d v="2023-10-15T00:00:00"/>
    <s v="Bob"/>
    <s v="Michael Smith"/>
    <x v="1"/>
    <n v="0.08"/>
    <n v="135.0864"/>
    <x v="526"/>
    <n v="46"/>
    <x v="1"/>
    <n v="3663.51"/>
    <n v="4007.98"/>
    <s v="New"/>
    <n v="0.13"/>
    <s v="Cash"/>
    <s v="Online"/>
    <s v="Low"/>
  </r>
  <r>
    <n v="1100"/>
    <s v="Protein Cookies"/>
    <d v="2023-09-23T00:00:00"/>
    <s v="Charlie"/>
    <s v="Susan Jerkins"/>
    <x v="0"/>
    <n v="7.4999999999999997E-2"/>
    <n v="59.840249999999997"/>
    <x v="527"/>
    <n v="19"/>
    <x v="3"/>
    <n v="1820.89"/>
    <n v="2257.92"/>
    <s v="New"/>
    <n v="0.12"/>
    <s v="Cash"/>
    <s v="Retail"/>
    <s v="Low"/>
  </r>
  <r>
    <n v="1034"/>
    <s v="Socks Pack"/>
    <d v="2023-01-16T00:00:00"/>
    <s v="Alice"/>
    <s v="Scott Wayne"/>
    <x v="0"/>
    <n v="7.4999999999999997E-2"/>
    <n v="145.3425"/>
    <x v="528"/>
    <n v="13"/>
    <x v="0"/>
    <n v="366.31"/>
    <n v="492.68"/>
    <s v="New"/>
    <n v="0.12"/>
    <s v="Credit Card"/>
    <s v="Retail"/>
    <s v="Low"/>
  </r>
  <r>
    <n v="1052"/>
    <s v="Wooden Chair"/>
    <d v="2023-07-18T00:00:00"/>
    <s v="Eve"/>
    <s v="Tracy Moore"/>
    <x v="2"/>
    <n v="0.05"/>
    <n v="333.78850000000006"/>
    <x v="529"/>
    <n v="42"/>
    <x v="3"/>
    <n v="417.96"/>
    <n v="907.63"/>
    <s v="New"/>
    <n v="0.04"/>
    <s v="Cash"/>
    <s v="Retail"/>
    <s v="High"/>
  </r>
  <r>
    <n v="1095"/>
    <s v="Bluetooth Speaker"/>
    <d v="2023-10-09T00:00:00"/>
    <s v="David"/>
    <s v="Hogan Rock"/>
    <x v="0"/>
    <n v="7.4999999999999997E-2"/>
    <n v="662.15549999999996"/>
    <x v="530"/>
    <n v="21"/>
    <x v="2"/>
    <n v="621.04999999999995"/>
    <n v="820.36999999999898"/>
    <s v="Returning"/>
    <n v="0.24"/>
    <s v="Bank Transfer"/>
    <s v="Online"/>
    <s v="High"/>
  </r>
  <r>
    <n v="1010"/>
    <s v="Lawn Chair"/>
    <d v="2023-03-27T00:00:00"/>
    <s v="Eve"/>
    <s v="Tracy Moore"/>
    <x v="2"/>
    <n v="0.05"/>
    <n v="407.99200000000002"/>
    <x v="531"/>
    <n v="37"/>
    <x v="2"/>
    <n v="4354.92"/>
    <n v="4495.88"/>
    <s v="Returning"/>
    <n v="0.01"/>
    <s v="Bank Transfer"/>
    <s v="Online"/>
    <s v="High"/>
  </r>
  <r>
    <n v="1019"/>
    <s v="Apple"/>
    <d v="2023-09-07T00:00:00"/>
    <s v="Bob"/>
    <s v="Michael Smith"/>
    <x v="1"/>
    <n v="0.08"/>
    <n v="550.62639999999999"/>
    <x v="532"/>
    <n v="27"/>
    <x v="3"/>
    <n v="2387.52"/>
    <n v="2604.06"/>
    <s v="Returning"/>
    <n v="0.16"/>
    <s v="Cash"/>
    <s v="Online"/>
    <s v="High"/>
  </r>
  <r>
    <n v="1058"/>
    <s v="Wardrobe"/>
    <d v="2023-09-27T00:00:00"/>
    <s v="Eve"/>
    <s v="Tracy Moore"/>
    <x v="1"/>
    <n v="0.08"/>
    <n v="95.462400000000002"/>
    <x v="533"/>
    <n v="29"/>
    <x v="3"/>
    <n v="3578.77"/>
    <n v="3635.02"/>
    <s v="New"/>
    <n v="0.2"/>
    <s v="Bank Transfer"/>
    <s v="Retail"/>
    <s v="Low"/>
  </r>
  <r>
    <n v="1096"/>
    <s v="Radio"/>
    <d v="2023-12-01T00:00:00"/>
    <s v="Bob"/>
    <s v="Michael Smith"/>
    <x v="3"/>
    <n v="0.06"/>
    <n v="177.77760000000001"/>
    <x v="534"/>
    <n v="20"/>
    <x v="0"/>
    <n v="1994.9"/>
    <n v="2066.5"/>
    <s v="Returning"/>
    <n v="0.06"/>
    <s v="Bank Transfer"/>
    <s v="Online"/>
    <s v="Low"/>
  </r>
  <r>
    <n v="1001"/>
    <s v="Camera"/>
    <d v="2023-04-27T00:00:00"/>
    <s v="Eve"/>
    <s v="Tracy Moore"/>
    <x v="3"/>
    <n v="0.06"/>
    <n v="190.02539999999999"/>
    <x v="535"/>
    <n v="25"/>
    <x v="3"/>
    <n v="1330.62"/>
    <n v="1543.6899999999901"/>
    <s v="New"/>
    <n v="0.27"/>
    <s v="Credit Card"/>
    <s v="Online"/>
    <s v="Low"/>
  </r>
  <r>
    <n v="1069"/>
    <s v="Suit"/>
    <d v="2023-01-07T00:00:00"/>
    <s v="Alice"/>
    <s v="Scott Wayne"/>
    <x v="3"/>
    <n v="0.06"/>
    <n v="154.4742"/>
    <x v="536"/>
    <n v="6"/>
    <x v="1"/>
    <n v="1768.6"/>
    <n v="2152.1999999999998"/>
    <s v="New"/>
    <n v="0.25"/>
    <s v="Bank Transfer"/>
    <s v="Retail"/>
    <s v="Low"/>
  </r>
  <r>
    <n v="1004"/>
    <s v="Smartwatch"/>
    <d v="2023-05-17T00:00:00"/>
    <s v="Alice"/>
    <s v="Scott Wayne"/>
    <x v="0"/>
    <n v="7.4999999999999997E-2"/>
    <n v="389.892"/>
    <x v="537"/>
    <n v="36"/>
    <x v="1"/>
    <n v="3981.2"/>
    <n v="4432.3499999999904"/>
    <s v="New"/>
    <n v="0.14000000000000001"/>
    <s v="Cash"/>
    <s v="Online"/>
    <s v="High"/>
  </r>
  <r>
    <n v="1016"/>
    <s v="Washing Machine"/>
    <d v="2023-06-25T00:00:00"/>
    <s v="Alice"/>
    <s v="Scott Wayne"/>
    <x v="1"/>
    <n v="0.08"/>
    <n v="432.15839999999997"/>
    <x v="538"/>
    <n v="2"/>
    <x v="3"/>
    <n v="3144.82"/>
    <n v="3480.58"/>
    <s v="Returning"/>
    <n v="0.12"/>
    <s v="Cash"/>
    <s v="Retail"/>
    <s v="High"/>
  </r>
  <r>
    <n v="1024"/>
    <s v="Pasta Pack"/>
    <d v="2023-11-24T00:00:00"/>
    <s v="Alice"/>
    <s v="Scott Wayne"/>
    <x v="2"/>
    <n v="0.05"/>
    <n v="181.6585"/>
    <x v="539"/>
    <n v="22"/>
    <x v="1"/>
    <n v="4691.32"/>
    <n v="4752.88"/>
    <s v="Returning"/>
    <n v="7.0000000000000007E-2"/>
    <s v="Bank Transfer"/>
    <s v="Retail"/>
    <s v="Low"/>
  </r>
  <r>
    <n v="1080"/>
    <s v="Headphones"/>
    <d v="2023-11-11T00:00:00"/>
    <s v="Alice"/>
    <s v="Scott Wayne"/>
    <x v="3"/>
    <n v="0.06"/>
    <n v="216.1506"/>
    <x v="540"/>
    <n v="32"/>
    <x v="3"/>
    <n v="3414.54"/>
    <n v="3753.83"/>
    <s v="New"/>
    <n v="0.22"/>
    <s v="Cash"/>
    <s v="Retail"/>
    <s v="Low"/>
  </r>
  <r>
    <n v="1002"/>
    <s v="Bench"/>
    <d v="2023-08-03T00:00:00"/>
    <s v="Alice"/>
    <s v="Scott Wayne"/>
    <x v="2"/>
    <n v="0.05"/>
    <n v="415.13500000000005"/>
    <x v="541"/>
    <n v="16"/>
    <x v="0"/>
    <n v="2872.4"/>
    <n v="3193.76"/>
    <s v="Returning"/>
    <n v="0.04"/>
    <s v="Credit Card"/>
    <s v="Online"/>
    <s v="High"/>
  </r>
  <r>
    <n v="1092"/>
    <s v="Recliner"/>
    <d v="2023-03-23T00:00:00"/>
    <s v="Bob"/>
    <s v="Michael Smith"/>
    <x v="2"/>
    <n v="0.05"/>
    <n v="395.70000000000005"/>
    <x v="542"/>
    <n v="18"/>
    <x v="1"/>
    <n v="3070.47"/>
    <n v="3475.29"/>
    <s v="Returning"/>
    <n v="0.2"/>
    <s v="Bank Transfer"/>
    <s v="Online"/>
    <s v="High"/>
  </r>
  <r>
    <n v="1032"/>
    <s v="Refridgerator"/>
    <d v="2023-08-11T00:00:00"/>
    <s v="David"/>
    <s v="Hogan Rock"/>
    <x v="3"/>
    <n v="0.06"/>
    <n v="188.83079999999998"/>
    <x v="543"/>
    <n v="5"/>
    <x v="1"/>
    <n v="4714.74"/>
    <n v="5129.1099999999997"/>
    <s v="New"/>
    <n v="0.25"/>
    <s v="Bank Transfer"/>
    <s v="Online"/>
    <s v="Low"/>
  </r>
  <r>
    <n v="1091"/>
    <s v="Granola Bar"/>
    <d v="2023-04-13T00:00:00"/>
    <s v="Eve"/>
    <s v="Tracy Moore"/>
    <x v="1"/>
    <n v="0.08"/>
    <n v="731.72080000000005"/>
    <x v="544"/>
    <n v="36"/>
    <x v="3"/>
    <n v="3951.59"/>
    <n v="4387.01"/>
    <s v="New"/>
    <n v="7.0000000000000007E-2"/>
    <s v="Bank Transfer"/>
    <s v="Retail"/>
    <s v="High"/>
  </r>
  <r>
    <n v="1084"/>
    <s v="Card Table"/>
    <d v="2023-09-30T00:00:00"/>
    <s v="Alice"/>
    <s v="Scott Wayne"/>
    <x v="3"/>
    <n v="0.06"/>
    <n v="571.97220000000004"/>
    <x v="545"/>
    <n v="30"/>
    <x v="1"/>
    <n v="169"/>
    <n v="381.91999999999899"/>
    <s v="Returning"/>
    <n v="0.26"/>
    <s v="Cash"/>
    <s v="Retail"/>
    <s v="High"/>
  </r>
  <r>
    <n v="1024"/>
    <s v="Pasta Pack"/>
    <d v="2023-01-14T00:00:00"/>
    <s v="Bob"/>
    <s v="Michael Smith"/>
    <x v="2"/>
    <n v="0.05"/>
    <n v="166.73750000000001"/>
    <x v="546"/>
    <n v="45"/>
    <x v="2"/>
    <n v="2693.99"/>
    <n v="3045.9399999999901"/>
    <s v="New"/>
    <n v="0.01"/>
    <s v="Cash"/>
    <s v="Retail"/>
    <s v="Low"/>
  </r>
  <r>
    <n v="1012"/>
    <s v="Cabinet"/>
    <d v="2023-06-08T00:00:00"/>
    <s v="Bob"/>
    <s v="Michael Smith"/>
    <x v="3"/>
    <n v="0.06"/>
    <n v="216.52859999999998"/>
    <x v="547"/>
    <n v="19"/>
    <x v="0"/>
    <n v="3457.28"/>
    <n v="3598.72"/>
    <s v="New"/>
    <n v="0.27"/>
    <s v="Bank Transfer"/>
    <s v="Online"/>
    <s v="Low"/>
  </r>
  <r>
    <n v="1050"/>
    <s v="Sneakers"/>
    <d v="2023-06-01T00:00:00"/>
    <s v="Bob"/>
    <s v="Michael Smith"/>
    <x v="2"/>
    <n v="0.05"/>
    <n v="255.28899999999999"/>
    <x v="548"/>
    <n v="23"/>
    <x v="0"/>
    <n v="3756.06"/>
    <n v="4255.7299999999996"/>
    <s v="Returning"/>
    <n v="0.04"/>
    <s v="Cash"/>
    <s v="Online"/>
    <s v="High"/>
  </r>
  <r>
    <n v="1035"/>
    <s v="Doughnut"/>
    <d v="2023-04-18T00:00:00"/>
    <s v="David"/>
    <s v="Hogan Rock"/>
    <x v="2"/>
    <n v="0.05"/>
    <n v="470.85500000000002"/>
    <x v="549"/>
    <n v="34"/>
    <x v="1"/>
    <n v="1105.05"/>
    <n v="1200.96"/>
    <s v="Returning"/>
    <n v="0.19"/>
    <s v="Cash"/>
    <s v="Online"/>
    <s v="High"/>
  </r>
  <r>
    <n v="1033"/>
    <s v="TV Stand"/>
    <d v="2023-07-07T00:00:00"/>
    <s v="Eve"/>
    <s v="Tracy Moore"/>
    <x v="3"/>
    <n v="0.06"/>
    <n v="526.53359999999998"/>
    <x v="550"/>
    <n v="13"/>
    <x v="1"/>
    <n v="4342.53"/>
    <n v="4357.49"/>
    <s v="New"/>
    <n v="0.08"/>
    <s v="Bank Transfer"/>
    <s v="Online"/>
    <s v="High"/>
  </r>
  <r>
    <n v="1033"/>
    <s v="TV Stand"/>
    <d v="2023-10-28T00:00:00"/>
    <s v="David"/>
    <s v="Hogan Rock"/>
    <x v="0"/>
    <n v="7.4999999999999997E-2"/>
    <n v="83.656500000000008"/>
    <x v="551"/>
    <n v="43"/>
    <x v="2"/>
    <n v="4781.42"/>
    <n v="4864.34"/>
    <s v="Returning"/>
    <n v="0.25"/>
    <s v="Bank Transfer"/>
    <s v="Online"/>
    <s v="Low"/>
  </r>
  <r>
    <n v="1061"/>
    <s v="Laptop"/>
    <d v="2023-04-08T00:00:00"/>
    <s v="Charlie"/>
    <s v="Susan Jerkins"/>
    <x v="3"/>
    <n v="0.06"/>
    <n v="239.2818"/>
    <x v="552"/>
    <n v="29"/>
    <x v="2"/>
    <n v="1221.74"/>
    <n v="1611.92"/>
    <s v="New"/>
    <n v="0.15"/>
    <s v="Cash"/>
    <s v="Retail"/>
    <s v="Low"/>
  </r>
  <r>
    <n v="1051"/>
    <s v="Tablet"/>
    <d v="2023-05-11T00:00:00"/>
    <s v="Bob"/>
    <s v="Michael Smith"/>
    <x v="0"/>
    <n v="7.4999999999999997E-2"/>
    <n v="418.37774999999999"/>
    <x v="553"/>
    <n v="36"/>
    <x v="1"/>
    <n v="4418.95"/>
    <n v="4647.87"/>
    <s v="New"/>
    <n v="0.04"/>
    <s v="Bank Transfer"/>
    <s v="Online"/>
    <s v="High"/>
  </r>
  <r>
    <n v="1043"/>
    <s v="Oven"/>
    <d v="2023-10-20T00:00:00"/>
    <s v="Charlie"/>
    <s v="Susan Jerkins"/>
    <x v="2"/>
    <n v="0.05"/>
    <n v="254.05050000000003"/>
    <x v="554"/>
    <n v="22"/>
    <x v="1"/>
    <n v="530.04"/>
    <n v="759.31999999999903"/>
    <s v="Returning"/>
    <n v="0.17"/>
    <s v="Bank Transfer"/>
    <s v="Retail"/>
    <s v="High"/>
  </r>
  <r>
    <n v="1012"/>
    <s v="Cabinet"/>
    <d v="2023-06-20T00:00:00"/>
    <s v="Alice"/>
    <s v="Scott Wayne"/>
    <x v="2"/>
    <n v="0.05"/>
    <n v="100.962"/>
    <x v="555"/>
    <n v="47"/>
    <x v="2"/>
    <n v="325.75"/>
    <n v="803.71"/>
    <s v="New"/>
    <n v="0.12"/>
    <s v="Bank Transfer"/>
    <s v="Retail"/>
    <s v="Low"/>
  </r>
  <r>
    <n v="1067"/>
    <s v="Grapes"/>
    <d v="2023-07-02T00:00:00"/>
    <s v="Alice"/>
    <s v="Scott Wayne"/>
    <x v="0"/>
    <n v="7.4999999999999997E-2"/>
    <n v="645.17175000000009"/>
    <x v="556"/>
    <n v="36"/>
    <x v="3"/>
    <n v="689.66"/>
    <n v="1150.28"/>
    <s v="New"/>
    <n v="0.2"/>
    <s v="Bank Transfer"/>
    <s v="Online"/>
    <s v="High"/>
  </r>
  <r>
    <n v="1065"/>
    <s v="Potatoes"/>
    <d v="2023-12-30T00:00:00"/>
    <s v="David"/>
    <s v="Hogan Rock"/>
    <x v="2"/>
    <n v="0.05"/>
    <n v="340.08550000000002"/>
    <x v="557"/>
    <n v="9"/>
    <x v="2"/>
    <n v="335.82"/>
    <n v="498.31"/>
    <s v="New"/>
    <n v="0.26"/>
    <s v="Cash"/>
    <s v="Retail"/>
    <s v="High"/>
  </r>
  <r>
    <n v="1033"/>
    <s v="TV Stand"/>
    <d v="2023-02-08T00:00:00"/>
    <s v="Eve"/>
    <s v="Tracy Moore"/>
    <x v="0"/>
    <n v="7.4999999999999997E-2"/>
    <n v="629.64675"/>
    <x v="558"/>
    <n v="39"/>
    <x v="3"/>
    <n v="4232.8100000000004"/>
    <n v="4345.25"/>
    <s v="Returning"/>
    <n v="0.12"/>
    <s v="Bank Transfer"/>
    <s v="Online"/>
    <s v="High"/>
  </r>
  <r>
    <n v="1040"/>
    <s v="Cap"/>
    <d v="2023-01-15T00:00:00"/>
    <s v="Charlie"/>
    <s v="Susan Jerkins"/>
    <x v="0"/>
    <n v="7.4999999999999997E-2"/>
    <n v="645.13274999999999"/>
    <x v="559"/>
    <n v="19"/>
    <x v="0"/>
    <n v="342.3"/>
    <n v="768.06"/>
    <s v="Returning"/>
    <n v="0.09"/>
    <s v="Credit Card"/>
    <s v="Online"/>
    <s v="High"/>
  </r>
  <r>
    <n v="1074"/>
    <s v="French Fries"/>
    <d v="2023-01-04T00:00:00"/>
    <s v="Eve"/>
    <s v="Tracy Moore"/>
    <x v="2"/>
    <n v="0.05"/>
    <n v="375.43600000000004"/>
    <x v="560"/>
    <n v="38"/>
    <x v="0"/>
    <n v="1394.74"/>
    <n v="1848.69"/>
    <s v="Returning"/>
    <n v="0"/>
    <s v="Bank Transfer"/>
    <s v="Retail"/>
    <s v="High"/>
  </r>
  <r>
    <n v="1043"/>
    <s v="Oven"/>
    <d v="2023-12-15T00:00:00"/>
    <s v="David"/>
    <s v="Hogan Rock"/>
    <x v="1"/>
    <n v="0.08"/>
    <n v="355.85440000000006"/>
    <x v="561"/>
    <n v="6"/>
    <x v="2"/>
    <n v="563.59"/>
    <n v="838.97"/>
    <s v="New"/>
    <n v="0.17"/>
    <s v="Credit Card"/>
    <s v="Online"/>
    <s v="Low"/>
  </r>
  <r>
    <n v="1044"/>
    <s v="Burger"/>
    <d v="2023-07-29T00:00:00"/>
    <s v="Alice"/>
    <s v="Scott Wayne"/>
    <x v="0"/>
    <n v="7.4999999999999997E-2"/>
    <n v="460.83074999999997"/>
    <x v="562"/>
    <n v="47"/>
    <x v="3"/>
    <n v="1512.34"/>
    <n v="1830.76"/>
    <s v="New"/>
    <n v="0.12"/>
    <s v="Bank Transfer"/>
    <s v="Online"/>
    <s v="High"/>
  </r>
  <r>
    <n v="1029"/>
    <s v="Camisole"/>
    <d v="2023-06-10T00:00:00"/>
    <s v="Eve"/>
    <s v="Tracy Moore"/>
    <x v="3"/>
    <n v="0.06"/>
    <n v="101.25719999999998"/>
    <x v="563"/>
    <n v="15"/>
    <x v="2"/>
    <n v="498.27"/>
    <n v="634.16"/>
    <s v="Returning"/>
    <n v="0.11"/>
    <s v="Credit Card"/>
    <s v="Retail"/>
    <s v="Low"/>
  </r>
  <r>
    <n v="1013"/>
    <s v="Gas Cooker"/>
    <d v="2023-01-16T00:00:00"/>
    <s v="Eve"/>
    <s v="Tracy Moore"/>
    <x v="3"/>
    <n v="0.06"/>
    <n v="406.1454"/>
    <x v="564"/>
    <n v="20"/>
    <x v="2"/>
    <n v="3356.62"/>
    <n v="3759.0099999999902"/>
    <s v="Returning"/>
    <n v="0.05"/>
    <s v="Credit Card"/>
    <s v="Retail"/>
    <s v="High"/>
  </r>
  <r>
    <n v="1012"/>
    <s v="Cabinet"/>
    <d v="2023-04-18T00:00:00"/>
    <s v="Alice"/>
    <s v="Scott Wayne"/>
    <x v="2"/>
    <n v="0.05"/>
    <n v="93.730500000000006"/>
    <x v="565"/>
    <n v="9"/>
    <x v="3"/>
    <n v="709.97"/>
    <n v="1029.71"/>
    <s v="Returning"/>
    <n v="0.13"/>
    <s v="Bank Transfer"/>
    <s v="Retail"/>
    <s v="Low"/>
  </r>
  <r>
    <n v="1095"/>
    <s v="Bluetooth Speaker"/>
    <d v="2023-11-07T00:00:00"/>
    <s v="Charlie"/>
    <s v="Susan Jerkins"/>
    <x v="1"/>
    <n v="0.08"/>
    <n v="557.60800000000006"/>
    <x v="566"/>
    <n v="32"/>
    <x v="2"/>
    <n v="4266.6400000000003"/>
    <n v="4523.3599999999997"/>
    <s v="New"/>
    <n v="0.3"/>
    <s v="Bank Transfer"/>
    <s v="Retail"/>
    <s v="High"/>
  </r>
  <r>
    <n v="1046"/>
    <s v="Sweat Shirts"/>
    <d v="2023-08-15T00:00:00"/>
    <s v="Alice"/>
    <s v="Scott Wayne"/>
    <x v="2"/>
    <n v="0.05"/>
    <n v="118.65100000000001"/>
    <x v="567"/>
    <n v="4"/>
    <x v="0"/>
    <n v="4095.1"/>
    <n v="4134.55"/>
    <s v="Returning"/>
    <n v="0.09"/>
    <s v="Bank Transfer"/>
    <s v="Retail"/>
    <s v="Low"/>
  </r>
  <r>
    <n v="1002"/>
    <s v="Bench"/>
    <d v="2023-06-19T00:00:00"/>
    <s v="Eve"/>
    <s v="Tracy Moore"/>
    <x v="1"/>
    <n v="0.08"/>
    <n v="101.10080000000001"/>
    <x v="568"/>
    <n v="18"/>
    <x v="1"/>
    <n v="117.63"/>
    <n v="576.44000000000005"/>
    <s v="New"/>
    <n v="0.18"/>
    <s v="Credit Card"/>
    <s v="Retail"/>
    <s v="Low"/>
  </r>
  <r>
    <n v="1035"/>
    <s v="Doughnut"/>
    <d v="2023-02-03T00:00:00"/>
    <s v="Charlie"/>
    <s v="Susan Jerkins"/>
    <x v="0"/>
    <n v="7.4999999999999997E-2"/>
    <n v="130.22399999999999"/>
    <x v="569"/>
    <n v="5"/>
    <x v="1"/>
    <n v="4483.8500000000004"/>
    <n v="4795.42"/>
    <s v="Returning"/>
    <n v="0.23"/>
    <s v="Cash"/>
    <s v="Online"/>
    <s v="Low"/>
  </r>
  <r>
    <n v="1087"/>
    <s v="Sofa Set"/>
    <d v="2023-09-08T00:00:00"/>
    <s v="Charlie"/>
    <s v="Susan Jerkins"/>
    <x v="0"/>
    <n v="7.4999999999999997E-2"/>
    <n v="8.9789999999999992"/>
    <x v="570"/>
    <n v="20"/>
    <x v="2"/>
    <n v="193.27"/>
    <n v="297.69"/>
    <s v="New"/>
    <n v="0.22"/>
    <s v="Cash"/>
    <s v="Online"/>
    <s v="Low"/>
  </r>
  <r>
    <n v="1081"/>
    <s v="Rocking Chair"/>
    <d v="2023-09-04T00:00:00"/>
    <s v="Alice"/>
    <s v="Scott Wayne"/>
    <x v="0"/>
    <n v="7.4999999999999997E-2"/>
    <n v="541.16399999999999"/>
    <x v="571"/>
    <n v="23"/>
    <x v="3"/>
    <n v="1236.25"/>
    <n v="1543.38"/>
    <s v="New"/>
    <n v="0.1"/>
    <s v="Bank Transfer"/>
    <s v="Online"/>
    <s v="High"/>
  </r>
  <r>
    <n v="1090"/>
    <s v="Keyboard"/>
    <d v="2023-09-26T00:00:00"/>
    <s v="Eve"/>
    <s v="Tracy Moore"/>
    <x v="0"/>
    <n v="7.4999999999999997E-2"/>
    <n v="551.30775000000006"/>
    <x v="572"/>
    <n v="11"/>
    <x v="3"/>
    <n v="210.33"/>
    <n v="552.29"/>
    <s v="Returning"/>
    <n v="0.18"/>
    <s v="Cash"/>
    <s v="Retail"/>
    <s v="High"/>
  </r>
  <r>
    <n v="1008"/>
    <s v="Skirt"/>
    <d v="2023-05-21T00:00:00"/>
    <s v="David"/>
    <s v="Hogan Rock"/>
    <x v="3"/>
    <n v="0.06"/>
    <n v="311.87040000000002"/>
    <x v="573"/>
    <n v="37"/>
    <x v="0"/>
    <n v="1712.43"/>
    <n v="1980.06"/>
    <s v="New"/>
    <n v="0.26"/>
    <s v="Cash"/>
    <s v="Online"/>
    <s v="High"/>
  </r>
  <r>
    <n v="1093"/>
    <s v="Dining Table"/>
    <d v="2023-10-01T00:00:00"/>
    <s v="Eve"/>
    <s v="Tracy Moore"/>
    <x v="3"/>
    <n v="0.06"/>
    <n v="101.8494"/>
    <x v="574"/>
    <n v="22"/>
    <x v="3"/>
    <n v="2593.64"/>
    <n v="2955.5099999999902"/>
    <s v="Returning"/>
    <n v="0"/>
    <s v="Bank Transfer"/>
    <s v="Retail"/>
    <s v="Low"/>
  </r>
  <r>
    <n v="1026"/>
    <s v="Television"/>
    <d v="2023-04-06T00:00:00"/>
    <s v="Bob"/>
    <s v="Michael Smith"/>
    <x v="2"/>
    <n v="0.05"/>
    <n v="46.359500000000004"/>
    <x v="575"/>
    <n v="4"/>
    <x v="3"/>
    <n v="3993.39"/>
    <n v="4288.3"/>
    <s v="New"/>
    <n v="0.13"/>
    <s v="Credit Card"/>
    <s v="Online"/>
    <s v="Low"/>
  </r>
  <r>
    <n v="1074"/>
    <s v="French Fries"/>
    <d v="2023-08-15T00:00:00"/>
    <s v="David"/>
    <s v="Hogan Rock"/>
    <x v="1"/>
    <n v="0.08"/>
    <n v="23.150400000000001"/>
    <x v="576"/>
    <n v="29"/>
    <x v="0"/>
    <n v="1723.01"/>
    <n v="2197.42"/>
    <s v="New"/>
    <n v="7.0000000000000007E-2"/>
    <s v="Bank Transfer"/>
    <s v="Retail"/>
    <s v="Low"/>
  </r>
  <r>
    <n v="1090"/>
    <s v="Keyboard"/>
    <d v="2023-02-08T00:00:00"/>
    <s v="Charlie"/>
    <s v="Susan Jerkins"/>
    <x v="0"/>
    <n v="7.4999999999999997E-2"/>
    <n v="130.56825000000001"/>
    <x v="577"/>
    <n v="44"/>
    <x v="2"/>
    <n v="3542.18"/>
    <n v="3578.49"/>
    <s v="Returning"/>
    <n v="0.12"/>
    <s v="Cash"/>
    <s v="Online"/>
    <s v="Low"/>
  </r>
  <r>
    <n v="1034"/>
    <s v="Socks Pack"/>
    <d v="2023-10-29T00:00:00"/>
    <s v="David"/>
    <s v="Hogan Rock"/>
    <x v="0"/>
    <n v="7.4999999999999997E-2"/>
    <n v="668.96024999999997"/>
    <x v="578"/>
    <n v="34"/>
    <x v="1"/>
    <n v="978.15"/>
    <n v="1040.21"/>
    <s v="New"/>
    <n v="0.12"/>
    <s v="Credit Card"/>
    <s v="Retail"/>
    <s v="High"/>
  </r>
  <r>
    <n v="1007"/>
    <s v="Fruit Jam"/>
    <d v="2023-01-29T00:00:00"/>
    <s v="Charlie"/>
    <s v="Susan Jerkins"/>
    <x v="1"/>
    <n v="0.08"/>
    <n v="199.29680000000002"/>
    <x v="579"/>
    <n v="13"/>
    <x v="0"/>
    <n v="3765.46"/>
    <n v="3860.56"/>
    <s v="Returning"/>
    <n v="0.22"/>
    <s v="Cash"/>
    <s v="Retail"/>
    <s v="Low"/>
  </r>
  <r>
    <n v="1068"/>
    <s v="Leggings"/>
    <d v="2023-11-14T00:00:00"/>
    <s v="Charlie"/>
    <s v="Susan Jerkins"/>
    <x v="1"/>
    <n v="0.08"/>
    <n v="288.58319999999998"/>
    <x v="580"/>
    <n v="42"/>
    <x v="2"/>
    <n v="1218.18"/>
    <n v="1566.36"/>
    <s v="Returning"/>
    <n v="0.03"/>
    <s v="Credit Card"/>
    <s v="Retail"/>
    <s v="Low"/>
  </r>
  <r>
    <n v="1058"/>
    <s v="Wardrobe"/>
    <d v="2023-09-02T00:00:00"/>
    <s v="David"/>
    <s v="Hogan Rock"/>
    <x v="2"/>
    <n v="0.05"/>
    <n v="57.146000000000008"/>
    <x v="581"/>
    <n v="9"/>
    <x v="0"/>
    <n v="760.55"/>
    <n v="1086.8899999999901"/>
    <s v="Returning"/>
    <n v="0.15"/>
    <s v="Cash"/>
    <s v="Retail"/>
    <s v="Low"/>
  </r>
  <r>
    <n v="1075"/>
    <s v="Bookshelf"/>
    <d v="2023-08-24T00:00:00"/>
    <s v="Charlie"/>
    <s v="Susan Jerkins"/>
    <x v="1"/>
    <n v="0.08"/>
    <n v="184.1104"/>
    <x v="582"/>
    <n v="42"/>
    <x v="2"/>
    <n v="967.77"/>
    <n v="1414.88"/>
    <s v="New"/>
    <n v="0.17"/>
    <s v="Bank Transfer"/>
    <s v="Online"/>
    <s v="Low"/>
  </r>
  <r>
    <n v="1029"/>
    <s v="Camisole"/>
    <d v="2023-07-04T00:00:00"/>
    <s v="Charlie"/>
    <s v="Susan Jerkins"/>
    <x v="0"/>
    <n v="7.4999999999999997E-2"/>
    <n v="393.02399999999994"/>
    <x v="583"/>
    <n v="31"/>
    <x v="0"/>
    <n v="951.21"/>
    <n v="1320.32"/>
    <s v="New"/>
    <n v="0.15"/>
    <s v="Cash"/>
    <s v="Online"/>
    <s v="High"/>
  </r>
  <r>
    <n v="1036"/>
    <s v="Shorts"/>
    <d v="2023-09-29T00:00:00"/>
    <s v="Bob"/>
    <s v="Michael Smith"/>
    <x v="0"/>
    <n v="7.4999999999999997E-2"/>
    <n v="458.75624999999997"/>
    <x v="17"/>
    <n v="7"/>
    <x v="2"/>
    <n v="2588.67"/>
    <n v="2847.76"/>
    <s v="New"/>
    <n v="0.22"/>
    <s v="Cash"/>
    <s v="Retail"/>
    <s v="High"/>
  </r>
  <r>
    <n v="1089"/>
    <s v="Recliner"/>
    <d v="2023-08-24T00:00:00"/>
    <s v="Eve"/>
    <s v="Tracy Moore"/>
    <x v="0"/>
    <n v="7.4999999999999997E-2"/>
    <n v="189.67424999999997"/>
    <x v="584"/>
    <n v="4"/>
    <x v="0"/>
    <n v="4231.75"/>
    <n v="4727.75"/>
    <s v="Returning"/>
    <n v="0.12"/>
    <s v="Credit Card"/>
    <s v="Retail"/>
    <s v="Low"/>
  </r>
  <r>
    <n v="1021"/>
    <s v="Almond Milk"/>
    <d v="2023-08-27T00:00:00"/>
    <s v="Eve"/>
    <s v="Tracy Moore"/>
    <x v="0"/>
    <n v="7.4999999999999997E-2"/>
    <n v="50.366249999999994"/>
    <x v="585"/>
    <n v="19"/>
    <x v="2"/>
    <n v="444.05"/>
    <n v="584.44000000000005"/>
    <s v="Returning"/>
    <n v="0.28000000000000003"/>
    <s v="Cash"/>
    <s v="Retail"/>
    <s v="Low"/>
  </r>
  <r>
    <n v="1036"/>
    <s v="Shorts"/>
    <d v="2023-09-23T00:00:00"/>
    <s v="Bob"/>
    <s v="Michael Smith"/>
    <x v="0"/>
    <n v="7.4999999999999997E-2"/>
    <n v="297.84224999999998"/>
    <x v="586"/>
    <n v="42"/>
    <x v="0"/>
    <n v="3549.43"/>
    <n v="3967.6899999999901"/>
    <s v="New"/>
    <n v="0.14000000000000001"/>
    <s v="Bank Transfer"/>
    <s v="Online"/>
    <s v="Low"/>
  </r>
  <r>
    <n v="1010"/>
    <s v="Lawn Chair"/>
    <d v="2023-12-25T00:00:00"/>
    <s v="David"/>
    <s v="Hogan Rock"/>
    <x v="2"/>
    <n v="0.05"/>
    <n v="120.93050000000001"/>
    <x v="587"/>
    <n v="30"/>
    <x v="1"/>
    <n v="3289.01"/>
    <n v="3508.14"/>
    <s v="New"/>
    <n v="0.17"/>
    <s v="Bank Transfer"/>
    <s v="Retail"/>
    <s v="Low"/>
  </r>
  <r>
    <n v="1073"/>
    <s v="Console Table"/>
    <d v="2023-12-06T00:00:00"/>
    <s v="Alice"/>
    <s v="Scott Wayne"/>
    <x v="0"/>
    <n v="7.4999999999999997E-2"/>
    <n v="170.51849999999999"/>
    <x v="588"/>
    <n v="31"/>
    <x v="1"/>
    <n v="4368.97"/>
    <n v="4696.8500000000004"/>
    <s v="Returning"/>
    <n v="0.25"/>
    <s v="Bank Transfer"/>
    <s v="Retail"/>
    <s v="Low"/>
  </r>
  <r>
    <n v="1024"/>
    <s v="Pasta Pack"/>
    <d v="2023-03-06T00:00:00"/>
    <s v="Alice"/>
    <s v="Scott Wayne"/>
    <x v="2"/>
    <n v="0.05"/>
    <n v="480.13200000000001"/>
    <x v="589"/>
    <n v="35"/>
    <x v="3"/>
    <n v="1258.53"/>
    <n v="1624.8899999999901"/>
    <s v="New"/>
    <n v="0.08"/>
    <s v="Credit Card"/>
    <s v="Online"/>
    <s v="High"/>
  </r>
  <r>
    <n v="1064"/>
    <s v="Smartphone"/>
    <d v="2023-06-26T00:00:00"/>
    <s v="Alice"/>
    <s v="Scott Wayne"/>
    <x v="0"/>
    <n v="7.4999999999999997E-2"/>
    <n v="465.10274999999996"/>
    <x v="590"/>
    <n v="21"/>
    <x v="2"/>
    <n v="2278.04"/>
    <n v="2598.58"/>
    <s v="Returning"/>
    <n v="0.02"/>
    <s v="Credit Card"/>
    <s v="Retail"/>
    <s v="High"/>
  </r>
  <r>
    <n v="1099"/>
    <s v="Chest"/>
    <d v="2023-01-03T00:00:00"/>
    <s v="Bob"/>
    <s v="Michael Smith"/>
    <x v="3"/>
    <n v="0.06"/>
    <n v="336.786"/>
    <x v="591"/>
    <n v="31"/>
    <x v="0"/>
    <n v="4632.8500000000004"/>
    <n v="4711.7"/>
    <s v="New"/>
    <n v="0.21"/>
    <s v="Cash"/>
    <s v="Retail"/>
    <s v="High"/>
  </r>
  <r>
    <n v="1049"/>
    <s v="Coffee Table"/>
    <d v="2023-05-22T00:00:00"/>
    <s v="Bob"/>
    <s v="Michael Smith"/>
    <x v="3"/>
    <n v="0.06"/>
    <n v="252.97020000000001"/>
    <x v="592"/>
    <n v="19"/>
    <x v="2"/>
    <n v="3316.97"/>
    <n v="3544.02"/>
    <s v="Returning"/>
    <n v="0.14000000000000001"/>
    <s v="Cash"/>
    <s v="Online"/>
    <s v="Low"/>
  </r>
  <r>
    <n v="1099"/>
    <s v="Chest"/>
    <d v="2023-06-07T00:00:00"/>
    <s v="Charlie"/>
    <s v="Susan Jerkins"/>
    <x v="3"/>
    <n v="0.06"/>
    <n v="260.79300000000001"/>
    <x v="593"/>
    <n v="31"/>
    <x v="1"/>
    <n v="1974.4"/>
    <n v="2259.5"/>
    <s v="New"/>
    <n v="0.27"/>
    <s v="Cash"/>
    <s v="Retail"/>
    <s v="Low"/>
  </r>
  <r>
    <n v="1036"/>
    <s v="Shorts"/>
    <d v="2023-11-20T00:00:00"/>
    <s v="Alice"/>
    <s v="Scott Wayne"/>
    <x v="3"/>
    <n v="0.06"/>
    <n v="327.29759999999999"/>
    <x v="594"/>
    <n v="32"/>
    <x v="2"/>
    <n v="700.49"/>
    <n v="1126.52"/>
    <s v="New"/>
    <n v="0.28999999999999998"/>
    <s v="Credit Card"/>
    <s v="Retail"/>
    <s v="High"/>
  </r>
  <r>
    <n v="1082"/>
    <s v="USB Drive"/>
    <d v="2023-05-26T00:00:00"/>
    <s v="David"/>
    <s v="Hogan Rock"/>
    <x v="2"/>
    <n v="0.05"/>
    <n v="349.733"/>
    <x v="595"/>
    <n v="2"/>
    <x v="0"/>
    <n v="1349.3"/>
    <n v="1576.69"/>
    <s v="Returning"/>
    <n v="0.12"/>
    <s v="Credit Card"/>
    <s v="Online"/>
    <s v="High"/>
  </r>
  <r>
    <n v="1096"/>
    <s v="Radio"/>
    <d v="2023-10-20T00:00:00"/>
    <s v="David"/>
    <s v="Hogan Rock"/>
    <x v="2"/>
    <n v="0.05"/>
    <n v="352.5625"/>
    <x v="596"/>
    <n v="10"/>
    <x v="2"/>
    <n v="2927.02"/>
    <n v="3387.21"/>
    <s v="Returning"/>
    <n v="0.12"/>
    <s v="Cash"/>
    <s v="Retail"/>
    <s v="High"/>
  </r>
  <r>
    <n v="1024"/>
    <s v="Pasta Pack"/>
    <d v="2023-06-02T00:00:00"/>
    <s v="Alice"/>
    <s v="Scott Wayne"/>
    <x v="1"/>
    <n v="0.08"/>
    <n v="143.98160000000001"/>
    <x v="597"/>
    <n v="2"/>
    <x v="0"/>
    <n v="3604.93"/>
    <n v="3830.71"/>
    <s v="Returning"/>
    <n v="0.12"/>
    <s v="Credit Card"/>
    <s v="Online"/>
    <s v="Low"/>
  </r>
  <r>
    <n v="1023"/>
    <s v="Tights"/>
    <d v="2023-07-12T00:00:00"/>
    <s v="Alice"/>
    <s v="Scott Wayne"/>
    <x v="0"/>
    <n v="7.4999999999999997E-2"/>
    <n v="378.834"/>
    <x v="598"/>
    <n v="2"/>
    <x v="1"/>
    <n v="665.89"/>
    <n v="944.79"/>
    <s v="New"/>
    <n v="0.1"/>
    <s v="Credit Card"/>
    <s v="Retail"/>
    <s v="High"/>
  </r>
  <r>
    <n v="1062"/>
    <s v="Boxers"/>
    <d v="2023-03-14T00:00:00"/>
    <s v="Alice"/>
    <s v="Scott Wayne"/>
    <x v="3"/>
    <n v="0.06"/>
    <n v="250.70340000000002"/>
    <x v="599"/>
    <n v="24"/>
    <x v="1"/>
    <n v="3018.01"/>
    <n v="3418.19"/>
    <s v="Returning"/>
    <n v="0.23"/>
    <s v="Bank Transfer"/>
    <s v="Retail"/>
    <s v="Low"/>
  </r>
  <r>
    <n v="1096"/>
    <s v="Radio"/>
    <d v="2023-11-01T00:00:00"/>
    <s v="Bob"/>
    <s v="Michael Smith"/>
    <x v="2"/>
    <n v="0.05"/>
    <n v="435.911"/>
    <x v="600"/>
    <n v="17"/>
    <x v="1"/>
    <n v="2774.24"/>
    <n v="3069.9399999999901"/>
    <s v="Returning"/>
    <n v="0.23"/>
    <s v="Bank Transfer"/>
    <s v="Retail"/>
    <s v="High"/>
  </r>
  <r>
    <n v="1037"/>
    <s v="Turtleneck Top"/>
    <d v="2023-12-10T00:00:00"/>
    <s v="Bob"/>
    <s v="Michael Smith"/>
    <x v="0"/>
    <n v="7.4999999999999997E-2"/>
    <n v="476.32875000000001"/>
    <x v="601"/>
    <n v="32"/>
    <x v="3"/>
    <n v="2594.08"/>
    <n v="3074.59"/>
    <s v="New"/>
    <n v="0.14000000000000001"/>
    <s v="Cash"/>
    <s v="Retail"/>
    <s v="High"/>
  </r>
  <r>
    <n v="1012"/>
    <s v="Cabinet"/>
    <d v="2023-05-20T00:00:00"/>
    <s v="Bob"/>
    <s v="Michael Smith"/>
    <x v="0"/>
    <n v="7.4999999999999997E-2"/>
    <n v="402.88425000000001"/>
    <x v="602"/>
    <n v="16"/>
    <x v="1"/>
    <n v="3466.11"/>
    <n v="3799.67"/>
    <s v="Returning"/>
    <n v="0.01"/>
    <s v="Cash"/>
    <s v="Retail"/>
    <s v="High"/>
  </r>
  <r>
    <n v="1055"/>
    <s v="Cupboard"/>
    <d v="2023-07-06T00:00:00"/>
    <s v="Eve"/>
    <s v="Tracy Moore"/>
    <x v="2"/>
    <n v="0.05"/>
    <n v="62.120500000000007"/>
    <x v="603"/>
    <n v="16"/>
    <x v="2"/>
    <n v="4195.38"/>
    <n v="4461.51"/>
    <s v="Returning"/>
    <n v="0.09"/>
    <s v="Bank Transfer"/>
    <s v="Online"/>
    <s v="Low"/>
  </r>
  <r>
    <n v="1013"/>
    <s v="Gas Cooker"/>
    <d v="2023-10-20T00:00:00"/>
    <s v="David"/>
    <s v="Hogan Rock"/>
    <x v="3"/>
    <n v="0.06"/>
    <n v="365.74919999999997"/>
    <x v="604"/>
    <n v="46"/>
    <x v="3"/>
    <n v="1648.8"/>
    <n v="1670.36"/>
    <s v="Returning"/>
    <n v="0.09"/>
    <s v="Credit Card"/>
    <s v="Retail"/>
    <s v="High"/>
  </r>
  <r>
    <n v="1023"/>
    <s v="Tights"/>
    <d v="2023-03-02T00:00:00"/>
    <s v="David"/>
    <s v="Hogan Rock"/>
    <x v="1"/>
    <n v="0.08"/>
    <n v="100.82559999999999"/>
    <x v="605"/>
    <n v="39"/>
    <x v="1"/>
    <n v="4450.6099999999997"/>
    <n v="4663.3399999999901"/>
    <s v="New"/>
    <n v="0.24"/>
    <s v="Cash"/>
    <s v="Retail"/>
    <s v="Low"/>
  </r>
  <r>
    <n v="1089"/>
    <s v="Recliner"/>
    <d v="2023-07-17T00:00:00"/>
    <s v="Charlie"/>
    <s v="Susan Jerkins"/>
    <x v="0"/>
    <n v="7.4999999999999997E-2"/>
    <n v="257.87624999999997"/>
    <x v="606"/>
    <n v="31"/>
    <x v="2"/>
    <n v="845.14"/>
    <n v="1001.77"/>
    <s v="New"/>
    <n v="0.03"/>
    <s v="Cash"/>
    <s v="Online"/>
    <s v="Low"/>
  </r>
  <r>
    <n v="1099"/>
    <s v="Chest"/>
    <d v="2023-10-22T00:00:00"/>
    <s v="Bob"/>
    <s v="Michael Smith"/>
    <x v="1"/>
    <n v="0.08"/>
    <n v="121.13120000000001"/>
    <x v="607"/>
    <n v="43"/>
    <x v="2"/>
    <n v="906.47"/>
    <n v="1283.04"/>
    <s v="New"/>
    <n v="0.24"/>
    <s v="Cash"/>
    <s v="Online"/>
    <s v="Low"/>
  </r>
  <r>
    <n v="1030"/>
    <s v="Jeans"/>
    <d v="2023-11-15T00:00:00"/>
    <s v="Eve"/>
    <s v="Tracy Moore"/>
    <x v="3"/>
    <n v="0.06"/>
    <n v="417.09179999999998"/>
    <x v="608"/>
    <n v="24"/>
    <x v="2"/>
    <n v="1370.52"/>
    <n v="1482.58"/>
    <s v="Returning"/>
    <n v="0.2"/>
    <s v="Credit Card"/>
    <s v="Retail"/>
    <s v="High"/>
  </r>
  <r>
    <n v="1017"/>
    <s v="Peaches"/>
    <d v="2023-10-29T00:00:00"/>
    <s v="Eve"/>
    <s v="Tracy Moore"/>
    <x v="3"/>
    <n v="0.06"/>
    <n v="128.51400000000001"/>
    <x v="609"/>
    <n v="1"/>
    <x v="0"/>
    <n v="641.67999999999995"/>
    <n v="752.24"/>
    <s v="New"/>
    <n v="0.22"/>
    <s v="Bank Transfer"/>
    <s v="Online"/>
    <s v="Low"/>
  </r>
  <r>
    <n v="1062"/>
    <s v="Boxers"/>
    <d v="2023-12-10T00:00:00"/>
    <s v="David"/>
    <s v="Hogan Rock"/>
    <x v="1"/>
    <n v="0.08"/>
    <n v="318.3528"/>
    <x v="610"/>
    <n v="11"/>
    <x v="3"/>
    <n v="1190.08"/>
    <n v="1292.9399999999901"/>
    <s v="Returning"/>
    <n v="0.13"/>
    <s v="Cash"/>
    <s v="Retail"/>
    <s v="Low"/>
  </r>
  <r>
    <n v="1084"/>
    <s v="Card Table"/>
    <d v="2023-01-11T00:00:00"/>
    <s v="Bob"/>
    <s v="Michael Smith"/>
    <x v="3"/>
    <n v="0.06"/>
    <n v="538.0308"/>
    <x v="611"/>
    <n v="21"/>
    <x v="2"/>
    <n v="576.74"/>
    <n v="648.29"/>
    <s v="Returning"/>
    <n v="0.2"/>
    <s v="Bank Transfer"/>
    <s v="Online"/>
    <s v="High"/>
  </r>
  <r>
    <n v="1089"/>
    <s v="Recliner"/>
    <d v="2023-03-03T00:00:00"/>
    <s v="Charlie"/>
    <s v="Susan Jerkins"/>
    <x v="0"/>
    <n v="7.4999999999999997E-2"/>
    <n v="159.20474999999999"/>
    <x v="612"/>
    <n v="4"/>
    <x v="0"/>
    <n v="4117.67"/>
    <n v="4280.0600000000004"/>
    <s v="Returning"/>
    <n v="0.18"/>
    <s v="Bank Transfer"/>
    <s v="Online"/>
    <s v="Low"/>
  </r>
  <r>
    <n v="1086"/>
    <s v="Gaming Console"/>
    <d v="2023-11-29T00:00:00"/>
    <s v="Bob"/>
    <s v="Michael Smith"/>
    <x v="1"/>
    <n v="0.08"/>
    <n v="410.18160000000006"/>
    <x v="613"/>
    <n v="7"/>
    <x v="1"/>
    <n v="737.9"/>
    <n v="1182"/>
    <s v="New"/>
    <n v="0.23"/>
    <s v="Credit Card"/>
    <s v="Retail"/>
    <s v="High"/>
  </r>
  <r>
    <n v="1013"/>
    <s v="Gas Cooker"/>
    <d v="2023-08-14T00:00:00"/>
    <s v="Alice"/>
    <s v="Scott Wayne"/>
    <x v="3"/>
    <n v="0.06"/>
    <n v="255.04739999999998"/>
    <x v="614"/>
    <n v="26"/>
    <x v="2"/>
    <n v="3749.12"/>
    <n v="4138.83"/>
    <s v="New"/>
    <n v="0.13"/>
    <s v="Credit Card"/>
    <s v="Online"/>
    <s v="Low"/>
  </r>
  <r>
    <n v="1059"/>
    <s v="Coffee Beans"/>
    <d v="2023-06-02T00:00:00"/>
    <s v="Bob"/>
    <s v="Michael Smith"/>
    <x v="1"/>
    <n v="0.08"/>
    <n v="22.354400000000002"/>
    <x v="615"/>
    <n v="47"/>
    <x v="0"/>
    <n v="287.17"/>
    <n v="657.44"/>
    <s v="Returning"/>
    <n v="0.14000000000000001"/>
    <s v="Credit Card"/>
    <s v="Retail"/>
    <s v="Low"/>
  </r>
  <r>
    <n v="1019"/>
    <s v="Apple"/>
    <d v="2023-07-18T00:00:00"/>
    <s v="Alice"/>
    <s v="Scott Wayne"/>
    <x v="0"/>
    <n v="7.4999999999999997E-2"/>
    <n v="596.12324999999998"/>
    <x v="616"/>
    <n v="12"/>
    <x v="2"/>
    <n v="4745.18"/>
    <n v="5145.88"/>
    <s v="Returning"/>
    <n v="0.19"/>
    <s v="Credit Card"/>
    <s v="Online"/>
    <s v="High"/>
  </r>
  <r>
    <n v="1049"/>
    <s v="Coffee Table"/>
    <d v="2023-02-21T00:00:00"/>
    <s v="Alice"/>
    <s v="Scott Wayne"/>
    <x v="3"/>
    <n v="0.06"/>
    <n v="47.012999999999998"/>
    <x v="617"/>
    <n v="31"/>
    <x v="3"/>
    <n v="3570.24"/>
    <n v="3712.25"/>
    <s v="New"/>
    <n v="0.03"/>
    <s v="Credit Card"/>
    <s v="Online"/>
    <s v="Low"/>
  </r>
  <r>
    <n v="1100"/>
    <s v="Protein Cookies"/>
    <d v="2023-09-17T00:00:00"/>
    <s v="Charlie"/>
    <s v="Susan Jerkins"/>
    <x v="0"/>
    <n v="7.4999999999999997E-2"/>
    <n v="359.63399999999996"/>
    <x v="618"/>
    <n v="17"/>
    <x v="3"/>
    <n v="83.64"/>
    <n v="528.49"/>
    <s v="New"/>
    <n v="0.13"/>
    <s v="Credit Card"/>
    <s v="Online"/>
    <s v="Low"/>
  </r>
  <r>
    <n v="1012"/>
    <s v="Cabinet"/>
    <d v="2023-02-28T00:00:00"/>
    <s v="David"/>
    <s v="Hogan Rock"/>
    <x v="3"/>
    <n v="0.06"/>
    <n v="339.04320000000001"/>
    <x v="619"/>
    <n v="33"/>
    <x v="1"/>
    <n v="3831.09"/>
    <n v="3908.37"/>
    <s v="New"/>
    <n v="0.28999999999999998"/>
    <s v="Cash"/>
    <s v="Retail"/>
    <s v="High"/>
  </r>
  <r>
    <n v="1061"/>
    <s v="Laptop"/>
    <d v="2023-03-13T00:00:00"/>
    <s v="Bob"/>
    <s v="Michael Smith"/>
    <x v="2"/>
    <n v="0.05"/>
    <n v="316.07100000000003"/>
    <x v="620"/>
    <n v="11"/>
    <x v="2"/>
    <n v="2594.71"/>
    <n v="2769.52"/>
    <s v="Returning"/>
    <n v="0.01"/>
    <s v="Bank Transfer"/>
    <s v="Retail"/>
    <s v="High"/>
  </r>
  <r>
    <n v="1019"/>
    <s v="Apple"/>
    <d v="2023-05-28T00:00:00"/>
    <s v="Alice"/>
    <s v="Scott Wayne"/>
    <x v="3"/>
    <n v="0.06"/>
    <n v="415.04699999999997"/>
    <x v="621"/>
    <n v="28"/>
    <x v="0"/>
    <n v="3907.86"/>
    <n v="4205.37"/>
    <s v="New"/>
    <n v="0.09"/>
    <s v="Credit Card"/>
    <s v="Online"/>
    <s v="High"/>
  </r>
  <r>
    <n v="1076"/>
    <s v="Polo Shirt"/>
    <d v="2023-12-15T00:00:00"/>
    <s v="Bob"/>
    <s v="Michael Smith"/>
    <x v="1"/>
    <n v="0.08"/>
    <n v="208.59200000000001"/>
    <x v="622"/>
    <n v="32"/>
    <x v="1"/>
    <n v="2636.36"/>
    <n v="2696.78"/>
    <s v="New"/>
    <n v="0.09"/>
    <s v="Cash"/>
    <s v="Retail"/>
    <s v="Low"/>
  </r>
  <r>
    <n v="1009"/>
    <s v="Jacket"/>
    <d v="2023-03-04T00:00:00"/>
    <s v="David"/>
    <s v="Hogan Rock"/>
    <x v="3"/>
    <n v="0.06"/>
    <n v="11.927399999999999"/>
    <x v="623"/>
    <n v="1"/>
    <x v="2"/>
    <n v="3223.07"/>
    <n v="3590.83"/>
    <s v="New"/>
    <n v="0.19"/>
    <s v="Bank Transfer"/>
    <s v="Retail"/>
    <s v="Low"/>
  </r>
  <r>
    <n v="1071"/>
    <s v="Game Table"/>
    <d v="2023-11-06T00:00:00"/>
    <s v="David"/>
    <s v="Hogan Rock"/>
    <x v="0"/>
    <n v="7.4999999999999997E-2"/>
    <n v="544.65674999999999"/>
    <x v="624"/>
    <n v="47"/>
    <x v="1"/>
    <n v="3942.34"/>
    <n v="4142.09"/>
    <s v="Returning"/>
    <n v="0.03"/>
    <s v="Credit Card"/>
    <s v="Retail"/>
    <s v="High"/>
  </r>
  <r>
    <n v="1028"/>
    <s v="Pyjamas"/>
    <d v="2023-08-31T00:00:00"/>
    <s v="Eve"/>
    <s v="Tracy Moore"/>
    <x v="0"/>
    <n v="7.4999999999999997E-2"/>
    <n v="405.22499999999997"/>
    <x v="625"/>
    <n v="28"/>
    <x v="0"/>
    <n v="2055.2800000000002"/>
    <n v="2449.64"/>
    <s v="New"/>
    <n v="0.19"/>
    <s v="Credit Card"/>
    <s v="Online"/>
    <s v="High"/>
  </r>
  <r>
    <n v="1078"/>
    <s v="Kitchen Island"/>
    <d v="2024-01-01T00:00:00"/>
    <s v="David"/>
    <s v="Hogan Rock"/>
    <x v="3"/>
    <n v="0.06"/>
    <n v="502.65419999999995"/>
    <x v="626"/>
    <n v="42"/>
    <x v="1"/>
    <n v="63.41"/>
    <n v="314.93"/>
    <s v="Returning"/>
    <n v="0.03"/>
    <s v="Cash"/>
    <s v="Retail"/>
    <s v="High"/>
  </r>
  <r>
    <n v="1095"/>
    <s v="Bluetooth Speaker"/>
    <d v="2023-11-26T00:00:00"/>
    <s v="Charlie"/>
    <s v="Susan Jerkins"/>
    <x v="1"/>
    <n v="0.08"/>
    <n v="658.53920000000005"/>
    <x v="627"/>
    <n v="7"/>
    <x v="1"/>
    <n v="4257.24"/>
    <n v="4355.87"/>
    <s v="Returning"/>
    <n v="0.03"/>
    <s v="Bank Transfer"/>
    <s v="Online"/>
    <s v="High"/>
  </r>
  <r>
    <n v="1052"/>
    <s v="Wooden Chair"/>
    <d v="2023-04-17T00:00:00"/>
    <s v="Alice"/>
    <s v="Scott Wayne"/>
    <x v="2"/>
    <n v="0.05"/>
    <n v="422.44650000000001"/>
    <x v="628"/>
    <n v="2"/>
    <x v="1"/>
    <n v="1935.41"/>
    <n v="2305.44"/>
    <s v="Returning"/>
    <n v="0.22"/>
    <s v="Credit Card"/>
    <s v="Online"/>
    <s v="High"/>
  </r>
  <r>
    <n v="1083"/>
    <s v="Nightstand"/>
    <d v="2023-08-14T00:00:00"/>
    <s v="Eve"/>
    <s v="Tracy Moore"/>
    <x v="1"/>
    <n v="0.08"/>
    <n v="392.1952"/>
    <x v="629"/>
    <n v="42"/>
    <x v="2"/>
    <n v="2505.41"/>
    <n v="2638.96"/>
    <s v="New"/>
    <n v="0.1"/>
    <s v="Bank Transfer"/>
    <s v="Online"/>
    <s v="Low"/>
  </r>
  <r>
    <n v="1016"/>
    <s v="Washing Machine"/>
    <d v="2023-11-09T00:00:00"/>
    <s v="Charlie"/>
    <s v="Susan Jerkins"/>
    <x v="2"/>
    <n v="0.05"/>
    <n v="170.14600000000002"/>
    <x v="630"/>
    <n v="24"/>
    <x v="0"/>
    <n v="88.44"/>
    <n v="338.94"/>
    <s v="New"/>
    <n v="0.28999999999999998"/>
    <s v="Cash"/>
    <s v="Online"/>
    <s v="Low"/>
  </r>
  <r>
    <n v="1069"/>
    <s v="Suit"/>
    <d v="2023-08-06T00:00:00"/>
    <s v="Bob"/>
    <s v="Michael Smith"/>
    <x v="0"/>
    <n v="7.4999999999999997E-2"/>
    <n v="595.23225000000002"/>
    <x v="631"/>
    <n v="4"/>
    <x v="3"/>
    <n v="2485.86"/>
    <n v="2532.87"/>
    <s v="New"/>
    <n v="0.01"/>
    <s v="Credit Card"/>
    <s v="Online"/>
    <s v="High"/>
  </r>
  <r>
    <n v="1099"/>
    <s v="Chest"/>
    <d v="2023-08-29T00:00:00"/>
    <s v="Alice"/>
    <s v="Scott Wayne"/>
    <x v="1"/>
    <n v="0.08"/>
    <n v="365.42480000000006"/>
    <x v="632"/>
    <n v="44"/>
    <x v="2"/>
    <n v="4933.1099999999997"/>
    <n v="5245.86"/>
    <s v="Returning"/>
    <n v="0.13"/>
    <s v="Bank Transfer"/>
    <s v="Retail"/>
    <s v="Low"/>
  </r>
  <r>
    <n v="1012"/>
    <s v="Cabinet"/>
    <d v="2023-09-16T00:00:00"/>
    <s v="David"/>
    <s v="Hogan Rock"/>
    <x v="2"/>
    <n v="0.05"/>
    <n v="95.804000000000002"/>
    <x v="633"/>
    <n v="19"/>
    <x v="3"/>
    <n v="1427.42"/>
    <n v="1763.69"/>
    <s v="New"/>
    <n v="0.03"/>
    <s v="Cash"/>
    <s v="Retail"/>
    <s v="Low"/>
  </r>
  <r>
    <n v="1025"/>
    <s v="Mayonnaise"/>
    <d v="2023-09-19T00:00:00"/>
    <s v="Alice"/>
    <s v="Scott Wayne"/>
    <x v="3"/>
    <n v="0.06"/>
    <n v="513.85439999999994"/>
    <x v="634"/>
    <n v="26"/>
    <x v="3"/>
    <n v="2007.32"/>
    <n v="2202.87"/>
    <s v="Returning"/>
    <n v="0.11"/>
    <s v="Cash"/>
    <s v="Online"/>
    <s v="High"/>
  </r>
  <r>
    <n v="1052"/>
    <s v="Wooden Chair"/>
    <d v="2023-01-05T00:00:00"/>
    <s v="Bob"/>
    <s v="Michael Smith"/>
    <x v="0"/>
    <n v="7.4999999999999997E-2"/>
    <n v="662.80049999999994"/>
    <x v="635"/>
    <n v="11"/>
    <x v="2"/>
    <n v="3451.59"/>
    <n v="3929.26"/>
    <s v="New"/>
    <n v="0.3"/>
    <s v="Credit Card"/>
    <s v="Retail"/>
    <s v="High"/>
  </r>
  <r>
    <n v="1085"/>
    <s v="Settee"/>
    <d v="2023-09-18T00:00:00"/>
    <s v="Eve"/>
    <s v="Tracy Moore"/>
    <x v="3"/>
    <n v="0.06"/>
    <n v="282.98820000000001"/>
    <x v="636"/>
    <n v="40"/>
    <x v="2"/>
    <n v="4083.23"/>
    <n v="4521.57"/>
    <s v="New"/>
    <n v="0.27"/>
    <s v="Bank Transfer"/>
    <s v="Retail"/>
    <s v="Low"/>
  </r>
  <r>
    <n v="1100"/>
    <s v="Protein Cookies"/>
    <d v="2023-02-23T00:00:00"/>
    <s v="Eve"/>
    <s v="Tracy Moore"/>
    <x v="0"/>
    <n v="7.4999999999999997E-2"/>
    <n v="63.707249999999995"/>
    <x v="637"/>
    <n v="43"/>
    <x v="0"/>
    <n v="2116.09"/>
    <n v="2472.98"/>
    <s v="New"/>
    <n v="0.01"/>
    <s v="Credit Card"/>
    <s v="Retail"/>
    <s v="Low"/>
  </r>
  <r>
    <n v="1053"/>
    <s v="Bed"/>
    <d v="2023-02-16T00:00:00"/>
    <s v="Eve"/>
    <s v="Tracy Moore"/>
    <x v="1"/>
    <n v="0.08"/>
    <n v="315.15840000000003"/>
    <x v="638"/>
    <n v="11"/>
    <x v="0"/>
    <n v="1582.86"/>
    <n v="1942.55"/>
    <s v="New"/>
    <n v="0.17"/>
    <s v="Credit Card"/>
    <s v="Retail"/>
    <s v="Low"/>
  </r>
  <r>
    <n v="1023"/>
    <s v="Tights"/>
    <d v="2023-08-03T00:00:00"/>
    <s v="David"/>
    <s v="Hogan Rock"/>
    <x v="1"/>
    <n v="0.08"/>
    <n v="644.40160000000003"/>
    <x v="639"/>
    <n v="45"/>
    <x v="1"/>
    <n v="4692.24"/>
    <n v="4825.92"/>
    <s v="Returning"/>
    <n v="0.19"/>
    <s v="Bank Transfer"/>
    <s v="Retail"/>
    <s v="High"/>
  </r>
  <r>
    <n v="1016"/>
    <s v="Washing Machine"/>
    <d v="2023-06-26T00:00:00"/>
    <s v="Charlie"/>
    <s v="Susan Jerkins"/>
    <x v="0"/>
    <n v="7.4999999999999997E-2"/>
    <n v="677.06699999999989"/>
    <x v="640"/>
    <n v="3"/>
    <x v="3"/>
    <n v="3401.87"/>
    <n v="3733.71"/>
    <s v="Returning"/>
    <n v="0.06"/>
    <s v="Bank Transfer"/>
    <s v="Retail"/>
    <s v="High"/>
  </r>
  <r>
    <n v="1057"/>
    <s v="Avocadro Pear"/>
    <d v="2023-01-09T00:00:00"/>
    <s v="Charlie"/>
    <s v="Susan Jerkins"/>
    <x v="0"/>
    <n v="7.4999999999999997E-2"/>
    <n v="158.57849999999999"/>
    <x v="641"/>
    <n v="12"/>
    <x v="0"/>
    <n v="639.16"/>
    <n v="746.28"/>
    <s v="Returning"/>
    <n v="0.04"/>
    <s v="Bank Transfer"/>
    <s v="Retail"/>
    <s v="Low"/>
  </r>
  <r>
    <n v="1039"/>
    <s v="Hoodie"/>
    <d v="2023-04-09T00:00:00"/>
    <s v="Alice"/>
    <s v="Scott Wayne"/>
    <x v="0"/>
    <n v="7.4999999999999997E-2"/>
    <n v="57.227999999999994"/>
    <x v="642"/>
    <n v="3"/>
    <x v="1"/>
    <n v="391.19"/>
    <n v="471.75"/>
    <s v="Returning"/>
    <n v="0.27"/>
    <s v="Cash"/>
    <s v="Online"/>
    <s v="Low"/>
  </r>
  <r>
    <n v="1053"/>
    <s v="Bed"/>
    <d v="2023-01-20T00:00:00"/>
    <s v="David"/>
    <s v="Hogan Rock"/>
    <x v="1"/>
    <n v="0.08"/>
    <n v="702.86160000000007"/>
    <x v="643"/>
    <n v="42"/>
    <x v="0"/>
    <n v="2443.5700000000002"/>
    <n v="2943.31"/>
    <s v="New"/>
    <n v="0.28999999999999998"/>
    <s v="Cash"/>
    <s v="Online"/>
    <s v="High"/>
  </r>
  <r>
    <n v="1042"/>
    <s v="Frozen Pizza"/>
    <d v="2023-08-29T00:00:00"/>
    <s v="Eve"/>
    <s v="Tracy Moore"/>
    <x v="2"/>
    <n v="0.05"/>
    <n v="197.75550000000001"/>
    <x v="644"/>
    <n v="27"/>
    <x v="2"/>
    <n v="1139.45"/>
    <n v="1454.41"/>
    <s v="Returning"/>
    <n v="0.3"/>
    <s v="Bank Transfer"/>
    <s v="Online"/>
    <s v="Low"/>
  </r>
  <r>
    <n v="1058"/>
    <s v="Wardrobe"/>
    <d v="2023-03-02T00:00:00"/>
    <s v="Eve"/>
    <s v="Tracy Moore"/>
    <x v="3"/>
    <n v="0.06"/>
    <n v="327.80580000000003"/>
    <x v="645"/>
    <n v="49"/>
    <x v="0"/>
    <n v="1307.22"/>
    <n v="1528.4"/>
    <s v="Returning"/>
    <n v="0.24"/>
    <s v="Cash"/>
    <s v="Retail"/>
    <s v="High"/>
  </r>
  <r>
    <n v="1039"/>
    <s v="Hoodie"/>
    <d v="2023-06-27T00:00:00"/>
    <s v="Bob"/>
    <s v="Michael Smith"/>
    <x v="3"/>
    <n v="0.06"/>
    <n v="581.03099999999995"/>
    <x v="646"/>
    <n v="2"/>
    <x v="3"/>
    <n v="4394.58"/>
    <n v="4545.78"/>
    <s v="Returning"/>
    <n v="0.2"/>
    <s v="Credit Card"/>
    <s v="Retail"/>
    <s v="High"/>
  </r>
  <r>
    <n v="1014"/>
    <s v="Cheese Block"/>
    <d v="2023-12-04T00:00:00"/>
    <s v="Bob"/>
    <s v="Michael Smith"/>
    <x v="1"/>
    <n v="0.08"/>
    <n v="60.719200000000001"/>
    <x v="647"/>
    <n v="49"/>
    <x v="0"/>
    <n v="493.35"/>
    <n v="799.27"/>
    <s v="New"/>
    <n v="0.1"/>
    <s v="Bank Transfer"/>
    <s v="Online"/>
    <s v="Low"/>
  </r>
  <r>
    <n v="1095"/>
    <s v="Bluetooth Speaker"/>
    <d v="2023-03-03T00:00:00"/>
    <s v="Eve"/>
    <s v="Tracy Moore"/>
    <x v="3"/>
    <n v="0.06"/>
    <n v="391.101"/>
    <x v="648"/>
    <n v="16"/>
    <x v="3"/>
    <n v="3591.05"/>
    <n v="3625.35"/>
    <s v="Returning"/>
    <n v="0.05"/>
    <s v="Credit Card"/>
    <s v="Retail"/>
    <s v="High"/>
  </r>
  <r>
    <n v="1005"/>
    <s v="Smart Phone"/>
    <d v="2023-05-25T00:00:00"/>
    <s v="Eve"/>
    <s v="Tracy Moore"/>
    <x v="0"/>
    <n v="7.4999999999999997E-2"/>
    <n v="62.522999999999996"/>
    <x v="649"/>
    <n v="2"/>
    <x v="2"/>
    <n v="1392.15"/>
    <n v="1448.54"/>
    <s v="Returning"/>
    <n v="0.02"/>
    <s v="Bank Transfer"/>
    <s v="Retail"/>
    <s v="Low"/>
  </r>
  <r>
    <n v="1035"/>
    <s v="Doughnut"/>
    <d v="2023-08-04T00:00:00"/>
    <s v="David"/>
    <s v="Hogan Rock"/>
    <x v="2"/>
    <n v="0.05"/>
    <n v="190.857"/>
    <x v="650"/>
    <n v="30"/>
    <x v="3"/>
    <n v="3813.62"/>
    <n v="3839.72"/>
    <s v="New"/>
    <n v="0.21"/>
    <s v="Credit Card"/>
    <s v="Online"/>
    <s v="Low"/>
  </r>
  <r>
    <n v="1087"/>
    <s v="Sofa Set"/>
    <d v="2023-01-03T00:00:00"/>
    <s v="Charlie"/>
    <s v="Susan Jerkins"/>
    <x v="3"/>
    <n v="0.06"/>
    <n v="483.46559999999999"/>
    <x v="651"/>
    <n v="20"/>
    <x v="0"/>
    <n v="3625.94"/>
    <n v="3880.53"/>
    <s v="New"/>
    <n v="0.24"/>
    <s v="Bank Transfer"/>
    <s v="Online"/>
    <s v="High"/>
  </r>
  <r>
    <n v="1093"/>
    <s v="Dining Table"/>
    <d v="2023-06-09T00:00:00"/>
    <s v="Bob"/>
    <s v="Michael Smith"/>
    <x v="2"/>
    <n v="0.05"/>
    <n v="219.56900000000002"/>
    <x v="652"/>
    <n v="38"/>
    <x v="1"/>
    <n v="86.59"/>
    <n v="390.89"/>
    <s v="Returning"/>
    <n v="0.25"/>
    <s v="Credit Card"/>
    <s v="Online"/>
    <s v="Low"/>
  </r>
  <r>
    <n v="1075"/>
    <s v="Bookshelf"/>
    <d v="2023-08-15T00:00:00"/>
    <s v="Charlie"/>
    <s v="Susan Jerkins"/>
    <x v="0"/>
    <n v="7.4999999999999997E-2"/>
    <n v="747.90825000000007"/>
    <x v="653"/>
    <n v="28"/>
    <x v="2"/>
    <n v="2570.2199999999998"/>
    <n v="2610.8399999999901"/>
    <s v="Returning"/>
    <n v="0.27"/>
    <s v="Bank Transfer"/>
    <s v="Retail"/>
    <s v="High"/>
  </r>
  <r>
    <n v="1018"/>
    <s v="Dress Shirt"/>
    <d v="2023-09-26T00:00:00"/>
    <s v="David"/>
    <s v="Hogan Rock"/>
    <x v="3"/>
    <n v="0.06"/>
    <n v="338.08139999999997"/>
    <x v="654"/>
    <n v="25"/>
    <x v="0"/>
    <n v="739.63"/>
    <n v="1103.03"/>
    <s v="New"/>
    <n v="0.26"/>
    <s v="Bank Transfer"/>
    <s v="Retail"/>
    <s v="High"/>
  </r>
  <r>
    <n v="1076"/>
    <s v="Polo Shirt"/>
    <d v="2023-04-30T00:00:00"/>
    <s v="Eve"/>
    <s v="Tracy Moore"/>
    <x v="1"/>
    <n v="0.08"/>
    <n v="262.36080000000004"/>
    <x v="655"/>
    <n v="32"/>
    <x v="2"/>
    <n v="4337.82"/>
    <n v="4460.71"/>
    <s v="Returning"/>
    <n v="0.3"/>
    <s v="Cash"/>
    <s v="Retail"/>
    <s v="Low"/>
  </r>
  <r>
    <n v="1009"/>
    <s v="Jacket"/>
    <d v="2023-03-30T00:00:00"/>
    <s v="Charlie"/>
    <s v="Susan Jerkins"/>
    <x v="2"/>
    <n v="0.05"/>
    <n v="113.955"/>
    <x v="656"/>
    <n v="10"/>
    <x v="2"/>
    <n v="4364.3500000000004"/>
    <n v="4710.1000000000004"/>
    <s v="New"/>
    <n v="7.0000000000000007E-2"/>
    <s v="Credit Card"/>
    <s v="Online"/>
    <s v="Low"/>
  </r>
  <r>
    <n v="1074"/>
    <s v="French Fries"/>
    <d v="2023-11-25T00:00:00"/>
    <s v="Eve"/>
    <s v="Tracy Moore"/>
    <x v="0"/>
    <n v="7.4999999999999997E-2"/>
    <n v="267.76125000000002"/>
    <x v="657"/>
    <n v="42"/>
    <x v="0"/>
    <n v="2120.81"/>
    <n v="2611.94"/>
    <s v="Returning"/>
    <n v="0.23"/>
    <s v="Cash"/>
    <s v="Online"/>
    <s v="Low"/>
  </r>
  <r>
    <n v="1058"/>
    <s v="Wardrobe"/>
    <d v="2023-03-09T00:00:00"/>
    <s v="Eve"/>
    <s v="Tracy Moore"/>
    <x v="2"/>
    <n v="0.05"/>
    <n v="189.404"/>
    <x v="658"/>
    <n v="40"/>
    <x v="0"/>
    <n v="2249.7600000000002"/>
    <n v="2598.4"/>
    <s v="Returning"/>
    <n v="0.18"/>
    <s v="Credit Card"/>
    <s v="Retail"/>
    <s v="Low"/>
  </r>
  <r>
    <n v="1017"/>
    <s v="Peaches"/>
    <d v="2023-12-23T00:00:00"/>
    <s v="Alice"/>
    <s v="Scott Wayne"/>
    <x v="3"/>
    <n v="0.06"/>
    <n v="46.816199999999995"/>
    <x v="659"/>
    <n v="33"/>
    <x v="1"/>
    <n v="1551.25"/>
    <n v="1994.01"/>
    <s v="Returning"/>
    <n v="0.08"/>
    <s v="Cash"/>
    <s v="Online"/>
    <s v="Low"/>
  </r>
  <r>
    <n v="1007"/>
    <s v="Fruit Jam"/>
    <d v="2023-04-08T00:00:00"/>
    <s v="Charlie"/>
    <s v="Susan Jerkins"/>
    <x v="3"/>
    <n v="0.06"/>
    <n v="225.52680000000001"/>
    <x v="660"/>
    <n v="13"/>
    <x v="2"/>
    <n v="3597.2"/>
    <n v="4071.8199999999902"/>
    <s v="Returning"/>
    <n v="0.28999999999999998"/>
    <s v="Bank Transfer"/>
    <s v="Online"/>
    <s v="Low"/>
  </r>
  <r>
    <n v="1046"/>
    <s v="Sweat Shirts"/>
    <d v="2023-09-24T00:00:00"/>
    <s v="Charlie"/>
    <s v="Susan Jerkins"/>
    <x v="1"/>
    <n v="0.08"/>
    <n v="375.67680000000001"/>
    <x v="661"/>
    <n v="41"/>
    <x v="2"/>
    <n v="1825.37"/>
    <n v="2073.88"/>
    <s v="Returning"/>
    <n v="0.27"/>
    <s v="Cash"/>
    <s v="Retail"/>
    <s v="Low"/>
  </r>
  <r>
    <n v="1013"/>
    <s v="Gas Cooker"/>
    <d v="2023-04-15T00:00:00"/>
    <s v="Eve"/>
    <s v="Tracy Moore"/>
    <x v="0"/>
    <n v="7.4999999999999997E-2"/>
    <n v="544.13250000000005"/>
    <x v="662"/>
    <n v="42"/>
    <x v="0"/>
    <n v="1375.57"/>
    <n v="1729.71"/>
    <s v="New"/>
    <n v="0.04"/>
    <s v="Cash"/>
    <s v="Online"/>
    <s v="High"/>
  </r>
  <r>
    <n v="1040"/>
    <s v="Cap"/>
    <d v="2023-11-19T00:00:00"/>
    <s v="David"/>
    <s v="Hogan Rock"/>
    <x v="0"/>
    <n v="7.4999999999999997E-2"/>
    <n v="495.12149999999997"/>
    <x v="663"/>
    <n v="47"/>
    <x v="3"/>
    <n v="2189.54"/>
    <n v="2617"/>
    <s v="New"/>
    <n v="0.01"/>
    <s v="Bank Transfer"/>
    <s v="Online"/>
    <s v="High"/>
  </r>
  <r>
    <n v="1042"/>
    <s v="Frozen Pizza"/>
    <d v="2023-05-03T00:00:00"/>
    <s v="Alice"/>
    <s v="Scott Wayne"/>
    <x v="1"/>
    <n v="0.08"/>
    <n v="569.3424"/>
    <x v="664"/>
    <n v="37"/>
    <x v="0"/>
    <n v="502.86"/>
    <n v="687.6"/>
    <s v="Returning"/>
    <n v="0.21"/>
    <s v="Cash"/>
    <s v="Online"/>
    <s v="High"/>
  </r>
  <r>
    <n v="1009"/>
    <s v="Jacket"/>
    <d v="2023-01-29T00:00:00"/>
    <s v="Eve"/>
    <s v="Tracy Moore"/>
    <x v="1"/>
    <n v="0.08"/>
    <n v="14.624000000000001"/>
    <x v="665"/>
    <n v="16"/>
    <x v="2"/>
    <n v="3745.69"/>
    <n v="3883.77"/>
    <s v="Returning"/>
    <n v="0.18"/>
    <s v="Bank Transfer"/>
    <s v="Retail"/>
    <s v="Low"/>
  </r>
  <r>
    <n v="1050"/>
    <s v="Sneakers"/>
    <d v="2023-05-17T00:00:00"/>
    <s v="Bob"/>
    <s v="Michael Smith"/>
    <x v="0"/>
    <n v="7.4999999999999997E-2"/>
    <n v="169.11824999999999"/>
    <x v="666"/>
    <n v="45"/>
    <x v="0"/>
    <n v="112.35"/>
    <n v="586.17999999999995"/>
    <s v="Returning"/>
    <n v="0.28000000000000003"/>
    <s v="Credit Card"/>
    <s v="Retail"/>
    <s v="Low"/>
  </r>
  <r>
    <n v="1027"/>
    <s v="Cookies"/>
    <d v="2023-07-14T00:00:00"/>
    <s v="Bob"/>
    <s v="Michael Smith"/>
    <x v="2"/>
    <n v="0.05"/>
    <n v="332.5335"/>
    <x v="667"/>
    <n v="22"/>
    <x v="1"/>
    <n v="3240.2"/>
    <n v="3606.0899999999901"/>
    <s v="New"/>
    <n v="7.0000000000000007E-2"/>
    <s v="Cash"/>
    <s v="Online"/>
    <s v="High"/>
  </r>
  <r>
    <n v="1066"/>
    <s v="Armoire"/>
    <d v="2023-08-14T00:00:00"/>
    <s v="Alice"/>
    <s v="Scott Wayne"/>
    <x v="2"/>
    <n v="0.05"/>
    <n v="244.5745"/>
    <x v="668"/>
    <n v="20"/>
    <x v="3"/>
    <n v="955.18"/>
    <n v="1072.82"/>
    <s v="New"/>
    <n v="0.03"/>
    <s v="Bank Transfer"/>
    <s v="Retail"/>
    <s v="Low"/>
  </r>
  <r>
    <n v="1005"/>
    <s v="Smart Phone"/>
    <d v="2023-11-28T00:00:00"/>
    <s v="David"/>
    <s v="Hogan Rock"/>
    <x v="1"/>
    <n v="0.08"/>
    <n v="12.208"/>
    <x v="669"/>
    <n v="43"/>
    <x v="0"/>
    <n v="1200.4000000000001"/>
    <n v="1430.45"/>
    <s v="New"/>
    <n v="0.08"/>
    <s v="Bank Transfer"/>
    <s v="Retail"/>
    <s v="Low"/>
  </r>
  <r>
    <n v="1029"/>
    <s v="Camisole"/>
    <d v="2023-06-19T00:00:00"/>
    <s v="Eve"/>
    <s v="Tracy Moore"/>
    <x v="2"/>
    <n v="0.05"/>
    <n v="403.22500000000002"/>
    <x v="670"/>
    <n v="27"/>
    <x v="1"/>
    <n v="3196.38"/>
    <n v="3596.64"/>
    <s v="New"/>
    <n v="0.01"/>
    <s v="Cash"/>
    <s v="Retail"/>
    <s v="High"/>
  </r>
  <r>
    <n v="1037"/>
    <s v="Turtleneck Top"/>
    <d v="2023-01-09T00:00:00"/>
    <s v="Charlie"/>
    <s v="Susan Jerkins"/>
    <x v="0"/>
    <n v="7.4999999999999997E-2"/>
    <n v="581.31074999999998"/>
    <x v="671"/>
    <n v="41"/>
    <x v="2"/>
    <n v="4965.07"/>
    <n v="5243.13"/>
    <s v="New"/>
    <n v="0.01"/>
    <s v="Credit Card"/>
    <s v="Online"/>
    <s v="High"/>
  </r>
  <r>
    <n v="1038"/>
    <s v="Jean Pants"/>
    <d v="2023-02-09T00:00:00"/>
    <s v="Alice"/>
    <s v="Scott Wayne"/>
    <x v="3"/>
    <n v="0.06"/>
    <n v="331.76100000000002"/>
    <x v="672"/>
    <n v="16"/>
    <x v="0"/>
    <n v="3899.7"/>
    <n v="4228.18"/>
    <s v="New"/>
    <n v="0.27"/>
    <s v="Cash"/>
    <s v="Retail"/>
    <s v="High"/>
  </r>
  <r>
    <n v="1083"/>
    <s v="Nightstand"/>
    <d v="2023-01-25T00:00:00"/>
    <s v="David"/>
    <s v="Hogan Rock"/>
    <x v="3"/>
    <n v="0.06"/>
    <n v="45.479399999999998"/>
    <x v="673"/>
    <n v="34"/>
    <x v="2"/>
    <n v="1167.9100000000001"/>
    <n v="1547.26"/>
    <s v="New"/>
    <n v="0.11"/>
    <s v="Bank Transfer"/>
    <s v="Online"/>
    <s v="Low"/>
  </r>
  <r>
    <n v="1008"/>
    <s v="Skirt"/>
    <d v="2023-09-18T00:00:00"/>
    <s v="Charlie"/>
    <s v="Susan Jerkins"/>
    <x v="2"/>
    <n v="0.05"/>
    <n v="384.42500000000001"/>
    <x v="674"/>
    <n v="32"/>
    <x v="1"/>
    <n v="921.32"/>
    <n v="1236.0999999999999"/>
    <s v="New"/>
    <n v="0.12"/>
    <s v="Credit Card"/>
    <s v="Online"/>
    <s v="High"/>
  </r>
  <r>
    <n v="1065"/>
    <s v="Potatoes"/>
    <d v="2023-08-14T00:00:00"/>
    <s v="Bob"/>
    <s v="Michael Smith"/>
    <x v="1"/>
    <n v="0.08"/>
    <n v="470.30080000000004"/>
    <x v="675"/>
    <n v="26"/>
    <x v="2"/>
    <n v="4337.8500000000004"/>
    <n v="4612.49"/>
    <s v="Returning"/>
    <n v="0.01"/>
    <s v="Cash"/>
    <s v="Retail"/>
    <s v="High"/>
  </r>
  <r>
    <n v="1086"/>
    <s v="Gaming Console"/>
    <d v="2023-05-04T00:00:00"/>
    <s v="Bob"/>
    <s v="Michael Smith"/>
    <x v="1"/>
    <n v="0.08"/>
    <n v="627.31200000000001"/>
    <x v="676"/>
    <n v="25"/>
    <x v="1"/>
    <n v="2248.71"/>
    <n v="2626.02"/>
    <s v="New"/>
    <n v="0.08"/>
    <s v="Bank Transfer"/>
    <s v="Online"/>
    <s v="High"/>
  </r>
  <r>
    <n v="1017"/>
    <s v="Peaches"/>
    <d v="2023-02-07T00:00:00"/>
    <s v="Charlie"/>
    <s v="Susan Jerkins"/>
    <x v="1"/>
    <n v="0.08"/>
    <n v="603.38400000000001"/>
    <x v="677"/>
    <n v="2"/>
    <x v="1"/>
    <n v="728.41"/>
    <n v="1094.92"/>
    <s v="New"/>
    <n v="0.24"/>
    <s v="Cash"/>
    <s v="Retail"/>
    <s v="High"/>
  </r>
  <r>
    <n v="1071"/>
    <s v="Game Table"/>
    <d v="2023-11-24T00:00:00"/>
    <s v="Alice"/>
    <s v="Scott Wayne"/>
    <x v="1"/>
    <n v="0.08"/>
    <n v="643.97760000000005"/>
    <x v="678"/>
    <n v="12"/>
    <x v="1"/>
    <n v="4317.95"/>
    <n v="4636.59"/>
    <s v="New"/>
    <n v="0.18"/>
    <s v="Credit Card"/>
    <s v="Retail"/>
    <s v="High"/>
  </r>
  <r>
    <n v="1089"/>
    <s v="Recliner"/>
    <d v="2023-09-08T00:00:00"/>
    <s v="Bob"/>
    <s v="Michael Smith"/>
    <x v="1"/>
    <n v="0.08"/>
    <n v="418.26240000000001"/>
    <x v="679"/>
    <n v="40"/>
    <x v="0"/>
    <n v="4089.66"/>
    <n v="4275.96"/>
    <s v="New"/>
    <n v="0.23"/>
    <s v="Credit Card"/>
    <s v="Online"/>
    <s v="High"/>
  </r>
  <r>
    <n v="1045"/>
    <s v="Bikers Shorts"/>
    <d v="2023-06-25T00:00:00"/>
    <s v="Eve"/>
    <s v="Tracy Moore"/>
    <x v="2"/>
    <n v="0.05"/>
    <n v="74.46050000000001"/>
    <x v="680"/>
    <n v="9"/>
    <x v="2"/>
    <n v="4920.34"/>
    <n v="5129.1899999999996"/>
    <s v="Returning"/>
    <n v="0.13"/>
    <s v="Credit Card"/>
    <s v="Online"/>
    <s v="Low"/>
  </r>
  <r>
    <n v="1004"/>
    <s v="Smartwatch"/>
    <d v="2023-03-31T00:00:00"/>
    <s v="Charlie"/>
    <s v="Susan Jerkins"/>
    <x v="3"/>
    <n v="0.06"/>
    <n v="404.66759999999999"/>
    <x v="681"/>
    <n v="12"/>
    <x v="2"/>
    <n v="4553.2299999999996"/>
    <n v="5038.74"/>
    <s v="New"/>
    <n v="0.09"/>
    <s v="Credit Card"/>
    <s v="Retail"/>
    <s v="High"/>
  </r>
  <r>
    <n v="1036"/>
    <s v="Shorts"/>
    <d v="2023-02-06T00:00:00"/>
    <s v="Charlie"/>
    <s v="Susan Jerkins"/>
    <x v="3"/>
    <n v="0.06"/>
    <n v="374.56139999999994"/>
    <x v="682"/>
    <n v="26"/>
    <x v="3"/>
    <n v="4266.3599999999997"/>
    <n v="4331.4299999999903"/>
    <s v="Returning"/>
    <n v="0.14000000000000001"/>
    <s v="Credit Card"/>
    <s v="Retail"/>
    <s v="High"/>
  </r>
  <r>
    <n v="1070"/>
    <s v="Hutch"/>
    <d v="2023-11-12T00:00:00"/>
    <s v="Bob"/>
    <s v="Michael Smith"/>
    <x v="2"/>
    <n v="0.05"/>
    <n v="372.41550000000007"/>
    <x v="683"/>
    <n v="9"/>
    <x v="3"/>
    <n v="310.24"/>
    <n v="451.81"/>
    <s v="Returning"/>
    <n v="0.1"/>
    <s v="Cash"/>
    <s v="Retail"/>
    <s v="High"/>
  </r>
  <r>
    <n v="1031"/>
    <s v="Butter"/>
    <d v="2023-06-25T00:00:00"/>
    <s v="Alice"/>
    <s v="Scott Wayne"/>
    <x v="1"/>
    <n v="0.08"/>
    <n v="142.54560000000001"/>
    <x v="684"/>
    <n v="10"/>
    <x v="3"/>
    <n v="566.86"/>
    <n v="818.14"/>
    <s v="Returning"/>
    <n v="0.25"/>
    <s v="Credit Card"/>
    <s v="Retail"/>
    <s v="Low"/>
  </r>
  <r>
    <n v="1019"/>
    <s v="Apple"/>
    <d v="2023-10-11T00:00:00"/>
    <s v="Eve"/>
    <s v="Tracy Moore"/>
    <x v="2"/>
    <n v="0.05"/>
    <n v="101.5125"/>
    <x v="685"/>
    <n v="32"/>
    <x v="3"/>
    <n v="2866.47"/>
    <n v="3286.47"/>
    <s v="New"/>
    <n v="0.09"/>
    <s v="Credit Card"/>
    <s v="Online"/>
    <s v="Low"/>
  </r>
  <r>
    <n v="1061"/>
    <s v="Laptop"/>
    <d v="2023-03-22T00:00:00"/>
    <s v="Alice"/>
    <s v="Scott Wayne"/>
    <x v="3"/>
    <n v="0.06"/>
    <n v="534.90299999999991"/>
    <x v="686"/>
    <n v="34"/>
    <x v="2"/>
    <n v="2680.82"/>
    <n v="2771.02"/>
    <s v="New"/>
    <n v="0.2"/>
    <s v="Bank Transfer"/>
    <s v="Online"/>
    <s v="High"/>
  </r>
  <r>
    <n v="1054"/>
    <s v="Glider"/>
    <d v="2023-04-24T00:00:00"/>
    <s v="David"/>
    <s v="Hogan Rock"/>
    <x v="0"/>
    <n v="7.4999999999999997E-2"/>
    <n v="564.35849999999994"/>
    <x v="687"/>
    <n v="48"/>
    <x v="1"/>
    <n v="2316.92"/>
    <n v="2462.63"/>
    <s v="New"/>
    <n v="0.04"/>
    <s v="Credit Card"/>
    <s v="Online"/>
    <s v="High"/>
  </r>
  <r>
    <n v="1039"/>
    <s v="Hoodie"/>
    <d v="2023-02-09T00:00:00"/>
    <s v="David"/>
    <s v="Hogan Rock"/>
    <x v="2"/>
    <n v="0.05"/>
    <n v="454.57299999999998"/>
    <x v="688"/>
    <n v="20"/>
    <x v="1"/>
    <n v="2014.11"/>
    <n v="2056.35"/>
    <s v="Returning"/>
    <n v="0.21"/>
    <s v="Bank Transfer"/>
    <s v="Retail"/>
    <s v="High"/>
  </r>
  <r>
    <n v="1091"/>
    <s v="Granola Bar"/>
    <d v="2023-10-28T00:00:00"/>
    <s v="Bob"/>
    <s v="Michael Smith"/>
    <x v="1"/>
    <n v="0.08"/>
    <n v="608.90239999999994"/>
    <x v="689"/>
    <n v="39"/>
    <x v="0"/>
    <n v="2184.4899999999998"/>
    <n v="2540.4199999999901"/>
    <s v="Returning"/>
    <n v="0.27"/>
    <s v="Bank Transfer"/>
    <s v="Online"/>
    <s v="High"/>
  </r>
  <r>
    <n v="1074"/>
    <s v="French Fries"/>
    <d v="2023-08-12T00:00:00"/>
    <s v="Bob"/>
    <s v="Michael Smith"/>
    <x v="3"/>
    <n v="0.06"/>
    <n v="360.71039999999999"/>
    <x v="690"/>
    <n v="2"/>
    <x v="1"/>
    <n v="2868.02"/>
    <n v="2994.74"/>
    <s v="Returning"/>
    <n v="0.18"/>
    <s v="Bank Transfer"/>
    <s v="Online"/>
    <s v="High"/>
  </r>
  <r>
    <n v="1090"/>
    <s v="Keyboard"/>
    <d v="2023-11-14T00:00:00"/>
    <s v="Bob"/>
    <s v="Michael Smith"/>
    <x v="3"/>
    <n v="0.06"/>
    <n v="394.55459999999999"/>
    <x v="691"/>
    <n v="1"/>
    <x v="2"/>
    <n v="60.28"/>
    <n v="260.73"/>
    <s v="Returning"/>
    <n v="0.17"/>
    <s v="Cash"/>
    <s v="Online"/>
    <s v="High"/>
  </r>
  <r>
    <n v="1019"/>
    <s v="Apple"/>
    <d v="2023-12-15T00:00:00"/>
    <s v="David"/>
    <s v="Hogan Rock"/>
    <x v="3"/>
    <n v="0.06"/>
    <n v="534.1422"/>
    <x v="692"/>
    <n v="36"/>
    <x v="2"/>
    <n v="1340.51"/>
    <n v="1567.92"/>
    <s v="New"/>
    <n v="0.28999999999999998"/>
    <s v="Cash"/>
    <s v="Online"/>
    <s v="High"/>
  </r>
  <r>
    <n v="1039"/>
    <s v="Hoodie"/>
    <d v="2023-04-25T00:00:00"/>
    <s v="Alice"/>
    <s v="Scott Wayne"/>
    <x v="3"/>
    <n v="0.06"/>
    <n v="349.81139999999994"/>
    <x v="693"/>
    <n v="24"/>
    <x v="2"/>
    <n v="2615.48"/>
    <n v="3062.22"/>
    <s v="New"/>
    <n v="0.19"/>
    <s v="Bank Transfer"/>
    <s v="Retail"/>
    <s v="High"/>
  </r>
  <r>
    <n v="1067"/>
    <s v="Grapes"/>
    <d v="2023-07-05T00:00:00"/>
    <s v="Alice"/>
    <s v="Scott Wayne"/>
    <x v="1"/>
    <n v="0.08"/>
    <n v="508.85360000000003"/>
    <x v="694"/>
    <n v="27"/>
    <x v="0"/>
    <n v="3624.97"/>
    <n v="3836.52"/>
    <s v="New"/>
    <n v="0.08"/>
    <s v="Cash"/>
    <s v="Online"/>
    <s v="High"/>
  </r>
  <r>
    <n v="1045"/>
    <s v="Bikers Shorts"/>
    <d v="2023-11-19T00:00:00"/>
    <s v="Bob"/>
    <s v="Michael Smith"/>
    <x v="0"/>
    <n v="7.4999999999999997E-2"/>
    <n v="123.68399999999998"/>
    <x v="695"/>
    <n v="2"/>
    <x v="3"/>
    <n v="912.08"/>
    <n v="993.24"/>
    <s v="Returning"/>
    <n v="0.09"/>
    <s v="Credit Card"/>
    <s v="Online"/>
    <s v="Low"/>
  </r>
  <r>
    <n v="1013"/>
    <s v="Gas Cooker"/>
    <d v="2023-02-25T00:00:00"/>
    <s v="Eve"/>
    <s v="Tracy Moore"/>
    <x v="3"/>
    <n v="0.06"/>
    <n v="287.50919999999996"/>
    <x v="696"/>
    <n v="31"/>
    <x v="1"/>
    <n v="2757.06"/>
    <n v="3023.97"/>
    <s v="Returning"/>
    <n v="0.21"/>
    <s v="Cash"/>
    <s v="Online"/>
    <s v="Low"/>
  </r>
  <r>
    <n v="1092"/>
    <s v="Recliner"/>
    <d v="2023-02-09T00:00:00"/>
    <s v="Alice"/>
    <s v="Scott Wayne"/>
    <x v="2"/>
    <n v="0.05"/>
    <n v="359.61650000000003"/>
    <x v="697"/>
    <n v="14"/>
    <x v="2"/>
    <n v="3586.58"/>
    <n v="4068.43"/>
    <s v="New"/>
    <n v="0.22"/>
    <s v="Credit Card"/>
    <s v="Online"/>
    <s v="High"/>
  </r>
  <r>
    <n v="1058"/>
    <s v="Wardrobe"/>
    <d v="2023-12-20T00:00:00"/>
    <s v="David"/>
    <s v="Hogan Rock"/>
    <x v="0"/>
    <n v="7.4999999999999997E-2"/>
    <n v="208.67474999999999"/>
    <x v="698"/>
    <n v="2"/>
    <x v="2"/>
    <n v="2250.91"/>
    <n v="2558.6799999999998"/>
    <s v="New"/>
    <n v="0.09"/>
    <s v="Credit Card"/>
    <s v="Retail"/>
    <s v="Low"/>
  </r>
  <r>
    <n v="1020"/>
    <s v="Apron"/>
    <d v="2023-02-09T00:00:00"/>
    <s v="Charlie"/>
    <s v="Susan Jerkins"/>
    <x v="3"/>
    <n v="0.06"/>
    <n v="126.1392"/>
    <x v="699"/>
    <n v="29"/>
    <x v="3"/>
    <n v="184.05"/>
    <n v="675.91"/>
    <s v="Returning"/>
    <n v="0.1"/>
    <s v="Cash"/>
    <s v="Retail"/>
    <s v="Low"/>
  </r>
  <r>
    <n v="1092"/>
    <s v="Recliner"/>
    <d v="2023-12-13T00:00:00"/>
    <s v="Charlie"/>
    <s v="Susan Jerkins"/>
    <x v="0"/>
    <n v="7.4999999999999997E-2"/>
    <n v="240.51674999999997"/>
    <x v="700"/>
    <n v="15"/>
    <x v="2"/>
    <n v="2273.88"/>
    <n v="2696.02"/>
    <s v="New"/>
    <n v="0.3"/>
    <s v="Cash"/>
    <s v="Online"/>
    <s v="Low"/>
  </r>
  <r>
    <n v="1072"/>
    <s v="T-Shirt"/>
    <d v="2023-08-25T00:00:00"/>
    <s v="Charlie"/>
    <s v="Susan Jerkins"/>
    <x v="2"/>
    <n v="0.05"/>
    <n v="124.54300000000001"/>
    <x v="701"/>
    <n v="12"/>
    <x v="1"/>
    <n v="1517.4"/>
    <n v="1545.02"/>
    <s v="New"/>
    <n v="0.03"/>
    <s v="Bank Transfer"/>
    <s v="Retail"/>
    <s v="Low"/>
  </r>
  <r>
    <n v="1061"/>
    <s v="Laptop"/>
    <d v="2023-10-16T00:00:00"/>
    <s v="Eve"/>
    <s v="Tracy Moore"/>
    <x v="3"/>
    <n v="0.06"/>
    <n v="133.6584"/>
    <x v="702"/>
    <n v="37"/>
    <x v="0"/>
    <n v="4651.7700000000004"/>
    <n v="4984.3900000000003"/>
    <s v="Returning"/>
    <n v="0.12"/>
    <s v="Cash"/>
    <s v="Retail"/>
    <s v="Low"/>
  </r>
  <r>
    <n v="1039"/>
    <s v="Hoodie"/>
    <d v="2023-09-19T00:00:00"/>
    <s v="Bob"/>
    <s v="Michael Smith"/>
    <x v="2"/>
    <n v="0.05"/>
    <n v="215.30100000000004"/>
    <x v="703"/>
    <n v="28"/>
    <x v="2"/>
    <n v="666.84"/>
    <n v="817.36"/>
    <s v="Returning"/>
    <n v="0.02"/>
    <s v="Cash"/>
    <s v="Retail"/>
    <s v="Low"/>
  </r>
  <r>
    <n v="1001"/>
    <s v="Camera"/>
    <d v="2023-08-04T00:00:00"/>
    <s v="David"/>
    <s v="Hogan Rock"/>
    <x v="1"/>
    <n v="0.08"/>
    <n v="727.00800000000004"/>
    <x v="704"/>
    <n v="20"/>
    <x v="1"/>
    <n v="3279.76"/>
    <n v="3563.97"/>
    <s v="Returning"/>
    <n v="0.25"/>
    <s v="Cash"/>
    <s v="Retail"/>
    <s v="High"/>
  </r>
  <r>
    <n v="1003"/>
    <s v="Stool"/>
    <d v="2023-05-27T00:00:00"/>
    <s v="Eve"/>
    <s v="Tracy Moore"/>
    <x v="3"/>
    <n v="0.06"/>
    <n v="307.1934"/>
    <x v="705"/>
    <n v="39"/>
    <x v="2"/>
    <n v="310.95999999999998"/>
    <n v="457.84"/>
    <s v="New"/>
    <n v="0.03"/>
    <s v="Credit Card"/>
    <s v="Online"/>
    <s v="High"/>
  </r>
  <r>
    <n v="1077"/>
    <s v="Skirt"/>
    <d v="2023-12-02T00:00:00"/>
    <s v="David"/>
    <s v="Hogan Rock"/>
    <x v="3"/>
    <n v="0.06"/>
    <n v="117.6246"/>
    <x v="706"/>
    <n v="24"/>
    <x v="3"/>
    <n v="2258.54"/>
    <n v="2439.4899999999998"/>
    <s v="Returning"/>
    <n v="0.2"/>
    <s v="Credit Card"/>
    <s v="Retail"/>
    <s v="Low"/>
  </r>
  <r>
    <n v="1092"/>
    <s v="Recliner"/>
    <d v="2023-06-17T00:00:00"/>
    <s v="David"/>
    <s v="Hogan Rock"/>
    <x v="3"/>
    <n v="0.06"/>
    <n v="51.721199999999996"/>
    <x v="707"/>
    <n v="21"/>
    <x v="2"/>
    <n v="2792.2"/>
    <n v="3254.5499999999902"/>
    <s v="New"/>
    <n v="0.02"/>
    <s v="Credit Card"/>
    <s v="Retail"/>
    <s v="Low"/>
  </r>
  <r>
    <n v="1062"/>
    <s v="Boxers"/>
    <d v="2023-04-02T00:00:00"/>
    <s v="Bob"/>
    <s v="Michael Smith"/>
    <x v="3"/>
    <n v="0.06"/>
    <n v="419.517"/>
    <x v="708"/>
    <n v="10"/>
    <x v="2"/>
    <n v="1524.88"/>
    <n v="1636.14"/>
    <s v="New"/>
    <n v="0.2"/>
    <s v="Bank Transfer"/>
    <s v="Online"/>
    <s v="High"/>
  </r>
  <r>
    <n v="1063"/>
    <s v="Noodles"/>
    <d v="2023-12-19T00:00:00"/>
    <s v="Charlie"/>
    <s v="Susan Jerkins"/>
    <x v="1"/>
    <n v="0.08"/>
    <n v="311.17680000000001"/>
    <x v="709"/>
    <n v="46"/>
    <x v="0"/>
    <n v="2302.62"/>
    <n v="2740.93"/>
    <s v="Returning"/>
    <n v="0.25"/>
    <s v="Bank Transfer"/>
    <s v="Online"/>
    <s v="Low"/>
  </r>
  <r>
    <n v="1025"/>
    <s v="Mayonnaise"/>
    <d v="2023-02-28T00:00:00"/>
    <s v="Bob"/>
    <s v="Michael Smith"/>
    <x v="3"/>
    <n v="0.06"/>
    <n v="494.16779999999994"/>
    <x v="710"/>
    <n v="14"/>
    <x v="3"/>
    <n v="859.59"/>
    <n v="884.51"/>
    <s v="New"/>
    <n v="0.12"/>
    <s v="Bank Transfer"/>
    <s v="Online"/>
    <s v="High"/>
  </r>
  <r>
    <n v="1056"/>
    <s v="Track Suits"/>
    <d v="2023-02-28T00:00:00"/>
    <s v="Eve"/>
    <s v="Tracy Moore"/>
    <x v="0"/>
    <n v="7.4999999999999997E-2"/>
    <n v="497.18699999999995"/>
    <x v="711"/>
    <n v="37"/>
    <x v="3"/>
    <n v="1555.41"/>
    <n v="1609.94"/>
    <s v="Returning"/>
    <n v="0.16"/>
    <s v="Credit Card"/>
    <s v="Online"/>
    <s v="High"/>
  </r>
  <r>
    <n v="1033"/>
    <s v="TV Stand"/>
    <d v="2023-10-31T00:00:00"/>
    <s v="Eve"/>
    <s v="Tracy Moore"/>
    <x v="3"/>
    <n v="0.06"/>
    <n v="478.9674"/>
    <x v="712"/>
    <n v="18"/>
    <x v="0"/>
    <n v="3124.48"/>
    <n v="3553.27"/>
    <s v="Returning"/>
    <n v="0.12"/>
    <s v="Cash"/>
    <s v="Retail"/>
    <s v="High"/>
  </r>
  <r>
    <n v="1038"/>
    <s v="Jean Pants"/>
    <d v="2023-06-18T00:00:00"/>
    <s v="Eve"/>
    <s v="Tracy Moore"/>
    <x v="1"/>
    <n v="0.08"/>
    <n v="223.38159999999999"/>
    <x v="713"/>
    <n v="24"/>
    <x v="2"/>
    <n v="1543.91"/>
    <n v="1862.88"/>
    <s v="New"/>
    <n v="0.09"/>
    <s v="Bank Transfer"/>
    <s v="Online"/>
    <s v="Low"/>
  </r>
  <r>
    <n v="1006"/>
    <s v="Monitor"/>
    <d v="2023-09-26T00:00:00"/>
    <s v="Bob"/>
    <s v="Michael Smith"/>
    <x v="3"/>
    <n v="0.06"/>
    <n v="417.26100000000002"/>
    <x v="714"/>
    <n v="14"/>
    <x v="1"/>
    <n v="4503.7299999999996"/>
    <n v="4879.8799999999901"/>
    <s v="New"/>
    <n v="0.24"/>
    <s v="Bank Transfer"/>
    <s v="Retail"/>
    <s v="High"/>
  </r>
  <r>
    <n v="1058"/>
    <s v="Wardrobe"/>
    <d v="2023-12-29T00:00:00"/>
    <s v="David"/>
    <s v="Hogan Rock"/>
    <x v="0"/>
    <n v="7.4999999999999997E-2"/>
    <n v="203.56575000000001"/>
    <x v="715"/>
    <n v="34"/>
    <x v="3"/>
    <n v="3160.61"/>
    <n v="3273.22"/>
    <s v="Returning"/>
    <n v="0.08"/>
    <s v="Credit Card"/>
    <s v="Retail"/>
    <s v="Low"/>
  </r>
  <r>
    <n v="1044"/>
    <s v="Burger"/>
    <d v="2023-02-14T00:00:00"/>
    <s v="David"/>
    <s v="Hogan Rock"/>
    <x v="1"/>
    <n v="0.08"/>
    <n v="751.74240000000009"/>
    <x v="716"/>
    <n v="12"/>
    <x v="3"/>
    <n v="2221.31"/>
    <n v="2494.48"/>
    <s v="Returning"/>
    <n v="0.22"/>
    <s v="Bank Transfer"/>
    <s v="Online"/>
    <s v="High"/>
  </r>
  <r>
    <n v="1045"/>
    <s v="Bikers Shorts"/>
    <d v="2023-12-11T00:00:00"/>
    <s v="Alice"/>
    <s v="Scott Wayne"/>
    <x v="1"/>
    <n v="0.08"/>
    <n v="512.00879999999995"/>
    <x v="717"/>
    <n v="22"/>
    <x v="2"/>
    <n v="241.85"/>
    <n v="613.09"/>
    <s v="Returning"/>
    <n v="0.06"/>
    <s v="Cash"/>
    <s v="Online"/>
    <s v="High"/>
  </r>
  <r>
    <n v="1032"/>
    <s v="Refridgerator"/>
    <d v="2023-06-30T00:00:00"/>
    <s v="Eve"/>
    <s v="Tracy Moore"/>
    <x v="0"/>
    <n v="7.4999999999999997E-2"/>
    <n v="248.45024999999998"/>
    <x v="718"/>
    <n v="6"/>
    <x v="2"/>
    <n v="2522.7600000000002"/>
    <n v="2840.14"/>
    <s v="Returning"/>
    <n v="7.0000000000000007E-2"/>
    <s v="Credit Card"/>
    <s v="Retail"/>
    <s v="Low"/>
  </r>
  <r>
    <n v="1045"/>
    <s v="Bikers Shorts"/>
    <d v="2023-06-19T00:00:00"/>
    <s v="David"/>
    <s v="Hogan Rock"/>
    <x v="0"/>
    <n v="7.4999999999999997E-2"/>
    <n v="207.61275000000001"/>
    <x v="719"/>
    <n v="36"/>
    <x v="3"/>
    <n v="3835.64"/>
    <n v="4076.77"/>
    <s v="Returning"/>
    <n v="0.1"/>
    <s v="Credit Card"/>
    <s v="Retail"/>
    <s v="Low"/>
  </r>
  <r>
    <n v="1061"/>
    <s v="Laptop"/>
    <d v="2023-12-22T00:00:00"/>
    <s v="Alice"/>
    <s v="Scott Wayne"/>
    <x v="0"/>
    <n v="7.4999999999999997E-2"/>
    <n v="149.26275000000001"/>
    <x v="720"/>
    <n v="45"/>
    <x v="2"/>
    <n v="1364.51"/>
    <n v="1844.8"/>
    <s v="Returning"/>
    <n v="0.18"/>
    <s v="Cash"/>
    <s v="Online"/>
    <s v="Low"/>
  </r>
  <r>
    <n v="1047"/>
    <s v="Mouse"/>
    <d v="2023-07-10T00:00:00"/>
    <s v="David"/>
    <s v="Hogan Rock"/>
    <x v="0"/>
    <n v="7.4999999999999997E-2"/>
    <n v="523.27125000000001"/>
    <x v="721"/>
    <n v="36"/>
    <x v="1"/>
    <n v="4043.53"/>
    <n v="4384.8500000000004"/>
    <s v="New"/>
    <n v="0.14000000000000001"/>
    <s v="Cash"/>
    <s v="Online"/>
    <s v="High"/>
  </r>
  <r>
    <n v="1021"/>
    <s v="Almond Milk"/>
    <d v="2023-06-04T00:00:00"/>
    <s v="Eve"/>
    <s v="Tracy Moore"/>
    <x v="0"/>
    <n v="7.4999999999999997E-2"/>
    <n v="169.89600000000002"/>
    <x v="722"/>
    <n v="22"/>
    <x v="3"/>
    <n v="1296.44"/>
    <n v="1751.24"/>
    <s v="New"/>
    <n v="0.22"/>
    <s v="Cash"/>
    <s v="Online"/>
    <s v="Low"/>
  </r>
  <r>
    <n v="1080"/>
    <s v="Headphones"/>
    <d v="2023-07-07T00:00:00"/>
    <s v="Charlie"/>
    <s v="Susan Jerkins"/>
    <x v="1"/>
    <n v="0.08"/>
    <n v="479.48"/>
    <x v="723"/>
    <n v="14"/>
    <x v="1"/>
    <n v="4127.54"/>
    <n v="4495.13"/>
    <s v="New"/>
    <n v="0.06"/>
    <s v="Bank Transfer"/>
    <s v="Retail"/>
    <s v="High"/>
  </r>
  <r>
    <n v="1085"/>
    <s v="Settee"/>
    <d v="2023-01-07T00:00:00"/>
    <s v="Eve"/>
    <s v="Tracy Moore"/>
    <x v="1"/>
    <n v="0.08"/>
    <n v="217.59119999999999"/>
    <x v="724"/>
    <n v="16"/>
    <x v="1"/>
    <n v="472.08"/>
    <n v="842.46"/>
    <s v="New"/>
    <n v="0"/>
    <s v="Cash"/>
    <s v="Retail"/>
    <s v="Low"/>
  </r>
  <r>
    <n v="1075"/>
    <s v="Bookshelf"/>
    <d v="2023-05-13T00:00:00"/>
    <s v="Bob"/>
    <s v="Michael Smith"/>
    <x v="3"/>
    <n v="0.06"/>
    <n v="399.20939999999996"/>
    <x v="725"/>
    <n v="36"/>
    <x v="2"/>
    <n v="4337.6099999999997"/>
    <n v="4386.82"/>
    <s v="Returning"/>
    <n v="0.23"/>
    <s v="Credit Card"/>
    <s v="Online"/>
    <s v="High"/>
  </r>
  <r>
    <n v="1036"/>
    <s v="Shorts"/>
    <d v="2023-08-23T00:00:00"/>
    <s v="David"/>
    <s v="Hogan Rock"/>
    <x v="3"/>
    <n v="0.06"/>
    <n v="490.07399999999996"/>
    <x v="726"/>
    <n v="25"/>
    <x v="1"/>
    <n v="2520.9699999999998"/>
    <n v="2707.1099999999901"/>
    <s v="New"/>
    <n v="0.25"/>
    <s v="Cash"/>
    <s v="Retail"/>
    <s v="High"/>
  </r>
  <r>
    <n v="1099"/>
    <s v="Chest"/>
    <d v="2023-02-14T00:00:00"/>
    <s v="David"/>
    <s v="Hogan Rock"/>
    <x v="2"/>
    <n v="0.05"/>
    <n v="390.1225"/>
    <x v="727"/>
    <n v="32"/>
    <x v="2"/>
    <n v="1517.86"/>
    <n v="1948.46"/>
    <s v="New"/>
    <n v="0.02"/>
    <s v="Credit Card"/>
    <s v="Online"/>
    <s v="High"/>
  </r>
  <r>
    <n v="1019"/>
    <s v="Apple"/>
    <d v="2023-11-10T00:00:00"/>
    <s v="Bob"/>
    <s v="Michael Smith"/>
    <x v="3"/>
    <n v="0.06"/>
    <n v="457.94580000000002"/>
    <x v="728"/>
    <n v="33"/>
    <x v="0"/>
    <n v="1362.31"/>
    <n v="1486.29"/>
    <s v="Returning"/>
    <n v="0.18"/>
    <s v="Credit Card"/>
    <s v="Retail"/>
    <s v="High"/>
  </r>
  <r>
    <n v="1020"/>
    <s v="Apron"/>
    <d v="2023-09-06T00:00:00"/>
    <s v="Bob"/>
    <s v="Michael Smith"/>
    <x v="3"/>
    <n v="0.06"/>
    <n v="117.50700000000001"/>
    <x v="729"/>
    <n v="45"/>
    <x v="2"/>
    <n v="2188.4499999999998"/>
    <n v="2255.0499999999902"/>
    <s v="New"/>
    <n v="0.11"/>
    <s v="Bank Transfer"/>
    <s v="Retail"/>
    <s v="Low"/>
  </r>
  <r>
    <n v="1057"/>
    <s v="Avocadro Pear"/>
    <d v="2023-01-31T00:00:00"/>
    <s v="Charlie"/>
    <s v="Susan Jerkins"/>
    <x v="0"/>
    <n v="7.4999999999999997E-2"/>
    <n v="73.125749999999996"/>
    <x v="730"/>
    <n v="36"/>
    <x v="1"/>
    <n v="4995.3"/>
    <n v="5165.09"/>
    <s v="Returning"/>
    <n v="0.24"/>
    <s v="Cash"/>
    <s v="Online"/>
    <s v="Low"/>
  </r>
  <r>
    <n v="1018"/>
    <s v="Dress Shirt"/>
    <d v="2023-01-23T00:00:00"/>
    <s v="David"/>
    <s v="Hogan Rock"/>
    <x v="0"/>
    <n v="7.4999999999999997E-2"/>
    <n v="526.46924999999999"/>
    <x v="731"/>
    <n v="20"/>
    <x v="0"/>
    <n v="1140.6199999999999"/>
    <n v="1258.6299999999901"/>
    <s v="Returning"/>
    <n v="0.26"/>
    <s v="Bank Transfer"/>
    <s v="Online"/>
    <s v="High"/>
  </r>
  <r>
    <n v="1047"/>
    <s v="Mouse"/>
    <d v="2023-06-09T00:00:00"/>
    <s v="David"/>
    <s v="Hogan Rock"/>
    <x v="3"/>
    <n v="0.06"/>
    <n v="224.79839999999999"/>
    <x v="732"/>
    <n v="18"/>
    <x v="2"/>
    <n v="560.91999999999996"/>
    <n v="1024.31"/>
    <s v="Returning"/>
    <n v="0.26"/>
    <s v="Cash"/>
    <s v="Online"/>
    <s v="Low"/>
  </r>
  <r>
    <n v="1049"/>
    <s v="Coffee Table"/>
    <d v="2023-12-29T00:00:00"/>
    <s v="Charlie"/>
    <s v="Susan Jerkins"/>
    <x v="2"/>
    <n v="0.05"/>
    <n v="219.01149999999998"/>
    <x v="733"/>
    <n v="38"/>
    <x v="1"/>
    <n v="2945.92"/>
    <n v="3381.22"/>
    <s v="Returning"/>
    <n v="0.23"/>
    <s v="Cash"/>
    <s v="Retail"/>
    <s v="Low"/>
  </r>
  <r>
    <n v="1014"/>
    <s v="Cheese Block"/>
    <d v="2023-06-07T00:00:00"/>
    <s v="Alice"/>
    <s v="Scott Wayne"/>
    <x v="0"/>
    <n v="7.4999999999999997E-2"/>
    <n v="30.628499999999999"/>
    <x v="734"/>
    <n v="3"/>
    <x v="3"/>
    <n v="2468.29"/>
    <n v="2723.13"/>
    <s v="Returning"/>
    <n v="0.08"/>
    <s v="Cash"/>
    <s v="Retail"/>
    <s v="Low"/>
  </r>
  <r>
    <n v="1015"/>
    <s v="Chocolate Bar"/>
    <d v="2023-02-08T00:00:00"/>
    <s v="Charlie"/>
    <s v="Susan Jerkins"/>
    <x v="3"/>
    <n v="0.06"/>
    <n v="160.18859999999998"/>
    <x v="735"/>
    <n v="23"/>
    <x v="3"/>
    <n v="2644.77"/>
    <n v="2684.83"/>
    <s v="New"/>
    <n v="0.24"/>
    <s v="Cash"/>
    <s v="Online"/>
    <s v="Low"/>
  </r>
  <r>
    <n v="1031"/>
    <s v="Butter"/>
    <d v="2023-03-23T00:00:00"/>
    <s v="Eve"/>
    <s v="Tracy Moore"/>
    <x v="3"/>
    <n v="0.06"/>
    <n v="26.003999999999998"/>
    <x v="736"/>
    <n v="32"/>
    <x v="2"/>
    <n v="3351.33"/>
    <n v="3711.47"/>
    <s v="New"/>
    <n v="0.16"/>
    <s v="Cash"/>
    <s v="Retail"/>
    <s v="Low"/>
  </r>
  <r>
    <n v="1001"/>
    <s v="Camera"/>
    <d v="2023-12-22T00:00:00"/>
    <s v="David"/>
    <s v="Hogan Rock"/>
    <x v="1"/>
    <n v="0.08"/>
    <n v="704.3152"/>
    <x v="737"/>
    <n v="45"/>
    <x v="2"/>
    <n v="1372.36"/>
    <n v="1687.83"/>
    <s v="New"/>
    <n v="0.02"/>
    <s v="Credit Card"/>
    <s v="Online"/>
    <s v="High"/>
  </r>
  <r>
    <n v="1054"/>
    <s v="Glider"/>
    <d v="2023-09-15T00:00:00"/>
    <s v="Bob"/>
    <s v="Michael Smith"/>
    <x v="2"/>
    <n v="0.05"/>
    <n v="125.48150000000001"/>
    <x v="738"/>
    <n v="16"/>
    <x v="3"/>
    <n v="4557.79"/>
    <n v="5043.3599999999997"/>
    <s v="Returning"/>
    <n v="0.14000000000000001"/>
    <s v="Credit Card"/>
    <s v="Retail"/>
    <s v="Low"/>
  </r>
  <r>
    <n v="1003"/>
    <s v="Stool"/>
    <d v="2023-07-25T00:00:00"/>
    <s v="Eve"/>
    <s v="Tracy Moore"/>
    <x v="1"/>
    <n v="0.08"/>
    <n v="449.41120000000001"/>
    <x v="739"/>
    <n v="5"/>
    <x v="1"/>
    <n v="2206.58"/>
    <n v="2490.4699999999998"/>
    <s v="New"/>
    <n v="0.28000000000000003"/>
    <s v="Cash"/>
    <s v="Online"/>
    <s v="High"/>
  </r>
  <r>
    <n v="1016"/>
    <s v="Washing Machine"/>
    <d v="2023-03-18T00:00:00"/>
    <s v="David"/>
    <s v="Hogan Rock"/>
    <x v="2"/>
    <n v="0.05"/>
    <n v="24.295000000000002"/>
    <x v="740"/>
    <n v="4"/>
    <x v="1"/>
    <n v="688.98"/>
    <n v="863.81"/>
    <s v="New"/>
    <n v="0.27"/>
    <s v="Credit Card"/>
    <s v="Retail"/>
    <s v="Low"/>
  </r>
  <r>
    <n v="1087"/>
    <s v="Sofa Set"/>
    <d v="2023-01-12T00:00:00"/>
    <s v="Charlie"/>
    <s v="Susan Jerkins"/>
    <x v="0"/>
    <n v="7.4999999999999997E-2"/>
    <n v="502.63424999999995"/>
    <x v="741"/>
    <n v="21"/>
    <x v="1"/>
    <n v="3724.38"/>
    <n v="3988.7"/>
    <s v="New"/>
    <n v="0.03"/>
    <s v="Bank Transfer"/>
    <s v="Retail"/>
    <s v="High"/>
  </r>
  <r>
    <n v="1057"/>
    <s v="Avocadro Pear"/>
    <d v="2023-10-22T00:00:00"/>
    <s v="Eve"/>
    <s v="Tracy Moore"/>
    <x v="2"/>
    <n v="0.05"/>
    <n v="164.89850000000001"/>
    <x v="742"/>
    <n v="40"/>
    <x v="2"/>
    <n v="3233.37"/>
    <n v="3723.21"/>
    <s v="New"/>
    <n v="0.22"/>
    <s v="Bank Transfer"/>
    <s v="Retail"/>
    <s v="Low"/>
  </r>
  <r>
    <n v="1075"/>
    <s v="Bookshelf"/>
    <d v="2023-08-12T00:00:00"/>
    <s v="David"/>
    <s v="Hogan Rock"/>
    <x v="3"/>
    <n v="0.06"/>
    <n v="539.36399999999992"/>
    <x v="743"/>
    <n v="14"/>
    <x v="0"/>
    <n v="1612.93"/>
    <n v="1964.15"/>
    <s v="Returning"/>
    <n v="0.24"/>
    <s v="Bank Transfer"/>
    <s v="Retail"/>
    <s v="High"/>
  </r>
  <r>
    <n v="1012"/>
    <s v="Cabinet"/>
    <d v="2023-01-13T00:00:00"/>
    <s v="Alice"/>
    <s v="Scott Wayne"/>
    <x v="3"/>
    <n v="0.06"/>
    <n v="533.54219999999998"/>
    <x v="744"/>
    <n v="39"/>
    <x v="0"/>
    <n v="3126.52"/>
    <n v="3465.79"/>
    <s v="New"/>
    <n v="0.08"/>
    <s v="Cash"/>
    <s v="Online"/>
    <s v="High"/>
  </r>
  <r>
    <n v="1074"/>
    <s v="French Fries"/>
    <d v="2023-02-15T00:00:00"/>
    <s v="Alice"/>
    <s v="Scott Wayne"/>
    <x v="2"/>
    <n v="0.05"/>
    <n v="166.01900000000001"/>
    <x v="745"/>
    <n v="31"/>
    <x v="0"/>
    <n v="1138.32"/>
    <n v="1266.25"/>
    <s v="Returning"/>
    <n v="0.14000000000000001"/>
    <s v="Cash"/>
    <s v="Retail"/>
    <s v="Low"/>
  </r>
  <r>
    <n v="1096"/>
    <s v="Radio"/>
    <d v="2023-06-04T00:00:00"/>
    <s v="Bob"/>
    <s v="Michael Smith"/>
    <x v="2"/>
    <n v="0.05"/>
    <n v="450.97550000000001"/>
    <x v="746"/>
    <n v="14"/>
    <x v="0"/>
    <n v="2251.9499999999998"/>
    <n v="2626.3199999999902"/>
    <s v="Returning"/>
    <n v="0.21"/>
    <s v="Credit Card"/>
    <s v="Online"/>
    <s v="High"/>
  </r>
  <r>
    <n v="1016"/>
    <s v="Washing Machine"/>
    <d v="2023-04-23T00:00:00"/>
    <s v="David"/>
    <s v="Hogan Rock"/>
    <x v="2"/>
    <n v="0.05"/>
    <n v="498.09799999999996"/>
    <x v="747"/>
    <n v="6"/>
    <x v="0"/>
    <n v="4502.09"/>
    <n v="4879.72"/>
    <s v="New"/>
    <n v="0.13"/>
    <s v="Credit Card"/>
    <s v="Online"/>
    <s v="High"/>
  </r>
  <r>
    <n v="1072"/>
    <s v="T-Shirt"/>
    <d v="2023-08-21T00:00:00"/>
    <s v="Alice"/>
    <s v="Scott Wayne"/>
    <x v="1"/>
    <n v="0.08"/>
    <n v="661.72960000000012"/>
    <x v="748"/>
    <n v="12"/>
    <x v="2"/>
    <n v="710.99"/>
    <n v="876.46"/>
    <s v="Returning"/>
    <n v="0.03"/>
    <s v="Credit Card"/>
    <s v="Online"/>
    <s v="High"/>
  </r>
  <r>
    <n v="1076"/>
    <s v="Polo Shirt"/>
    <d v="2023-01-17T00:00:00"/>
    <s v="Charlie"/>
    <s v="Susan Jerkins"/>
    <x v="2"/>
    <n v="0.05"/>
    <n v="423.2115"/>
    <x v="749"/>
    <n v="16"/>
    <x v="2"/>
    <n v="1964.15"/>
    <n v="2211.17"/>
    <s v="Returning"/>
    <n v="0.21"/>
    <s v="Bank Transfer"/>
    <s v="Online"/>
    <s v="High"/>
  </r>
  <r>
    <n v="1024"/>
    <s v="Pasta Pack"/>
    <d v="2023-12-26T00:00:00"/>
    <s v="David"/>
    <s v="Hogan Rock"/>
    <x v="0"/>
    <n v="7.4999999999999997E-2"/>
    <n v="192.38925"/>
    <x v="750"/>
    <n v="17"/>
    <x v="0"/>
    <n v="4114.66"/>
    <n v="4269.0199999999904"/>
    <s v="Returning"/>
    <n v="0.27"/>
    <s v="Bank Transfer"/>
    <s v="Retail"/>
    <s v="Low"/>
  </r>
  <r>
    <n v="1028"/>
    <s v="Pyjamas"/>
    <d v="2023-08-11T00:00:00"/>
    <s v="Charlie"/>
    <s v="Susan Jerkins"/>
    <x v="1"/>
    <n v="0.08"/>
    <n v="464.74800000000005"/>
    <x v="751"/>
    <n v="45"/>
    <x v="2"/>
    <n v="4848.9799999999996"/>
    <n v="4985.75"/>
    <s v="Returning"/>
    <n v="0.2"/>
    <s v="Bank Transfer"/>
    <s v="Online"/>
    <s v="High"/>
  </r>
  <r>
    <n v="1008"/>
    <s v="Skirt"/>
    <d v="2023-12-20T00:00:00"/>
    <s v="Charlie"/>
    <s v="Susan Jerkins"/>
    <x v="1"/>
    <n v="0.08"/>
    <n v="61.266400000000004"/>
    <x v="752"/>
    <n v="23"/>
    <x v="2"/>
    <n v="2296.9299999999998"/>
    <n v="2319.62"/>
    <s v="Returning"/>
    <n v="0.23"/>
    <s v="Bank Transfer"/>
    <s v="Retail"/>
    <s v="Low"/>
  </r>
  <r>
    <n v="1092"/>
    <s v="Recliner"/>
    <d v="2023-07-07T00:00:00"/>
    <s v="Alice"/>
    <s v="Scott Wayne"/>
    <x v="2"/>
    <n v="0.05"/>
    <n v="51.984500000000004"/>
    <x v="753"/>
    <n v="14"/>
    <x v="0"/>
    <n v="2559.65"/>
    <n v="2709.4"/>
    <s v="Returning"/>
    <n v="0.11"/>
    <s v="Credit Card"/>
    <s v="Retail"/>
    <s v="Low"/>
  </r>
  <r>
    <n v="1036"/>
    <s v="Shorts"/>
    <d v="2023-12-10T00:00:00"/>
    <s v="David"/>
    <s v="Hogan Rock"/>
    <x v="0"/>
    <n v="7.4999999999999997E-2"/>
    <n v="749.178"/>
    <x v="754"/>
    <n v="7"/>
    <x v="1"/>
    <n v="2882.25"/>
    <n v="3163.7"/>
    <s v="Returning"/>
    <n v="0.05"/>
    <s v="Cash"/>
    <s v="Retail"/>
    <s v="High"/>
  </r>
  <r>
    <n v="1090"/>
    <s v="Keyboard"/>
    <d v="2023-12-31T00:00:00"/>
    <s v="Eve"/>
    <s v="Tracy Moore"/>
    <x v="1"/>
    <n v="0.08"/>
    <n v="266.69839999999999"/>
    <x v="755"/>
    <n v="46"/>
    <x v="2"/>
    <n v="4665.12"/>
    <n v="4675.8999999999996"/>
    <s v="New"/>
    <n v="0.19"/>
    <s v="Cash"/>
    <s v="Retail"/>
    <s v="Low"/>
  </r>
  <r>
    <n v="1008"/>
    <s v="Skirt"/>
    <d v="2023-06-12T00:00:00"/>
    <s v="Alice"/>
    <s v="Scott Wayne"/>
    <x v="3"/>
    <n v="0.06"/>
    <n v="450.4212"/>
    <x v="756"/>
    <n v="32"/>
    <x v="1"/>
    <n v="4298.12"/>
    <n v="4446.8999999999996"/>
    <s v="New"/>
    <n v="0.1"/>
    <s v="Bank Transfer"/>
    <s v="Online"/>
    <s v="High"/>
  </r>
  <r>
    <n v="1058"/>
    <s v="Wardrobe"/>
    <d v="2023-11-22T00:00:00"/>
    <s v="Alice"/>
    <s v="Scott Wayne"/>
    <x v="1"/>
    <n v="0.08"/>
    <n v="646.87839999999994"/>
    <x v="757"/>
    <n v="15"/>
    <x v="2"/>
    <n v="894.48"/>
    <n v="1336.37"/>
    <s v="Returning"/>
    <n v="0.26"/>
    <s v="Cash"/>
    <s v="Retail"/>
    <s v="High"/>
  </r>
  <r>
    <n v="1060"/>
    <s v="Head Warmer"/>
    <d v="2023-03-15T00:00:00"/>
    <s v="David"/>
    <s v="Hogan Rock"/>
    <x v="2"/>
    <n v="0.05"/>
    <n v="429.72150000000005"/>
    <x v="758"/>
    <n v="44"/>
    <x v="2"/>
    <n v="2211.9499999999998"/>
    <n v="2512.8399999999901"/>
    <s v="Returning"/>
    <n v="0.04"/>
    <s v="Cash"/>
    <s v="Online"/>
    <s v="High"/>
  </r>
  <r>
    <n v="1050"/>
    <s v="Sneakers"/>
    <d v="2023-08-21T00:00:00"/>
    <s v="David"/>
    <s v="Hogan Rock"/>
    <x v="0"/>
    <n v="7.4999999999999997E-2"/>
    <n v="748.23900000000003"/>
    <x v="759"/>
    <n v="17"/>
    <x v="0"/>
    <n v="2346.8000000000002"/>
    <n v="2654.65"/>
    <s v="New"/>
    <n v="0.13"/>
    <s v="Cash"/>
    <s v="Retail"/>
    <s v="High"/>
  </r>
  <r>
    <n v="1028"/>
    <s v="Pyjamas"/>
    <d v="2023-08-12T00:00:00"/>
    <s v="Charlie"/>
    <s v="Susan Jerkins"/>
    <x v="2"/>
    <n v="0.05"/>
    <n v="124.54100000000001"/>
    <x v="760"/>
    <n v="41"/>
    <x v="2"/>
    <n v="3956.03"/>
    <n v="4163.68"/>
    <s v="New"/>
    <n v="0.12"/>
    <s v="Bank Transfer"/>
    <s v="Retail"/>
    <s v="Low"/>
  </r>
  <r>
    <n v="1092"/>
    <s v="Recliner"/>
    <d v="2023-11-15T00:00:00"/>
    <s v="David"/>
    <s v="Hogan Rock"/>
    <x v="3"/>
    <n v="0.06"/>
    <n v="29.9682"/>
    <x v="761"/>
    <n v="47"/>
    <x v="3"/>
    <n v="3034.32"/>
    <n v="3375.79"/>
    <s v="New"/>
    <n v="0.28000000000000003"/>
    <s v="Credit Card"/>
    <s v="Online"/>
    <s v="Low"/>
  </r>
  <r>
    <n v="1041"/>
    <s v="Bread"/>
    <d v="2023-03-01T00:00:00"/>
    <s v="Charlie"/>
    <s v="Susan Jerkins"/>
    <x v="3"/>
    <n v="0.06"/>
    <n v="250.24799999999999"/>
    <x v="762"/>
    <n v="44"/>
    <x v="3"/>
    <n v="3288.39"/>
    <n v="3391.46"/>
    <s v="New"/>
    <n v="0.05"/>
    <s v="Credit Card"/>
    <s v="Retail"/>
    <s v="Low"/>
  </r>
  <r>
    <n v="1100"/>
    <s v="Protein Cookies"/>
    <d v="2023-12-01T00:00:00"/>
    <s v="Alice"/>
    <s v="Scott Wayne"/>
    <x v="3"/>
    <n v="0.06"/>
    <n v="83.268000000000001"/>
    <x v="763"/>
    <n v="34"/>
    <x v="0"/>
    <n v="4991.09"/>
    <n v="5402.28"/>
    <s v="Returning"/>
    <n v="0"/>
    <s v="Cash"/>
    <s v="Retail"/>
    <s v="Low"/>
  </r>
  <r>
    <n v="1064"/>
    <s v="Smartphone"/>
    <d v="2023-08-10T00:00:00"/>
    <s v="Bob"/>
    <s v="Michael Smith"/>
    <x v="2"/>
    <n v="0.05"/>
    <n v="16.100999999999999"/>
    <x v="764"/>
    <n v="5"/>
    <x v="1"/>
    <n v="421.05"/>
    <n v="488.23"/>
    <s v="Returning"/>
    <n v="7.0000000000000007E-2"/>
    <s v="Credit Card"/>
    <s v="Retail"/>
    <s v="Low"/>
  </r>
  <r>
    <n v="1027"/>
    <s v="Cookies"/>
    <d v="2023-02-06T00:00:00"/>
    <s v="Eve"/>
    <s v="Tracy Moore"/>
    <x v="1"/>
    <n v="0.08"/>
    <n v="293.45839999999998"/>
    <x v="765"/>
    <n v="45"/>
    <x v="1"/>
    <n v="1153.9000000000001"/>
    <n v="1485.34"/>
    <s v="New"/>
    <n v="0.25"/>
    <s v="Credit Card"/>
    <s v="Retail"/>
    <s v="Low"/>
  </r>
  <r>
    <n v="1063"/>
    <s v="Noodles"/>
    <d v="2023-10-05T00:00:00"/>
    <s v="Alice"/>
    <s v="Scott Wayne"/>
    <x v="2"/>
    <n v="0.05"/>
    <n v="392.95050000000003"/>
    <x v="766"/>
    <n v="27"/>
    <x v="1"/>
    <n v="2069.08"/>
    <n v="2246.2399999999998"/>
    <s v="New"/>
    <n v="0.06"/>
    <s v="Bank Transfer"/>
    <s v="Retail"/>
    <s v="High"/>
  </r>
  <r>
    <n v="1017"/>
    <s v="Peaches"/>
    <d v="2023-07-15T00:00:00"/>
    <s v="David"/>
    <s v="Hogan Rock"/>
    <x v="0"/>
    <n v="7.4999999999999997E-2"/>
    <n v="427.88924999999995"/>
    <x v="767"/>
    <n v="23"/>
    <x v="3"/>
    <n v="1771.52"/>
    <n v="2147.8000000000002"/>
    <s v="New"/>
    <n v="7.0000000000000007E-2"/>
    <s v="Bank Transfer"/>
    <s v="Online"/>
    <s v="High"/>
  </r>
  <r>
    <n v="1073"/>
    <s v="Console Table"/>
    <d v="2023-12-18T00:00:00"/>
    <s v="Eve"/>
    <s v="Tracy Moore"/>
    <x v="1"/>
    <n v="0.08"/>
    <n v="255.72"/>
    <x v="768"/>
    <n v="40"/>
    <x v="1"/>
    <n v="157.15"/>
    <n v="436.53"/>
    <s v="New"/>
    <n v="0.04"/>
    <s v="Cash"/>
    <s v="Retail"/>
    <s v="Low"/>
  </r>
  <r>
    <n v="1033"/>
    <s v="TV Stand"/>
    <d v="2023-08-30T00:00:00"/>
    <s v="Bob"/>
    <s v="Michael Smith"/>
    <x v="3"/>
    <n v="0.06"/>
    <n v="394.67939999999999"/>
    <x v="769"/>
    <n v="14"/>
    <x v="1"/>
    <n v="504.3"/>
    <n v="735.95"/>
    <s v="Returning"/>
    <n v="0.21"/>
    <s v="Cash"/>
    <s v="Retail"/>
    <s v="High"/>
  </r>
  <r>
    <n v="1084"/>
    <s v="Card Table"/>
    <d v="2023-11-20T00:00:00"/>
    <s v="Bob"/>
    <s v="Michael Smith"/>
    <x v="2"/>
    <n v="0.05"/>
    <n v="119.849"/>
    <x v="770"/>
    <n v="15"/>
    <x v="0"/>
    <n v="3420.72"/>
    <n v="3513.74"/>
    <s v="New"/>
    <n v="0.02"/>
    <s v="Cash"/>
    <s v="Online"/>
    <s v="Low"/>
  </r>
  <r>
    <n v="1077"/>
    <s v="Skirt"/>
    <d v="2023-08-07T00:00:00"/>
    <s v="Charlie"/>
    <s v="Susan Jerkins"/>
    <x v="3"/>
    <n v="0.06"/>
    <n v="14.5428"/>
    <x v="771"/>
    <n v="43"/>
    <x v="1"/>
    <n v="4402.66"/>
    <n v="4724.7"/>
    <s v="New"/>
    <n v="0.1"/>
    <s v="Bank Transfer"/>
    <s v="Retail"/>
    <s v="Low"/>
  </r>
  <r>
    <n v="1092"/>
    <s v="Recliner"/>
    <d v="2023-07-11T00:00:00"/>
    <s v="Eve"/>
    <s v="Tracy Moore"/>
    <x v="3"/>
    <n v="0.06"/>
    <n v="460.02600000000001"/>
    <x v="772"/>
    <n v="33"/>
    <x v="3"/>
    <n v="2595.42"/>
    <n v="3083.06"/>
    <s v="New"/>
    <n v="0.08"/>
    <s v="Credit Card"/>
    <s v="Online"/>
    <s v="High"/>
  </r>
  <r>
    <n v="1029"/>
    <s v="Camisole"/>
    <d v="2023-01-17T00:00:00"/>
    <s v="Charlie"/>
    <s v="Susan Jerkins"/>
    <x v="0"/>
    <n v="7.4999999999999997E-2"/>
    <n v="470.62950000000001"/>
    <x v="773"/>
    <n v="31"/>
    <x v="3"/>
    <n v="2719"/>
    <n v="3133.55"/>
    <s v="Returning"/>
    <n v="0.17"/>
    <s v="Bank Transfer"/>
    <s v="Retail"/>
    <s v="High"/>
  </r>
  <r>
    <n v="1013"/>
    <s v="Gas Cooker"/>
    <d v="2023-01-12T00:00:00"/>
    <s v="Alice"/>
    <s v="Scott Wayne"/>
    <x v="1"/>
    <n v="0.08"/>
    <n v="611.74400000000003"/>
    <x v="774"/>
    <n v="35"/>
    <x v="3"/>
    <n v="1312.71"/>
    <n v="1352.11"/>
    <s v="Returning"/>
    <n v="0.22"/>
    <s v="Bank Transfer"/>
    <s v="Retail"/>
    <s v="High"/>
  </r>
  <r>
    <n v="1046"/>
    <s v="Sweat Shirts"/>
    <d v="2023-07-12T00:00:00"/>
    <s v="Eve"/>
    <s v="Tracy Moore"/>
    <x v="0"/>
    <n v="7.4999999999999997E-2"/>
    <n v="36.411749999999998"/>
    <x v="775"/>
    <n v="17"/>
    <x v="0"/>
    <n v="3850.99"/>
    <n v="4045.3399999999901"/>
    <s v="Returning"/>
    <n v="0.16"/>
    <s v="Credit Card"/>
    <s v="Online"/>
    <s v="Low"/>
  </r>
  <r>
    <n v="1035"/>
    <s v="Doughnut"/>
    <d v="2023-01-22T00:00:00"/>
    <s v="Alice"/>
    <s v="Scott Wayne"/>
    <x v="0"/>
    <n v="7.4999999999999997E-2"/>
    <n v="629.06099999999992"/>
    <x v="776"/>
    <n v="28"/>
    <x v="0"/>
    <n v="3771.38"/>
    <n v="4234.92"/>
    <s v="New"/>
    <n v="0.28000000000000003"/>
    <s v="Credit Card"/>
    <s v="Retail"/>
    <s v="High"/>
  </r>
  <r>
    <n v="1006"/>
    <s v="Monitor"/>
    <d v="2023-04-30T00:00:00"/>
    <s v="Charlie"/>
    <s v="Susan Jerkins"/>
    <x v="0"/>
    <n v="7.4999999999999997E-2"/>
    <n v="467.49824999999998"/>
    <x v="777"/>
    <n v="19"/>
    <x v="2"/>
    <n v="2962.41"/>
    <n v="3218.8999999999901"/>
    <s v="New"/>
    <n v="0.28999999999999998"/>
    <s v="Cash"/>
    <s v="Retail"/>
    <s v="High"/>
  </r>
  <r>
    <n v="1082"/>
    <s v="USB Drive"/>
    <d v="2023-07-29T00:00:00"/>
    <s v="Eve"/>
    <s v="Tracy Moore"/>
    <x v="3"/>
    <n v="0.06"/>
    <n v="340.65659999999997"/>
    <x v="778"/>
    <n v="46"/>
    <x v="1"/>
    <n v="1102.69"/>
    <n v="1437.12"/>
    <s v="New"/>
    <n v="0.11"/>
    <s v="Credit Card"/>
    <s v="Online"/>
    <s v="High"/>
  </r>
  <r>
    <n v="1069"/>
    <s v="Suit"/>
    <d v="2023-11-02T00:00:00"/>
    <s v="Charlie"/>
    <s v="Susan Jerkins"/>
    <x v="0"/>
    <n v="7.4999999999999997E-2"/>
    <n v="471.27600000000001"/>
    <x v="779"/>
    <n v="23"/>
    <x v="0"/>
    <n v="530.24"/>
    <n v="987.41"/>
    <s v="Returning"/>
    <n v="0.23"/>
    <s v="Credit Card"/>
    <s v="Online"/>
    <s v="High"/>
  </r>
  <r>
    <n v="1047"/>
    <s v="Mouse"/>
    <d v="2023-09-27T00:00:00"/>
    <s v="Eve"/>
    <s v="Tracy Moore"/>
    <x v="0"/>
    <n v="7.4999999999999997E-2"/>
    <n v="649.34174999999993"/>
    <x v="780"/>
    <n v="32"/>
    <x v="3"/>
    <n v="367.98"/>
    <n v="806.14"/>
    <s v="Returning"/>
    <n v="0.22"/>
    <s v="Credit Card"/>
    <s v="Retail"/>
    <s v="High"/>
  </r>
  <r>
    <n v="1025"/>
    <s v="Mayonnaise"/>
    <d v="2023-07-11T00:00:00"/>
    <s v="Charlie"/>
    <s v="Susan Jerkins"/>
    <x v="1"/>
    <n v="0.08"/>
    <n v="472.85360000000003"/>
    <x v="781"/>
    <n v="40"/>
    <x v="3"/>
    <n v="2983.85"/>
    <n v="3239.74"/>
    <s v="New"/>
    <n v="0.27"/>
    <s v="Credit Card"/>
    <s v="Online"/>
    <s v="High"/>
  </r>
  <r>
    <n v="1066"/>
    <s v="Armoire"/>
    <d v="2023-06-24T00:00:00"/>
    <s v="Bob"/>
    <s v="Michael Smith"/>
    <x v="1"/>
    <n v="0.08"/>
    <n v="468.11279999999999"/>
    <x v="782"/>
    <n v="13"/>
    <x v="0"/>
    <n v="4133.92"/>
    <n v="4358.37"/>
    <s v="New"/>
    <n v="0.13"/>
    <s v="Cash"/>
    <s v="Retail"/>
    <s v="High"/>
  </r>
  <r>
    <n v="1010"/>
    <s v="Lawn Chair"/>
    <d v="2023-10-12T00:00:00"/>
    <s v="Charlie"/>
    <s v="Susan Jerkins"/>
    <x v="0"/>
    <n v="7.4999999999999997E-2"/>
    <n v="743.07899999999995"/>
    <x v="783"/>
    <n v="20"/>
    <x v="0"/>
    <n v="4298.74"/>
    <n v="4475.1899999999996"/>
    <s v="Returning"/>
    <n v="0.16"/>
    <s v="Cash"/>
    <s v="Online"/>
    <s v="High"/>
  </r>
  <r>
    <n v="1056"/>
    <s v="Track Suits"/>
    <d v="2023-07-23T00:00:00"/>
    <s v="Bob"/>
    <s v="Michael Smith"/>
    <x v="1"/>
    <n v="0.08"/>
    <n v="607.33040000000005"/>
    <x v="784"/>
    <n v="35"/>
    <x v="0"/>
    <n v="2344.9299999999998"/>
    <n v="2707.25"/>
    <s v="New"/>
    <n v="0.12"/>
    <s v="Credit Card"/>
    <s v="Retail"/>
    <s v="High"/>
  </r>
  <r>
    <n v="1030"/>
    <s v="Jeans"/>
    <d v="2023-06-13T00:00:00"/>
    <s v="Charlie"/>
    <s v="Susan Jerkins"/>
    <x v="1"/>
    <n v="0.08"/>
    <n v="358.29680000000002"/>
    <x v="785"/>
    <n v="5"/>
    <x v="2"/>
    <n v="3932.14"/>
    <n v="4082.7599999999902"/>
    <s v="New"/>
    <n v="0.26"/>
    <s v="Credit Card"/>
    <s v="Online"/>
    <s v="Low"/>
  </r>
  <r>
    <n v="1005"/>
    <s v="Smart Phone"/>
    <d v="2023-09-08T00:00:00"/>
    <s v="Eve"/>
    <s v="Tracy Moore"/>
    <x v="0"/>
    <n v="7.4999999999999997E-2"/>
    <n v="532.7422499999999"/>
    <x v="786"/>
    <n v="9"/>
    <x v="3"/>
    <n v="4737.0600000000004"/>
    <n v="4869.5"/>
    <s v="New"/>
    <n v="7.0000000000000007E-2"/>
    <s v="Cash"/>
    <s v="Online"/>
    <s v="High"/>
  </r>
  <r>
    <n v="1033"/>
    <s v="TV Stand"/>
    <d v="2023-08-15T00:00:00"/>
    <s v="Eve"/>
    <s v="Tracy Moore"/>
    <x v="3"/>
    <n v="0.06"/>
    <n v="237.2028"/>
    <x v="787"/>
    <n v="29"/>
    <x v="2"/>
    <n v="1412.09"/>
    <n v="1596.6499999999901"/>
    <s v="Returning"/>
    <n v="7.0000000000000007E-2"/>
    <s v="Cash"/>
    <s v="Online"/>
    <s v="Low"/>
  </r>
  <r>
    <n v="1065"/>
    <s v="Potatoes"/>
    <d v="2023-01-07T00:00:00"/>
    <s v="Eve"/>
    <s v="Tracy Moore"/>
    <x v="0"/>
    <n v="7.4999999999999997E-2"/>
    <n v="177.44024999999999"/>
    <x v="788"/>
    <n v="6"/>
    <x v="2"/>
    <n v="2019.9"/>
    <n v="2116.7399999999998"/>
    <s v="New"/>
    <n v="0.11"/>
    <s v="Credit Card"/>
    <s v="Online"/>
    <s v="Low"/>
  </r>
  <r>
    <n v="1018"/>
    <s v="Dress Shirt"/>
    <d v="2023-01-29T00:00:00"/>
    <s v="David"/>
    <s v="Hogan Rock"/>
    <x v="1"/>
    <n v="0.08"/>
    <n v="480.70640000000003"/>
    <x v="789"/>
    <n v="25"/>
    <x v="1"/>
    <n v="4660.82"/>
    <n v="5011.4299999999903"/>
    <s v="New"/>
    <n v="7.0000000000000007E-2"/>
    <s v="Bank Transfer"/>
    <s v="Online"/>
    <s v="High"/>
  </r>
  <r>
    <n v="1096"/>
    <s v="Radio"/>
    <d v="2023-02-02T00:00:00"/>
    <s v="Alice"/>
    <s v="Scott Wayne"/>
    <x v="3"/>
    <n v="0.06"/>
    <n v="557.34"/>
    <x v="790"/>
    <n v="31"/>
    <x v="3"/>
    <n v="1724.24"/>
    <n v="2036.2"/>
    <s v="New"/>
    <n v="0.17"/>
    <s v="Cash"/>
    <s v="Online"/>
    <s v="High"/>
  </r>
  <r>
    <n v="1049"/>
    <s v="Coffee Table"/>
    <d v="2023-05-14T00:00:00"/>
    <s v="Eve"/>
    <s v="Tracy Moore"/>
    <x v="2"/>
    <n v="0.05"/>
    <n v="464.92399999999998"/>
    <x v="791"/>
    <n v="22"/>
    <x v="3"/>
    <n v="4573.6899999999996"/>
    <n v="4820.2999999999902"/>
    <s v="New"/>
    <n v="0.04"/>
    <s v="Cash"/>
    <s v="Online"/>
    <s v="High"/>
  </r>
  <r>
    <n v="1011"/>
    <s v="Coffee Table"/>
    <d v="2023-03-20T00:00:00"/>
    <s v="Bob"/>
    <s v="Michael Smith"/>
    <x v="3"/>
    <n v="0.06"/>
    <n v="209.0916"/>
    <x v="792"/>
    <n v="2"/>
    <x v="0"/>
    <n v="4906.17"/>
    <n v="5107.43"/>
    <s v="Returning"/>
    <n v="0.1"/>
    <s v="Cash"/>
    <s v="Online"/>
    <s v="Low"/>
  </r>
  <r>
    <n v="1085"/>
    <s v="Settee"/>
    <d v="2023-02-27T00:00:00"/>
    <s v="Eve"/>
    <s v="Tracy Moore"/>
    <x v="1"/>
    <n v="0.08"/>
    <n v="425.92080000000004"/>
    <x v="793"/>
    <n v="45"/>
    <x v="0"/>
    <n v="3325.96"/>
    <n v="3781.4"/>
    <s v="Returning"/>
    <n v="0.27"/>
    <s v="Credit Card"/>
    <s v="Online"/>
    <s v="High"/>
  </r>
  <r>
    <n v="1026"/>
    <s v="Television"/>
    <d v="2023-01-26T00:00:00"/>
    <s v="David"/>
    <s v="Hogan Rock"/>
    <x v="3"/>
    <n v="0.06"/>
    <n v="131.71199999999999"/>
    <x v="794"/>
    <n v="5"/>
    <x v="1"/>
    <n v="4093.61"/>
    <n v="4117.88"/>
    <s v="Returning"/>
    <n v="0.12"/>
    <s v="Credit Card"/>
    <s v="Retail"/>
    <s v="Low"/>
  </r>
  <r>
    <n v="1063"/>
    <s v="Noodles"/>
    <d v="2023-08-14T00:00:00"/>
    <s v="Bob"/>
    <s v="Michael Smith"/>
    <x v="0"/>
    <n v="7.4999999999999997E-2"/>
    <n v="746.75625000000002"/>
    <x v="795"/>
    <n v="27"/>
    <x v="2"/>
    <n v="3760.25"/>
    <n v="4147.1099999999997"/>
    <s v="New"/>
    <n v="0.22"/>
    <s v="Cash"/>
    <s v="Online"/>
    <s v="High"/>
  </r>
  <r>
    <n v="1089"/>
    <s v="Recliner"/>
    <d v="2023-10-12T00:00:00"/>
    <s v="David"/>
    <s v="Hogan Rock"/>
    <x v="2"/>
    <n v="0.05"/>
    <n v="490.65350000000001"/>
    <x v="796"/>
    <n v="25"/>
    <x v="0"/>
    <n v="3512.69"/>
    <n v="3964.63"/>
    <s v="Returning"/>
    <n v="0.03"/>
    <s v="Credit Card"/>
    <s v="Retail"/>
    <s v="High"/>
  </r>
  <r>
    <n v="1086"/>
    <s v="Gaming Console"/>
    <d v="2023-01-04T00:00:00"/>
    <s v="Bob"/>
    <s v="Michael Smith"/>
    <x v="2"/>
    <n v="0.05"/>
    <n v="326.50700000000006"/>
    <x v="797"/>
    <n v="8"/>
    <x v="0"/>
    <n v="1569.31"/>
    <n v="1798.02"/>
    <s v="New"/>
    <n v="7.0000000000000007E-2"/>
    <s v="Credit Card"/>
    <s v="Online"/>
    <s v="High"/>
  </r>
  <r>
    <n v="1059"/>
    <s v="Coffee Beans"/>
    <d v="2023-04-09T00:00:00"/>
    <s v="Charlie"/>
    <s v="Susan Jerkins"/>
    <x v="2"/>
    <n v="0.05"/>
    <n v="403.185"/>
    <x v="798"/>
    <n v="1"/>
    <x v="3"/>
    <n v="332.62"/>
    <n v="612.46"/>
    <s v="Returning"/>
    <n v="0.24"/>
    <s v="Cash"/>
    <s v="Retail"/>
    <s v="High"/>
  </r>
  <r>
    <n v="1027"/>
    <s v="Cookies"/>
    <d v="2023-02-08T00:00:00"/>
    <s v="Alice"/>
    <s v="Scott Wayne"/>
    <x v="1"/>
    <n v="0.08"/>
    <n v="574.35919999999999"/>
    <x v="799"/>
    <n v="20"/>
    <x v="3"/>
    <n v="1748.11"/>
    <n v="2220.9"/>
    <s v="New"/>
    <n v="0.23"/>
    <s v="Credit Card"/>
    <s v="Retail"/>
    <s v="High"/>
  </r>
  <r>
    <n v="1049"/>
    <s v="Coffee Table"/>
    <d v="2023-09-28T00:00:00"/>
    <s v="Alice"/>
    <s v="Scott Wayne"/>
    <x v="1"/>
    <n v="0.08"/>
    <n v="477.78160000000003"/>
    <x v="800"/>
    <n v="44"/>
    <x v="0"/>
    <n v="3351.33"/>
    <n v="3465.35"/>
    <s v="Returning"/>
    <n v="0.12"/>
    <s v="Bank Transfer"/>
    <s v="Online"/>
    <s v="High"/>
  </r>
  <r>
    <n v="1077"/>
    <s v="Skirt"/>
    <d v="2023-10-12T00:00:00"/>
    <s v="David"/>
    <s v="Hogan Rock"/>
    <x v="2"/>
    <n v="0.05"/>
    <n v="31.407499999999999"/>
    <x v="801"/>
    <n v="23"/>
    <x v="3"/>
    <n v="557.52"/>
    <n v="822.39"/>
    <s v="Returning"/>
    <n v="0.28999999999999998"/>
    <s v="Credit Card"/>
    <s v="Online"/>
    <s v="Low"/>
  </r>
  <r>
    <n v="1033"/>
    <s v="TV Stand"/>
    <d v="2023-06-06T00:00:00"/>
    <s v="Alice"/>
    <s v="Scott Wayne"/>
    <x v="3"/>
    <n v="0.06"/>
    <n v="276.1302"/>
    <x v="802"/>
    <n v="32"/>
    <x v="1"/>
    <n v="108.99"/>
    <n v="351.6"/>
    <s v="Returning"/>
    <n v="0.27"/>
    <s v="Credit Card"/>
    <s v="Retail"/>
    <s v="Low"/>
  </r>
  <r>
    <n v="1098"/>
    <s v="File Cabinet"/>
    <d v="2023-03-16T00:00:00"/>
    <s v="David"/>
    <s v="Hogan Rock"/>
    <x v="2"/>
    <n v="0.05"/>
    <n v="339.01900000000001"/>
    <x v="803"/>
    <n v="11"/>
    <x v="0"/>
    <n v="741.48"/>
    <n v="878.09"/>
    <s v="New"/>
    <n v="0.28999999999999998"/>
    <s v="Cash"/>
    <s v="Retail"/>
    <s v="High"/>
  </r>
  <r>
    <n v="1099"/>
    <s v="Chest"/>
    <d v="2023-10-15T00:00:00"/>
    <s v="David"/>
    <s v="Hogan Rock"/>
    <x v="3"/>
    <n v="0.06"/>
    <n v="408.45359999999999"/>
    <x v="804"/>
    <n v="39"/>
    <x v="3"/>
    <n v="3592.89"/>
    <n v="4004"/>
    <s v="New"/>
    <n v="0.13"/>
    <s v="Cash"/>
    <s v="Online"/>
    <s v="High"/>
  </r>
  <r>
    <n v="1001"/>
    <s v="Camera"/>
    <d v="2023-05-10T00:00:00"/>
    <s v="David"/>
    <s v="Hogan Rock"/>
    <x v="3"/>
    <n v="0.06"/>
    <n v="227.63459999999998"/>
    <x v="805"/>
    <n v="47"/>
    <x v="1"/>
    <n v="4865.33"/>
    <n v="5316.13"/>
    <s v="New"/>
    <n v="0.06"/>
    <s v="Bank Transfer"/>
    <s v="Online"/>
    <s v="Low"/>
  </r>
  <r>
    <n v="1021"/>
    <s v="Almond Milk"/>
    <d v="2023-06-24T00:00:00"/>
    <s v="Alice"/>
    <s v="Scott Wayne"/>
    <x v="1"/>
    <n v="0.08"/>
    <n v="753.82"/>
    <x v="806"/>
    <n v="24"/>
    <x v="3"/>
    <n v="4916.17"/>
    <n v="5309.32"/>
    <s v="Returning"/>
    <n v="0.19"/>
    <s v="Credit Card"/>
    <s v="Online"/>
    <s v="High"/>
  </r>
  <r>
    <n v="1055"/>
    <s v="Cupboard"/>
    <d v="2023-03-25T00:00:00"/>
    <s v="David"/>
    <s v="Hogan Rock"/>
    <x v="3"/>
    <n v="0.06"/>
    <n v="105.40979999999999"/>
    <x v="807"/>
    <n v="11"/>
    <x v="3"/>
    <n v="2495.1999999999998"/>
    <n v="2600.9299999999998"/>
    <s v="New"/>
    <n v="0.21"/>
    <s v="Bank Transfer"/>
    <s v="Retail"/>
    <s v="Low"/>
  </r>
  <r>
    <n v="1006"/>
    <s v="Monitor"/>
    <d v="2023-01-22T00:00:00"/>
    <s v="Alice"/>
    <s v="Scott Wayne"/>
    <x v="2"/>
    <n v="0.05"/>
    <n v="252.67800000000003"/>
    <x v="808"/>
    <n v="29"/>
    <x v="3"/>
    <n v="4353.29"/>
    <n v="4405.8"/>
    <s v="New"/>
    <n v="0.04"/>
    <s v="Bank Transfer"/>
    <s v="Online"/>
    <s v="High"/>
  </r>
  <r>
    <n v="1092"/>
    <s v="Recliner"/>
    <d v="2023-01-27T00:00:00"/>
    <s v="David"/>
    <s v="Hogan Rock"/>
    <x v="1"/>
    <n v="0.08"/>
    <n v="555.18000000000006"/>
    <x v="809"/>
    <n v="26"/>
    <x v="0"/>
    <n v="3697.29"/>
    <n v="4003.96"/>
    <s v="New"/>
    <n v="0.24"/>
    <s v="Cash"/>
    <s v="Online"/>
    <s v="High"/>
  </r>
  <r>
    <n v="1081"/>
    <s v="Rocking Chair"/>
    <d v="2023-07-14T00:00:00"/>
    <s v="Eve"/>
    <s v="Tracy Moore"/>
    <x v="0"/>
    <n v="7.4999999999999997E-2"/>
    <n v="525.12300000000005"/>
    <x v="810"/>
    <n v="16"/>
    <x v="2"/>
    <n v="2530.15"/>
    <n v="2568.13"/>
    <s v="New"/>
    <n v="0.01"/>
    <s v="Credit Card"/>
    <s v="Online"/>
    <s v="High"/>
  </r>
  <r>
    <n v="1069"/>
    <s v="Suit"/>
    <d v="2023-12-03T00:00:00"/>
    <s v="David"/>
    <s v="Hogan Rock"/>
    <x v="0"/>
    <n v="7.4999999999999997E-2"/>
    <n v="489.11474999999996"/>
    <x v="811"/>
    <n v="35"/>
    <x v="3"/>
    <n v="2885.16"/>
    <n v="3224.8399999999901"/>
    <s v="New"/>
    <n v="0.14000000000000001"/>
    <s v="Cash"/>
    <s v="Online"/>
    <s v="High"/>
  </r>
  <r>
    <n v="1095"/>
    <s v="Bluetooth Speaker"/>
    <d v="2023-08-24T00:00:00"/>
    <s v="Bob"/>
    <s v="Michael Smith"/>
    <x v="1"/>
    <n v="0.08"/>
    <n v="226.02799999999999"/>
    <x v="812"/>
    <n v="20"/>
    <x v="1"/>
    <n v="729.27"/>
    <n v="999.18"/>
    <s v="New"/>
    <n v="0.1"/>
    <s v="Bank Transfer"/>
    <s v="Online"/>
    <s v="Low"/>
  </r>
  <r>
    <n v="1005"/>
    <s v="Smart Phone"/>
    <d v="2023-04-02T00:00:00"/>
    <s v="David"/>
    <s v="Hogan Rock"/>
    <x v="2"/>
    <n v="0.05"/>
    <n v="82.322500000000005"/>
    <x v="813"/>
    <n v="46"/>
    <x v="0"/>
    <n v="4691.42"/>
    <n v="5026.1899999999996"/>
    <s v="Returning"/>
    <n v="0.22"/>
    <s v="Bank Transfer"/>
    <s v="Retail"/>
    <s v="Low"/>
  </r>
  <r>
    <n v="1003"/>
    <s v="Stool"/>
    <d v="2023-01-21T00:00:00"/>
    <s v="Charlie"/>
    <s v="Susan Jerkins"/>
    <x v="0"/>
    <n v="7.4999999999999997E-2"/>
    <n v="479.68574999999998"/>
    <x v="814"/>
    <n v="3"/>
    <x v="0"/>
    <n v="1792.05"/>
    <n v="2091.23"/>
    <s v="Returning"/>
    <n v="0.09"/>
    <s v="Cash"/>
    <s v="Retail"/>
    <s v="High"/>
  </r>
  <r>
    <n v="1053"/>
    <s v="Bed"/>
    <d v="2023-10-30T00:00:00"/>
    <s v="David"/>
    <s v="Hogan Rock"/>
    <x v="0"/>
    <n v="7.4999999999999997E-2"/>
    <n v="452.48174999999998"/>
    <x v="815"/>
    <n v="1"/>
    <x v="1"/>
    <n v="2258.44"/>
    <n v="2475.56"/>
    <s v="New"/>
    <n v="0.25"/>
    <s v="Cash"/>
    <s v="Online"/>
    <s v="High"/>
  </r>
  <r>
    <n v="1023"/>
    <s v="Tights"/>
    <d v="2023-12-23T00:00:00"/>
    <s v="Bob"/>
    <s v="Michael Smith"/>
    <x v="3"/>
    <n v="0.06"/>
    <n v="112.53719999999998"/>
    <x v="816"/>
    <n v="47"/>
    <x v="3"/>
    <n v="3374.72"/>
    <n v="3483.1499999999901"/>
    <s v="Returning"/>
    <n v="0.18"/>
    <s v="Cash"/>
    <s v="Online"/>
    <s v="Low"/>
  </r>
  <r>
    <n v="1053"/>
    <s v="Bed"/>
    <d v="2023-03-25T00:00:00"/>
    <s v="Bob"/>
    <s v="Michael Smith"/>
    <x v="3"/>
    <n v="0.06"/>
    <n v="424.8528"/>
    <x v="817"/>
    <n v="1"/>
    <x v="2"/>
    <n v="1702.82"/>
    <n v="1862.61"/>
    <s v="Returning"/>
    <n v="0.24"/>
    <s v="Cash"/>
    <s v="Retail"/>
    <s v="High"/>
  </r>
  <r>
    <n v="1037"/>
    <s v="Turtleneck Top"/>
    <d v="2023-09-19T00:00:00"/>
    <s v="Alice"/>
    <s v="Scott Wayne"/>
    <x v="2"/>
    <n v="0.05"/>
    <n v="230.31"/>
    <x v="818"/>
    <n v="17"/>
    <x v="3"/>
    <n v="1308.58"/>
    <n v="1575.59"/>
    <s v="New"/>
    <n v="0.3"/>
    <s v="Cash"/>
    <s v="Online"/>
    <s v="Low"/>
  </r>
  <r>
    <n v="1074"/>
    <s v="French Fries"/>
    <d v="2023-05-27T00:00:00"/>
    <s v="Eve"/>
    <s v="Tracy Moore"/>
    <x v="1"/>
    <n v="0.08"/>
    <n v="536.8664"/>
    <x v="819"/>
    <n v="2"/>
    <x v="1"/>
    <n v="3173.69"/>
    <n v="3503.11"/>
    <s v="New"/>
    <n v="0.2"/>
    <s v="Bank Transfer"/>
    <s v="Retail"/>
    <s v="High"/>
  </r>
  <r>
    <n v="1074"/>
    <s v="French Fries"/>
    <d v="2023-09-14T00:00:00"/>
    <s v="David"/>
    <s v="Hogan Rock"/>
    <x v="2"/>
    <n v="0.05"/>
    <n v="419.49650000000003"/>
    <x v="820"/>
    <n v="29"/>
    <x v="0"/>
    <n v="173.67"/>
    <n v="565.62"/>
    <s v="Returning"/>
    <n v="0.3"/>
    <s v="Cash"/>
    <s v="Online"/>
    <s v="High"/>
  </r>
  <r>
    <n v="1083"/>
    <s v="Nightstand"/>
    <d v="2023-02-27T00:00:00"/>
    <s v="Alice"/>
    <s v="Scott Wayne"/>
    <x v="1"/>
    <n v="0.08"/>
    <n v="142.4248"/>
    <x v="821"/>
    <n v="20"/>
    <x v="2"/>
    <n v="3617.59"/>
    <n v="4003.5"/>
    <s v="New"/>
    <n v="0.01"/>
    <s v="Credit Card"/>
    <s v="Retail"/>
    <s v="Low"/>
  </r>
  <r>
    <n v="1017"/>
    <s v="Peaches"/>
    <d v="2023-01-15T00:00:00"/>
    <s v="Eve"/>
    <s v="Tracy Moore"/>
    <x v="0"/>
    <n v="7.4999999999999997E-2"/>
    <n v="21.714749999999999"/>
    <x v="822"/>
    <n v="6"/>
    <x v="0"/>
    <n v="2594.42"/>
    <n v="3081.04"/>
    <s v="Returning"/>
    <n v="0.1"/>
    <s v="Bank Transfer"/>
    <s v="Retail"/>
    <s v="Low"/>
  </r>
  <r>
    <n v="1085"/>
    <s v="Settee"/>
    <d v="2023-06-11T00:00:00"/>
    <s v="David"/>
    <s v="Hogan Rock"/>
    <x v="3"/>
    <n v="0.06"/>
    <n v="468.78719999999998"/>
    <x v="823"/>
    <n v="8"/>
    <x v="1"/>
    <n v="3048.48"/>
    <n v="3198.54"/>
    <s v="Returning"/>
    <n v="0.03"/>
    <s v="Bank Transfer"/>
    <s v="Online"/>
    <s v="High"/>
  </r>
  <r>
    <n v="1078"/>
    <s v="Kitchen Island"/>
    <d v="2023-06-12T00:00:00"/>
    <s v="Charlie"/>
    <s v="Susan Jerkins"/>
    <x v="2"/>
    <n v="0.05"/>
    <n v="306.8"/>
    <x v="824"/>
    <n v="29"/>
    <x v="3"/>
    <n v="3177.81"/>
    <n v="3222.65"/>
    <s v="Returning"/>
    <n v="0.08"/>
    <s v="Credit Card"/>
    <s v="Retail"/>
    <s v="High"/>
  </r>
  <r>
    <n v="1073"/>
    <s v="Console Table"/>
    <d v="2023-11-16T00:00:00"/>
    <s v="David"/>
    <s v="Hogan Rock"/>
    <x v="2"/>
    <n v="0.05"/>
    <n v="351.32150000000001"/>
    <x v="825"/>
    <n v="48"/>
    <x v="2"/>
    <n v="2658.9"/>
    <n v="2838.27"/>
    <s v="New"/>
    <n v="0.25"/>
    <s v="Credit Card"/>
    <s v="Online"/>
    <s v="High"/>
  </r>
  <r>
    <n v="1001"/>
    <s v="Camera"/>
    <d v="2023-10-08T00:00:00"/>
    <s v="Bob"/>
    <s v="Michael Smith"/>
    <x v="1"/>
    <n v="0.08"/>
    <n v="671.8184"/>
    <x v="826"/>
    <n v="33"/>
    <x v="0"/>
    <n v="2933.54"/>
    <n v="3307.75"/>
    <s v="Returning"/>
    <n v="0.01"/>
    <s v="Bank Transfer"/>
    <s v="Retail"/>
    <s v="High"/>
  </r>
  <r>
    <n v="1051"/>
    <s v="Tablet"/>
    <d v="2023-10-07T00:00:00"/>
    <s v="Bob"/>
    <s v="Michael Smith"/>
    <x v="1"/>
    <n v="0.08"/>
    <n v="643.82640000000004"/>
    <x v="827"/>
    <n v="3"/>
    <x v="0"/>
    <n v="3434.75"/>
    <n v="3659.42"/>
    <s v="New"/>
    <n v="0.16"/>
    <s v="Cash"/>
    <s v="Online"/>
    <s v="High"/>
  </r>
  <r>
    <n v="1045"/>
    <s v="Bikers Shorts"/>
    <d v="2023-01-12T00:00:00"/>
    <s v="Charlie"/>
    <s v="Susan Jerkins"/>
    <x v="2"/>
    <n v="0.05"/>
    <n v="480.65550000000007"/>
    <x v="828"/>
    <n v="35"/>
    <x v="0"/>
    <n v="3777.94"/>
    <n v="4188.66"/>
    <s v="New"/>
    <n v="0.17"/>
    <s v="Bank Transfer"/>
    <s v="Online"/>
    <s v="High"/>
  </r>
  <r>
    <n v="1077"/>
    <s v="Skirt"/>
    <d v="2023-10-01T00:00:00"/>
    <s v="Alice"/>
    <s v="Scott Wayne"/>
    <x v="1"/>
    <n v="0.08"/>
    <n v="432.46080000000001"/>
    <x v="829"/>
    <n v="5"/>
    <x v="3"/>
    <n v="3650.89"/>
    <n v="3930.06"/>
    <s v="New"/>
    <n v="0.17"/>
    <s v="Bank Transfer"/>
    <s v="Online"/>
    <s v="High"/>
  </r>
  <r>
    <n v="1004"/>
    <s v="Smartwatch"/>
    <d v="2023-09-28T00:00:00"/>
    <s v="Eve"/>
    <s v="Tracy Moore"/>
    <x v="2"/>
    <n v="0.05"/>
    <n v="246.80549999999999"/>
    <x v="830"/>
    <n v="27"/>
    <x v="2"/>
    <n v="4354.6000000000004"/>
    <n v="4820.2"/>
    <s v="New"/>
    <n v="0.14000000000000001"/>
    <s v="Credit Card"/>
    <s v="Retail"/>
    <s v="Low"/>
  </r>
  <r>
    <n v="1062"/>
    <s v="Boxers"/>
    <d v="2023-07-27T00:00:00"/>
    <s v="David"/>
    <s v="Hogan Rock"/>
    <x v="2"/>
    <n v="0.05"/>
    <n v="203.934"/>
    <x v="831"/>
    <n v="44"/>
    <x v="3"/>
    <n v="987.74"/>
    <n v="1462.19"/>
    <s v="New"/>
    <n v="0.24"/>
    <s v="Bank Transfer"/>
    <s v="Online"/>
    <s v="Low"/>
  </r>
  <r>
    <n v="1065"/>
    <s v="Potatoes"/>
    <d v="2023-01-27T00:00:00"/>
    <s v="Bob"/>
    <s v="Michael Smith"/>
    <x v="2"/>
    <n v="0.05"/>
    <n v="81.076999999999998"/>
    <x v="832"/>
    <n v="12"/>
    <x v="3"/>
    <n v="2035.68"/>
    <n v="2079.64"/>
    <s v="Returning"/>
    <n v="0.04"/>
    <s v="Cash"/>
    <s v="Online"/>
    <s v="Low"/>
  </r>
  <r>
    <n v="1032"/>
    <s v="Refridgerator"/>
    <d v="2023-03-13T00:00:00"/>
    <s v="Alice"/>
    <s v="Scott Wayne"/>
    <x v="0"/>
    <n v="7.4999999999999997E-2"/>
    <n v="432.66075000000001"/>
    <x v="833"/>
    <n v="20"/>
    <x v="3"/>
    <n v="4741.59"/>
    <n v="4975.2299999999996"/>
    <s v="New"/>
    <n v="0.09"/>
    <s v="Credit Card"/>
    <s v="Online"/>
    <s v="High"/>
  </r>
  <r>
    <n v="1034"/>
    <s v="Socks Pack"/>
    <d v="2023-03-01T00:00:00"/>
    <s v="Charlie"/>
    <s v="Susan Jerkins"/>
    <x v="1"/>
    <n v="0.08"/>
    <n v="227.39360000000002"/>
    <x v="834"/>
    <n v="45"/>
    <x v="1"/>
    <n v="2013.12"/>
    <n v="2321.87"/>
    <s v="New"/>
    <n v="0.18"/>
    <s v="Bank Transfer"/>
    <s v="Retail"/>
    <s v="Low"/>
  </r>
  <r>
    <n v="1092"/>
    <s v="Recliner"/>
    <d v="2023-05-25T00:00:00"/>
    <s v="Bob"/>
    <s v="Michael Smith"/>
    <x v="3"/>
    <n v="0.06"/>
    <n v="553.25639999999999"/>
    <x v="835"/>
    <n v="20"/>
    <x v="1"/>
    <n v="668.11"/>
    <n v="803.49"/>
    <s v="New"/>
    <n v="0.21"/>
    <s v="Bank Transfer"/>
    <s v="Online"/>
    <s v="High"/>
  </r>
  <r>
    <n v="1095"/>
    <s v="Bluetooth Speaker"/>
    <d v="2023-04-03T00:00:00"/>
    <s v="Charlie"/>
    <s v="Susan Jerkins"/>
    <x v="3"/>
    <n v="0.06"/>
    <n v="352.41539999999998"/>
    <x v="836"/>
    <n v="9"/>
    <x v="1"/>
    <n v="2650.95"/>
    <n v="2860.4199999999901"/>
    <s v="New"/>
    <n v="0.12"/>
    <s v="Cash"/>
    <s v="Retail"/>
    <s v="High"/>
  </r>
  <r>
    <n v="1072"/>
    <s v="T-Shirt"/>
    <d v="2023-11-05T00:00:00"/>
    <s v="David"/>
    <s v="Hogan Rock"/>
    <x v="1"/>
    <n v="0.08"/>
    <n v="477.52960000000002"/>
    <x v="837"/>
    <n v="39"/>
    <x v="2"/>
    <n v="591.98"/>
    <n v="934.04"/>
    <s v="New"/>
    <n v="0.26"/>
    <s v="Bank Transfer"/>
    <s v="Retail"/>
    <s v="High"/>
  </r>
  <r>
    <n v="1039"/>
    <s v="Hoodie"/>
    <d v="2023-01-08T00:00:00"/>
    <s v="Eve"/>
    <s v="Tracy Moore"/>
    <x v="2"/>
    <n v="0.05"/>
    <n v="180.6875"/>
    <x v="838"/>
    <n v="4"/>
    <x v="3"/>
    <n v="1054.1199999999999"/>
    <n v="1175.21999999999"/>
    <s v="Returning"/>
    <n v="0.12"/>
    <s v="Bank Transfer"/>
    <s v="Retail"/>
    <s v="Low"/>
  </r>
  <r>
    <n v="1026"/>
    <s v="Television"/>
    <d v="2023-03-20T00:00:00"/>
    <s v="Bob"/>
    <s v="Michael Smith"/>
    <x v="3"/>
    <n v="0.06"/>
    <n v="36.881399999999999"/>
    <x v="839"/>
    <n v="19"/>
    <x v="3"/>
    <n v="4991.68"/>
    <n v="5296.65"/>
    <s v="New"/>
    <n v="0.12"/>
    <s v="Bank Transfer"/>
    <s v="Online"/>
    <s v="Low"/>
  </r>
  <r>
    <n v="1034"/>
    <s v="Socks Pack"/>
    <d v="2023-01-27T00:00:00"/>
    <s v="Bob"/>
    <s v="Michael Smith"/>
    <x v="3"/>
    <n v="0.06"/>
    <n v="24.855599999999999"/>
    <x v="840"/>
    <n v="38"/>
    <x v="1"/>
    <n v="2729.75"/>
    <n v="3081.5"/>
    <s v="New"/>
    <n v="0.01"/>
    <s v="Bank Transfer"/>
    <s v="Online"/>
    <s v="Low"/>
  </r>
  <r>
    <n v="1054"/>
    <s v="Glider"/>
    <d v="2023-06-23T00:00:00"/>
    <s v="David"/>
    <s v="Hogan Rock"/>
    <x v="1"/>
    <n v="0.08"/>
    <n v="343.28160000000003"/>
    <x v="841"/>
    <n v="27"/>
    <x v="3"/>
    <n v="1456.09"/>
    <n v="1510.4299999999901"/>
    <s v="Returning"/>
    <n v="0.17"/>
    <s v="Cash"/>
    <s v="Retail"/>
    <s v="Low"/>
  </r>
  <r>
    <n v="1003"/>
    <s v="Stool"/>
    <d v="2023-02-19T00:00:00"/>
    <s v="Alice"/>
    <s v="Scott Wayne"/>
    <x v="3"/>
    <n v="0.06"/>
    <n v="56.231999999999999"/>
    <x v="842"/>
    <n v="45"/>
    <x v="3"/>
    <n v="4974.1400000000003"/>
    <n v="5227.93"/>
    <s v="New"/>
    <n v="0.21"/>
    <s v="Bank Transfer"/>
    <s v="Online"/>
    <s v="Low"/>
  </r>
  <r>
    <n v="1050"/>
    <s v="Sneakers"/>
    <d v="2023-07-18T00:00:00"/>
    <s v="Eve"/>
    <s v="Tracy Moore"/>
    <x v="2"/>
    <n v="0.05"/>
    <n v="305.38900000000001"/>
    <x v="843"/>
    <n v="43"/>
    <x v="0"/>
    <n v="4834.47"/>
    <n v="4973.38"/>
    <s v="Returning"/>
    <n v="0.03"/>
    <s v="Bank Transfer"/>
    <s v="Online"/>
    <s v="High"/>
  </r>
  <r>
    <n v="1012"/>
    <s v="Cabinet"/>
    <d v="2023-12-15T00:00:00"/>
    <s v="Bob"/>
    <s v="Michael Smith"/>
    <x v="1"/>
    <n v="0.08"/>
    <n v="705.73039999999992"/>
    <x v="844"/>
    <n v="13"/>
    <x v="3"/>
    <n v="2231.66"/>
    <n v="2596.6099999999901"/>
    <s v="Returning"/>
    <n v="0.09"/>
    <s v="Bank Transfer"/>
    <s v="Retail"/>
    <s v="High"/>
  </r>
  <r>
    <n v="1065"/>
    <s v="Potatoes"/>
    <d v="2023-06-30T00:00:00"/>
    <s v="Eve"/>
    <s v="Tracy Moore"/>
    <x v="2"/>
    <n v="0.05"/>
    <n v="442.04300000000006"/>
    <x v="845"/>
    <n v="13"/>
    <x v="0"/>
    <n v="1339"/>
    <n v="1441.88"/>
    <s v="Returning"/>
    <n v="0.23"/>
    <s v="Credit Card"/>
    <s v="Retail"/>
    <s v="High"/>
  </r>
  <r>
    <n v="1054"/>
    <s v="Glider"/>
    <d v="2023-01-24T00:00:00"/>
    <s v="Bob"/>
    <s v="Michael Smith"/>
    <x v="3"/>
    <n v="0.06"/>
    <n v="397.47300000000001"/>
    <x v="846"/>
    <n v="22"/>
    <x v="3"/>
    <n v="4200.08"/>
    <n v="4647.28"/>
    <s v="Returning"/>
    <n v="0.11"/>
    <s v="Cash"/>
    <s v="Online"/>
    <s v="High"/>
  </r>
  <r>
    <n v="1005"/>
    <s v="Smart Phone"/>
    <d v="2023-11-12T00:00:00"/>
    <s v="Eve"/>
    <s v="Tracy Moore"/>
    <x v="3"/>
    <n v="0.06"/>
    <n v="131.47199999999998"/>
    <x v="847"/>
    <n v="28"/>
    <x v="2"/>
    <n v="3592.32"/>
    <n v="3813.48"/>
    <s v="New"/>
    <n v="7.0000000000000007E-2"/>
    <s v="Credit Card"/>
    <s v="Retail"/>
    <s v="Low"/>
  </r>
  <r>
    <n v="1094"/>
    <s v="Microwave"/>
    <d v="2023-02-15T00:00:00"/>
    <s v="Charlie"/>
    <s v="Susan Jerkins"/>
    <x v="2"/>
    <n v="0.05"/>
    <n v="432.18350000000004"/>
    <x v="848"/>
    <n v="47"/>
    <x v="1"/>
    <n v="3450.36"/>
    <n v="3557.38"/>
    <s v="New"/>
    <n v="0.2"/>
    <s v="Credit Card"/>
    <s v="Online"/>
    <s v="High"/>
  </r>
  <r>
    <n v="1094"/>
    <s v="Microwave"/>
    <d v="2023-01-15T00:00:00"/>
    <s v="Bob"/>
    <s v="Michael Smith"/>
    <x v="0"/>
    <n v="7.4999999999999997E-2"/>
    <n v="665.42475000000002"/>
    <x v="849"/>
    <n v="45"/>
    <x v="0"/>
    <n v="4470.91"/>
    <n v="4695.54"/>
    <s v="Returning"/>
    <n v="0.06"/>
    <s v="Cash"/>
    <s v="Retail"/>
    <s v="High"/>
  </r>
  <r>
    <n v="1057"/>
    <s v="Avocadro Pear"/>
    <d v="2023-06-02T00:00:00"/>
    <s v="Eve"/>
    <s v="Tracy Moore"/>
    <x v="3"/>
    <n v="0.06"/>
    <n v="122.81219999999999"/>
    <x v="850"/>
    <n v="22"/>
    <x v="1"/>
    <n v="3462.61"/>
    <n v="3672.89"/>
    <s v="Returning"/>
    <n v="0.27"/>
    <s v="Credit Card"/>
    <s v="Online"/>
    <s v="Low"/>
  </r>
  <r>
    <n v="1017"/>
    <s v="Peaches"/>
    <d v="2023-08-10T00:00:00"/>
    <s v="Alice"/>
    <s v="Scott Wayne"/>
    <x v="0"/>
    <n v="7.4999999999999997E-2"/>
    <n v="555.03899999999999"/>
    <x v="851"/>
    <n v="43"/>
    <x v="0"/>
    <n v="1454.8"/>
    <n v="1674.97"/>
    <s v="New"/>
    <n v="0.03"/>
    <s v="Credit Card"/>
    <s v="Online"/>
    <s v="High"/>
  </r>
  <r>
    <n v="1047"/>
    <s v="Mouse"/>
    <d v="2023-07-25T00:00:00"/>
    <s v="Charlie"/>
    <s v="Susan Jerkins"/>
    <x v="3"/>
    <n v="0.06"/>
    <n v="176.19239999999999"/>
    <x v="852"/>
    <n v="19"/>
    <x v="0"/>
    <n v="3484.62"/>
    <n v="3781.5499999999902"/>
    <s v="Returning"/>
    <n v="0.21"/>
    <s v="Credit Card"/>
    <s v="Retail"/>
    <s v="Low"/>
  </r>
  <r>
    <n v="1023"/>
    <s v="Tights"/>
    <d v="2023-09-30T00:00:00"/>
    <s v="Charlie"/>
    <s v="Susan Jerkins"/>
    <x v="0"/>
    <n v="7.4999999999999997E-2"/>
    <n v="603.46050000000002"/>
    <x v="853"/>
    <n v="8"/>
    <x v="0"/>
    <n v="1563.78"/>
    <n v="1829.1599999999901"/>
    <s v="Returning"/>
    <n v="0.15"/>
    <s v="Cash"/>
    <s v="Online"/>
    <s v="High"/>
  </r>
  <r>
    <n v="1079"/>
    <s v="Wardrobe"/>
    <d v="2023-08-24T00:00:00"/>
    <s v="Alice"/>
    <s v="Scott Wayne"/>
    <x v="0"/>
    <n v="7.4999999999999997E-2"/>
    <n v="747.94949999999994"/>
    <x v="854"/>
    <n v="8"/>
    <x v="2"/>
    <n v="3808.23"/>
    <n v="3891.62"/>
    <s v="Returning"/>
    <n v="0.26"/>
    <s v="Bank Transfer"/>
    <s v="Online"/>
    <s v="High"/>
  </r>
  <r>
    <n v="1085"/>
    <s v="Settee"/>
    <d v="2023-12-06T00:00:00"/>
    <s v="Eve"/>
    <s v="Tracy Moore"/>
    <x v="0"/>
    <n v="7.4999999999999997E-2"/>
    <n v="29.794499999999999"/>
    <x v="855"/>
    <n v="42"/>
    <x v="3"/>
    <n v="3117.75"/>
    <n v="3159.88"/>
    <s v="New"/>
    <n v="0.04"/>
    <s v="Cash"/>
    <s v="Retail"/>
    <s v="Low"/>
  </r>
  <r>
    <n v="1014"/>
    <s v="Cheese Block"/>
    <d v="2023-08-16T00:00:00"/>
    <s v="David"/>
    <s v="Hogan Rock"/>
    <x v="2"/>
    <n v="0.05"/>
    <n v="449.19600000000003"/>
    <x v="856"/>
    <n v="26"/>
    <x v="0"/>
    <n v="433.19"/>
    <n v="800.6"/>
    <s v="Returning"/>
    <n v="0.2"/>
    <s v="Cash"/>
    <s v="Online"/>
    <s v="High"/>
  </r>
  <r>
    <n v="1066"/>
    <s v="Armoire"/>
    <d v="2023-01-09T00:00:00"/>
    <s v="Alice"/>
    <s v="Scott Wayne"/>
    <x v="0"/>
    <n v="7.4999999999999997E-2"/>
    <n v="469.803"/>
    <x v="857"/>
    <n v="48"/>
    <x v="2"/>
    <n v="2588.54"/>
    <n v="2872.8"/>
    <s v="New"/>
    <n v="0.17"/>
    <s v="Cash"/>
    <s v="Online"/>
    <s v="High"/>
  </r>
  <r>
    <n v="1075"/>
    <s v="Bookshelf"/>
    <d v="2023-06-15T00:00:00"/>
    <s v="Eve"/>
    <s v="Tracy Moore"/>
    <x v="0"/>
    <n v="7.4999999999999997E-2"/>
    <n v="730.23674999999992"/>
    <x v="858"/>
    <n v="26"/>
    <x v="0"/>
    <n v="1749.34"/>
    <n v="1935.25"/>
    <s v="New"/>
    <n v="0.14000000000000001"/>
    <s v="Credit Card"/>
    <s v="Online"/>
    <s v="High"/>
  </r>
  <r>
    <n v="1051"/>
    <s v="Tablet"/>
    <d v="2023-11-15T00:00:00"/>
    <s v="Alice"/>
    <s v="Scott Wayne"/>
    <x v="0"/>
    <n v="7.4999999999999997E-2"/>
    <n v="352.76925"/>
    <x v="859"/>
    <n v="23"/>
    <x v="3"/>
    <n v="1676.42"/>
    <n v="2082.52"/>
    <s v="New"/>
    <n v="0.15"/>
    <s v="Bank Transfer"/>
    <s v="Retail"/>
    <s v="Low"/>
  </r>
  <r>
    <n v="1038"/>
    <s v="Jean Pants"/>
    <d v="2023-08-02T00:00:00"/>
    <s v="Alice"/>
    <s v="Scott Wayne"/>
    <x v="3"/>
    <n v="0.06"/>
    <n v="509.34839999999997"/>
    <x v="860"/>
    <n v="43"/>
    <x v="0"/>
    <n v="3031.17"/>
    <n v="3231.32"/>
    <s v="Returning"/>
    <n v="0.22"/>
    <s v="Cash"/>
    <s v="Retail"/>
    <s v="High"/>
  </r>
  <r>
    <n v="1064"/>
    <s v="Smartphone"/>
    <d v="2023-04-27T00:00:00"/>
    <s v="Bob"/>
    <s v="Michael Smith"/>
    <x v="0"/>
    <n v="7.4999999999999997E-2"/>
    <n v="53.827500000000001"/>
    <x v="861"/>
    <n v="13"/>
    <x v="2"/>
    <n v="1645.51"/>
    <n v="2045.53"/>
    <s v="Returning"/>
    <n v="0.28000000000000003"/>
    <s v="Cash"/>
    <s v="Retail"/>
    <s v="Low"/>
  </r>
  <r>
    <n v="1098"/>
    <s v="File Cabinet"/>
    <d v="2023-12-10T00:00:00"/>
    <s v="Eve"/>
    <s v="Tracy Moore"/>
    <x v="3"/>
    <n v="0.06"/>
    <n v="205.15559999999999"/>
    <x v="862"/>
    <n v="28"/>
    <x v="3"/>
    <n v="3895.62"/>
    <n v="4055.44"/>
    <s v="New"/>
    <n v="0.03"/>
    <s v="Bank Transfer"/>
    <s v="Retail"/>
    <s v="Low"/>
  </r>
  <r>
    <n v="1038"/>
    <s v="Jean Pants"/>
    <d v="2023-03-13T00:00:00"/>
    <s v="David"/>
    <s v="Hogan Rock"/>
    <x v="0"/>
    <n v="7.4999999999999997E-2"/>
    <n v="57.259500000000003"/>
    <x v="863"/>
    <n v="9"/>
    <x v="2"/>
    <n v="400.42"/>
    <n v="446.11"/>
    <s v="New"/>
    <n v="0.01"/>
    <s v="Bank Transfer"/>
    <s v="Retail"/>
    <s v="Low"/>
  </r>
  <r>
    <n v="1050"/>
    <s v="Sneakers"/>
    <d v="2023-03-05T00:00:00"/>
    <s v="Bob"/>
    <s v="Michael Smith"/>
    <x v="0"/>
    <n v="7.4999999999999997E-2"/>
    <n v="731.6925"/>
    <x v="864"/>
    <n v="20"/>
    <x v="3"/>
    <n v="3318.92"/>
    <n v="3785.91"/>
    <s v="New"/>
    <n v="0.24"/>
    <s v="Bank Transfer"/>
    <s v="Online"/>
    <s v="High"/>
  </r>
  <r>
    <n v="1098"/>
    <s v="File Cabinet"/>
    <d v="2023-07-24T00:00:00"/>
    <s v="Alice"/>
    <s v="Scott Wayne"/>
    <x v="2"/>
    <n v="0.05"/>
    <n v="409.40200000000004"/>
    <x v="865"/>
    <n v="19"/>
    <x v="3"/>
    <n v="4055.51"/>
    <n v="4258.84"/>
    <s v="Returning"/>
    <n v="0.03"/>
    <s v="Credit Card"/>
    <s v="Online"/>
    <s v="High"/>
  </r>
  <r>
    <n v="1082"/>
    <s v="USB Drive"/>
    <d v="2023-07-28T00:00:00"/>
    <s v="Alice"/>
    <s v="Scott Wayne"/>
    <x v="3"/>
    <n v="0.06"/>
    <n v="512.41319999999996"/>
    <x v="866"/>
    <n v="48"/>
    <x v="1"/>
    <n v="3380.52"/>
    <n v="3778.94"/>
    <s v="Returning"/>
    <n v="0.3"/>
    <s v="Bank Transfer"/>
    <s v="Online"/>
    <s v="High"/>
  </r>
  <r>
    <n v="1030"/>
    <s v="Jeans"/>
    <d v="2023-03-13T00:00:00"/>
    <s v="Alice"/>
    <s v="Scott Wayne"/>
    <x v="0"/>
    <n v="7.4999999999999997E-2"/>
    <n v="703.93950000000007"/>
    <x v="867"/>
    <n v="39"/>
    <x v="1"/>
    <n v="2511.2800000000002"/>
    <n v="2658.06"/>
    <s v="New"/>
    <n v="0.19"/>
    <s v="Credit Card"/>
    <s v="Retail"/>
    <s v="High"/>
  </r>
  <r>
    <n v="1079"/>
    <s v="Wardrobe"/>
    <d v="2023-10-04T00:00:00"/>
    <s v="Eve"/>
    <s v="Tracy Moore"/>
    <x v="3"/>
    <n v="0.06"/>
    <n v="56.551199999999994"/>
    <x v="868"/>
    <n v="12"/>
    <x v="1"/>
    <n v="4754.0200000000004"/>
    <n v="5080.74"/>
    <s v="New"/>
    <n v="0.2"/>
    <s v="Cash"/>
    <s v="Online"/>
    <s v="Low"/>
  </r>
  <r>
    <n v="1091"/>
    <s v="Granola Bar"/>
    <d v="2023-10-01T00:00:00"/>
    <s v="Eve"/>
    <s v="Tracy Moore"/>
    <x v="3"/>
    <n v="0.06"/>
    <n v="235.04519999999999"/>
    <x v="869"/>
    <n v="15"/>
    <x v="3"/>
    <n v="1534.7"/>
    <n v="1972.62"/>
    <s v="Returning"/>
    <n v="0.06"/>
    <s v="Credit Card"/>
    <s v="Retail"/>
    <s v="Low"/>
  </r>
  <r>
    <n v="1051"/>
    <s v="Tablet"/>
    <d v="2023-11-16T00:00:00"/>
    <s v="Bob"/>
    <s v="Michael Smith"/>
    <x v="1"/>
    <n v="0.08"/>
    <n v="64.260000000000005"/>
    <x v="870"/>
    <n v="31"/>
    <x v="0"/>
    <n v="144.88"/>
    <n v="175.29"/>
    <s v="New"/>
    <n v="7.0000000000000007E-2"/>
    <s v="Bank Transfer"/>
    <s v="Online"/>
    <s v="Low"/>
  </r>
  <r>
    <n v="1063"/>
    <s v="Noodles"/>
    <d v="2023-12-04T00:00:00"/>
    <s v="David"/>
    <s v="Hogan Rock"/>
    <x v="2"/>
    <n v="0.05"/>
    <n v="109.3425"/>
    <x v="871"/>
    <n v="14"/>
    <x v="2"/>
    <n v="2188.35"/>
    <n v="2605.3599999999901"/>
    <s v="Returning"/>
    <n v="0.2"/>
    <s v="Credit Card"/>
    <s v="Retail"/>
    <s v="Low"/>
  </r>
  <r>
    <n v="1098"/>
    <s v="File Cabinet"/>
    <d v="2024-01-01T00:00:00"/>
    <s v="Bob"/>
    <s v="Michael Smith"/>
    <x v="2"/>
    <n v="0.05"/>
    <n v="118.536"/>
    <x v="872"/>
    <n v="11"/>
    <x v="2"/>
    <n v="213.41"/>
    <n v="503.36"/>
    <s v="Returning"/>
    <n v="0.27"/>
    <s v="Bank Transfer"/>
    <s v="Online"/>
    <s v="Low"/>
  </r>
  <r>
    <n v="1052"/>
    <s v="Wooden Chair"/>
    <d v="2023-04-05T00:00:00"/>
    <s v="Charlie"/>
    <s v="Susan Jerkins"/>
    <x v="2"/>
    <n v="0.05"/>
    <n v="237.208"/>
    <x v="873"/>
    <n v="26"/>
    <x v="2"/>
    <n v="4771.99"/>
    <n v="5079.6499999999996"/>
    <s v="New"/>
    <n v="0.28999999999999998"/>
    <s v="Credit Card"/>
    <s v="Online"/>
    <s v="Low"/>
  </r>
  <r>
    <n v="1038"/>
    <s v="Jean Pants"/>
    <d v="2023-06-15T00:00:00"/>
    <s v="Alice"/>
    <s v="Scott Wayne"/>
    <x v="1"/>
    <n v="0.08"/>
    <n v="220.70160000000001"/>
    <x v="874"/>
    <n v="42"/>
    <x v="1"/>
    <n v="1089.0899999999999"/>
    <n v="1355.44"/>
    <s v="New"/>
    <n v="0.06"/>
    <s v="Cash"/>
    <s v="Retail"/>
    <s v="Low"/>
  </r>
  <r>
    <n v="1097"/>
    <s v="Freezer"/>
    <d v="2023-02-01T00:00:00"/>
    <s v="Alice"/>
    <s v="Scott Wayne"/>
    <x v="1"/>
    <n v="0.08"/>
    <n v="87.974400000000003"/>
    <x v="875"/>
    <n v="27"/>
    <x v="3"/>
    <n v="3955.19"/>
    <n v="4393.68"/>
    <s v="Returning"/>
    <n v="0.04"/>
    <s v="Credit Card"/>
    <s v="Online"/>
    <s v="Low"/>
  </r>
  <r>
    <n v="1088"/>
    <s v="Office Desk"/>
    <d v="2023-01-11T00:00:00"/>
    <s v="Alice"/>
    <s v="Scott Wayne"/>
    <x v="2"/>
    <n v="0.05"/>
    <n v="87.908000000000015"/>
    <x v="876"/>
    <n v="11"/>
    <x v="1"/>
    <n v="3884.13"/>
    <n v="3915.41"/>
    <s v="Returning"/>
    <n v="0.02"/>
    <s v="Cash"/>
    <s v="Online"/>
    <s v="Low"/>
  </r>
  <r>
    <n v="1079"/>
    <s v="Wardrobe"/>
    <d v="2023-10-28T00:00:00"/>
    <s v="Bob"/>
    <s v="Michael Smith"/>
    <x v="1"/>
    <n v="0.08"/>
    <n v="124.64239999999999"/>
    <x v="877"/>
    <n v="38"/>
    <x v="0"/>
    <n v="1127.76"/>
    <n v="1265.6600000000001"/>
    <s v="Returning"/>
    <n v="0.26"/>
    <s v="Bank Transfer"/>
    <s v="Retail"/>
    <s v="Low"/>
  </r>
  <r>
    <n v="1030"/>
    <s v="Jeans"/>
    <d v="2023-08-05T00:00:00"/>
    <s v="Bob"/>
    <s v="Michael Smith"/>
    <x v="1"/>
    <n v="0.08"/>
    <n v="778.67679999999996"/>
    <x v="878"/>
    <n v="34"/>
    <x v="3"/>
    <n v="3125.07"/>
    <n v="3564.19"/>
    <s v="Returning"/>
    <n v="0.09"/>
    <s v="Cash"/>
    <s v="Online"/>
    <s v="High"/>
  </r>
  <r>
    <n v="1051"/>
    <s v="Tablet"/>
    <d v="2023-10-16T00:00:00"/>
    <s v="Alice"/>
    <s v="Scott Wayne"/>
    <x v="1"/>
    <n v="0.08"/>
    <n v="609.36"/>
    <x v="879"/>
    <n v="43"/>
    <x v="2"/>
    <n v="287.99"/>
    <n v="666.64"/>
    <s v="Returning"/>
    <n v="0"/>
    <s v="Bank Transfer"/>
    <s v="Online"/>
    <s v="High"/>
  </r>
  <r>
    <n v="1081"/>
    <s v="Rocking Chair"/>
    <d v="2023-04-12T00:00:00"/>
    <s v="Bob"/>
    <s v="Michael Smith"/>
    <x v="2"/>
    <n v="0.05"/>
    <n v="484.04200000000003"/>
    <x v="880"/>
    <n v="19"/>
    <x v="1"/>
    <n v="2443.69"/>
    <n v="2462.34"/>
    <s v="New"/>
    <n v="7.0000000000000007E-2"/>
    <s v="Bank Transfer"/>
    <s v="Retail"/>
    <s v="High"/>
  </r>
  <r>
    <n v="1005"/>
    <s v="Smart Phone"/>
    <d v="2023-09-24T00:00:00"/>
    <s v="Eve"/>
    <s v="Tracy Moore"/>
    <x v="2"/>
    <n v="0.05"/>
    <n v="222.67150000000004"/>
    <x v="881"/>
    <n v="6"/>
    <x v="1"/>
    <n v="122.5"/>
    <n v="385.83"/>
    <s v="Returning"/>
    <n v="0.1"/>
    <s v="Cash"/>
    <s v="Retail"/>
    <s v="Low"/>
  </r>
  <r>
    <n v="1029"/>
    <s v="Camisole"/>
    <d v="2023-08-02T00:00:00"/>
    <s v="Eve"/>
    <s v="Tracy Moore"/>
    <x v="2"/>
    <n v="0.05"/>
    <n v="142.79249999999999"/>
    <x v="882"/>
    <n v="46"/>
    <x v="0"/>
    <n v="4609.66"/>
    <n v="4879.1499999999996"/>
    <s v="Returning"/>
    <n v="0.3"/>
    <s v="Cash"/>
    <s v="Retail"/>
    <s v="Low"/>
  </r>
  <r>
    <n v="1004"/>
    <s v="Smartwatch"/>
    <d v="2023-06-28T00:00:00"/>
    <s v="Bob"/>
    <s v="Michael Smith"/>
    <x v="1"/>
    <n v="0.08"/>
    <n v="640.24800000000005"/>
    <x v="883"/>
    <n v="38"/>
    <x v="0"/>
    <n v="4881.63"/>
    <n v="5088.0600000000004"/>
    <s v="Returning"/>
    <n v="0.16"/>
    <s v="Credit Card"/>
    <s v="Retail"/>
    <s v="High"/>
  </r>
  <r>
    <n v="1010"/>
    <s v="Lawn Chair"/>
    <d v="2023-03-29T00:00:00"/>
    <s v="Alice"/>
    <s v="Scott Wayne"/>
    <x v="2"/>
    <n v="0.05"/>
    <n v="166.49549999999999"/>
    <x v="884"/>
    <n v="49"/>
    <x v="1"/>
    <n v="1150.3"/>
    <n v="1306.02"/>
    <s v="New"/>
    <n v="0.06"/>
    <s v="Credit Card"/>
    <s v="Retail"/>
    <s v="Low"/>
  </r>
  <r>
    <n v="1056"/>
    <s v="Track Suits"/>
    <d v="2023-02-10T00:00:00"/>
    <s v="Bob"/>
    <s v="Michael Smith"/>
    <x v="1"/>
    <n v="0.08"/>
    <n v="245.11200000000002"/>
    <x v="885"/>
    <n v="42"/>
    <x v="0"/>
    <n v="1080.1199999999999"/>
    <n v="1424.1699999999901"/>
    <s v="New"/>
    <n v="0.1"/>
    <s v="Cash"/>
    <s v="Online"/>
    <s v="Low"/>
  </r>
  <r>
    <n v="1017"/>
    <s v="Peaches"/>
    <d v="2023-03-17T00:00:00"/>
    <s v="Bob"/>
    <s v="Michael Smith"/>
    <x v="0"/>
    <n v="7.4999999999999997E-2"/>
    <n v="180.13575"/>
    <x v="886"/>
    <n v="28"/>
    <x v="2"/>
    <n v="3780.91"/>
    <n v="3892.73"/>
    <s v="Returning"/>
    <n v="0.1"/>
    <s v="Cash"/>
    <s v="Retail"/>
    <s v="Low"/>
  </r>
  <r>
    <n v="1074"/>
    <s v="French Fries"/>
    <d v="2023-02-15T00:00:00"/>
    <s v="Bob"/>
    <s v="Michael Smith"/>
    <x v="1"/>
    <n v="0.08"/>
    <n v="110.7056"/>
    <x v="887"/>
    <n v="1"/>
    <x v="0"/>
    <n v="1304.23"/>
    <n v="1705.71"/>
    <s v="Returning"/>
    <n v="0.01"/>
    <s v="Cash"/>
    <s v="Retail"/>
    <s v="Low"/>
  </r>
  <r>
    <n v="1017"/>
    <s v="Peaches"/>
    <d v="2023-06-09T00:00:00"/>
    <s v="Charlie"/>
    <s v="Susan Jerkins"/>
    <x v="3"/>
    <n v="0.06"/>
    <n v="158.33879999999999"/>
    <x v="888"/>
    <n v="35"/>
    <x v="0"/>
    <n v="4480.63"/>
    <n v="4884.12"/>
    <s v="New"/>
    <n v="0.04"/>
    <s v="Cash"/>
    <s v="Online"/>
    <s v="Low"/>
  </r>
  <r>
    <n v="1084"/>
    <s v="Card Table"/>
    <d v="2023-03-21T00:00:00"/>
    <s v="Eve"/>
    <s v="Tracy Moore"/>
    <x v="2"/>
    <n v="0.05"/>
    <n v="180.88350000000003"/>
    <x v="889"/>
    <n v="40"/>
    <x v="1"/>
    <n v="2890.95"/>
    <n v="3104.43"/>
    <s v="New"/>
    <n v="0.21"/>
    <s v="Bank Transfer"/>
    <s v="Online"/>
    <s v="Low"/>
  </r>
  <r>
    <n v="1088"/>
    <s v="Office Desk"/>
    <d v="2023-11-06T00:00:00"/>
    <s v="David"/>
    <s v="Hogan Rock"/>
    <x v="2"/>
    <n v="0.05"/>
    <n v="338.62700000000001"/>
    <x v="890"/>
    <n v="8"/>
    <x v="1"/>
    <n v="1786.35"/>
    <n v="1935.29"/>
    <s v="New"/>
    <n v="0.04"/>
    <s v="Cash"/>
    <s v="Online"/>
    <s v="High"/>
  </r>
  <r>
    <n v="1069"/>
    <s v="Suit"/>
    <d v="2023-03-27T00:00:00"/>
    <s v="David"/>
    <s v="Hogan Rock"/>
    <x v="3"/>
    <n v="0.06"/>
    <n v="43.163399999999996"/>
    <x v="891"/>
    <n v="47"/>
    <x v="3"/>
    <n v="4171.83"/>
    <n v="4320.93"/>
    <s v="New"/>
    <n v="7.0000000000000007E-2"/>
    <s v="Cash"/>
    <s v="Online"/>
    <s v="Low"/>
  </r>
  <r>
    <n v="1034"/>
    <s v="Socks Pack"/>
    <d v="2023-04-02T00:00:00"/>
    <s v="Charlie"/>
    <s v="Susan Jerkins"/>
    <x v="1"/>
    <n v="0.08"/>
    <n v="174.7216"/>
    <x v="892"/>
    <n v="7"/>
    <x v="3"/>
    <n v="2492.36"/>
    <n v="2738.68"/>
    <s v="Returning"/>
    <n v="0.11"/>
    <s v="Cash"/>
    <s v="Online"/>
    <s v="Low"/>
  </r>
  <r>
    <n v="1006"/>
    <s v="Monitor"/>
    <d v="2023-05-28T00:00:00"/>
    <s v="Bob"/>
    <s v="Michael Smith"/>
    <x v="0"/>
    <n v="7.4999999999999997E-2"/>
    <n v="608.19974999999999"/>
    <x v="893"/>
    <n v="11"/>
    <x v="1"/>
    <n v="4562.58"/>
    <n v="4925.17"/>
    <s v="New"/>
    <n v="0.23"/>
    <s v="Cash"/>
    <s v="Retail"/>
    <s v="High"/>
  </r>
  <r>
    <n v="1053"/>
    <s v="Bed"/>
    <d v="2023-06-10T00:00:00"/>
    <s v="Charlie"/>
    <s v="Susan Jerkins"/>
    <x v="3"/>
    <n v="0.06"/>
    <n v="93.271799999999999"/>
    <x v="894"/>
    <n v="39"/>
    <x v="0"/>
    <n v="4643.67"/>
    <n v="4829.5200000000004"/>
    <s v="Returning"/>
    <n v="0.17"/>
    <s v="Bank Transfer"/>
    <s v="Online"/>
    <s v="Low"/>
  </r>
  <r>
    <n v="1066"/>
    <s v="Armoire"/>
    <d v="2023-07-21T00:00:00"/>
    <s v="Charlie"/>
    <s v="Susan Jerkins"/>
    <x v="3"/>
    <n v="0.06"/>
    <n v="209.53139999999999"/>
    <x v="895"/>
    <n v="4"/>
    <x v="0"/>
    <n v="868.83"/>
    <n v="1177.75"/>
    <s v="Returning"/>
    <n v="0.21"/>
    <s v="Credit Card"/>
    <s v="Retail"/>
    <s v="Low"/>
  </r>
  <r>
    <n v="1077"/>
    <s v="Skirt"/>
    <d v="2023-08-30T00:00:00"/>
    <s v="Alice"/>
    <s v="Scott Wayne"/>
    <x v="1"/>
    <n v="0.08"/>
    <n v="692.80960000000005"/>
    <x v="896"/>
    <n v="25"/>
    <x v="3"/>
    <n v="61.5"/>
    <n v="258.91999999999899"/>
    <s v="New"/>
    <n v="0.17"/>
    <s v="Credit Card"/>
    <s v="Online"/>
    <s v="High"/>
  </r>
  <r>
    <n v="1043"/>
    <s v="Oven"/>
    <d v="2023-12-19T00:00:00"/>
    <s v="Eve"/>
    <s v="Tracy Moore"/>
    <x v="2"/>
    <n v="0.05"/>
    <n v="81.688000000000002"/>
    <x v="897"/>
    <n v="12"/>
    <x v="3"/>
    <n v="4920.46"/>
    <n v="5079.68"/>
    <s v="New"/>
    <n v="0.21"/>
    <s v="Credit Card"/>
    <s v="Retail"/>
    <s v="Low"/>
  </r>
  <r>
    <n v="1075"/>
    <s v="Bookshelf"/>
    <d v="2023-01-02T00:00:00"/>
    <s v="David"/>
    <s v="Hogan Rock"/>
    <x v="1"/>
    <n v="0.08"/>
    <n v="73.527200000000008"/>
    <x v="898"/>
    <n v="26"/>
    <x v="3"/>
    <n v="4535.38"/>
    <n v="4557.5600000000004"/>
    <s v="New"/>
    <n v="0"/>
    <s v="Credit Card"/>
    <s v="Online"/>
    <s v="Low"/>
  </r>
  <r>
    <n v="1023"/>
    <s v="Tights"/>
    <d v="2023-08-13T00:00:00"/>
    <s v="Bob"/>
    <s v="Michael Smith"/>
    <x v="3"/>
    <n v="0.06"/>
    <n v="293.81580000000002"/>
    <x v="899"/>
    <n v="38"/>
    <x v="2"/>
    <n v="324.45"/>
    <n v="336.37"/>
    <s v="New"/>
    <n v="0.28000000000000003"/>
    <s v="Credit Card"/>
    <s v="Retail"/>
    <s v="Low"/>
  </r>
  <r>
    <n v="1055"/>
    <s v="Cupboard"/>
    <d v="2023-10-16T00:00:00"/>
    <s v="David"/>
    <s v="Hogan Rock"/>
    <x v="3"/>
    <n v="0.06"/>
    <n v="185.63699999999997"/>
    <x v="900"/>
    <n v="46"/>
    <x v="2"/>
    <n v="4173.5200000000004"/>
    <n v="4294.8500000000004"/>
    <s v="Returning"/>
    <n v="0.03"/>
    <s v="Bank Transfer"/>
    <s v="Retail"/>
    <s v="Low"/>
  </r>
  <r>
    <n v="1080"/>
    <s v="Headphones"/>
    <d v="2023-08-21T00:00:00"/>
    <s v="David"/>
    <s v="Hogan Rock"/>
    <x v="2"/>
    <n v="0.05"/>
    <n v="283.887"/>
    <x v="901"/>
    <n v="12"/>
    <x v="3"/>
    <n v="2316.13"/>
    <n v="2525.27"/>
    <s v="Returning"/>
    <n v="0.12"/>
    <s v="Credit Card"/>
    <s v="Retail"/>
    <s v="High"/>
  </r>
  <r>
    <n v="1095"/>
    <s v="Bluetooth Speaker"/>
    <d v="2023-03-18T00:00:00"/>
    <s v="Eve"/>
    <s v="Tracy Moore"/>
    <x v="2"/>
    <n v="0.05"/>
    <n v="402.88350000000003"/>
    <x v="902"/>
    <n v="43"/>
    <x v="0"/>
    <n v="1331.86"/>
    <n v="1758.98"/>
    <s v="Returning"/>
    <n v="0.23"/>
    <s v="Bank Transfer"/>
    <s v="Retail"/>
    <s v="High"/>
  </r>
  <r>
    <n v="1075"/>
    <s v="Bookshelf"/>
    <d v="2023-04-26T00:00:00"/>
    <s v="David"/>
    <s v="Hogan Rock"/>
    <x v="2"/>
    <n v="0.05"/>
    <n v="72.888500000000008"/>
    <x v="903"/>
    <n v="37"/>
    <x v="3"/>
    <n v="4399.8"/>
    <n v="4801.0600000000004"/>
    <s v="New"/>
    <n v="0.13"/>
    <s v="Bank Transfer"/>
    <s v="Retail"/>
    <s v="Low"/>
  </r>
  <r>
    <n v="1016"/>
    <s v="Washing Machine"/>
    <d v="2023-06-03T00:00:00"/>
    <s v="David"/>
    <s v="Hogan Rock"/>
    <x v="1"/>
    <n v="0.08"/>
    <n v="467.91360000000003"/>
    <x v="904"/>
    <n v="46"/>
    <x v="2"/>
    <n v="1023.5"/>
    <n v="1164.4100000000001"/>
    <s v="Returning"/>
    <n v="0.28000000000000003"/>
    <s v="Credit Card"/>
    <s v="Retail"/>
    <s v="High"/>
  </r>
  <r>
    <n v="1008"/>
    <s v="Skirt"/>
    <d v="2023-04-13T00:00:00"/>
    <s v="Charlie"/>
    <s v="Susan Jerkins"/>
    <x v="2"/>
    <n v="0.05"/>
    <n v="255.227"/>
    <x v="905"/>
    <n v="24"/>
    <x v="0"/>
    <n v="4739.13"/>
    <n v="4868.95"/>
    <s v="New"/>
    <n v="0.14000000000000001"/>
    <s v="Credit Card"/>
    <s v="Retail"/>
    <s v="High"/>
  </r>
  <r>
    <n v="1004"/>
    <s v="Smartwatch"/>
    <d v="2023-07-13T00:00:00"/>
    <s v="Eve"/>
    <s v="Tracy Moore"/>
    <x v="3"/>
    <n v="0.06"/>
    <n v="91.582800000000006"/>
    <x v="906"/>
    <n v="16"/>
    <x v="2"/>
    <n v="1067.83"/>
    <n v="1189.22"/>
    <s v="Returning"/>
    <n v="0.26"/>
    <s v="Credit Card"/>
    <s v="Retail"/>
    <s v="Low"/>
  </r>
  <r>
    <n v="1004"/>
    <s v="Smartwatch"/>
    <d v="2023-06-15T00:00:00"/>
    <s v="Alice"/>
    <s v="Scott Wayne"/>
    <x v="3"/>
    <n v="0.06"/>
    <n v="376.65539999999999"/>
    <x v="907"/>
    <n v="13"/>
    <x v="0"/>
    <n v="3087.73"/>
    <n v="3263.96"/>
    <s v="New"/>
    <n v="0.24"/>
    <s v="Cash"/>
    <s v="Retail"/>
    <s v="High"/>
  </r>
  <r>
    <n v="1056"/>
    <s v="Track Suits"/>
    <d v="2023-12-25T00:00:00"/>
    <s v="Bob"/>
    <s v="Michael Smith"/>
    <x v="0"/>
    <n v="7.4999999999999997E-2"/>
    <n v="210.678"/>
    <x v="908"/>
    <n v="25"/>
    <x v="2"/>
    <n v="1154.28"/>
    <n v="1408.4"/>
    <s v="Returning"/>
    <n v="0.28999999999999998"/>
    <s v="Bank Transfer"/>
    <s v="Retail"/>
    <s v="Low"/>
  </r>
  <r>
    <n v="1025"/>
    <s v="Mayonnaise"/>
    <d v="2023-03-31T00:00:00"/>
    <s v="David"/>
    <s v="Hogan Rock"/>
    <x v="1"/>
    <n v="0.08"/>
    <n v="394.36480000000006"/>
    <x v="909"/>
    <n v="4"/>
    <x v="0"/>
    <n v="2751.06"/>
    <n v="2976.0099999999902"/>
    <s v="Returning"/>
    <n v="0.28000000000000003"/>
    <s v="Credit Card"/>
    <s v="Online"/>
    <s v="Low"/>
  </r>
  <r>
    <n v="1067"/>
    <s v="Grapes"/>
    <d v="2023-06-23T00:00:00"/>
    <s v="Bob"/>
    <s v="Michael Smith"/>
    <x v="0"/>
    <n v="7.4999999999999997E-2"/>
    <n v="68.587499999999991"/>
    <x v="910"/>
    <n v="11"/>
    <x v="0"/>
    <n v="3435.68"/>
    <n v="3552.6299999999901"/>
    <s v="New"/>
    <n v="0.27"/>
    <s v="Cash"/>
    <s v="Retail"/>
    <s v="Low"/>
  </r>
  <r>
    <n v="1096"/>
    <s v="Radio"/>
    <d v="2023-05-02T00:00:00"/>
    <s v="Alice"/>
    <s v="Scott Wayne"/>
    <x v="3"/>
    <n v="0.06"/>
    <n v="278.99279999999999"/>
    <x v="911"/>
    <n v="32"/>
    <x v="0"/>
    <n v="991.63"/>
    <n v="1065.55"/>
    <s v="Returning"/>
    <n v="0.22"/>
    <s v="Bank Transfer"/>
    <s v="Retail"/>
    <s v="Low"/>
  </r>
  <r>
    <n v="1067"/>
    <s v="Grapes"/>
    <d v="2023-05-23T00:00:00"/>
    <s v="Bob"/>
    <s v="Michael Smith"/>
    <x v="0"/>
    <n v="7.4999999999999997E-2"/>
    <n v="235.04924999999997"/>
    <x v="912"/>
    <n v="49"/>
    <x v="0"/>
    <n v="2628.38"/>
    <n v="2644.54"/>
    <s v="Returning"/>
    <n v="0.11"/>
    <s v="Cash"/>
    <s v="Online"/>
    <s v="Low"/>
  </r>
  <r>
    <n v="1027"/>
    <s v="Cookies"/>
    <d v="2023-04-16T00:00:00"/>
    <s v="Alice"/>
    <s v="Scott Wayne"/>
    <x v="3"/>
    <n v="0.06"/>
    <n v="494.49419999999998"/>
    <x v="913"/>
    <n v="7"/>
    <x v="1"/>
    <n v="2371.85"/>
    <n v="2457.29"/>
    <s v="New"/>
    <n v="0.03"/>
    <s v="Cash"/>
    <s v="Retail"/>
    <s v="High"/>
  </r>
  <r>
    <n v="1093"/>
    <s v="Dining Table"/>
    <d v="2023-11-01T00:00:00"/>
    <s v="Charlie"/>
    <s v="Susan Jerkins"/>
    <x v="0"/>
    <n v="7.4999999999999997E-2"/>
    <n v="49.806750000000001"/>
    <x v="914"/>
    <n v="46"/>
    <x v="2"/>
    <n v="401.64"/>
    <n v="757.26"/>
    <s v="New"/>
    <n v="0.21"/>
    <s v="Credit Card"/>
    <s v="Retail"/>
    <s v="Low"/>
  </r>
  <r>
    <n v="1032"/>
    <s v="Refridgerator"/>
    <d v="2023-12-26T00:00:00"/>
    <s v="David"/>
    <s v="Hogan Rock"/>
    <x v="2"/>
    <n v="0.05"/>
    <n v="212.21050000000002"/>
    <x v="915"/>
    <n v="11"/>
    <x v="2"/>
    <n v="4100.62"/>
    <n v="4230"/>
    <s v="New"/>
    <n v="0.28999999999999998"/>
    <s v="Bank Transfer"/>
    <s v="Online"/>
    <s v="Low"/>
  </r>
  <r>
    <n v="1050"/>
    <s v="Sneakers"/>
    <d v="2023-11-13T00:00:00"/>
    <s v="Alice"/>
    <s v="Scott Wayne"/>
    <x v="0"/>
    <n v="7.4999999999999997E-2"/>
    <n v="347.88524999999998"/>
    <x v="916"/>
    <n v="28"/>
    <x v="1"/>
    <n v="1711.63"/>
    <n v="1951.24"/>
    <s v="New"/>
    <n v="0.22"/>
    <s v="Cash"/>
    <s v="Online"/>
    <s v="Low"/>
  </r>
  <r>
    <n v="1061"/>
    <s v="Laptop"/>
    <d v="2023-05-03T00:00:00"/>
    <s v="Bob"/>
    <s v="Michael Smith"/>
    <x v="2"/>
    <n v="0.05"/>
    <n v="363.87800000000004"/>
    <x v="917"/>
    <n v="41"/>
    <x v="0"/>
    <n v="2894.18"/>
    <n v="3193.92"/>
    <s v="New"/>
    <n v="0.28000000000000003"/>
    <s v="Bank Transfer"/>
    <s v="Retail"/>
    <s v="High"/>
  </r>
  <r>
    <n v="1051"/>
    <s v="Tablet"/>
    <d v="2023-01-09T00:00:00"/>
    <s v="David"/>
    <s v="Hogan Rock"/>
    <x v="2"/>
    <n v="0.05"/>
    <n v="289.27249999999998"/>
    <x v="918"/>
    <n v="23"/>
    <x v="0"/>
    <n v="2598.1799999999998"/>
    <n v="3042.73"/>
    <s v="Returning"/>
    <n v="0.24"/>
    <s v="Credit Card"/>
    <s v="Online"/>
    <s v="High"/>
  </r>
  <r>
    <n v="1019"/>
    <s v="Apple"/>
    <d v="2023-09-19T00:00:00"/>
    <s v="Charlie"/>
    <s v="Susan Jerkins"/>
    <x v="1"/>
    <n v="0.08"/>
    <n v="536.43200000000002"/>
    <x v="919"/>
    <n v="45"/>
    <x v="2"/>
    <n v="2590.64"/>
    <n v="3036.18"/>
    <s v="New"/>
    <n v="0.05"/>
    <s v="Bank Transfer"/>
    <s v="Retail"/>
    <s v="High"/>
  </r>
  <r>
    <n v="1021"/>
    <s v="Almond Milk"/>
    <d v="2023-03-14T00:00:00"/>
    <s v="David"/>
    <s v="Hogan Rock"/>
    <x v="2"/>
    <n v="0.05"/>
    <n v="389.6395"/>
    <x v="920"/>
    <n v="23"/>
    <x v="1"/>
    <n v="580.75"/>
    <n v="956.16"/>
    <s v="Returning"/>
    <n v="7.0000000000000007E-2"/>
    <s v="Cash"/>
    <s v="Retail"/>
    <s v="High"/>
  </r>
  <r>
    <n v="1005"/>
    <s v="Smart Phone"/>
    <d v="2023-12-25T00:00:00"/>
    <s v="Alice"/>
    <s v="Scott Wayne"/>
    <x v="2"/>
    <n v="0.05"/>
    <n v="431.79050000000001"/>
    <x v="921"/>
    <n v="28"/>
    <x v="0"/>
    <n v="2146.2399999999998"/>
    <n v="2173.4699999999998"/>
    <s v="Returning"/>
    <n v="0.1"/>
    <s v="Cash"/>
    <s v="Retail"/>
    <s v="High"/>
  </r>
  <r>
    <n v="1082"/>
    <s v="USB Drive"/>
    <d v="2023-08-11T00:00:00"/>
    <s v="Charlie"/>
    <s v="Susan Jerkins"/>
    <x v="0"/>
    <n v="7.4999999999999997E-2"/>
    <n v="240.55274999999997"/>
    <x v="922"/>
    <n v="43"/>
    <x v="0"/>
    <n v="2289.2199999999998"/>
    <n v="2581"/>
    <s v="New"/>
    <n v="0.05"/>
    <s v="Bank Transfer"/>
    <s v="Online"/>
    <s v="Low"/>
  </r>
  <r>
    <n v="1092"/>
    <s v="Recliner"/>
    <d v="2023-02-10T00:00:00"/>
    <s v="Bob"/>
    <s v="Michael Smith"/>
    <x v="3"/>
    <n v="0.06"/>
    <n v="325.58519999999999"/>
    <x v="923"/>
    <n v="47"/>
    <x v="0"/>
    <n v="3681.53"/>
    <n v="4076.96"/>
    <s v="Returning"/>
    <n v="0.17"/>
    <s v="Cash"/>
    <s v="Retail"/>
    <s v="High"/>
  </r>
  <r>
    <n v="1042"/>
    <s v="Frozen Pizza"/>
    <d v="2023-07-23T00:00:00"/>
    <s v="Charlie"/>
    <s v="Susan Jerkins"/>
    <x v="1"/>
    <n v="0.08"/>
    <n v="673.36559999999997"/>
    <x v="924"/>
    <n v="26"/>
    <x v="3"/>
    <n v="4208.09"/>
    <n v="4226.5600000000004"/>
    <s v="Returning"/>
    <n v="0.28999999999999998"/>
    <s v="Cash"/>
    <s v="Retail"/>
    <s v="High"/>
  </r>
  <r>
    <n v="1061"/>
    <s v="Laptop"/>
    <d v="2023-09-21T00:00:00"/>
    <s v="Charlie"/>
    <s v="Susan Jerkins"/>
    <x v="2"/>
    <n v="0.05"/>
    <n v="494.77850000000001"/>
    <x v="925"/>
    <n v="25"/>
    <x v="1"/>
    <n v="2747.66"/>
    <n v="3027.0099999999902"/>
    <s v="New"/>
    <n v="0.23"/>
    <s v="Cash"/>
    <s v="Online"/>
    <s v="High"/>
  </r>
  <r>
    <n v="1022"/>
    <s v="Organic Honey"/>
    <d v="2023-11-24T00:00:00"/>
    <s v="Eve"/>
    <s v="Tracy Moore"/>
    <x v="1"/>
    <n v="0.08"/>
    <n v="712.49919999999997"/>
    <x v="926"/>
    <n v="29"/>
    <x v="0"/>
    <n v="479.58"/>
    <n v="909.88"/>
    <s v="Returning"/>
    <n v="0.13"/>
    <s v="Credit Card"/>
    <s v="Retail"/>
    <s v="High"/>
  </r>
  <r>
    <n v="1021"/>
    <s v="Almond Milk"/>
    <d v="2023-06-27T00:00:00"/>
    <s v="Charlie"/>
    <s v="Susan Jerkins"/>
    <x v="0"/>
    <n v="7.4999999999999997E-2"/>
    <n v="283.31475"/>
    <x v="927"/>
    <n v="19"/>
    <x v="3"/>
    <n v="1222.4000000000001"/>
    <n v="1464.71"/>
    <s v="New"/>
    <n v="0"/>
    <s v="Credit Card"/>
    <s v="Retail"/>
    <s v="Low"/>
  </r>
  <r>
    <n v="1070"/>
    <s v="Hutch"/>
    <d v="2023-12-14T00:00:00"/>
    <s v="Charlie"/>
    <s v="Susan Jerkins"/>
    <x v="2"/>
    <n v="0.05"/>
    <n v="101.60750000000002"/>
    <x v="928"/>
    <n v="33"/>
    <x v="1"/>
    <n v="866.42"/>
    <n v="878.43"/>
    <s v="New"/>
    <n v="0.09"/>
    <s v="Cash"/>
    <s v="Retail"/>
    <s v="Low"/>
  </r>
  <r>
    <n v="1001"/>
    <s v="Camera"/>
    <d v="2023-11-14T00:00:00"/>
    <s v="David"/>
    <s v="Hogan Rock"/>
    <x v="0"/>
    <n v="7.4999999999999997E-2"/>
    <n v="370.87424999999996"/>
    <x v="929"/>
    <n v="36"/>
    <x v="0"/>
    <n v="666.84"/>
    <n v="682.24"/>
    <s v="New"/>
    <n v="0.16"/>
    <s v="Bank Transfer"/>
    <s v="Retail"/>
    <s v="Low"/>
  </r>
  <r>
    <n v="1005"/>
    <s v="Smart Phone"/>
    <d v="2023-03-25T00:00:00"/>
    <s v="Bob"/>
    <s v="Michael Smith"/>
    <x v="1"/>
    <n v="0.08"/>
    <n v="595.38"/>
    <x v="930"/>
    <n v="14"/>
    <x v="2"/>
    <n v="1861.2"/>
    <n v="2075.35"/>
    <s v="Returning"/>
    <n v="0.1"/>
    <s v="Credit Card"/>
    <s v="Retail"/>
    <s v="High"/>
  </r>
  <r>
    <n v="1012"/>
    <s v="Cabinet"/>
    <d v="2023-11-14T00:00:00"/>
    <s v="David"/>
    <s v="Hogan Rock"/>
    <x v="0"/>
    <n v="7.4999999999999997E-2"/>
    <n v="373.23225000000002"/>
    <x v="931"/>
    <n v="14"/>
    <x v="3"/>
    <n v="1185.5"/>
    <n v="1271.45"/>
    <s v="Returning"/>
    <n v="0.03"/>
    <s v="Bank Transfer"/>
    <s v="Retail"/>
    <s v="Low"/>
  </r>
  <r>
    <n v="1090"/>
    <s v="Keyboard"/>
    <d v="2023-04-21T00:00:00"/>
    <s v="David"/>
    <s v="Hogan Rock"/>
    <x v="1"/>
    <n v="0.08"/>
    <n v="390.67919999999998"/>
    <x v="932"/>
    <n v="35"/>
    <x v="3"/>
    <n v="1130.5999999999999"/>
    <n v="1466.1799999999901"/>
    <s v="Returning"/>
    <n v="0.13"/>
    <s v="Cash"/>
    <s v="Online"/>
    <s v="Low"/>
  </r>
  <r>
    <n v="1046"/>
    <s v="Sweat Shirts"/>
    <d v="2023-09-08T00:00:00"/>
    <s v="Alice"/>
    <s v="Scott Wayne"/>
    <x v="0"/>
    <n v="7.4999999999999997E-2"/>
    <n v="629.88599999999997"/>
    <x v="933"/>
    <n v="30"/>
    <x v="0"/>
    <n v="320.73"/>
    <n v="678.04"/>
    <s v="Returning"/>
    <n v="0.08"/>
    <s v="Cash"/>
    <s v="Retail"/>
    <s v="High"/>
  </r>
  <r>
    <n v="1034"/>
    <s v="Socks Pack"/>
    <d v="2023-01-07T00:00:00"/>
    <s v="David"/>
    <s v="Hogan Rock"/>
    <x v="1"/>
    <n v="0.08"/>
    <n v="294.23200000000003"/>
    <x v="934"/>
    <n v="28"/>
    <x v="0"/>
    <n v="137.47"/>
    <n v="234.63"/>
    <s v="New"/>
    <n v="0.27"/>
    <s v="Bank Transfer"/>
    <s v="Retail"/>
    <s v="Low"/>
  </r>
  <r>
    <n v="1049"/>
    <s v="Coffee Table"/>
    <d v="2023-03-25T00:00:00"/>
    <s v="Eve"/>
    <s v="Tracy Moore"/>
    <x v="3"/>
    <n v="0.06"/>
    <n v="516.71819999999991"/>
    <x v="935"/>
    <n v="17"/>
    <x v="3"/>
    <n v="558.70000000000005"/>
    <n v="1004.08"/>
    <s v="Returning"/>
    <n v="0.03"/>
    <s v="Credit Card"/>
    <s v="Online"/>
    <s v="High"/>
  </r>
  <r>
    <n v="1078"/>
    <s v="Kitchen Island"/>
    <d v="2023-07-27T00:00:00"/>
    <s v="Eve"/>
    <s v="Tracy Moore"/>
    <x v="0"/>
    <n v="7.4999999999999997E-2"/>
    <n v="309.55275"/>
    <x v="936"/>
    <n v="3"/>
    <x v="2"/>
    <n v="902.38"/>
    <n v="1128.9100000000001"/>
    <s v="New"/>
    <n v="0.01"/>
    <s v="Bank Transfer"/>
    <s v="Retail"/>
    <s v="Low"/>
  </r>
  <r>
    <n v="1090"/>
    <s v="Keyboard"/>
    <d v="2023-11-10T00:00:00"/>
    <s v="Alice"/>
    <s v="Scott Wayne"/>
    <x v="0"/>
    <n v="7.4999999999999997E-2"/>
    <n v="251.21325000000002"/>
    <x v="937"/>
    <n v="16"/>
    <x v="2"/>
    <n v="2183.37"/>
    <n v="2263.3599999999901"/>
    <s v="Returning"/>
    <n v="0"/>
    <s v="Bank Transfer"/>
    <s v="Retail"/>
    <s v="Low"/>
  </r>
  <r>
    <n v="1045"/>
    <s v="Bikers Shorts"/>
    <d v="2023-01-22T00:00:00"/>
    <s v="Bob"/>
    <s v="Michael Smith"/>
    <x v="3"/>
    <n v="0.06"/>
    <n v="275.67"/>
    <x v="938"/>
    <n v="46"/>
    <x v="1"/>
    <n v="2577.08"/>
    <n v="2961.56"/>
    <s v="Returning"/>
    <n v="0.1"/>
    <s v="Cash"/>
    <s v="Online"/>
    <s v="Low"/>
  </r>
  <r>
    <n v="1027"/>
    <s v="Cookies"/>
    <d v="2023-01-03T00:00:00"/>
    <s v="Bob"/>
    <s v="Michael Smith"/>
    <x v="3"/>
    <n v="0.06"/>
    <n v="458.89319999999998"/>
    <x v="939"/>
    <n v="30"/>
    <x v="0"/>
    <n v="745.93"/>
    <n v="1143.02"/>
    <s v="Returning"/>
    <n v="0.2"/>
    <s v="Credit Card"/>
    <s v="Online"/>
    <s v="High"/>
  </r>
  <r>
    <n v="1073"/>
    <s v="Console Table"/>
    <d v="2023-05-07T00:00:00"/>
    <s v="David"/>
    <s v="Hogan Rock"/>
    <x v="0"/>
    <n v="7.4999999999999997E-2"/>
    <n v="101.0565"/>
    <x v="940"/>
    <n v="29"/>
    <x v="2"/>
    <n v="2152.6799999999998"/>
    <n v="2475.9299999999998"/>
    <s v="Returning"/>
    <n v="0.22"/>
    <s v="Bank Transfer"/>
    <s v="Online"/>
    <s v="Low"/>
  </r>
  <r>
    <n v="1026"/>
    <s v="Television"/>
    <d v="2023-10-24T00:00:00"/>
    <s v="David"/>
    <s v="Hogan Rock"/>
    <x v="3"/>
    <n v="0.06"/>
    <n v="122.67299999999999"/>
    <x v="941"/>
    <n v="45"/>
    <x v="1"/>
    <n v="1741.66"/>
    <n v="2169.86"/>
    <s v="Returning"/>
    <n v="0.14000000000000001"/>
    <s v="Credit Card"/>
    <s v="Online"/>
    <s v="Low"/>
  </r>
  <r>
    <n v="1047"/>
    <s v="Mouse"/>
    <d v="2023-07-07T00:00:00"/>
    <s v="David"/>
    <s v="Hogan Rock"/>
    <x v="2"/>
    <n v="0.05"/>
    <n v="475.96499999999997"/>
    <x v="942"/>
    <n v="15"/>
    <x v="2"/>
    <n v="957.95"/>
    <n v="1329.26"/>
    <s v="New"/>
    <n v="0.21"/>
    <s v="Cash"/>
    <s v="Online"/>
    <s v="High"/>
  </r>
  <r>
    <n v="1086"/>
    <s v="Gaming Console"/>
    <d v="2023-12-28T00:00:00"/>
    <s v="Bob"/>
    <s v="Michael Smith"/>
    <x v="1"/>
    <n v="0.08"/>
    <n v="146.9896"/>
    <x v="943"/>
    <n v="46"/>
    <x v="0"/>
    <n v="83.86"/>
    <n v="526.14"/>
    <s v="Returning"/>
    <n v="0.11"/>
    <s v="Credit Card"/>
    <s v="Online"/>
    <s v="Low"/>
  </r>
  <r>
    <n v="1056"/>
    <s v="Track Suits"/>
    <d v="2023-01-14T00:00:00"/>
    <s v="Charlie"/>
    <s v="Susan Jerkins"/>
    <x v="1"/>
    <n v="0.08"/>
    <n v="457.64"/>
    <x v="944"/>
    <n v="25"/>
    <x v="1"/>
    <n v="2361.7399999999998"/>
    <n v="2584.35"/>
    <s v="Returning"/>
    <n v="0.2"/>
    <s v="Cash"/>
    <s v="Online"/>
    <s v="High"/>
  </r>
  <r>
    <n v="1094"/>
    <s v="Microwave"/>
    <d v="2023-01-12T00:00:00"/>
    <s v="Eve"/>
    <s v="Tracy Moore"/>
    <x v="1"/>
    <n v="0.08"/>
    <n v="466.8168"/>
    <x v="945"/>
    <n v="38"/>
    <x v="1"/>
    <n v="3443.98"/>
    <n v="3820.3"/>
    <s v="Returning"/>
    <n v="0.01"/>
    <s v="Credit Card"/>
    <s v="Retail"/>
    <s v="High"/>
  </r>
  <r>
    <n v="1063"/>
    <s v="Noodles"/>
    <d v="2023-03-28T00:00:00"/>
    <s v="Charlie"/>
    <s v="Susan Jerkins"/>
    <x v="2"/>
    <n v="0.05"/>
    <n v="247.364"/>
    <x v="946"/>
    <n v="42"/>
    <x v="1"/>
    <n v="1170.07"/>
    <n v="1669.94999999999"/>
    <s v="Returning"/>
    <n v="0.12"/>
    <s v="Bank Transfer"/>
    <s v="Retail"/>
    <s v="Low"/>
  </r>
  <r>
    <n v="1048"/>
    <s v="Chaise Lounge"/>
    <d v="2023-01-12T00:00:00"/>
    <s v="Charlie"/>
    <s v="Susan Jerkins"/>
    <x v="3"/>
    <n v="0.06"/>
    <n v="388.97879999999998"/>
    <x v="947"/>
    <n v="47"/>
    <x v="2"/>
    <n v="702.44"/>
    <n v="1067.6600000000001"/>
    <s v="New"/>
    <n v="0.24"/>
    <s v="Cash"/>
    <s v="Retail"/>
    <s v="High"/>
  </r>
  <r>
    <n v="1061"/>
    <s v="Laptop"/>
    <d v="2023-01-25T00:00:00"/>
    <s v="Bob"/>
    <s v="Michael Smith"/>
    <x v="3"/>
    <n v="0.06"/>
    <n v="142.51680000000002"/>
    <x v="948"/>
    <n v="38"/>
    <x v="0"/>
    <n v="4440.8599999999997"/>
    <n v="4506.8099999999904"/>
    <s v="Returning"/>
    <n v="0.24"/>
    <s v="Bank Transfer"/>
    <s v="Online"/>
    <s v="Low"/>
  </r>
  <r>
    <n v="1081"/>
    <s v="Rocking Chair"/>
    <d v="2023-10-28T00:00:00"/>
    <s v="Charlie"/>
    <s v="Susan Jerkins"/>
    <x v="0"/>
    <n v="7.4999999999999997E-2"/>
    <n v="417.85199999999998"/>
    <x v="949"/>
    <n v="23"/>
    <x v="1"/>
    <n v="1411.37"/>
    <n v="1675.35"/>
    <s v="New"/>
    <n v="0.21"/>
    <s v="Cash"/>
    <s v="Retail"/>
    <s v="High"/>
  </r>
  <r>
    <n v="1026"/>
    <s v="Television"/>
    <d v="2023-08-31T00:00:00"/>
    <s v="Alice"/>
    <s v="Scott Wayne"/>
    <x v="3"/>
    <n v="0.06"/>
    <n v="227.0712"/>
    <x v="950"/>
    <n v="25"/>
    <x v="3"/>
    <n v="1156.8800000000001"/>
    <n v="1454.68"/>
    <s v="Returning"/>
    <n v="0.06"/>
    <s v="Credit Card"/>
    <s v="Online"/>
    <s v="Low"/>
  </r>
  <r>
    <n v="1036"/>
    <s v="Shorts"/>
    <d v="2023-05-02T00:00:00"/>
    <s v="David"/>
    <s v="Hogan Rock"/>
    <x v="0"/>
    <n v="7.4999999999999997E-2"/>
    <n v="498.78825000000001"/>
    <x v="951"/>
    <n v="42"/>
    <x v="0"/>
    <n v="4292.63"/>
    <n v="4387.99"/>
    <s v="New"/>
    <n v="7.0000000000000007E-2"/>
    <s v="Credit Card"/>
    <s v="Retail"/>
    <s v="High"/>
  </r>
  <r>
    <n v="1001"/>
    <s v="Camera"/>
    <d v="2023-05-27T00:00:00"/>
    <s v="Alice"/>
    <s v="Scott Wayne"/>
    <x v="2"/>
    <n v="0.05"/>
    <n v="74.905500000000004"/>
    <x v="952"/>
    <n v="7"/>
    <x v="3"/>
    <n v="4094.68"/>
    <n v="4576.5"/>
    <s v="New"/>
    <n v="0.3"/>
    <s v="Cash"/>
    <s v="Retail"/>
    <s v="Low"/>
  </r>
  <r>
    <n v="1008"/>
    <s v="Skirt"/>
    <d v="2023-02-24T00:00:00"/>
    <s v="Eve"/>
    <s v="Tracy Moore"/>
    <x v="1"/>
    <n v="0.08"/>
    <n v="460.1352"/>
    <x v="953"/>
    <n v="22"/>
    <x v="3"/>
    <n v="2269.3200000000002"/>
    <n v="2365.35"/>
    <s v="New"/>
    <n v="0.03"/>
    <s v="Cash"/>
    <s v="Retail"/>
    <s v="High"/>
  </r>
  <r>
    <n v="1099"/>
    <s v="Chest"/>
    <d v="2023-08-26T00:00:00"/>
    <s v="David"/>
    <s v="Hogan Rock"/>
    <x v="1"/>
    <n v="0.08"/>
    <n v="154.73440000000002"/>
    <x v="954"/>
    <n v="17"/>
    <x v="1"/>
    <n v="2471.73"/>
    <n v="2568.73"/>
    <s v="New"/>
    <n v="0.05"/>
    <s v="Cash"/>
    <s v="Retail"/>
    <s v="Low"/>
  </r>
  <r>
    <n v="1052"/>
    <s v="Wooden Chair"/>
    <d v="2023-12-22T00:00:00"/>
    <s v="Charlie"/>
    <s v="Susan Jerkins"/>
    <x v="1"/>
    <n v="0.08"/>
    <n v="228.68560000000002"/>
    <x v="955"/>
    <n v="18"/>
    <x v="1"/>
    <n v="1127.8599999999999"/>
    <n v="1586.29"/>
    <s v="New"/>
    <n v="0.04"/>
    <s v="Credit Card"/>
    <s v="Online"/>
    <s v="Low"/>
  </r>
  <r>
    <n v="1079"/>
    <s v="Wardrobe"/>
    <d v="2023-06-22T00:00:00"/>
    <s v="Eve"/>
    <s v="Tracy Moore"/>
    <x v="3"/>
    <n v="0.06"/>
    <n v="135.91380000000001"/>
    <x v="956"/>
    <n v="49"/>
    <x v="2"/>
    <n v="437.59"/>
    <n v="675.54"/>
    <s v="Returning"/>
    <n v="0.1"/>
    <s v="Cash"/>
    <s v="Online"/>
    <s v="Low"/>
  </r>
  <r>
    <n v="1047"/>
    <s v="Mouse"/>
    <d v="2023-08-09T00:00:00"/>
    <s v="David"/>
    <s v="Hogan Rock"/>
    <x v="0"/>
    <n v="7.4999999999999997E-2"/>
    <n v="143.25674999999998"/>
    <x v="957"/>
    <n v="41"/>
    <x v="2"/>
    <n v="2888.49"/>
    <n v="2929.45"/>
    <s v="New"/>
    <n v="0.06"/>
    <s v="Cash"/>
    <s v="Retail"/>
    <s v="Low"/>
  </r>
  <r>
    <n v="1056"/>
    <s v="Track Suits"/>
    <d v="2023-04-29T00:00:00"/>
    <s v="Charlie"/>
    <s v="Susan Jerkins"/>
    <x v="0"/>
    <n v="7.4999999999999997E-2"/>
    <n v="620.59050000000002"/>
    <x v="958"/>
    <n v="10"/>
    <x v="2"/>
    <n v="536.80999999999995"/>
    <n v="839.92"/>
    <s v="Returning"/>
    <n v="0.15"/>
    <s v="Bank Transfer"/>
    <s v="Online"/>
    <s v="High"/>
  </r>
  <r>
    <n v="1086"/>
    <s v="Gaming Console"/>
    <d v="2023-11-05T00:00:00"/>
    <s v="Alice"/>
    <s v="Scott Wayne"/>
    <x v="2"/>
    <n v="0.05"/>
    <n v="146.42500000000001"/>
    <x v="959"/>
    <n v="10"/>
    <x v="0"/>
    <n v="2273.91"/>
    <n v="2578.7999999999902"/>
    <s v="New"/>
    <n v="0.14000000000000001"/>
    <s v="Cash"/>
    <s v="Online"/>
    <s v="Low"/>
  </r>
  <r>
    <n v="1014"/>
    <s v="Cheese Block"/>
    <d v="2023-07-02T00:00:00"/>
    <s v="David"/>
    <s v="Hogan Rock"/>
    <x v="3"/>
    <n v="0.06"/>
    <n v="556.71180000000004"/>
    <x v="960"/>
    <n v="7"/>
    <x v="2"/>
    <n v="4705.46"/>
    <n v="4747.07"/>
    <s v="New"/>
    <n v="0.27"/>
    <s v="Bank Transfer"/>
    <s v="Retail"/>
    <s v="High"/>
  </r>
  <r>
    <n v="1090"/>
    <s v="Keyboard"/>
    <d v="2023-10-15T00:00:00"/>
    <s v="Charlie"/>
    <s v="Susan Jerkins"/>
    <x v="2"/>
    <n v="0.05"/>
    <n v="485.11350000000004"/>
    <x v="961"/>
    <n v="48"/>
    <x v="3"/>
    <n v="4766.53"/>
    <n v="5253.07"/>
    <s v="Returning"/>
    <n v="0.01"/>
    <s v="Bank Transfer"/>
    <s v="Online"/>
    <s v="High"/>
  </r>
  <r>
    <n v="1028"/>
    <s v="Pyjamas"/>
    <d v="2023-11-03T00:00:00"/>
    <s v="Alice"/>
    <s v="Scott Wayne"/>
    <x v="0"/>
    <n v="7.4999999999999997E-2"/>
    <n v="431.66099999999994"/>
    <x v="962"/>
    <n v="38"/>
    <x v="2"/>
    <n v="1234.69"/>
    <n v="1511.26"/>
    <s v="New"/>
    <n v="0.1"/>
    <s v="Bank Transfer"/>
    <s v="Online"/>
    <s v="High"/>
  </r>
  <r>
    <n v="1087"/>
    <s v="Sofa Set"/>
    <d v="2023-10-27T00:00:00"/>
    <s v="Eve"/>
    <s v="Tracy Moore"/>
    <x v="0"/>
    <n v="7.4999999999999997E-2"/>
    <n v="113.67825000000001"/>
    <x v="963"/>
    <n v="27"/>
    <x v="1"/>
    <n v="3139.36"/>
    <n v="3423.66"/>
    <s v="New"/>
    <n v="0.18"/>
    <s v="Credit Card"/>
    <s v="Online"/>
    <s v="Low"/>
  </r>
  <r>
    <n v="1078"/>
    <s v="Kitchen Island"/>
    <d v="2023-03-23T00:00:00"/>
    <s v="Eve"/>
    <s v="Tracy Moore"/>
    <x v="1"/>
    <n v="0.08"/>
    <n v="304.64240000000001"/>
    <x v="964"/>
    <n v="33"/>
    <x v="2"/>
    <n v="2396.6799999999998"/>
    <n v="2661.54"/>
    <s v="New"/>
    <n v="0.18"/>
    <s v="Bank Transfer"/>
    <s v="Online"/>
    <s v="Low"/>
  </r>
  <r>
    <n v="1088"/>
    <s v="Office Desk"/>
    <d v="2023-07-30T00:00:00"/>
    <s v="Eve"/>
    <s v="Tracy Moore"/>
    <x v="3"/>
    <n v="0.06"/>
    <n v="479.85300000000001"/>
    <x v="965"/>
    <n v="1"/>
    <x v="0"/>
    <n v="4384.6400000000003"/>
    <n v="4693.8999999999996"/>
    <s v="New"/>
    <n v="0.14000000000000001"/>
    <s v="Cash"/>
    <s v="Retail"/>
    <s v="High"/>
  </r>
  <r>
    <n v="1002"/>
    <s v="Bench"/>
    <d v="2023-05-30T00:00:00"/>
    <s v="Eve"/>
    <s v="Tracy Moore"/>
    <x v="0"/>
    <n v="7.4999999999999997E-2"/>
    <n v="280.28775000000002"/>
    <x v="966"/>
    <n v="44"/>
    <x v="0"/>
    <n v="1393.58"/>
    <n v="1533.09"/>
    <s v="Returning"/>
    <n v="0.24"/>
    <s v="Credit Card"/>
    <s v="Retail"/>
    <s v="Low"/>
  </r>
  <r>
    <n v="1026"/>
    <s v="Television"/>
    <d v="2023-02-06T00:00:00"/>
    <s v="Bob"/>
    <s v="Michael Smith"/>
    <x v="1"/>
    <n v="0.08"/>
    <n v="76.917600000000007"/>
    <x v="967"/>
    <n v="34"/>
    <x v="3"/>
    <n v="68.33"/>
    <n v="219.07999999999899"/>
    <s v="New"/>
    <n v="0.02"/>
    <s v="Credit Card"/>
    <s v="Online"/>
    <s v="Low"/>
  </r>
  <r>
    <n v="1014"/>
    <s v="Cheese Block"/>
    <d v="2023-12-18T00:00:00"/>
    <s v="David"/>
    <s v="Hogan Rock"/>
    <x v="3"/>
    <n v="0.06"/>
    <n v="336.73019999999997"/>
    <x v="968"/>
    <n v="4"/>
    <x v="0"/>
    <n v="854.68"/>
    <n v="1115.24"/>
    <s v="New"/>
    <n v="0.24"/>
    <s v="Credit Card"/>
    <s v="Retail"/>
    <s v="High"/>
  </r>
  <r>
    <n v="1059"/>
    <s v="Coffee Beans"/>
    <d v="2023-11-08T00:00:00"/>
    <s v="David"/>
    <s v="Hogan Rock"/>
    <x v="2"/>
    <n v="0.05"/>
    <n v="423.33500000000004"/>
    <x v="969"/>
    <n v="17"/>
    <x v="2"/>
    <n v="1780.14"/>
    <n v="2185.42"/>
    <s v="Returning"/>
    <n v="0.15"/>
    <s v="Credit Card"/>
    <s v="Retail"/>
    <s v="High"/>
  </r>
  <r>
    <n v="1056"/>
    <s v="Track Suits"/>
    <d v="2023-12-27T00:00:00"/>
    <s v="Bob"/>
    <s v="Michael Smith"/>
    <x v="3"/>
    <n v="0.06"/>
    <n v="478.78019999999998"/>
    <x v="970"/>
    <n v="4"/>
    <x v="1"/>
    <n v="1612.82"/>
    <n v="1647.25"/>
    <s v="Returning"/>
    <n v="0.04"/>
    <s v="Credit Card"/>
    <s v="Retail"/>
    <s v="High"/>
  </r>
  <r>
    <n v="1007"/>
    <s v="Fruit Jam"/>
    <d v="2023-02-28T00:00:00"/>
    <s v="Charlie"/>
    <s v="Susan Jerkins"/>
    <x v="3"/>
    <n v="0.06"/>
    <n v="110.0232"/>
    <x v="971"/>
    <n v="43"/>
    <x v="0"/>
    <n v="3967.25"/>
    <n v="4272.92"/>
    <s v="New"/>
    <n v="0.27"/>
    <s v="Credit Card"/>
    <s v="Online"/>
    <s v="Low"/>
  </r>
  <r>
    <n v="1003"/>
    <s v="Stool"/>
    <d v="2023-05-11T00:00:00"/>
    <s v="Charlie"/>
    <s v="Susan Jerkins"/>
    <x v="0"/>
    <n v="7.4999999999999997E-2"/>
    <n v="507.02774999999997"/>
    <x v="972"/>
    <n v="26"/>
    <x v="3"/>
    <n v="3418.78"/>
    <n v="3824.1"/>
    <s v="New"/>
    <n v="0.19"/>
    <s v="Credit Card"/>
    <s v="Online"/>
    <s v="High"/>
  </r>
  <r>
    <n v="1023"/>
    <s v="Tights"/>
    <d v="2023-07-21T00:00:00"/>
    <s v="Eve"/>
    <s v="Tracy Moore"/>
    <x v="0"/>
    <n v="7.4999999999999997E-2"/>
    <n v="171.22424999999998"/>
    <x v="973"/>
    <n v="4"/>
    <x v="2"/>
    <n v="1532.8"/>
    <n v="1619.69"/>
    <s v="Returning"/>
    <n v="0.05"/>
    <s v="Bank Transfer"/>
    <s v="Retail"/>
    <s v="Low"/>
  </r>
  <r>
    <n v="1018"/>
    <s v="Dress Shirt"/>
    <d v="2023-08-31T00:00:00"/>
    <s v="Alice"/>
    <s v="Scott Wayne"/>
    <x v="3"/>
    <n v="0.06"/>
    <n v="135.61500000000001"/>
    <x v="974"/>
    <n v="1"/>
    <x v="3"/>
    <n v="2315.83"/>
    <n v="2333.19"/>
    <s v="New"/>
    <n v="0.01"/>
    <s v="Cash"/>
    <s v="Retail"/>
    <s v="Low"/>
  </r>
  <r>
    <n v="1038"/>
    <s v="Jean Pants"/>
    <d v="2023-02-04T00:00:00"/>
    <s v="Charlie"/>
    <s v="Susan Jerkins"/>
    <x v="0"/>
    <n v="7.4999999999999997E-2"/>
    <n v="656.49824999999998"/>
    <x v="975"/>
    <n v="7"/>
    <x v="0"/>
    <n v="523.02"/>
    <n v="686.25"/>
    <s v="Returning"/>
    <n v="0.04"/>
    <s v="Cash"/>
    <s v="Online"/>
    <s v="High"/>
  </r>
  <r>
    <n v="1099"/>
    <s v="Chest"/>
    <d v="2023-04-03T00:00:00"/>
    <s v="Alice"/>
    <s v="Scott Wayne"/>
    <x v="0"/>
    <n v="7.4999999999999997E-2"/>
    <n v="192.87899999999999"/>
    <x v="976"/>
    <n v="30"/>
    <x v="0"/>
    <n v="4495.82"/>
    <n v="4794.0099999999902"/>
    <s v="New"/>
    <n v="0.18"/>
    <s v="Bank Transfer"/>
    <s v="Retail"/>
    <s v="Low"/>
  </r>
  <r>
    <n v="1015"/>
    <s v="Chocolate Bar"/>
    <d v="2023-07-26T00:00:00"/>
    <s v="David"/>
    <s v="Hogan Rock"/>
    <x v="0"/>
    <n v="7.4999999999999997E-2"/>
    <n v="202.96125000000001"/>
    <x v="977"/>
    <n v="9"/>
    <x v="3"/>
    <n v="4680.3500000000004"/>
    <n v="4758.1099999999997"/>
    <s v="Returning"/>
    <n v="0.05"/>
    <s v="Bank Transfer"/>
    <s v="Online"/>
    <s v="Low"/>
  </r>
  <r>
    <n v="1064"/>
    <s v="Smartphone"/>
    <d v="2023-12-19T00:00:00"/>
    <s v="Alice"/>
    <s v="Scott Wayne"/>
    <x v="1"/>
    <n v="0.08"/>
    <n v="8.5175999999999998"/>
    <x v="978"/>
    <n v="35"/>
    <x v="2"/>
    <n v="4900.03"/>
    <n v="5118.83"/>
    <s v="Returning"/>
    <n v="7.0000000000000007E-2"/>
    <s v="Credit Card"/>
    <s v="Retail"/>
    <s v="Low"/>
  </r>
  <r>
    <n v="1089"/>
    <s v="Recliner"/>
    <d v="2023-11-28T00:00:00"/>
    <s v="David"/>
    <s v="Hogan Rock"/>
    <x v="1"/>
    <n v="0.08"/>
    <n v="697.56960000000004"/>
    <x v="979"/>
    <n v="8"/>
    <x v="0"/>
    <n v="4349.34"/>
    <n v="4629.9799999999996"/>
    <s v="Returning"/>
    <n v="0.01"/>
    <s v="Credit Card"/>
    <s v="Online"/>
    <s v="High"/>
  </r>
  <r>
    <n v="1028"/>
    <s v="Pyjamas"/>
    <d v="2023-11-01T00:00:00"/>
    <s v="Bob"/>
    <s v="Michael Smith"/>
    <x v="3"/>
    <n v="0.06"/>
    <n v="476.80139999999994"/>
    <x v="153"/>
    <n v="24"/>
    <x v="1"/>
    <n v="911.11"/>
    <n v="1214.56"/>
    <s v="New"/>
    <n v="0.22"/>
    <s v="Bank Transfer"/>
    <s v="Online"/>
    <s v="High"/>
  </r>
  <r>
    <n v="1074"/>
    <s v="French Fries"/>
    <d v="2023-12-16T00:00:00"/>
    <s v="Bob"/>
    <s v="Michael Smith"/>
    <x v="0"/>
    <n v="7.4999999999999997E-2"/>
    <n v="473.29200000000003"/>
    <x v="980"/>
    <n v="19"/>
    <x v="0"/>
    <n v="278.67"/>
    <n v="423.13"/>
    <s v="New"/>
    <n v="0.24"/>
    <s v="Credit Card"/>
    <s v="Online"/>
    <s v="High"/>
  </r>
  <r>
    <n v="1039"/>
    <s v="Hoodie"/>
    <d v="2023-08-01T00:00:00"/>
    <s v="Eve"/>
    <s v="Tracy Moore"/>
    <x v="1"/>
    <n v="0.08"/>
    <n v="602.21040000000005"/>
    <x v="981"/>
    <n v="36"/>
    <x v="2"/>
    <n v="2919"/>
    <n v="3125.01"/>
    <s v="New"/>
    <n v="0.24"/>
    <s v="Cash"/>
    <s v="Online"/>
    <s v="High"/>
  </r>
  <r>
    <n v="1057"/>
    <s v="Avocadro Pear"/>
    <d v="2023-06-08T00:00:00"/>
    <s v="Charlie"/>
    <s v="Susan Jerkins"/>
    <x v="3"/>
    <n v="0.06"/>
    <n v="96.316800000000001"/>
    <x v="982"/>
    <n v="43"/>
    <x v="0"/>
    <n v="4567.3900000000003"/>
    <n v="4958.78"/>
    <s v="New"/>
    <n v="0.04"/>
    <s v="Cash"/>
    <s v="Retail"/>
    <s v="Low"/>
  </r>
  <r>
    <n v="1017"/>
    <s v="Peaches"/>
    <d v="2023-01-24T00:00:00"/>
    <s v="Eve"/>
    <s v="Tracy Moore"/>
    <x v="0"/>
    <n v="7.4999999999999997E-2"/>
    <n v="347.80499999999995"/>
    <x v="983"/>
    <n v="27"/>
    <x v="3"/>
    <n v="927.89"/>
    <n v="1399.09"/>
    <s v="Returning"/>
    <n v="0.27"/>
    <s v="Credit Card"/>
    <s v="Online"/>
    <s v="Low"/>
  </r>
  <r>
    <n v="1086"/>
    <s v="Gaming Console"/>
    <d v="2023-10-20T00:00:00"/>
    <s v="David"/>
    <s v="Hogan Rock"/>
    <x v="2"/>
    <n v="0.05"/>
    <n v="178.85350000000003"/>
    <x v="984"/>
    <n v="32"/>
    <x v="0"/>
    <n v="84.86"/>
    <n v="517.17999999999995"/>
    <s v="Returning"/>
    <n v="0.2"/>
    <s v="Credit Card"/>
    <s v="Retail"/>
    <s v="Low"/>
  </r>
  <r>
    <n v="1090"/>
    <s v="Keyboard"/>
    <d v="2023-01-04T00:00:00"/>
    <s v="Eve"/>
    <s v="Tracy Moore"/>
    <x v="0"/>
    <n v="7.4999999999999997E-2"/>
    <n v="77.129249999999999"/>
    <x v="985"/>
    <n v="14"/>
    <x v="0"/>
    <n v="4037.21"/>
    <n v="4323.71"/>
    <s v="Returning"/>
    <n v="0.27"/>
    <s v="Credit Card"/>
    <s v="Online"/>
    <s v="Low"/>
  </r>
  <r>
    <n v="1044"/>
    <s v="Burger"/>
    <d v="2023-08-08T00:00:00"/>
    <s v="Alice"/>
    <s v="Scott Wayne"/>
    <x v="0"/>
    <n v="7.4999999999999997E-2"/>
    <n v="368.45174999999995"/>
    <x v="986"/>
    <n v="18"/>
    <x v="2"/>
    <n v="430.14"/>
    <n v="641.17999999999995"/>
    <s v="New"/>
    <n v="0.13"/>
    <s v="Cash"/>
    <s v="Online"/>
    <s v="Low"/>
  </r>
  <r>
    <n v="1025"/>
    <s v="Mayonnaise"/>
    <d v="2023-12-30T00:00:00"/>
    <s v="David"/>
    <s v="Hogan Rock"/>
    <x v="1"/>
    <n v="0.08"/>
    <n v="737.22559999999999"/>
    <x v="987"/>
    <n v="28"/>
    <x v="3"/>
    <n v="2097.84"/>
    <n v="2270.9899999999998"/>
    <s v="New"/>
    <n v="0.13"/>
    <s v="Credit Card"/>
    <s v="Retail"/>
    <s v="High"/>
  </r>
  <r>
    <n v="1017"/>
    <s v="Peaches"/>
    <d v="2023-01-20T00:00:00"/>
    <s v="Bob"/>
    <s v="Michael Smith"/>
    <x v="3"/>
    <n v="0.06"/>
    <n v="29.795399999999997"/>
    <x v="988"/>
    <n v="29"/>
    <x v="2"/>
    <n v="3410.49"/>
    <n v="3481.72"/>
    <s v="New"/>
    <n v="0.24"/>
    <s v="Bank Transfer"/>
    <s v="Retail"/>
    <s v="Low"/>
  </r>
  <r>
    <n v="1013"/>
    <s v="Gas Cooker"/>
    <d v="2023-06-01T00:00:00"/>
    <s v="Charlie"/>
    <s v="Susan Jerkins"/>
    <x v="3"/>
    <n v="0.06"/>
    <n v="179.1276"/>
    <x v="989"/>
    <n v="16"/>
    <x v="0"/>
    <n v="1222.1500000000001"/>
    <n v="1284.3599999999999"/>
    <s v="Returning"/>
    <n v="0.03"/>
    <s v="Credit Card"/>
    <s v="Retail"/>
    <s v="Low"/>
  </r>
  <r>
    <n v="1084"/>
    <s v="Card Table"/>
    <d v="2023-02-19T00:00:00"/>
    <s v="David"/>
    <s v="Hogan Rock"/>
    <x v="1"/>
    <n v="0.08"/>
    <n v="172.37279999999998"/>
    <x v="990"/>
    <n v="35"/>
    <x v="1"/>
    <n v="465.61"/>
    <n v="812.91"/>
    <s v="New"/>
    <n v="0.16"/>
    <s v="Bank Transfer"/>
    <s v="Online"/>
    <s v="Low"/>
  </r>
  <r>
    <n v="1025"/>
    <s v="Mayonnaise"/>
    <d v="2023-06-26T00:00:00"/>
    <s v="David"/>
    <s v="Hogan Rock"/>
    <x v="0"/>
    <n v="7.4999999999999997E-2"/>
    <n v="184.32374999999999"/>
    <x v="991"/>
    <n v="47"/>
    <x v="0"/>
    <n v="3861.61"/>
    <n v="3998.91"/>
    <s v="New"/>
    <n v="0.25"/>
    <s v="Credit Card"/>
    <s v="Online"/>
    <s v="Low"/>
  </r>
  <r>
    <n v="1068"/>
    <s v="Leggings"/>
    <d v="2023-04-06T00:00:00"/>
    <s v="Alice"/>
    <s v="Scott Wayne"/>
    <x v="2"/>
    <n v="0.05"/>
    <n v="454.67500000000001"/>
    <x v="992"/>
    <n v="31"/>
    <x v="2"/>
    <n v="3169.37"/>
    <n v="3304.15"/>
    <s v="Returning"/>
    <n v="0.25"/>
    <s v="Credit Card"/>
    <s v="Retail"/>
    <s v="High"/>
  </r>
  <r>
    <n v="1010"/>
    <s v="Lawn Chair"/>
    <d v="2023-04-15T00:00:00"/>
    <s v="Charlie"/>
    <s v="Susan Jerkins"/>
    <x v="0"/>
    <n v="7.4999999999999997E-2"/>
    <n v="355.041"/>
    <x v="993"/>
    <n v="4"/>
    <x v="1"/>
    <n v="4943.03"/>
    <n v="5442.15"/>
    <s v="Returning"/>
    <n v="0.28999999999999998"/>
    <s v="Cash"/>
    <s v="Online"/>
    <s v="Low"/>
  </r>
  <r>
    <n v="1067"/>
    <s v="Grapes"/>
    <d v="2023-09-07T00:00:00"/>
    <s v="Bob"/>
    <s v="Michael Smith"/>
    <x v="0"/>
    <n v="7.4999999999999997E-2"/>
    <n v="353.72699999999998"/>
    <x v="994"/>
    <n v="37"/>
    <x v="2"/>
    <n v="1754.32"/>
    <n v="1856.3999999999901"/>
    <s v="New"/>
    <n v="0.21"/>
    <s v="Bank Transfer"/>
    <s v="Retail"/>
    <s v="Low"/>
  </r>
  <r>
    <n v="1018"/>
    <s v="Dress Shirt"/>
    <d v="2023-04-27T00:00:00"/>
    <s v="David"/>
    <s v="Hogan Rock"/>
    <x v="2"/>
    <n v="0.05"/>
    <n v="381.48500000000001"/>
    <x v="995"/>
    <n v="17"/>
    <x v="2"/>
    <n v="355.72"/>
    <n v="438.27"/>
    <s v="Returning"/>
    <n v="0.06"/>
    <s v="Bank Transfer"/>
    <s v="Online"/>
    <s v="High"/>
  </r>
  <r>
    <n v="1100"/>
    <s v="Protein Cookies"/>
    <d v="2023-12-20T00:00:00"/>
    <s v="David"/>
    <s v="Hogan Rock"/>
    <x v="1"/>
    <n v="0.08"/>
    <n v="130.35759999999999"/>
    <x v="996"/>
    <n v="39"/>
    <x v="3"/>
    <n v="3685.03"/>
    <n v="3743.39"/>
    <s v="New"/>
    <n v="0.01"/>
    <s v="Bank Transfer"/>
    <s v="Online"/>
    <s v="Low"/>
  </r>
  <r>
    <n v="1086"/>
    <s v="Gaming Console"/>
    <d v="2023-08-16T00:00:00"/>
    <s v="Alice"/>
    <s v="Scott Wayne"/>
    <x v="3"/>
    <n v="0.06"/>
    <n v="295.43580000000003"/>
    <x v="997"/>
    <n v="48"/>
    <x v="1"/>
    <n v="2632.58"/>
    <n v="2926.68"/>
    <s v="Returning"/>
    <n v="0.14000000000000001"/>
    <s v="Cash"/>
    <s v="Online"/>
    <s v="Low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1052"/>
    <s v="Wooden Chair"/>
    <d v="2023-02-03T00:00:00"/>
    <s v="Bob"/>
    <s v="Michael Smith"/>
    <s v="North"/>
    <n v="7.4999999999999997E-2"/>
    <n v="379.04775000000001"/>
    <n v="5053.97"/>
    <n v="18"/>
    <s v="Furniture"/>
    <n v="152.75"/>
    <n v="267.22000000000003"/>
    <s v="Returning"/>
    <n v="0.09"/>
    <s v="Cash"/>
    <s v="Online"/>
    <s v="High"/>
  </r>
  <r>
    <n v="1093"/>
    <s v="Dining Table"/>
    <d v="2023-04-21T00:00:00"/>
    <s v="Bob"/>
    <s v="Michael Smith"/>
    <s v="West"/>
    <n v="0.08"/>
    <n v="350.72160000000002"/>
    <n v="4384.0200000000004"/>
    <n v="17"/>
    <s v="Furniture"/>
    <n v="3816.39"/>
    <n v="4209.4399999999996"/>
    <s v="Returning"/>
    <n v="0.11"/>
    <s v="Cash"/>
    <s v="Retail"/>
    <s v="Low"/>
  </r>
  <r>
    <n v="1015"/>
    <s v="Chocolate Bar"/>
    <d v="2023-09-21T00:00:00"/>
    <s v="David"/>
    <s v="Hogan Rock"/>
    <s v="South"/>
    <n v="0.05"/>
    <n v="231.5615"/>
    <n v="4631.2299999999996"/>
    <n v="30"/>
    <s v="Food"/>
    <n v="261.56"/>
    <n v="371.4"/>
    <s v="Returning"/>
    <n v="0.2"/>
    <s v="Bank Transfer"/>
    <s v="Retail"/>
    <s v="Low"/>
  </r>
  <r>
    <n v="1072"/>
    <s v="T-Shirt"/>
    <d v="2023-08-24T00:00:00"/>
    <s v="Bob"/>
    <s v="Michael Smith"/>
    <s v="South"/>
    <n v="0.05"/>
    <n v="108.39700000000001"/>
    <n v="2167.94"/>
    <n v="39"/>
    <s v="Clothing"/>
    <n v="4330.03"/>
    <n v="4467.75"/>
    <s v="New"/>
    <n v="0.02"/>
    <s v="Credit Card"/>
    <s v="Retail"/>
    <s v="Low"/>
  </r>
  <r>
    <n v="1061"/>
    <s v="Laptop"/>
    <d v="2023-03-24T00:00:00"/>
    <s v="Charlie"/>
    <s v="Susan Jerkins"/>
    <s v="East"/>
    <n v="0.06"/>
    <n v="225.01199999999997"/>
    <n v="3750.2"/>
    <n v="13"/>
    <s v="Electronics"/>
    <n v="637.37"/>
    <n v="692.71"/>
    <s v="New"/>
    <n v="0.08"/>
    <s v="Credit Card"/>
    <s v="Online"/>
    <s v="Low"/>
  </r>
  <r>
    <n v="1021"/>
    <s v="Almond Milk"/>
    <d v="2023-02-11T00:00:00"/>
    <s v="Charlie"/>
    <s v="Susan Jerkins"/>
    <s v="West"/>
    <n v="0.08"/>
    <n v="300.892"/>
    <n v="3761.15"/>
    <n v="32"/>
    <s v="Food"/>
    <n v="900.79"/>
    <n v="1106.51"/>
    <s v="New"/>
    <n v="0.21"/>
    <s v="Cash"/>
    <s v="Online"/>
    <s v="Low"/>
  </r>
  <r>
    <n v="1083"/>
    <s v="Nightstand"/>
    <d v="2023-04-11T00:00:00"/>
    <s v="Bob"/>
    <s v="Michael Smith"/>
    <s v="West"/>
    <n v="0.08"/>
    <n v="49.464799999999997"/>
    <n v="618.30999999999995"/>
    <n v="29"/>
    <s v="Furniture"/>
    <n v="2408.81"/>
    <n v="2624.09"/>
    <s v="Returning"/>
    <n v="0.14000000000000001"/>
    <s v="Cash"/>
    <s v="Online"/>
    <s v="Low"/>
  </r>
  <r>
    <n v="1087"/>
    <s v="Sofa Set"/>
    <d v="2023-01-06T00:00:00"/>
    <s v="Eve"/>
    <s v="Tracy Moore"/>
    <s v="South"/>
    <n v="0.05"/>
    <n v="384.94600000000003"/>
    <n v="7698.92"/>
    <n v="46"/>
    <s v="Furniture"/>
    <n v="3702.51"/>
    <n v="3964.65"/>
    <s v="New"/>
    <n v="0.12"/>
    <s v="Bank Transfer"/>
    <s v="Online"/>
    <s v="High"/>
  </r>
  <r>
    <n v="1075"/>
    <s v="Bookshelf"/>
    <d v="2023-06-29T00:00:00"/>
    <s v="David"/>
    <s v="Hogan Rock"/>
    <s v="South"/>
    <n v="0.05"/>
    <n v="211.16950000000003"/>
    <n v="4223.3900000000003"/>
    <n v="30"/>
    <s v="Furniture"/>
    <n v="738.06"/>
    <n v="1095.44999999999"/>
    <s v="New"/>
    <n v="0.05"/>
    <s v="Bank Transfer"/>
    <s v="Online"/>
    <s v="Low"/>
  </r>
  <r>
    <n v="1075"/>
    <s v="Bookshelf"/>
    <d v="2023-10-09T00:00:00"/>
    <s v="Charlie"/>
    <s v="Susan Jerkins"/>
    <s v="West"/>
    <n v="0.08"/>
    <n v="659.16639999999995"/>
    <n v="8239.58"/>
    <n v="18"/>
    <s v="Clothing"/>
    <n v="2228.35"/>
    <n v="2682.34"/>
    <s v="New"/>
    <n v="0.13"/>
    <s v="Bank Transfer"/>
    <s v="Online"/>
    <s v="High"/>
  </r>
  <r>
    <n v="1088"/>
    <s v="Office Desk"/>
    <d v="2023-11-16T00:00:00"/>
    <s v="Eve"/>
    <s v="Tracy Moore"/>
    <s v="North"/>
    <n v="7.4999999999999997E-2"/>
    <n v="638.88375000000008"/>
    <n v="8518.4500000000007"/>
    <n v="13"/>
    <s v="Furniture"/>
    <n v="2440.11"/>
    <n v="2517.6"/>
    <s v="New"/>
    <n v="0.23"/>
    <s v="Bank Transfer"/>
    <s v="Retail"/>
    <s v="High"/>
  </r>
  <r>
    <n v="1100"/>
    <s v="Protein Cookies"/>
    <d v="2023-08-14T00:00:00"/>
    <s v="Bob"/>
    <s v="Michael Smith"/>
    <s v="West"/>
    <n v="0.08"/>
    <n v="175.89919999999998"/>
    <n v="2198.7399999999998"/>
    <n v="43"/>
    <s v="Food"/>
    <n v="1100.81"/>
    <n v="1137.44"/>
    <s v="Returning"/>
    <n v="0.08"/>
    <s v="Bank Transfer"/>
    <s v="Online"/>
    <s v="Low"/>
  </r>
  <r>
    <n v="1024"/>
    <s v="Pasta Pack"/>
    <d v="2023-11-11T00:00:00"/>
    <s v="Eve"/>
    <s v="Tracy Moore"/>
    <s v="West"/>
    <n v="0.08"/>
    <n v="528.62400000000002"/>
    <n v="6607.8"/>
    <n v="21"/>
    <s v="Food"/>
    <n v="622.01"/>
    <n v="641.09"/>
    <s v="Returning"/>
    <n v="0"/>
    <s v="Bank Transfer"/>
    <s v="Retail"/>
    <s v="High"/>
  </r>
  <r>
    <n v="1003"/>
    <s v="Stool"/>
    <d v="2023-12-31T00:00:00"/>
    <s v="Alice"/>
    <s v="Scott Wayne"/>
    <s v="South"/>
    <n v="0.05"/>
    <n v="238.77950000000001"/>
    <n v="4775.59"/>
    <n v="30"/>
    <s v="Furniture"/>
    <n v="4190.28"/>
    <n v="4270.6499999999996"/>
    <s v="New"/>
    <n v="0.2"/>
    <s v="Cash"/>
    <s v="Online"/>
    <s v="Low"/>
  </r>
  <r>
    <n v="1022"/>
    <s v="Organic Honey"/>
    <d v="2023-08-17T00:00:00"/>
    <s v="Charlie"/>
    <s v="Susan Jerkins"/>
    <s v="South"/>
    <n v="0.05"/>
    <n v="440.67750000000001"/>
    <n v="8813.5499999999993"/>
    <n v="21"/>
    <s v="Food"/>
    <n v="2537.1999999999998"/>
    <n v="2869.6"/>
    <s v="New"/>
    <n v="0.28999999999999998"/>
    <s v="Bank Transfer"/>
    <s v="Retail"/>
    <s v="High"/>
  </r>
  <r>
    <n v="1053"/>
    <s v="Bed"/>
    <d v="2023-10-16T00:00:00"/>
    <s v="Bob"/>
    <s v="Michael Smith"/>
    <s v="North"/>
    <n v="7.4999999999999997E-2"/>
    <n v="167.68724999999998"/>
    <n v="2235.83"/>
    <n v="48"/>
    <s v="Furniture"/>
    <n v="121.19"/>
    <n v="487.65"/>
    <s v="New"/>
    <n v="0.18"/>
    <s v="Cash"/>
    <s v="Retail"/>
    <s v="Low"/>
  </r>
  <r>
    <n v="1002"/>
    <s v="Bench"/>
    <d v="2023-05-30T00:00:00"/>
    <s v="David"/>
    <s v="Hogan Rock"/>
    <s v="North"/>
    <n v="7.4999999999999997E-2"/>
    <n v="510.77625"/>
    <n v="6810.35"/>
    <n v="17"/>
    <s v="Furniture"/>
    <n v="4024.76"/>
    <n v="4420.1499999999996"/>
    <s v="Returning"/>
    <n v="0.04"/>
    <s v="Cash"/>
    <s v="Online"/>
    <s v="High"/>
  </r>
  <r>
    <n v="1088"/>
    <s v="Office Desk"/>
    <d v="2023-10-04T00:00:00"/>
    <s v="Bob"/>
    <s v="Michael Smith"/>
    <s v="East"/>
    <n v="0.06"/>
    <n v="367.005"/>
    <n v="6116.75"/>
    <n v="40"/>
    <s v="Electronics"/>
    <n v="4904.93"/>
    <n v="5034.3500000000004"/>
    <s v="New"/>
    <n v="0.1"/>
    <s v="Credit Card"/>
    <s v="Retail"/>
    <s v="High"/>
  </r>
  <r>
    <n v="1030"/>
    <s v="Jeans"/>
    <d v="2023-07-17T00:00:00"/>
    <s v="David"/>
    <s v="Hogan Rock"/>
    <s v="West"/>
    <n v="0.08"/>
    <n v="241.8784"/>
    <n v="3023.48"/>
    <n v="19"/>
    <s v="Clothing"/>
    <n v="3049.33"/>
    <n v="3209.22"/>
    <s v="Returning"/>
    <n v="0.26"/>
    <s v="Cash"/>
    <s v="Online"/>
    <s v="Low"/>
  </r>
  <r>
    <n v="1038"/>
    <s v="Jean Pants"/>
    <d v="2023-03-11T00:00:00"/>
    <s v="Bob"/>
    <s v="Michael Smith"/>
    <s v="South"/>
    <n v="0.05"/>
    <n v="72.617499999999993"/>
    <n v="1452.35"/>
    <n v="15"/>
    <s v="Clothing"/>
    <n v="2543.36"/>
    <n v="2790.1"/>
    <s v="Returning"/>
    <n v="7.0000000000000007E-2"/>
    <s v="Cash"/>
    <s v="Online"/>
    <s v="Low"/>
  </r>
  <r>
    <n v="1002"/>
    <s v="Bench"/>
    <d v="2023-04-22T00:00:00"/>
    <s v="Eve"/>
    <s v="Tracy Moore"/>
    <s v="North"/>
    <n v="7.4999999999999997E-2"/>
    <n v="491.34224999999992"/>
    <n v="6551.23"/>
    <n v="9"/>
    <s v="Electronics"/>
    <n v="4398.16"/>
    <n v="4439.12"/>
    <s v="New"/>
    <n v="0.18"/>
    <s v="Bank Transfer"/>
    <s v="Online"/>
    <s v="High"/>
  </r>
  <r>
    <n v="1064"/>
    <s v="Smartphone"/>
    <d v="2023-01-04T00:00:00"/>
    <s v="Eve"/>
    <s v="Tracy Moore"/>
    <s v="East"/>
    <n v="0.06"/>
    <n v="444.72659999999996"/>
    <n v="7412.11"/>
    <n v="10"/>
    <s v="Electronics"/>
    <n v="4764.96"/>
    <n v="5074.42"/>
    <s v="New"/>
    <n v="0.12"/>
    <s v="Cash"/>
    <s v="Online"/>
    <s v="High"/>
  </r>
  <r>
    <n v="1060"/>
    <s v="Head Warmer"/>
    <d v="2023-12-16T00:00:00"/>
    <s v="Eve"/>
    <s v="Tracy Moore"/>
    <s v="East"/>
    <n v="0.06"/>
    <n v="193.48259999999999"/>
    <n v="3224.71"/>
    <n v="44"/>
    <s v="Clothing"/>
    <n v="3784.96"/>
    <n v="4276.99"/>
    <s v="New"/>
    <n v="0.06"/>
    <s v="Bank Transfer"/>
    <s v="Retail"/>
    <s v="Low"/>
  </r>
  <r>
    <n v="1021"/>
    <s v="Almond Milk"/>
    <d v="2023-11-27T00:00:00"/>
    <s v="Alice"/>
    <s v="Scott Wayne"/>
    <s v="South"/>
    <n v="0.05"/>
    <n v="324.19200000000001"/>
    <n v="6483.84"/>
    <n v="31"/>
    <s v="Furniture"/>
    <n v="2254.9899999999998"/>
    <n v="2441.79"/>
    <s v="Returning"/>
    <n v="0.24"/>
    <s v="Bank Transfer"/>
    <s v="Online"/>
    <s v="High"/>
  </r>
  <r>
    <n v="1033"/>
    <s v="TV Stand"/>
    <d v="2023-11-14T00:00:00"/>
    <s v="David"/>
    <s v="Hogan Rock"/>
    <s v="South"/>
    <n v="0.05"/>
    <n v="200.59000000000003"/>
    <n v="4011.8"/>
    <n v="23"/>
    <s v="Furniture"/>
    <n v="2981.5"/>
    <n v="3360.4"/>
    <s v="Returning"/>
    <n v="0.22"/>
    <s v="Bank Transfer"/>
    <s v="Retail"/>
    <s v="Low"/>
  </r>
  <r>
    <n v="1076"/>
    <s v="Polo Shirt"/>
    <d v="2023-12-16T00:00:00"/>
    <s v="Eve"/>
    <s v="Tracy Moore"/>
    <s v="East"/>
    <n v="0.06"/>
    <n v="429.64499999999998"/>
    <n v="7160.75"/>
    <n v="30"/>
    <s v="Clothing"/>
    <n v="3519.63"/>
    <n v="3774.65"/>
    <s v="New"/>
    <n v="0.2"/>
    <s v="Credit Card"/>
    <s v="Retail"/>
    <s v="High"/>
  </r>
  <r>
    <n v="1058"/>
    <s v="Wardrobe"/>
    <d v="2023-04-05T00:00:00"/>
    <s v="Alice"/>
    <s v="Scott Wayne"/>
    <s v="North"/>
    <n v="7.4999999999999997E-2"/>
    <n v="155.41725"/>
    <n v="2072.23"/>
    <n v="33"/>
    <s v="Furniture"/>
    <n v="1011.65"/>
    <n v="1084.28"/>
    <s v="Returning"/>
    <n v="7.0000000000000007E-2"/>
    <s v="Bank Transfer"/>
    <s v="Retail"/>
    <s v="Low"/>
  </r>
  <r>
    <n v="1022"/>
    <s v="Organic Honey"/>
    <d v="2023-06-01T00:00:00"/>
    <s v="David"/>
    <s v="Hogan Rock"/>
    <s v="East"/>
    <n v="0.06"/>
    <n v="534.78779999999995"/>
    <n v="8913.1299999999992"/>
    <n v="9"/>
    <s v="Electronics"/>
    <n v="2263.65"/>
    <n v="2558.9499999999998"/>
    <s v="New"/>
    <n v="0.03"/>
    <s v="Cash"/>
    <s v="Online"/>
    <s v="High"/>
  </r>
  <r>
    <n v="1089"/>
    <s v="Recliner"/>
    <d v="2023-11-07T00:00:00"/>
    <s v="Bob"/>
    <s v="Michael Smith"/>
    <s v="West"/>
    <n v="0.08"/>
    <n v="235.62880000000001"/>
    <n v="2945.36"/>
    <n v="47"/>
    <s v="Furniture"/>
    <n v="4157.62"/>
    <n v="4314.5599999999904"/>
    <s v="New"/>
    <n v="0.17"/>
    <s v="Bank Transfer"/>
    <s v="Retail"/>
    <s v="Low"/>
  </r>
  <r>
    <n v="1049"/>
    <s v="Coffee Table"/>
    <d v="2023-05-17T00:00:00"/>
    <s v="Alice"/>
    <s v="Scott Wayne"/>
    <s v="West"/>
    <n v="0.08"/>
    <n v="299.28640000000001"/>
    <n v="3741.08"/>
    <n v="1"/>
    <s v="Furniture"/>
    <n v="3290.89"/>
    <n v="3317.75"/>
    <s v="Returning"/>
    <n v="0.17"/>
    <s v="Bank Transfer"/>
    <s v="Online"/>
    <s v="Low"/>
  </r>
  <r>
    <n v="1091"/>
    <s v="Granola Bar"/>
    <d v="2023-09-04T00:00:00"/>
    <s v="Charlie"/>
    <s v="Susan Jerkins"/>
    <s v="South"/>
    <n v="0.05"/>
    <n v="33.755500000000005"/>
    <n v="675.11"/>
    <n v="44"/>
    <s v="Food"/>
    <n v="2085.46"/>
    <n v="2406.58"/>
    <s v="Returning"/>
    <n v="0.06"/>
    <s v="Bank Transfer"/>
    <s v="Retail"/>
    <s v="Low"/>
  </r>
  <r>
    <n v="1059"/>
    <s v="Coffee Beans"/>
    <d v="2023-08-31T00:00:00"/>
    <s v="Alice"/>
    <s v="Scott Wayne"/>
    <s v="North"/>
    <n v="7.4999999999999997E-2"/>
    <n v="90.297749999999994"/>
    <n v="1203.97"/>
    <n v="35"/>
    <s v="Food"/>
    <n v="3333.64"/>
    <n v="3764.52"/>
    <s v="Returning"/>
    <n v="0.02"/>
    <s v="Credit Card"/>
    <s v="Online"/>
    <s v="Low"/>
  </r>
  <r>
    <n v="1042"/>
    <s v="Frozen Pizza"/>
    <d v="2023-01-31T00:00:00"/>
    <s v="Alice"/>
    <s v="Scott Wayne"/>
    <s v="North"/>
    <n v="7.4999999999999997E-2"/>
    <n v="390.52724999999998"/>
    <n v="5207.03"/>
    <n v="11"/>
    <s v="Food"/>
    <n v="635.20000000000005"/>
    <n v="814.14"/>
    <s v="Returning"/>
    <n v="0.02"/>
    <s v="Cash"/>
    <s v="Online"/>
    <s v="High"/>
  </r>
  <r>
    <n v="1092"/>
    <s v="Recliner"/>
    <d v="2023-02-09T00:00:00"/>
    <s v="David"/>
    <s v="Hogan Rock"/>
    <s v="West"/>
    <n v="0.08"/>
    <n v="219.93360000000001"/>
    <n v="2749.17"/>
    <n v="34"/>
    <s v="Furniture"/>
    <n v="2037.41"/>
    <n v="2238.65"/>
    <s v="New"/>
    <n v="0.3"/>
    <s v="Credit Card"/>
    <s v="Online"/>
    <s v="Low"/>
  </r>
  <r>
    <n v="1060"/>
    <s v="Head Warmer"/>
    <d v="2023-08-17T00:00:00"/>
    <s v="Bob"/>
    <s v="Michael Smith"/>
    <s v="East"/>
    <n v="0.06"/>
    <n v="502.27499999999998"/>
    <n v="8371.25"/>
    <n v="16"/>
    <s v="Clothing"/>
    <n v="3975.99"/>
    <n v="4422.59"/>
    <s v="New"/>
    <n v="0.24"/>
    <s v="Cash"/>
    <s v="Online"/>
    <s v="High"/>
  </r>
  <r>
    <n v="1080"/>
    <s v="Headphones"/>
    <d v="2023-02-05T00:00:00"/>
    <s v="Charlie"/>
    <s v="Susan Jerkins"/>
    <s v="South"/>
    <n v="0.05"/>
    <n v="12.273000000000001"/>
    <n v="245.46"/>
    <n v="9"/>
    <s v="Electronics"/>
    <n v="1141.52"/>
    <n v="1550.19"/>
    <s v="New"/>
    <n v="0.28000000000000003"/>
    <s v="Credit Card"/>
    <s v="Retail"/>
    <s v="Low"/>
  </r>
  <r>
    <n v="1015"/>
    <s v="Chocolate Bar"/>
    <d v="2023-08-11T00:00:00"/>
    <s v="Eve"/>
    <s v="Tracy Moore"/>
    <s v="East"/>
    <n v="0.06"/>
    <n v="231.18180000000001"/>
    <n v="3853.03"/>
    <n v="32"/>
    <s v="Furniture"/>
    <n v="970.51"/>
    <n v="1330.84"/>
    <s v="Returning"/>
    <n v="0.06"/>
    <s v="Cash"/>
    <s v="Retail"/>
    <s v="Low"/>
  </r>
  <r>
    <n v="1062"/>
    <s v="Boxers"/>
    <d v="2023-01-06T00:00:00"/>
    <s v="Eve"/>
    <s v="Tracy Moore"/>
    <s v="East"/>
    <n v="0.06"/>
    <n v="206.38319999999999"/>
    <n v="3439.72"/>
    <n v="15"/>
    <s v="Clothing"/>
    <n v="4756.55"/>
    <n v="4888.46"/>
    <s v="New"/>
    <n v="0.28999999999999998"/>
    <s v="Credit Card"/>
    <s v="Online"/>
    <s v="Low"/>
  </r>
  <r>
    <n v="1062"/>
    <s v="Boxers"/>
    <d v="2023-11-18T00:00:00"/>
    <s v="Alice"/>
    <s v="Scott Wayne"/>
    <s v="East"/>
    <n v="0.06"/>
    <n v="17.480399999999999"/>
    <n v="291.33999999999997"/>
    <n v="12"/>
    <s v="Furniture"/>
    <n v="1088.99"/>
    <n v="1545"/>
    <s v="Returning"/>
    <n v="0.04"/>
    <s v="Bank Transfer"/>
    <s v="Retail"/>
    <s v="Low"/>
  </r>
  <r>
    <n v="1047"/>
    <s v="Mouse"/>
    <d v="2023-08-08T00:00:00"/>
    <s v="David"/>
    <s v="Hogan Rock"/>
    <s v="North"/>
    <n v="7.4999999999999997E-2"/>
    <n v="99.84375"/>
    <n v="1331.25"/>
    <n v="33"/>
    <s v="Electronics"/>
    <n v="1341.55"/>
    <n v="1427.21"/>
    <s v="Returning"/>
    <n v="0.15"/>
    <s v="Credit Card"/>
    <s v="Online"/>
    <s v="Low"/>
  </r>
  <r>
    <n v="1062"/>
    <s v="Boxers"/>
    <d v="2023-03-16T00:00:00"/>
    <s v="David"/>
    <s v="Hogan Rock"/>
    <s v="West"/>
    <n v="0.08"/>
    <n v="335.60480000000001"/>
    <n v="4195.0600000000004"/>
    <n v="45"/>
    <s v="Furniture"/>
    <n v="4849.6000000000004"/>
    <n v="5166.72"/>
    <s v="Returning"/>
    <n v="0.25"/>
    <s v="Credit Card"/>
    <s v="Online"/>
    <s v="Low"/>
  </r>
  <r>
    <n v="1051"/>
    <s v="Tablet"/>
    <d v="2023-01-04T00:00:00"/>
    <s v="Eve"/>
    <s v="Tracy Moore"/>
    <s v="North"/>
    <n v="7.4999999999999997E-2"/>
    <n v="373.45199999999994"/>
    <n v="4979.3599999999997"/>
    <n v="14"/>
    <s v="Electronics"/>
    <n v="3686.81"/>
    <n v="3710.92"/>
    <s v="New"/>
    <n v="0.1"/>
    <s v="Bank Transfer"/>
    <s v="Retail"/>
    <s v="Low"/>
  </r>
  <r>
    <n v="1055"/>
    <s v="Cupboard"/>
    <d v="2023-12-01T00:00:00"/>
    <s v="Charlie"/>
    <s v="Susan Jerkins"/>
    <s v="West"/>
    <n v="0.08"/>
    <n v="328.19760000000002"/>
    <n v="4102.47"/>
    <n v="8"/>
    <s v="Furniture"/>
    <n v="3513"/>
    <n v="3838.42"/>
    <s v="Returning"/>
    <n v="0.13"/>
    <s v="Bank Transfer"/>
    <s v="Online"/>
    <s v="Low"/>
  </r>
  <r>
    <n v="1064"/>
    <s v="Smartphone"/>
    <d v="2023-05-14T00:00:00"/>
    <s v="Bob"/>
    <s v="Michael Smith"/>
    <s v="South"/>
    <n v="0.05"/>
    <n v="267.81400000000002"/>
    <n v="5356.28"/>
    <n v="8"/>
    <s v="Electronics"/>
    <n v="4271.99"/>
    <n v="4417.79"/>
    <s v="Returning"/>
    <n v="0.04"/>
    <s v="Cash"/>
    <s v="Online"/>
    <s v="High"/>
  </r>
  <r>
    <n v="1003"/>
    <s v="Stool"/>
    <d v="2023-04-28T00:00:00"/>
    <s v="Charlie"/>
    <s v="Susan Jerkins"/>
    <s v="South"/>
    <n v="0.05"/>
    <n v="299.59000000000003"/>
    <n v="5991.8"/>
    <n v="27"/>
    <s v="Furniture"/>
    <n v="623.32000000000005"/>
    <n v="853.66"/>
    <s v="Returning"/>
    <n v="0.04"/>
    <s v="Cash"/>
    <s v="Online"/>
    <s v="High"/>
  </r>
  <r>
    <n v="1051"/>
    <s v="Tablet"/>
    <d v="2023-04-04T00:00:00"/>
    <s v="Bob"/>
    <s v="Michael Smith"/>
    <s v="East"/>
    <n v="0.06"/>
    <n v="11.895"/>
    <n v="198.25"/>
    <n v="12"/>
    <s v="Electronics"/>
    <n v="3544.48"/>
    <n v="3723.66"/>
    <s v="Returning"/>
    <n v="0.19"/>
    <s v="Cash"/>
    <s v="Online"/>
    <s v="Low"/>
  </r>
  <r>
    <n v="1007"/>
    <s v="Fruit Jam"/>
    <d v="2023-03-03T00:00:00"/>
    <s v="Eve"/>
    <s v="Tracy Moore"/>
    <s v="West"/>
    <n v="0.08"/>
    <n v="375.56319999999999"/>
    <n v="4694.54"/>
    <n v="1"/>
    <s v="Food"/>
    <n v="2543.2600000000002"/>
    <n v="2637.91"/>
    <s v="Returning"/>
    <n v="0.2"/>
    <s v="Credit Card"/>
    <s v="Online"/>
    <s v="Low"/>
  </r>
  <r>
    <n v="1021"/>
    <s v="Almond Milk"/>
    <d v="2023-07-13T00:00:00"/>
    <s v="Bob"/>
    <s v="Michael Smith"/>
    <s v="West"/>
    <n v="0.08"/>
    <n v="771.09119999999996"/>
    <n v="9638.64"/>
    <n v="43"/>
    <s v="Furniture"/>
    <n v="4154.3"/>
    <n v="4469.07"/>
    <s v="Returning"/>
    <n v="0.23"/>
    <s v="Cash"/>
    <s v="Retail"/>
    <s v="High"/>
  </r>
  <r>
    <n v="1073"/>
    <s v="Console Table"/>
    <d v="2023-12-01T00:00:00"/>
    <s v="David"/>
    <s v="Hogan Rock"/>
    <s v="West"/>
    <n v="0.08"/>
    <n v="419.0736"/>
    <n v="5238.42"/>
    <n v="40"/>
    <s v="Furniture"/>
    <n v="2565.3000000000002"/>
    <n v="3007.47"/>
    <s v="Returning"/>
    <n v="0.17"/>
    <s v="Credit Card"/>
    <s v="Retail"/>
    <s v="High"/>
  </r>
  <r>
    <n v="1039"/>
    <s v="Hoodie"/>
    <d v="2023-07-22T00:00:00"/>
    <s v="Alice"/>
    <s v="Scott Wayne"/>
    <s v="East"/>
    <n v="0.06"/>
    <n v="408.46019999999999"/>
    <n v="6807.67"/>
    <n v="42"/>
    <s v="Clothing"/>
    <n v="3120.19"/>
    <n v="3600.14"/>
    <s v="Returning"/>
    <n v="0.19"/>
    <s v="Credit Card"/>
    <s v="Retail"/>
    <s v="High"/>
  </r>
  <r>
    <n v="1018"/>
    <s v="Dress Shirt"/>
    <d v="2023-01-26T00:00:00"/>
    <s v="Alice"/>
    <s v="Scott Wayne"/>
    <s v="East"/>
    <n v="0.06"/>
    <n v="191.24699999999999"/>
    <n v="3187.45"/>
    <n v="11"/>
    <s v="Clothing"/>
    <n v="2414.8200000000002"/>
    <n v="2519.0700000000002"/>
    <s v="Returning"/>
    <n v="0"/>
    <s v="Cash"/>
    <s v="Online"/>
    <s v="Low"/>
  </r>
  <r>
    <n v="1004"/>
    <s v="Smartwatch"/>
    <d v="2023-06-22T00:00:00"/>
    <s v="Eve"/>
    <s v="Tracy Moore"/>
    <s v="South"/>
    <n v="0.05"/>
    <n v="388.12550000000005"/>
    <n v="7762.51"/>
    <n v="39"/>
    <s v="Electronics"/>
    <n v="2416.89"/>
    <n v="2778.3999999999901"/>
    <s v="Returning"/>
    <n v="0.05"/>
    <s v="Cash"/>
    <s v="Online"/>
    <s v="High"/>
  </r>
  <r>
    <n v="1089"/>
    <s v="Recliner"/>
    <d v="2023-10-27T00:00:00"/>
    <s v="David"/>
    <s v="Hogan Rock"/>
    <s v="North"/>
    <n v="7.4999999999999997E-2"/>
    <n v="581.39400000000001"/>
    <n v="7751.92"/>
    <n v="43"/>
    <s v="Furniture"/>
    <n v="3851.45"/>
    <n v="4186.9799999999996"/>
    <s v="Returning"/>
    <n v="0.3"/>
    <s v="Credit Card"/>
    <s v="Online"/>
    <s v="High"/>
  </r>
  <r>
    <n v="1060"/>
    <s v="Head Warmer"/>
    <d v="2023-05-13T00:00:00"/>
    <s v="Charlie"/>
    <s v="Susan Jerkins"/>
    <s v="West"/>
    <n v="0.08"/>
    <n v="420.8664"/>
    <n v="5260.83"/>
    <n v="31"/>
    <s v="Electronics"/>
    <n v="3161.4"/>
    <n v="3339.66"/>
    <s v="Returning"/>
    <n v="0.02"/>
    <s v="Bank Transfer"/>
    <s v="Online"/>
    <s v="High"/>
  </r>
  <r>
    <n v="1014"/>
    <s v="Cheese Block"/>
    <d v="2023-11-22T00:00:00"/>
    <s v="David"/>
    <s v="Hogan Rock"/>
    <s v="West"/>
    <n v="0.08"/>
    <n v="781.00320000000011"/>
    <n v="9762.5400000000009"/>
    <n v="17"/>
    <s v="Food"/>
    <n v="3184.65"/>
    <n v="3204.01"/>
    <s v="New"/>
    <n v="0.2"/>
    <s v="Bank Transfer"/>
    <s v="Online"/>
    <s v="High"/>
  </r>
  <r>
    <n v="1009"/>
    <s v="Jacket"/>
    <d v="2023-04-28T00:00:00"/>
    <s v="Alice"/>
    <s v="Scott Wayne"/>
    <s v="North"/>
    <n v="7.4999999999999997E-2"/>
    <n v="100.72125"/>
    <n v="1342.95"/>
    <n v="33"/>
    <s v="Clothing"/>
    <n v="2278.9"/>
    <n v="2626.9"/>
    <s v="New"/>
    <n v="0.05"/>
    <s v="Credit Card"/>
    <s v="Online"/>
    <s v="Low"/>
  </r>
  <r>
    <n v="1090"/>
    <s v="Keyboard"/>
    <d v="2023-11-20T00:00:00"/>
    <s v="Alice"/>
    <s v="Scott Wayne"/>
    <s v="West"/>
    <n v="0.08"/>
    <n v="21.4224"/>
    <n v="267.77999999999997"/>
    <n v="32"/>
    <s v="Electronics"/>
    <n v="2678.99"/>
    <n v="3152.2799999999902"/>
    <s v="Returning"/>
    <n v="0.22"/>
    <s v="Cash"/>
    <s v="Retail"/>
    <s v="Low"/>
  </r>
  <r>
    <n v="1053"/>
    <s v="Bed"/>
    <d v="2023-10-02T00:00:00"/>
    <s v="David"/>
    <s v="Hogan Rock"/>
    <s v="East"/>
    <n v="0.06"/>
    <n v="463.47419999999994"/>
    <n v="7724.57"/>
    <n v="29"/>
    <s v="Electronics"/>
    <n v="3741.3"/>
    <n v="4061.04"/>
    <s v="Returning"/>
    <n v="0.21"/>
    <s v="Credit Card"/>
    <s v="Online"/>
    <s v="High"/>
  </r>
  <r>
    <n v="1002"/>
    <s v="Bench"/>
    <d v="2023-07-31T00:00:00"/>
    <s v="David"/>
    <s v="Hogan Rock"/>
    <s v="East"/>
    <n v="0.06"/>
    <n v="485.4504"/>
    <n v="8090.84"/>
    <n v="21"/>
    <s v="Clothing"/>
    <n v="4138.41"/>
    <n v="4361.7"/>
    <s v="Returning"/>
    <n v="7.0000000000000007E-2"/>
    <s v="Credit Card"/>
    <s v="Retail"/>
    <s v="High"/>
  </r>
  <r>
    <n v="1084"/>
    <s v="Card Table"/>
    <d v="2023-08-13T00:00:00"/>
    <s v="Alice"/>
    <s v="Scott Wayne"/>
    <s v="West"/>
    <n v="0.08"/>
    <n v="103.20399999999999"/>
    <n v="1290.05"/>
    <n v="21"/>
    <s v="Furniture"/>
    <n v="3497.98"/>
    <n v="3765.31"/>
    <s v="New"/>
    <n v="0.08"/>
    <s v="Cash"/>
    <s v="Online"/>
    <s v="Low"/>
  </r>
  <r>
    <n v="1092"/>
    <s v="Recliner"/>
    <d v="2023-01-20T00:00:00"/>
    <s v="Charlie"/>
    <s v="Susan Jerkins"/>
    <s v="East"/>
    <n v="0.06"/>
    <n v="163.75620000000001"/>
    <n v="2729.27"/>
    <n v="40"/>
    <s v="Electronics"/>
    <n v="4624.16"/>
    <n v="4731.9799999999996"/>
    <s v="New"/>
    <n v="0.2"/>
    <s v="Bank Transfer"/>
    <s v="Retail"/>
    <s v="Low"/>
  </r>
  <r>
    <n v="1060"/>
    <s v="Head Warmer"/>
    <d v="2023-04-23T00:00:00"/>
    <s v="Eve"/>
    <s v="Tracy Moore"/>
    <s v="East"/>
    <n v="0.06"/>
    <n v="16.426199999999998"/>
    <n v="273.77"/>
    <n v="23"/>
    <s v="Clothing"/>
    <n v="4110.6000000000004"/>
    <n v="4488.37"/>
    <s v="New"/>
    <n v="0.12"/>
    <s v="Credit Card"/>
    <s v="Online"/>
    <s v="Low"/>
  </r>
  <r>
    <n v="1071"/>
    <s v="Game Table"/>
    <d v="2023-05-20T00:00:00"/>
    <s v="Eve"/>
    <s v="Tracy Moore"/>
    <s v="West"/>
    <n v="0.08"/>
    <n v="240.30080000000001"/>
    <n v="3003.76"/>
    <n v="6"/>
    <s v="Furniture"/>
    <n v="2831.23"/>
    <n v="3206.98"/>
    <s v="Returning"/>
    <n v="0.06"/>
    <s v="Bank Transfer"/>
    <s v="Retail"/>
    <s v="Low"/>
  </r>
  <r>
    <n v="1044"/>
    <s v="Burger"/>
    <d v="2023-02-16T00:00:00"/>
    <s v="David"/>
    <s v="Hogan Rock"/>
    <s v="South"/>
    <n v="0.05"/>
    <n v="387.70500000000004"/>
    <n v="7754.1"/>
    <n v="22"/>
    <s v="Food"/>
    <n v="3373.46"/>
    <n v="3454.76"/>
    <s v="Returning"/>
    <n v="0.22"/>
    <s v="Bank Transfer"/>
    <s v="Retail"/>
    <s v="High"/>
  </r>
  <r>
    <n v="1008"/>
    <s v="Skirt"/>
    <d v="2023-01-01T00:00:00"/>
    <s v="Eve"/>
    <s v="Tracy Moore"/>
    <s v="North"/>
    <n v="7.4999999999999997E-2"/>
    <n v="392.08575000000002"/>
    <n v="5227.8100000000004"/>
    <n v="38"/>
    <s v="Clothing"/>
    <n v="4635.2299999999996"/>
    <n v="5075.4399999999996"/>
    <s v="Returning"/>
    <n v="0.05"/>
    <s v="Cash"/>
    <s v="Online"/>
    <s v="High"/>
  </r>
  <r>
    <n v="1047"/>
    <s v="Mouse"/>
    <d v="2023-03-31T00:00:00"/>
    <s v="Alice"/>
    <s v="Scott Wayne"/>
    <s v="East"/>
    <n v="0.06"/>
    <n v="212.76900000000001"/>
    <n v="3546.15"/>
    <n v="37"/>
    <s v="Electronics"/>
    <n v="3114.88"/>
    <n v="3256.78"/>
    <s v="Returning"/>
    <n v="0.26"/>
    <s v="Credit Card"/>
    <s v="Online"/>
    <s v="Low"/>
  </r>
  <r>
    <n v="1035"/>
    <s v="Doughnut"/>
    <d v="2023-05-22T00:00:00"/>
    <s v="Alice"/>
    <s v="Scott Wayne"/>
    <s v="South"/>
    <n v="0.05"/>
    <n v="189.011"/>
    <n v="3780.22"/>
    <n v="45"/>
    <s v="Food"/>
    <n v="4132.79"/>
    <n v="4624.1000000000004"/>
    <s v="New"/>
    <n v="0.15"/>
    <s v="Credit Card"/>
    <s v="Retail"/>
    <s v="Low"/>
  </r>
  <r>
    <n v="1078"/>
    <s v="Kitchen Island"/>
    <d v="2023-11-16T00:00:00"/>
    <s v="David"/>
    <s v="Hogan Rock"/>
    <s v="East"/>
    <n v="0.06"/>
    <n v="6.8040000000000003"/>
    <n v="113.4"/>
    <n v="8"/>
    <s v="Furniture"/>
    <n v="3459.61"/>
    <n v="3657.23"/>
    <s v="Returning"/>
    <n v="0.03"/>
    <s v="Bank Transfer"/>
    <s v="Online"/>
    <s v="Low"/>
  </r>
  <r>
    <n v="1081"/>
    <s v="Rocking Chair"/>
    <d v="2023-02-07T00:00:00"/>
    <s v="David"/>
    <s v="Hogan Rock"/>
    <s v="East"/>
    <n v="0.06"/>
    <n v="184.08180000000002"/>
    <n v="3068.03"/>
    <n v="41"/>
    <s v="Furniture"/>
    <n v="2782.08"/>
    <n v="2879.24"/>
    <s v="New"/>
    <n v="0.21"/>
    <s v="Bank Transfer"/>
    <s v="Online"/>
    <s v="Low"/>
  </r>
  <r>
    <n v="1036"/>
    <s v="Shorts"/>
    <d v="2023-10-20T00:00:00"/>
    <s v="David"/>
    <s v="Hogan Rock"/>
    <s v="North"/>
    <n v="7.4999999999999997E-2"/>
    <n v="487.49549999999994"/>
    <n v="6499.94"/>
    <n v="49"/>
    <s v="Clothing"/>
    <n v="1247.0999999999999"/>
    <n v="1429.4399999999901"/>
    <s v="New"/>
    <n v="0.16"/>
    <s v="Cash"/>
    <s v="Online"/>
    <s v="High"/>
  </r>
  <r>
    <n v="1050"/>
    <s v="Sneakers"/>
    <d v="2023-05-19T00:00:00"/>
    <s v="Charlie"/>
    <s v="Susan Jerkins"/>
    <s v="East"/>
    <n v="0.06"/>
    <n v="584.6712"/>
    <n v="9744.52"/>
    <n v="35"/>
    <s v="Clothing"/>
    <n v="2158.69"/>
    <n v="2384.38"/>
    <s v="Returning"/>
    <n v="0.09"/>
    <s v="Bank Transfer"/>
    <s v="Retail"/>
    <s v="High"/>
  </r>
  <r>
    <n v="1004"/>
    <s v="Smartwatch"/>
    <d v="2023-12-22T00:00:00"/>
    <s v="Eve"/>
    <s v="Tracy Moore"/>
    <s v="North"/>
    <n v="7.4999999999999997E-2"/>
    <n v="636.4425"/>
    <n v="8485.9"/>
    <n v="11"/>
    <s v="Clothing"/>
    <n v="4840.33"/>
    <n v="4884.29"/>
    <s v="New"/>
    <n v="0.13"/>
    <s v="Cash"/>
    <s v="Online"/>
    <s v="High"/>
  </r>
  <r>
    <n v="1002"/>
    <s v="Bench"/>
    <d v="2023-11-29T00:00:00"/>
    <s v="David"/>
    <s v="Hogan Rock"/>
    <s v="North"/>
    <n v="7.4999999999999997E-2"/>
    <n v="25.019249999999996"/>
    <n v="333.59"/>
    <n v="24"/>
    <s v="Furniture"/>
    <n v="3305.94"/>
    <n v="3599.27"/>
    <s v="New"/>
    <n v="0.09"/>
    <s v="Credit Card"/>
    <s v="Retail"/>
    <s v="Low"/>
  </r>
  <r>
    <n v="1006"/>
    <s v="Monitor"/>
    <d v="2023-09-16T00:00:00"/>
    <s v="Bob"/>
    <s v="Michael Smith"/>
    <s v="North"/>
    <n v="7.4999999999999997E-2"/>
    <n v="674.68124999999998"/>
    <n v="8995.75"/>
    <n v="49"/>
    <s v="Food"/>
    <n v="2843.76"/>
    <n v="3146.6"/>
    <s v="New"/>
    <n v="0.08"/>
    <s v="Cash"/>
    <s v="Retail"/>
    <s v="High"/>
  </r>
  <r>
    <n v="1054"/>
    <s v="Glider"/>
    <d v="2023-06-10T00:00:00"/>
    <s v="Bob"/>
    <s v="Michael Smith"/>
    <s v="South"/>
    <n v="0.05"/>
    <n v="392.68299999999999"/>
    <n v="7853.66"/>
    <n v="21"/>
    <s v="Furniture"/>
    <n v="4668.1400000000003"/>
    <n v="5040.22"/>
    <s v="New"/>
    <n v="0.05"/>
    <s v="Bank Transfer"/>
    <s v="Online"/>
    <s v="High"/>
  </r>
  <r>
    <n v="1004"/>
    <s v="Smartwatch"/>
    <d v="2023-06-27T00:00:00"/>
    <s v="Alice"/>
    <s v="Scott Wayne"/>
    <s v="West"/>
    <n v="0.08"/>
    <n v="626.05759999999998"/>
    <n v="7825.72"/>
    <n v="2"/>
    <s v="Electronics"/>
    <n v="2953.23"/>
    <n v="2977.52"/>
    <s v="Returning"/>
    <n v="0.11"/>
    <s v="Credit Card"/>
    <s v="Retail"/>
    <s v="High"/>
  </r>
  <r>
    <n v="1054"/>
    <s v="Glider"/>
    <d v="2023-01-10T00:00:00"/>
    <s v="Eve"/>
    <s v="Tracy Moore"/>
    <s v="South"/>
    <n v="0.05"/>
    <n v="231.708"/>
    <n v="4634.16"/>
    <n v="40"/>
    <s v="Furniture"/>
    <n v="2654.11"/>
    <n v="2929.32"/>
    <s v="Returning"/>
    <n v="0.08"/>
    <s v="Cash"/>
    <s v="Online"/>
    <s v="Low"/>
  </r>
  <r>
    <n v="1093"/>
    <s v="Dining Table"/>
    <d v="2023-09-18T00:00:00"/>
    <s v="David"/>
    <s v="Hogan Rock"/>
    <s v="West"/>
    <n v="0.08"/>
    <n v="323.22000000000003"/>
    <n v="4040.25"/>
    <n v="19"/>
    <s v="Electronics"/>
    <n v="3808.59"/>
    <n v="3844.51"/>
    <s v="New"/>
    <n v="0.21"/>
    <s v="Credit Card"/>
    <s v="Online"/>
    <s v="Low"/>
  </r>
  <r>
    <n v="1063"/>
    <s v="Noodles"/>
    <d v="2023-05-18T00:00:00"/>
    <s v="Bob"/>
    <s v="Michael Smith"/>
    <s v="West"/>
    <n v="0.08"/>
    <n v="247.90959999999998"/>
    <n v="3098.87"/>
    <n v="39"/>
    <s v="Food"/>
    <n v="3577.69"/>
    <n v="3931.25"/>
    <s v="Returning"/>
    <n v="0.21"/>
    <s v="Cash"/>
    <s v="Retail"/>
    <s v="Low"/>
  </r>
  <r>
    <n v="1018"/>
    <s v="Dress Shirt"/>
    <d v="2023-06-21T00:00:00"/>
    <s v="Eve"/>
    <s v="Tracy Moore"/>
    <s v="North"/>
    <n v="7.4999999999999997E-2"/>
    <n v="56.278500000000001"/>
    <n v="750.38"/>
    <n v="28"/>
    <s v="Clothing"/>
    <n v="1006.14"/>
    <n v="1043.45"/>
    <s v="New"/>
    <n v="0.15"/>
    <s v="Bank Transfer"/>
    <s v="Retail"/>
    <s v="Low"/>
  </r>
  <r>
    <n v="1090"/>
    <s v="Keyboard"/>
    <d v="2023-01-13T00:00:00"/>
    <s v="Alice"/>
    <s v="Scott Wayne"/>
    <s v="East"/>
    <n v="0.06"/>
    <n v="141.5718"/>
    <n v="2359.5300000000002"/>
    <n v="17"/>
    <s v="Clothing"/>
    <n v="2382.98"/>
    <n v="2839.73"/>
    <s v="Returning"/>
    <n v="0.23"/>
    <s v="Bank Transfer"/>
    <s v="Retail"/>
    <s v="Low"/>
  </r>
  <r>
    <n v="1044"/>
    <s v="Burger"/>
    <d v="2023-06-17T00:00:00"/>
    <s v="Charlie"/>
    <s v="Susan Jerkins"/>
    <s v="North"/>
    <n v="7.4999999999999997E-2"/>
    <n v="190.6035"/>
    <n v="2541.38"/>
    <n v="6"/>
    <s v="Furniture"/>
    <n v="2388.9499999999998"/>
    <n v="2742.97"/>
    <s v="Returning"/>
    <n v="0.25"/>
    <s v="Credit Card"/>
    <s v="Retail"/>
    <s v="Low"/>
  </r>
  <r>
    <n v="1034"/>
    <s v="Socks Pack"/>
    <d v="2023-05-10T00:00:00"/>
    <s v="Eve"/>
    <s v="Tracy Moore"/>
    <s v="East"/>
    <n v="0.06"/>
    <n v="293.54159999999996"/>
    <n v="4892.3599999999997"/>
    <n v="19"/>
    <s v="Clothing"/>
    <n v="1922.21"/>
    <n v="2180.83"/>
    <s v="Returning"/>
    <n v="0.17"/>
    <s v="Credit Card"/>
    <s v="Retail"/>
    <s v="Low"/>
  </r>
  <r>
    <n v="1074"/>
    <s v="French Fries"/>
    <d v="2023-03-25T00:00:00"/>
    <s v="Eve"/>
    <s v="Tracy Moore"/>
    <s v="West"/>
    <n v="0.08"/>
    <n v="599.976"/>
    <n v="7499.7"/>
    <n v="38"/>
    <s v="Food"/>
    <n v="2610.6"/>
    <n v="2836.94"/>
    <s v="Returning"/>
    <n v="0.19"/>
    <s v="Credit Card"/>
    <s v="Online"/>
    <s v="High"/>
  </r>
  <r>
    <n v="1062"/>
    <s v="Boxers"/>
    <d v="2023-11-17T00:00:00"/>
    <s v="Charlie"/>
    <s v="Susan Jerkins"/>
    <s v="North"/>
    <n v="7.4999999999999997E-2"/>
    <n v="359.30400000000003"/>
    <n v="4790.72"/>
    <n v="28"/>
    <s v="Clothing"/>
    <n v="2094.88"/>
    <n v="2168.91"/>
    <s v="Returning"/>
    <n v="0.08"/>
    <s v="Cash"/>
    <s v="Retail"/>
    <s v="Low"/>
  </r>
  <r>
    <n v="1100"/>
    <s v="Protein Cookies"/>
    <d v="2023-11-15T00:00:00"/>
    <s v="Eve"/>
    <s v="Tracy Moore"/>
    <s v="East"/>
    <n v="0.06"/>
    <n v="40.359599999999993"/>
    <n v="672.66"/>
    <n v="2"/>
    <s v="Furniture"/>
    <n v="1036.76"/>
    <n v="1189.3499999999999"/>
    <s v="New"/>
    <n v="0.27"/>
    <s v="Bank Transfer"/>
    <s v="Online"/>
    <s v="Low"/>
  </r>
  <r>
    <n v="1014"/>
    <s v="Cheese Block"/>
    <d v="2023-04-11T00:00:00"/>
    <s v="Alice"/>
    <s v="Scott Wayne"/>
    <s v="South"/>
    <n v="0.05"/>
    <n v="479.10600000000005"/>
    <n v="9582.1200000000008"/>
    <n v="38"/>
    <s v="Food"/>
    <n v="2091.21"/>
    <n v="2527"/>
    <s v="Returning"/>
    <n v="0.01"/>
    <s v="Credit Card"/>
    <s v="Online"/>
    <s v="High"/>
  </r>
  <r>
    <n v="1095"/>
    <s v="Bluetooth Speaker"/>
    <d v="2023-11-25T00:00:00"/>
    <s v="Alice"/>
    <s v="Scott Wayne"/>
    <s v="East"/>
    <n v="0.06"/>
    <n v="565.9781999999999"/>
    <n v="9432.9699999999993"/>
    <n v="37"/>
    <s v="Electronics"/>
    <n v="407.77"/>
    <n v="860.95"/>
    <s v="New"/>
    <n v="0.1"/>
    <s v="Credit Card"/>
    <s v="Retail"/>
    <s v="High"/>
  </r>
  <r>
    <n v="1048"/>
    <s v="Chaise Lounge"/>
    <d v="2023-09-30T00:00:00"/>
    <s v="Charlie"/>
    <s v="Susan Jerkins"/>
    <s v="North"/>
    <n v="7.4999999999999997E-2"/>
    <n v="590.50350000000003"/>
    <n v="7873.38"/>
    <n v="4"/>
    <s v="Furniture"/>
    <n v="2900.14"/>
    <n v="2910.5099999999902"/>
    <s v="New"/>
    <n v="0.22"/>
    <s v="Credit Card"/>
    <s v="Retail"/>
    <s v="High"/>
  </r>
  <r>
    <n v="1015"/>
    <s v="Chocolate Bar"/>
    <d v="2023-09-22T00:00:00"/>
    <s v="David"/>
    <s v="Hogan Rock"/>
    <s v="South"/>
    <n v="0.05"/>
    <n v="495.70749999999998"/>
    <n v="9914.15"/>
    <n v="22"/>
    <s v="Electronics"/>
    <n v="4275.59"/>
    <n v="4576.72"/>
    <s v="Returning"/>
    <n v="0.02"/>
    <s v="Cash"/>
    <s v="Retail"/>
    <s v="High"/>
  </r>
  <r>
    <n v="1072"/>
    <s v="T-Shirt"/>
    <d v="2023-02-07T00:00:00"/>
    <s v="Bob"/>
    <s v="Michael Smith"/>
    <s v="East"/>
    <n v="0.06"/>
    <n v="329.4228"/>
    <n v="5490.38"/>
    <n v="26"/>
    <s v="Food"/>
    <n v="3640.17"/>
    <n v="4002.63"/>
    <s v="New"/>
    <n v="0.05"/>
    <s v="Credit Card"/>
    <s v="Retail"/>
    <s v="High"/>
  </r>
  <r>
    <n v="1078"/>
    <s v="Kitchen Island"/>
    <d v="2023-04-04T00:00:00"/>
    <s v="David"/>
    <s v="Hogan Rock"/>
    <s v="East"/>
    <n v="0.06"/>
    <n v="577.88459999999998"/>
    <n v="9631.41"/>
    <n v="49"/>
    <s v="Furniture"/>
    <n v="1833.95"/>
    <n v="2147.14"/>
    <s v="Returning"/>
    <n v="0.18"/>
    <s v="Credit Card"/>
    <s v="Retail"/>
    <s v="High"/>
  </r>
  <r>
    <n v="1087"/>
    <s v="Sofa Set"/>
    <d v="2023-04-05T00:00:00"/>
    <s v="Eve"/>
    <s v="Tracy Moore"/>
    <s v="East"/>
    <n v="0.06"/>
    <n v="50.909399999999998"/>
    <n v="848.49"/>
    <n v="43"/>
    <s v="Furniture"/>
    <n v="481"/>
    <n v="531.02"/>
    <s v="New"/>
    <n v="0.17"/>
    <s v="Cash"/>
    <s v="Online"/>
    <s v="Low"/>
  </r>
  <r>
    <n v="1062"/>
    <s v="Boxers"/>
    <d v="2023-11-01T00:00:00"/>
    <s v="Bob"/>
    <s v="Michael Smith"/>
    <s v="East"/>
    <n v="0.06"/>
    <n v="223.21439999999998"/>
    <n v="3720.24"/>
    <n v="36"/>
    <s v="Food"/>
    <n v="1050.6400000000001"/>
    <n v="1167.33"/>
    <s v="New"/>
    <n v="0.22"/>
    <s v="Cash"/>
    <s v="Online"/>
    <s v="Low"/>
  </r>
  <r>
    <n v="1040"/>
    <s v="Cap"/>
    <d v="2023-03-10T00:00:00"/>
    <s v="Charlie"/>
    <s v="Susan Jerkins"/>
    <s v="East"/>
    <n v="0.06"/>
    <n v="139.87619999999998"/>
    <n v="2331.27"/>
    <n v="13"/>
    <s v="Clothing"/>
    <n v="2750.18"/>
    <n v="2882.85"/>
    <s v="Returning"/>
    <n v="0.24"/>
    <s v="Credit Card"/>
    <s v="Online"/>
    <s v="Low"/>
  </r>
  <r>
    <n v="1085"/>
    <s v="Settee"/>
    <d v="2023-11-14T00:00:00"/>
    <s v="Charlie"/>
    <s v="Susan Jerkins"/>
    <s v="South"/>
    <n v="0.05"/>
    <n v="101.9375"/>
    <n v="2038.75"/>
    <n v="32"/>
    <s v="Furniture"/>
    <n v="1074.93"/>
    <n v="1492.48"/>
    <s v="Returning"/>
    <n v="0.04"/>
    <s v="Credit Card"/>
    <s v="Retail"/>
    <s v="Low"/>
  </r>
  <r>
    <n v="1080"/>
    <s v="Headphones"/>
    <d v="2023-08-24T00:00:00"/>
    <s v="Bob"/>
    <s v="Michael Smith"/>
    <s v="West"/>
    <n v="0.08"/>
    <n v="119.51600000000001"/>
    <n v="1493.95"/>
    <n v="17"/>
    <s v="Furniture"/>
    <n v="2742.67"/>
    <n v="2979.64"/>
    <s v="Returning"/>
    <n v="0.01"/>
    <s v="Cash"/>
    <s v="Retail"/>
    <s v="Low"/>
  </r>
  <r>
    <n v="1082"/>
    <s v="USB Drive"/>
    <d v="2023-11-30T00:00:00"/>
    <s v="Alice"/>
    <s v="Scott Wayne"/>
    <s v="South"/>
    <n v="0.05"/>
    <n v="313.09500000000003"/>
    <n v="6261.9"/>
    <n v="41"/>
    <s v="Electronics"/>
    <n v="1196.42"/>
    <n v="1444.97"/>
    <s v="Returning"/>
    <n v="0.21"/>
    <s v="Bank Transfer"/>
    <s v="Online"/>
    <s v="High"/>
  </r>
  <r>
    <n v="1053"/>
    <s v="Bed"/>
    <d v="2023-05-17T00:00:00"/>
    <s v="Bob"/>
    <s v="Michael Smith"/>
    <s v="South"/>
    <n v="0.05"/>
    <n v="391.75450000000001"/>
    <n v="7835.09"/>
    <n v="36"/>
    <s v="Clothing"/>
    <n v="4252.17"/>
    <n v="4720.2700000000004"/>
    <s v="New"/>
    <n v="0.09"/>
    <s v="Cash"/>
    <s v="Retail"/>
    <s v="High"/>
  </r>
  <r>
    <n v="1024"/>
    <s v="Pasta Pack"/>
    <d v="2023-03-17T00:00:00"/>
    <s v="Eve"/>
    <s v="Tracy Moore"/>
    <s v="South"/>
    <n v="0.05"/>
    <n v="291.25749999999999"/>
    <n v="5825.15"/>
    <n v="46"/>
    <s v="Electronics"/>
    <n v="2016.49"/>
    <n v="2338.66"/>
    <s v="Returning"/>
    <n v="0.19"/>
    <s v="Bank Transfer"/>
    <s v="Retail"/>
    <s v="High"/>
  </r>
  <r>
    <n v="1026"/>
    <s v="Television"/>
    <d v="2023-02-04T00:00:00"/>
    <s v="Alice"/>
    <s v="Scott Wayne"/>
    <s v="West"/>
    <n v="0.08"/>
    <n v="124.3944"/>
    <n v="1554.93"/>
    <n v="19"/>
    <s v="Electronics"/>
    <n v="1265.48"/>
    <n v="1715.83"/>
    <s v="New"/>
    <n v="0.05"/>
    <s v="Credit Card"/>
    <s v="Retail"/>
    <s v="Low"/>
  </r>
  <r>
    <n v="1089"/>
    <s v="Recliner"/>
    <d v="2023-01-01T00:00:00"/>
    <s v="Charlie"/>
    <s v="Susan Jerkins"/>
    <s v="North"/>
    <n v="7.4999999999999997E-2"/>
    <n v="609.75974999999994"/>
    <n v="8130.13"/>
    <n v="35"/>
    <s v="Clothing"/>
    <n v="4071.01"/>
    <n v="4304.7"/>
    <s v="New"/>
    <n v="0.14000000000000001"/>
    <s v="Credit Card"/>
    <s v="Online"/>
    <s v="High"/>
  </r>
  <r>
    <n v="1060"/>
    <s v="Head Warmer"/>
    <d v="2023-10-23T00:00:00"/>
    <s v="Bob"/>
    <s v="Michael Smith"/>
    <s v="West"/>
    <n v="0.08"/>
    <n v="511.67599999999999"/>
    <n v="6395.95"/>
    <n v="46"/>
    <s v="Clothing"/>
    <n v="1747.05"/>
    <n v="1830.27"/>
    <s v="New"/>
    <n v="0.15"/>
    <s v="Bank Transfer"/>
    <s v="Retail"/>
    <s v="High"/>
  </r>
  <r>
    <n v="1041"/>
    <s v="Bread"/>
    <d v="2023-11-16T00:00:00"/>
    <s v="David"/>
    <s v="Hogan Rock"/>
    <s v="South"/>
    <n v="0.05"/>
    <n v="197.14200000000002"/>
    <n v="3942.84"/>
    <n v="40"/>
    <s v="Food"/>
    <n v="601.86"/>
    <n v="1067.53"/>
    <s v="New"/>
    <n v="0.18"/>
    <s v="Cash"/>
    <s v="Online"/>
    <s v="Low"/>
  </r>
  <r>
    <n v="1029"/>
    <s v="Camisole"/>
    <d v="2023-03-01T00:00:00"/>
    <s v="David"/>
    <s v="Hogan Rock"/>
    <s v="East"/>
    <n v="0.06"/>
    <n v="406.43340000000001"/>
    <n v="6773.89"/>
    <n v="28"/>
    <s v="Clothing"/>
    <n v="2873.53"/>
    <n v="3108.3"/>
    <s v="New"/>
    <n v="0.15"/>
    <s v="Credit Card"/>
    <s v="Retail"/>
    <s v="High"/>
  </r>
  <r>
    <n v="1015"/>
    <s v="Chocolate Bar"/>
    <d v="2023-11-16T00:00:00"/>
    <s v="Eve"/>
    <s v="Tracy Moore"/>
    <s v="East"/>
    <n v="0.06"/>
    <n v="160.3836"/>
    <n v="2673.06"/>
    <n v="1"/>
    <s v="Furniture"/>
    <n v="2928.74"/>
    <n v="3027.74"/>
    <s v="New"/>
    <n v="0.15"/>
    <s v="Bank Transfer"/>
    <s v="Retail"/>
    <s v="Low"/>
  </r>
  <r>
    <n v="1045"/>
    <s v="Bikers Shorts"/>
    <d v="2023-12-15T00:00:00"/>
    <s v="David"/>
    <s v="Hogan Rock"/>
    <s v="South"/>
    <n v="0.05"/>
    <n v="175.87"/>
    <n v="3517.4"/>
    <n v="42"/>
    <s v="Clothing"/>
    <n v="3587.74"/>
    <n v="3745.91"/>
    <s v="Returning"/>
    <n v="0.1"/>
    <s v="Cash"/>
    <s v="Online"/>
    <s v="Low"/>
  </r>
  <r>
    <n v="1065"/>
    <s v="Potatoes"/>
    <d v="2023-11-24T00:00:00"/>
    <s v="Bob"/>
    <s v="Michael Smith"/>
    <s v="East"/>
    <n v="0.06"/>
    <n v="550.98660000000007"/>
    <n v="9183.11"/>
    <n v="18"/>
    <s v="Food"/>
    <n v="1239.0899999999999"/>
    <n v="1273.98"/>
    <s v="New"/>
    <n v="0.02"/>
    <s v="Bank Transfer"/>
    <s v="Retail"/>
    <s v="High"/>
  </r>
  <r>
    <n v="1089"/>
    <s v="Recliner"/>
    <d v="2023-09-24T00:00:00"/>
    <s v="Bob"/>
    <s v="Michael Smith"/>
    <s v="South"/>
    <n v="0.05"/>
    <n v="148.79949999999999"/>
    <n v="2975.99"/>
    <n v="48"/>
    <s v="Food"/>
    <n v="2246.67"/>
    <n v="2486.14"/>
    <s v="New"/>
    <n v="0.03"/>
    <s v="Cash"/>
    <s v="Retail"/>
    <s v="Low"/>
  </r>
  <r>
    <n v="1071"/>
    <s v="Game Table"/>
    <d v="2023-12-27T00:00:00"/>
    <s v="David"/>
    <s v="Hogan Rock"/>
    <s v="East"/>
    <n v="0.06"/>
    <n v="285.1728"/>
    <n v="4752.88"/>
    <n v="40"/>
    <s v="Food"/>
    <n v="1447.72"/>
    <n v="1875.75"/>
    <s v="New"/>
    <n v="0.13"/>
    <s v="Cash"/>
    <s v="Retail"/>
    <s v="Low"/>
  </r>
  <r>
    <n v="1009"/>
    <s v="Jacket"/>
    <d v="2023-08-17T00:00:00"/>
    <s v="Bob"/>
    <s v="Michael Smith"/>
    <s v="West"/>
    <n v="0.08"/>
    <n v="712.99199999999996"/>
    <n v="8912.4"/>
    <n v="33"/>
    <s v="Clothing"/>
    <n v="450.72"/>
    <n v="918.17"/>
    <s v="Returning"/>
    <n v="0.11"/>
    <s v="Cash"/>
    <s v="Online"/>
    <s v="High"/>
  </r>
  <r>
    <n v="1088"/>
    <s v="Office Desk"/>
    <d v="2023-09-27T00:00:00"/>
    <s v="Eve"/>
    <s v="Tracy Moore"/>
    <s v="North"/>
    <n v="7.4999999999999997E-2"/>
    <n v="532.98299999999995"/>
    <n v="7106.44"/>
    <n v="12"/>
    <s v="Clothing"/>
    <n v="4389.24"/>
    <n v="4856.2199999999903"/>
    <s v="Returning"/>
    <n v="0.15"/>
    <s v="Cash"/>
    <s v="Retail"/>
    <s v="High"/>
  </r>
  <r>
    <n v="1001"/>
    <s v="Camera"/>
    <d v="2023-11-12T00:00:00"/>
    <s v="Alice"/>
    <s v="Scott Wayne"/>
    <s v="North"/>
    <n v="7.4999999999999997E-2"/>
    <n v="53.685749999999992"/>
    <n v="715.81"/>
    <n v="8"/>
    <s v="Electronics"/>
    <n v="3657.91"/>
    <n v="3729.27"/>
    <s v="New"/>
    <n v="0.09"/>
    <s v="Bank Transfer"/>
    <s v="Retail"/>
    <s v="Low"/>
  </r>
  <r>
    <n v="1008"/>
    <s v="Skirt"/>
    <d v="2023-10-13T00:00:00"/>
    <s v="Eve"/>
    <s v="Tracy Moore"/>
    <s v="West"/>
    <n v="0.08"/>
    <n v="124.664"/>
    <n v="1558.3"/>
    <n v="24"/>
    <s v="Electronics"/>
    <n v="1542.24"/>
    <n v="1739.45"/>
    <s v="Returning"/>
    <n v="0.21"/>
    <s v="Bank Transfer"/>
    <s v="Retail"/>
    <s v="Low"/>
  </r>
  <r>
    <n v="1088"/>
    <s v="Office Desk"/>
    <d v="2023-10-18T00:00:00"/>
    <s v="Eve"/>
    <s v="Tracy Moore"/>
    <s v="West"/>
    <n v="0.08"/>
    <n v="14.2104"/>
    <n v="177.63"/>
    <n v="16"/>
    <s v="Furniture"/>
    <n v="3016.9"/>
    <n v="3040.73"/>
    <s v="New"/>
    <n v="0.26"/>
    <s v="Bank Transfer"/>
    <s v="Retail"/>
    <s v="Low"/>
  </r>
  <r>
    <n v="1063"/>
    <s v="Noodles"/>
    <d v="2023-08-01T00:00:00"/>
    <s v="Bob"/>
    <s v="Michael Smith"/>
    <s v="South"/>
    <n v="0.05"/>
    <n v="317.30650000000003"/>
    <n v="6346.13"/>
    <n v="4"/>
    <s v="Electronics"/>
    <n v="1046.26"/>
    <n v="1475.29"/>
    <s v="Returning"/>
    <n v="0.09"/>
    <s v="Bank Transfer"/>
    <s v="Retail"/>
    <s v="High"/>
  </r>
  <r>
    <n v="1011"/>
    <s v="Coffee Table"/>
    <d v="2023-06-14T00:00:00"/>
    <s v="Alice"/>
    <s v="Scott Wayne"/>
    <s v="South"/>
    <n v="0.05"/>
    <n v="226.59850000000003"/>
    <n v="4531.97"/>
    <n v="38"/>
    <s v="Furniture"/>
    <n v="4456.67"/>
    <n v="4642.46"/>
    <s v="New"/>
    <n v="0.06"/>
    <s v="Bank Transfer"/>
    <s v="Online"/>
    <s v="Low"/>
  </r>
  <r>
    <n v="1081"/>
    <s v="Rocking Chair"/>
    <d v="2023-01-05T00:00:00"/>
    <s v="Bob"/>
    <s v="Michael Smith"/>
    <s v="South"/>
    <n v="0.05"/>
    <n v="71.465999999999994"/>
    <n v="1429.32"/>
    <n v="44"/>
    <s v="Food"/>
    <n v="618.79"/>
    <n v="938.04"/>
    <s v="Returning"/>
    <n v="0.03"/>
    <s v="Cash"/>
    <s v="Online"/>
    <s v="Low"/>
  </r>
  <r>
    <n v="1008"/>
    <s v="Skirt"/>
    <d v="2023-12-05T00:00:00"/>
    <s v="Charlie"/>
    <s v="Susan Jerkins"/>
    <s v="East"/>
    <n v="0.06"/>
    <n v="575.01299999999992"/>
    <n v="9583.5499999999993"/>
    <n v="27"/>
    <s v="Electronics"/>
    <n v="68.989999999999995"/>
    <n v="429.29"/>
    <s v="Returning"/>
    <n v="0.18"/>
    <s v="Credit Card"/>
    <s v="Retail"/>
    <s v="High"/>
  </r>
  <r>
    <n v="1035"/>
    <s v="Doughnut"/>
    <d v="2023-03-19T00:00:00"/>
    <s v="Bob"/>
    <s v="Michael Smith"/>
    <s v="South"/>
    <n v="0.05"/>
    <n v="267.18150000000003"/>
    <n v="5343.63"/>
    <n v="9"/>
    <s v="Clothing"/>
    <n v="2534.94"/>
    <n v="2755.56"/>
    <s v="Returning"/>
    <n v="0.13"/>
    <s v="Credit Card"/>
    <s v="Retail"/>
    <s v="High"/>
  </r>
  <r>
    <n v="1035"/>
    <s v="Doughnut"/>
    <d v="2023-03-03T00:00:00"/>
    <s v="Bob"/>
    <s v="Michael Smith"/>
    <s v="West"/>
    <n v="0.08"/>
    <n v="199.57919999999999"/>
    <n v="2494.7399999999998"/>
    <n v="47"/>
    <s v="Electronics"/>
    <n v="2936.48"/>
    <n v="3096.64"/>
    <s v="New"/>
    <n v="0.06"/>
    <s v="Bank Transfer"/>
    <s v="Online"/>
    <s v="Low"/>
  </r>
  <r>
    <n v="1033"/>
    <s v="TV Stand"/>
    <d v="2023-05-12T00:00:00"/>
    <s v="Bob"/>
    <s v="Michael Smith"/>
    <s v="North"/>
    <n v="7.4999999999999997E-2"/>
    <n v="379.19849999999997"/>
    <n v="5055.9799999999996"/>
    <n v="16"/>
    <s v="Furniture"/>
    <n v="2915.88"/>
    <n v="3397.36"/>
    <s v="New"/>
    <n v="0.2"/>
    <s v="Bank Transfer"/>
    <s v="Retail"/>
    <s v="High"/>
  </r>
  <r>
    <n v="1005"/>
    <s v="Smart Phone"/>
    <d v="2023-03-30T00:00:00"/>
    <s v="Alice"/>
    <s v="Scott Wayne"/>
    <s v="East"/>
    <n v="0.06"/>
    <n v="409.69439999999997"/>
    <n v="6828.24"/>
    <n v="12"/>
    <s v="Electronics"/>
    <n v="319.83"/>
    <n v="802.43"/>
    <s v="New"/>
    <n v="0.04"/>
    <s v="Credit Card"/>
    <s v="Retail"/>
    <s v="High"/>
  </r>
  <r>
    <n v="1041"/>
    <s v="Bread"/>
    <d v="2023-08-25T00:00:00"/>
    <s v="Bob"/>
    <s v="Michael Smith"/>
    <s v="South"/>
    <n v="0.05"/>
    <n v="42.738500000000002"/>
    <n v="854.77"/>
    <n v="31"/>
    <s v="Food"/>
    <n v="1604.52"/>
    <n v="1756.34"/>
    <s v="Returning"/>
    <n v="0.17"/>
    <s v="Cash"/>
    <s v="Retail"/>
    <s v="Low"/>
  </r>
  <r>
    <n v="1028"/>
    <s v="Pyjamas"/>
    <d v="2023-02-11T00:00:00"/>
    <s v="Alice"/>
    <s v="Scott Wayne"/>
    <s v="East"/>
    <n v="0.06"/>
    <n v="169.17420000000001"/>
    <n v="2819.57"/>
    <n v="24"/>
    <s v="Clothing"/>
    <n v="2521.0300000000002"/>
    <n v="2766.05"/>
    <s v="Returning"/>
    <n v="0.16"/>
    <s v="Bank Transfer"/>
    <s v="Retail"/>
    <s v="Low"/>
  </r>
  <r>
    <n v="1007"/>
    <s v="Fruit Jam"/>
    <d v="2023-03-30T00:00:00"/>
    <s v="David"/>
    <s v="Hogan Rock"/>
    <s v="East"/>
    <n v="0.06"/>
    <n v="485.33760000000001"/>
    <n v="8088.96"/>
    <n v="14"/>
    <s v="Furniture"/>
    <n v="1122.07"/>
    <n v="1608.76"/>
    <s v="New"/>
    <n v="0.22"/>
    <s v="Cash"/>
    <s v="Retail"/>
    <s v="High"/>
  </r>
  <r>
    <n v="1073"/>
    <s v="Console Table"/>
    <d v="2023-10-23T00:00:00"/>
    <s v="Charlie"/>
    <s v="Susan Jerkins"/>
    <s v="South"/>
    <n v="0.05"/>
    <n v="232.53400000000002"/>
    <n v="4650.68"/>
    <n v="45"/>
    <s v="Clothing"/>
    <n v="4369.5"/>
    <n v="4381.8900000000003"/>
    <s v="Returning"/>
    <n v="0.02"/>
    <s v="Credit Card"/>
    <s v="Retail"/>
    <s v="Low"/>
  </r>
  <r>
    <n v="1072"/>
    <s v="T-Shirt"/>
    <d v="2023-11-24T00:00:00"/>
    <s v="Alice"/>
    <s v="Scott Wayne"/>
    <s v="East"/>
    <n v="0.06"/>
    <n v="330.66659999999996"/>
    <n v="5511.11"/>
    <n v="25"/>
    <s v="Clothing"/>
    <n v="481.19"/>
    <n v="693.4"/>
    <s v="New"/>
    <n v="0.27"/>
    <s v="Credit Card"/>
    <s v="Retail"/>
    <s v="High"/>
  </r>
  <r>
    <n v="1012"/>
    <s v="Cabinet"/>
    <d v="2023-10-22T00:00:00"/>
    <s v="David"/>
    <s v="Hogan Rock"/>
    <s v="North"/>
    <n v="7.4999999999999997E-2"/>
    <n v="328.86599999999999"/>
    <n v="4384.88"/>
    <n v="34"/>
    <s v="Furniture"/>
    <n v="2462.5500000000002"/>
    <n v="2521.77"/>
    <s v="New"/>
    <n v="0.21"/>
    <s v="Bank Transfer"/>
    <s v="Retail"/>
    <s v="Low"/>
  </r>
  <r>
    <n v="1034"/>
    <s v="Socks Pack"/>
    <d v="2023-04-14T00:00:00"/>
    <s v="Alice"/>
    <s v="Scott Wayne"/>
    <s v="West"/>
    <n v="0.08"/>
    <n v="42.768799999999999"/>
    <n v="534.61"/>
    <n v="3"/>
    <s v="Clothing"/>
    <n v="3472.51"/>
    <n v="3732"/>
    <s v="New"/>
    <n v="0.06"/>
    <s v="Cash"/>
    <s v="Online"/>
    <s v="Low"/>
  </r>
  <r>
    <n v="1033"/>
    <s v="TV Stand"/>
    <d v="2023-01-14T00:00:00"/>
    <s v="Alice"/>
    <s v="Scott Wayne"/>
    <s v="West"/>
    <n v="0.08"/>
    <n v="139.27360000000002"/>
    <n v="1740.92"/>
    <n v="24"/>
    <s v="Clothing"/>
    <n v="1345.67"/>
    <n v="1367.76"/>
    <s v="New"/>
    <n v="0.06"/>
    <s v="Bank Transfer"/>
    <s v="Online"/>
    <s v="Low"/>
  </r>
  <r>
    <n v="1048"/>
    <s v="Chaise Lounge"/>
    <d v="2023-10-15T00:00:00"/>
    <s v="Charlie"/>
    <s v="Susan Jerkins"/>
    <s v="North"/>
    <n v="7.4999999999999997E-2"/>
    <n v="338.31449999999995"/>
    <n v="4510.8599999999997"/>
    <n v="42"/>
    <s v="Electronics"/>
    <n v="3139.99"/>
    <n v="3349.37"/>
    <s v="Returning"/>
    <n v="0.13"/>
    <s v="Credit Card"/>
    <s v="Retail"/>
    <s v="Low"/>
  </r>
  <r>
    <n v="1023"/>
    <s v="Tights"/>
    <d v="2023-06-28T00:00:00"/>
    <s v="Eve"/>
    <s v="Tracy Moore"/>
    <s v="East"/>
    <n v="0.06"/>
    <n v="130.25639999999999"/>
    <n v="2170.94"/>
    <n v="9"/>
    <s v="Clothing"/>
    <n v="4155.46"/>
    <n v="4273.6000000000004"/>
    <s v="Returning"/>
    <n v="0.25"/>
    <s v="Cash"/>
    <s v="Retail"/>
    <s v="Low"/>
  </r>
  <r>
    <n v="1062"/>
    <s v="Boxers"/>
    <d v="2023-05-05T00:00:00"/>
    <s v="Eve"/>
    <s v="Tracy Moore"/>
    <s v="South"/>
    <n v="0.05"/>
    <n v="29.7395"/>
    <n v="594.79"/>
    <n v="26"/>
    <s v="Clothing"/>
    <n v="992.17"/>
    <n v="1263.49"/>
    <s v="Returning"/>
    <n v="0.25"/>
    <s v="Bank Transfer"/>
    <s v="Retail"/>
    <s v="Low"/>
  </r>
  <r>
    <n v="1088"/>
    <s v="Office Desk"/>
    <d v="2023-12-19T00:00:00"/>
    <s v="Alice"/>
    <s v="Scott Wayne"/>
    <s v="East"/>
    <n v="0.06"/>
    <n v="507.12779999999992"/>
    <n v="8452.1299999999992"/>
    <n v="20"/>
    <s v="Clothing"/>
    <n v="4590.24"/>
    <n v="5088.28"/>
    <s v="New"/>
    <n v="0.16"/>
    <s v="Bank Transfer"/>
    <s v="Retail"/>
    <s v="High"/>
  </r>
  <r>
    <n v="1037"/>
    <s v="Turtleneck Top"/>
    <d v="2023-01-23T00:00:00"/>
    <s v="Bob"/>
    <s v="Michael Smith"/>
    <s v="North"/>
    <n v="7.4999999999999997E-2"/>
    <n v="736.03574999999989"/>
    <n v="9813.81"/>
    <n v="40"/>
    <s v="Clothing"/>
    <n v="2790.11"/>
    <n v="3192.37"/>
    <s v="Returning"/>
    <n v="0.26"/>
    <s v="Bank Transfer"/>
    <s v="Online"/>
    <s v="High"/>
  </r>
  <r>
    <n v="1099"/>
    <s v="Chest"/>
    <d v="2023-03-04T00:00:00"/>
    <s v="David"/>
    <s v="Hogan Rock"/>
    <s v="East"/>
    <n v="0.06"/>
    <n v="477.12659999999994"/>
    <n v="7952.11"/>
    <n v="10"/>
    <s v="Furniture"/>
    <n v="1531.2"/>
    <n v="1955.56"/>
    <s v="New"/>
    <n v="0"/>
    <s v="Credit Card"/>
    <s v="Online"/>
    <s v="High"/>
  </r>
  <r>
    <n v="1044"/>
    <s v="Burger"/>
    <d v="2023-05-23T00:00:00"/>
    <s v="Bob"/>
    <s v="Michael Smith"/>
    <s v="West"/>
    <n v="0.08"/>
    <n v="684.19759999999997"/>
    <n v="8552.4699999999993"/>
    <n v="19"/>
    <s v="Food"/>
    <n v="2182.75"/>
    <n v="2504.0299999999902"/>
    <s v="New"/>
    <n v="0.01"/>
    <s v="Bank Transfer"/>
    <s v="Online"/>
    <s v="High"/>
  </r>
  <r>
    <n v="1086"/>
    <s v="Gaming Console"/>
    <d v="2023-06-02T00:00:00"/>
    <s v="Bob"/>
    <s v="Michael Smith"/>
    <s v="East"/>
    <n v="0.06"/>
    <n v="149.73420000000002"/>
    <n v="2495.5700000000002"/>
    <n v="3"/>
    <s v="Electronics"/>
    <n v="1595.35"/>
    <n v="1625.70999999999"/>
    <s v="New"/>
    <n v="0.27"/>
    <s v="Cash"/>
    <s v="Online"/>
    <s v="Low"/>
  </r>
  <r>
    <n v="1091"/>
    <s v="Granola Bar"/>
    <d v="2023-05-25T00:00:00"/>
    <s v="Alice"/>
    <s v="Scott Wayne"/>
    <s v="North"/>
    <n v="7.4999999999999997E-2"/>
    <n v="720.76574999999991"/>
    <n v="9610.2099999999991"/>
    <n v="24"/>
    <s v="Clothing"/>
    <n v="3639.3"/>
    <n v="3750.63"/>
    <s v="New"/>
    <n v="0.23"/>
    <s v="Bank Transfer"/>
    <s v="Retail"/>
    <s v="High"/>
  </r>
  <r>
    <n v="1035"/>
    <s v="Doughnut"/>
    <d v="2023-08-13T00:00:00"/>
    <s v="Alice"/>
    <s v="Scott Wayne"/>
    <s v="West"/>
    <n v="0.08"/>
    <n v="163.9648"/>
    <n v="2049.56"/>
    <n v="5"/>
    <s v="Clothing"/>
    <n v="3991.69"/>
    <n v="4454.97"/>
    <s v="New"/>
    <n v="0.14000000000000001"/>
    <s v="Credit Card"/>
    <s v="Retail"/>
    <s v="Low"/>
  </r>
  <r>
    <n v="1065"/>
    <s v="Potatoes"/>
    <d v="2023-11-05T00:00:00"/>
    <s v="Alice"/>
    <s v="Scott Wayne"/>
    <s v="East"/>
    <n v="0.06"/>
    <n v="571.14959999999996"/>
    <n v="9519.16"/>
    <n v="3"/>
    <s v="Furniture"/>
    <n v="4173.04"/>
    <n v="4362.4399999999996"/>
    <s v="New"/>
    <n v="0.23"/>
    <s v="Bank Transfer"/>
    <s v="Retail"/>
    <s v="High"/>
  </r>
  <r>
    <n v="1099"/>
    <s v="Chest"/>
    <d v="2023-04-14T00:00:00"/>
    <s v="Alice"/>
    <s v="Scott Wayne"/>
    <s v="East"/>
    <n v="0.06"/>
    <n v="596.92259999999987"/>
    <n v="9948.7099999999991"/>
    <n v="27"/>
    <s v="Food"/>
    <n v="4929.55"/>
    <n v="4990.33"/>
    <s v="Returning"/>
    <n v="0.28999999999999998"/>
    <s v="Credit Card"/>
    <s v="Online"/>
    <s v="High"/>
  </r>
  <r>
    <n v="1047"/>
    <s v="Mouse"/>
    <d v="2023-04-14T00:00:00"/>
    <s v="Eve"/>
    <s v="Tracy Moore"/>
    <s v="West"/>
    <n v="0.08"/>
    <n v="571.6848"/>
    <n v="7146.06"/>
    <n v="16"/>
    <s v="Clothing"/>
    <n v="3966.86"/>
    <n v="4321.04"/>
    <s v="Returning"/>
    <n v="0.23"/>
    <s v="Credit Card"/>
    <s v="Retail"/>
    <s v="High"/>
  </r>
  <r>
    <n v="1078"/>
    <s v="Kitchen Island"/>
    <d v="2023-02-08T00:00:00"/>
    <s v="Alice"/>
    <s v="Scott Wayne"/>
    <s v="South"/>
    <n v="0.05"/>
    <n v="490.666"/>
    <n v="9813.32"/>
    <n v="49"/>
    <s v="Furniture"/>
    <n v="3026.85"/>
    <n v="3183.58"/>
    <s v="Returning"/>
    <n v="0.25"/>
    <s v="Cash"/>
    <s v="Retail"/>
    <s v="High"/>
  </r>
  <r>
    <n v="1003"/>
    <s v="Stool"/>
    <d v="2023-07-17T00:00:00"/>
    <s v="Eve"/>
    <s v="Tracy Moore"/>
    <s v="West"/>
    <n v="0.08"/>
    <n v="459.0752"/>
    <n v="5738.44"/>
    <n v="15"/>
    <s v="Electronics"/>
    <n v="1729.14"/>
    <n v="1870.88"/>
    <s v="Returning"/>
    <n v="0.23"/>
    <s v="Cash"/>
    <s v="Online"/>
    <s v="High"/>
  </r>
  <r>
    <n v="1001"/>
    <s v="Camera"/>
    <d v="2023-05-14T00:00:00"/>
    <s v="Eve"/>
    <s v="Tracy Moore"/>
    <s v="South"/>
    <n v="0.05"/>
    <n v="133.47300000000001"/>
    <n v="2669.46"/>
    <n v="35"/>
    <s v="Electronics"/>
    <n v="2745.75"/>
    <n v="3244.76"/>
    <s v="New"/>
    <n v="0.05"/>
    <s v="Bank Transfer"/>
    <s v="Online"/>
    <s v="Low"/>
  </r>
  <r>
    <n v="1005"/>
    <s v="Smart Phone"/>
    <d v="2023-03-08T00:00:00"/>
    <s v="Alice"/>
    <s v="Scott Wayne"/>
    <s v="North"/>
    <n v="7.4999999999999997E-2"/>
    <n v="331.96949999999998"/>
    <n v="4426.26"/>
    <n v="12"/>
    <s v="Clothing"/>
    <n v="253.29"/>
    <n v="683.78"/>
    <s v="New"/>
    <n v="0.25"/>
    <s v="Credit Card"/>
    <s v="Online"/>
    <s v="Low"/>
  </r>
  <r>
    <n v="1090"/>
    <s v="Keyboard"/>
    <d v="2023-06-28T00:00:00"/>
    <s v="Charlie"/>
    <s v="Susan Jerkins"/>
    <s v="North"/>
    <n v="7.4999999999999997E-2"/>
    <n v="448.21875"/>
    <n v="5976.25"/>
    <n v="41"/>
    <s v="Clothing"/>
    <n v="3736.88"/>
    <n v="3946.77"/>
    <s v="Returning"/>
    <n v="0.06"/>
    <s v="Credit Card"/>
    <s v="Online"/>
    <s v="High"/>
  </r>
  <r>
    <n v="1014"/>
    <s v="Cheese Block"/>
    <d v="2023-02-11T00:00:00"/>
    <s v="David"/>
    <s v="Hogan Rock"/>
    <s v="West"/>
    <n v="0.08"/>
    <n v="65.880799999999994"/>
    <n v="823.51"/>
    <n v="44"/>
    <s v="Food"/>
    <n v="2257.48"/>
    <n v="2747.81"/>
    <s v="Returning"/>
    <n v="0.27"/>
    <s v="Cash"/>
    <s v="Online"/>
    <s v="Low"/>
  </r>
  <r>
    <n v="1027"/>
    <s v="Cookies"/>
    <d v="2023-01-15T00:00:00"/>
    <s v="Bob"/>
    <s v="Michael Smith"/>
    <s v="West"/>
    <n v="0.08"/>
    <n v="500.89600000000002"/>
    <n v="6261.2"/>
    <n v="26"/>
    <s v="Food"/>
    <n v="149.11000000000001"/>
    <n v="477.67"/>
    <s v="Returning"/>
    <n v="0.14000000000000001"/>
    <s v="Cash"/>
    <s v="Retail"/>
    <s v="High"/>
  </r>
  <r>
    <n v="1009"/>
    <s v="Jacket"/>
    <d v="2023-04-21T00:00:00"/>
    <s v="Eve"/>
    <s v="Tracy Moore"/>
    <s v="North"/>
    <n v="7.4999999999999997E-2"/>
    <n v="736.02449999999999"/>
    <n v="9813.66"/>
    <n v="47"/>
    <s v="Clothing"/>
    <n v="359.41"/>
    <n v="733"/>
    <s v="Returning"/>
    <n v="0.2"/>
    <s v="Bank Transfer"/>
    <s v="Retail"/>
    <s v="High"/>
  </r>
  <r>
    <n v="1079"/>
    <s v="Wardrobe"/>
    <d v="2023-06-06T00:00:00"/>
    <s v="David"/>
    <s v="Hogan Rock"/>
    <s v="South"/>
    <n v="0.05"/>
    <n v="99.103499999999997"/>
    <n v="1982.07"/>
    <n v="34"/>
    <s v="Furniture"/>
    <n v="1967.96"/>
    <n v="1993.4"/>
    <s v="Returning"/>
    <n v="0.15"/>
    <s v="Credit Card"/>
    <s v="Online"/>
    <s v="Low"/>
  </r>
  <r>
    <n v="1015"/>
    <s v="Chocolate Bar"/>
    <d v="2023-10-16T00:00:00"/>
    <s v="Charlie"/>
    <s v="Susan Jerkins"/>
    <s v="North"/>
    <n v="7.4999999999999997E-2"/>
    <n v="596.0017499999999"/>
    <n v="7946.69"/>
    <n v="23"/>
    <s v="Food"/>
    <n v="2937.94"/>
    <n v="3007.53"/>
    <s v="Returning"/>
    <n v="0.03"/>
    <s v="Cash"/>
    <s v="Retail"/>
    <s v="High"/>
  </r>
  <r>
    <n v="1090"/>
    <s v="Keyboard"/>
    <d v="2023-08-19T00:00:00"/>
    <s v="Bob"/>
    <s v="Michael Smith"/>
    <s v="West"/>
    <n v="0.08"/>
    <n v="727.05600000000004"/>
    <n v="9088.2000000000007"/>
    <n v="31"/>
    <s v="Clothing"/>
    <n v="2347.81"/>
    <n v="2668.02"/>
    <s v="Returning"/>
    <n v="0.09"/>
    <s v="Bank Transfer"/>
    <s v="Retail"/>
    <s v="High"/>
  </r>
  <r>
    <n v="1042"/>
    <s v="Frozen Pizza"/>
    <d v="2023-06-06T00:00:00"/>
    <s v="Bob"/>
    <s v="Michael Smith"/>
    <s v="North"/>
    <n v="7.4999999999999997E-2"/>
    <n v="708.1987499999999"/>
    <n v="9442.65"/>
    <n v="20"/>
    <s v="Food"/>
    <n v="3115.06"/>
    <n v="3565.58"/>
    <s v="Returning"/>
    <n v="0.3"/>
    <s v="Credit Card"/>
    <s v="Retail"/>
    <s v="High"/>
  </r>
  <r>
    <n v="1077"/>
    <s v="Skirt"/>
    <d v="2023-02-07T00:00:00"/>
    <s v="Eve"/>
    <s v="Tracy Moore"/>
    <s v="West"/>
    <n v="0.08"/>
    <n v="768.42720000000008"/>
    <n v="9605.34"/>
    <n v="12"/>
    <s v="Clothing"/>
    <n v="2427.46"/>
    <n v="2743.09"/>
    <s v="New"/>
    <n v="0.28999999999999998"/>
    <s v="Credit Card"/>
    <s v="Retail"/>
    <s v="High"/>
  </r>
  <r>
    <n v="1051"/>
    <s v="Tablet"/>
    <d v="2023-04-07T00:00:00"/>
    <s v="Alice"/>
    <s v="Scott Wayne"/>
    <s v="West"/>
    <n v="0.08"/>
    <n v="420.99599999999998"/>
    <n v="5262.45"/>
    <n v="23"/>
    <s v="Electronics"/>
    <n v="3325.43"/>
    <n v="3401.1"/>
    <s v="New"/>
    <n v="0.1"/>
    <s v="Cash"/>
    <s v="Online"/>
    <s v="High"/>
  </r>
  <r>
    <n v="1063"/>
    <s v="Noodles"/>
    <d v="2023-10-16T00:00:00"/>
    <s v="Charlie"/>
    <s v="Susan Jerkins"/>
    <s v="North"/>
    <n v="7.4999999999999997E-2"/>
    <n v="733.15125"/>
    <n v="9775.35"/>
    <n v="4"/>
    <s v="Clothing"/>
    <n v="1134.67"/>
    <n v="1201.3900000000001"/>
    <s v="New"/>
    <n v="0.3"/>
    <s v="Bank Transfer"/>
    <s v="Retail"/>
    <s v="High"/>
  </r>
  <r>
    <n v="1096"/>
    <s v="Radio"/>
    <d v="2023-09-11T00:00:00"/>
    <s v="Eve"/>
    <s v="Tracy Moore"/>
    <s v="South"/>
    <n v="0.05"/>
    <n v="379.86850000000004"/>
    <n v="7597.37"/>
    <n v="23"/>
    <s v="Electronics"/>
    <n v="608.57000000000005"/>
    <n v="1032.22"/>
    <s v="New"/>
    <n v="0.25"/>
    <s v="Cash"/>
    <s v="Retail"/>
    <s v="High"/>
  </r>
  <r>
    <n v="1052"/>
    <s v="Wooden Chair"/>
    <d v="2023-07-15T00:00:00"/>
    <s v="Charlie"/>
    <s v="Susan Jerkins"/>
    <s v="East"/>
    <n v="0.06"/>
    <n v="102.03299999999999"/>
    <n v="1700.55"/>
    <n v="48"/>
    <s v="Food"/>
    <n v="3002.35"/>
    <n v="3080.61"/>
    <s v="Returning"/>
    <n v="0.18"/>
    <s v="Bank Transfer"/>
    <s v="Retail"/>
    <s v="Low"/>
  </r>
  <r>
    <n v="1096"/>
    <s v="Radio"/>
    <d v="2023-03-27T00:00:00"/>
    <s v="Alice"/>
    <s v="Scott Wayne"/>
    <s v="North"/>
    <n v="7.4999999999999997E-2"/>
    <n v="361.59825000000001"/>
    <n v="4821.3100000000004"/>
    <n v="48"/>
    <s v="Clothing"/>
    <n v="2449.21"/>
    <n v="2714.12"/>
    <s v="New"/>
    <n v="0.01"/>
    <s v="Credit Card"/>
    <s v="Online"/>
    <s v="Low"/>
  </r>
  <r>
    <n v="1004"/>
    <s v="Smartwatch"/>
    <d v="2023-11-18T00:00:00"/>
    <s v="Alice"/>
    <s v="Scott Wayne"/>
    <s v="East"/>
    <n v="0.06"/>
    <n v="432.68879999999996"/>
    <n v="7211.48"/>
    <n v="1"/>
    <s v="Food"/>
    <n v="182.99"/>
    <n v="211.18"/>
    <s v="Returning"/>
    <n v="0.27"/>
    <s v="Bank Transfer"/>
    <s v="Retail"/>
    <s v="High"/>
  </r>
  <r>
    <n v="1094"/>
    <s v="Microwave"/>
    <d v="2023-01-10T00:00:00"/>
    <s v="Eve"/>
    <s v="Tracy Moore"/>
    <s v="North"/>
    <n v="7.4999999999999997E-2"/>
    <n v="191.15025"/>
    <n v="2548.67"/>
    <n v="25"/>
    <s v="Electronics"/>
    <n v="1933.39"/>
    <n v="1982.92"/>
    <s v="New"/>
    <n v="0.17"/>
    <s v="Bank Transfer"/>
    <s v="Online"/>
    <s v="Low"/>
  </r>
  <r>
    <n v="1023"/>
    <s v="Tights"/>
    <d v="2023-01-05T00:00:00"/>
    <s v="Alice"/>
    <s v="Scott Wayne"/>
    <s v="East"/>
    <n v="0.06"/>
    <n v="386.52539999999999"/>
    <n v="6442.09"/>
    <n v="2"/>
    <s v="Clothing"/>
    <n v="575.32000000000005"/>
    <n v="914.77"/>
    <s v="Returning"/>
    <n v="0.26"/>
    <s v="Bank Transfer"/>
    <s v="Online"/>
    <s v="High"/>
  </r>
  <r>
    <n v="1015"/>
    <s v="Chocolate Bar"/>
    <d v="2023-05-03T00:00:00"/>
    <s v="David"/>
    <s v="Hogan Rock"/>
    <s v="South"/>
    <n v="0.05"/>
    <n v="334.96700000000004"/>
    <n v="6699.34"/>
    <n v="30"/>
    <s v="Food"/>
    <n v="2680.22"/>
    <n v="3027.9199999999901"/>
    <s v="Returning"/>
    <n v="0.25"/>
    <s v="Bank Transfer"/>
    <s v="Online"/>
    <s v="High"/>
  </r>
  <r>
    <n v="1043"/>
    <s v="Oven"/>
    <d v="2023-11-26T00:00:00"/>
    <s v="Bob"/>
    <s v="Michael Smith"/>
    <s v="South"/>
    <n v="0.05"/>
    <n v="85.536500000000004"/>
    <n v="1710.73"/>
    <n v="3"/>
    <s v="Electronics"/>
    <n v="2009.1"/>
    <n v="2186.42"/>
    <s v="New"/>
    <n v="0.25"/>
    <s v="Bank Transfer"/>
    <s v="Online"/>
    <s v="Low"/>
  </r>
  <r>
    <n v="1029"/>
    <s v="Camisole"/>
    <d v="2023-12-19T00:00:00"/>
    <s v="Eve"/>
    <s v="Tracy Moore"/>
    <s v="North"/>
    <n v="7.4999999999999997E-2"/>
    <n v="427.07549999999998"/>
    <n v="5694.34"/>
    <n v="21"/>
    <s v="Food"/>
    <n v="3085.1"/>
    <n v="3200.75"/>
    <s v="New"/>
    <n v="0.21"/>
    <s v="Cash"/>
    <s v="Retail"/>
    <s v="High"/>
  </r>
  <r>
    <n v="1036"/>
    <s v="Shorts"/>
    <d v="2023-04-28T00:00:00"/>
    <s v="Charlie"/>
    <s v="Susan Jerkins"/>
    <s v="West"/>
    <n v="0.08"/>
    <n v="619.12879999999996"/>
    <n v="7739.11"/>
    <n v="25"/>
    <s v="Furniture"/>
    <n v="4037.73"/>
    <n v="4446.45"/>
    <s v="Returning"/>
    <n v="0.09"/>
    <s v="Bank Transfer"/>
    <s v="Online"/>
    <s v="High"/>
  </r>
  <r>
    <n v="1013"/>
    <s v="Gas Cooker"/>
    <d v="2023-10-21T00:00:00"/>
    <s v="David"/>
    <s v="Hogan Rock"/>
    <s v="East"/>
    <n v="0.06"/>
    <n v="302.34419999999994"/>
    <n v="5039.07"/>
    <n v="20"/>
    <s v="Electronics"/>
    <n v="1533.36"/>
    <n v="1649.73999999999"/>
    <s v="Returning"/>
    <n v="0.1"/>
    <s v="Bank Transfer"/>
    <s v="Online"/>
    <s v="High"/>
  </r>
  <r>
    <n v="1032"/>
    <s v="Refridgerator"/>
    <d v="2023-06-08T00:00:00"/>
    <s v="Eve"/>
    <s v="Tracy Moore"/>
    <s v="West"/>
    <n v="0.08"/>
    <n v="17.585599999999999"/>
    <n v="219.82"/>
    <n v="49"/>
    <s v="Electronics"/>
    <n v="4812.41"/>
    <n v="5088"/>
    <s v="Returning"/>
    <n v="0.09"/>
    <s v="Credit Card"/>
    <s v="Online"/>
    <s v="Low"/>
  </r>
  <r>
    <n v="1071"/>
    <s v="Game Table"/>
    <d v="2023-10-30T00:00:00"/>
    <s v="Alice"/>
    <s v="Scott Wayne"/>
    <s v="West"/>
    <n v="0.08"/>
    <n v="15.1584"/>
    <n v="189.48"/>
    <n v="22"/>
    <s v="Electronics"/>
    <n v="2701.39"/>
    <n v="3185.81"/>
    <s v="New"/>
    <n v="0.01"/>
    <s v="Bank Transfer"/>
    <s v="Online"/>
    <s v="Low"/>
  </r>
  <r>
    <n v="1059"/>
    <s v="Coffee Beans"/>
    <d v="2023-08-16T00:00:00"/>
    <s v="Alice"/>
    <s v="Scott Wayne"/>
    <s v="West"/>
    <n v="0.08"/>
    <n v="290.7672"/>
    <n v="3634.59"/>
    <n v="21"/>
    <s v="Clothing"/>
    <n v="3110.54"/>
    <n v="3192.99"/>
    <s v="New"/>
    <n v="0.17"/>
    <s v="Credit Card"/>
    <s v="Online"/>
    <s v="Low"/>
  </r>
  <r>
    <n v="1086"/>
    <s v="Gaming Console"/>
    <d v="2023-12-31T00:00:00"/>
    <s v="Alice"/>
    <s v="Scott Wayne"/>
    <s v="South"/>
    <n v="0.05"/>
    <n v="463.46600000000001"/>
    <n v="9269.32"/>
    <n v="33"/>
    <s v="Clothing"/>
    <n v="3419.33"/>
    <n v="3890.3599999999901"/>
    <s v="Returning"/>
    <n v="0.21"/>
    <s v="Cash"/>
    <s v="Retail"/>
    <s v="High"/>
  </r>
  <r>
    <n v="1028"/>
    <s v="Pyjamas"/>
    <d v="2023-08-04T00:00:00"/>
    <s v="Alice"/>
    <s v="Scott Wayne"/>
    <s v="North"/>
    <n v="7.4999999999999997E-2"/>
    <n v="177.29249999999999"/>
    <n v="2363.9"/>
    <n v="38"/>
    <s v="Clothing"/>
    <n v="3350.32"/>
    <n v="3449.94"/>
    <s v="New"/>
    <n v="0.26"/>
    <s v="Cash"/>
    <s v="Online"/>
    <s v="Low"/>
  </r>
  <r>
    <n v="1066"/>
    <s v="Armoire"/>
    <d v="2023-07-03T00:00:00"/>
    <s v="Charlie"/>
    <s v="Susan Jerkins"/>
    <s v="North"/>
    <n v="7.4999999999999997E-2"/>
    <n v="478.51499999999999"/>
    <n v="6380.2"/>
    <n v="15"/>
    <s v="Furniture"/>
    <n v="2579.31"/>
    <n v="2867.36"/>
    <s v="Returning"/>
    <n v="0.04"/>
    <s v="Bank Transfer"/>
    <s v="Retail"/>
    <s v="High"/>
  </r>
  <r>
    <n v="1042"/>
    <s v="Frozen Pizza"/>
    <d v="2023-01-15T00:00:00"/>
    <s v="David"/>
    <s v="Hogan Rock"/>
    <s v="South"/>
    <n v="0.05"/>
    <n v="114.92750000000001"/>
    <n v="2298.5500000000002"/>
    <n v="46"/>
    <s v="Furniture"/>
    <n v="2172.38"/>
    <n v="2367.11"/>
    <s v="New"/>
    <n v="0.16"/>
    <s v="Cash"/>
    <s v="Retail"/>
    <s v="Low"/>
  </r>
  <r>
    <n v="1045"/>
    <s v="Bikers Shorts"/>
    <d v="2023-06-06T00:00:00"/>
    <s v="Bob"/>
    <s v="Michael Smith"/>
    <s v="South"/>
    <n v="0.05"/>
    <n v="164.22650000000002"/>
    <n v="3284.53"/>
    <n v="15"/>
    <s v="Electronics"/>
    <n v="316.22000000000003"/>
    <n v="799.04"/>
    <s v="New"/>
    <n v="0"/>
    <s v="Bank Transfer"/>
    <s v="Online"/>
    <s v="Low"/>
  </r>
  <r>
    <n v="1062"/>
    <s v="Boxers"/>
    <d v="2023-05-16T00:00:00"/>
    <s v="Charlie"/>
    <s v="Susan Jerkins"/>
    <s v="North"/>
    <n v="7.4999999999999997E-2"/>
    <n v="637.17150000000004"/>
    <n v="8495.6200000000008"/>
    <n v="46"/>
    <s v="Furniture"/>
    <n v="159.32"/>
    <n v="303.36"/>
    <s v="New"/>
    <n v="0.03"/>
    <s v="Cash"/>
    <s v="Retail"/>
    <s v="High"/>
  </r>
  <r>
    <n v="1057"/>
    <s v="Avocadro Pear"/>
    <d v="2023-09-18T00:00:00"/>
    <s v="Charlie"/>
    <s v="Susan Jerkins"/>
    <s v="West"/>
    <n v="0.08"/>
    <n v="585.25839999999994"/>
    <n v="7315.73"/>
    <n v="25"/>
    <s v="Food"/>
    <n v="1821.91"/>
    <n v="2027.74"/>
    <s v="New"/>
    <n v="0.02"/>
    <s v="Bank Transfer"/>
    <s v="Retail"/>
    <s v="High"/>
  </r>
  <r>
    <n v="1006"/>
    <s v="Monitor"/>
    <d v="2023-06-06T00:00:00"/>
    <s v="Bob"/>
    <s v="Michael Smith"/>
    <s v="East"/>
    <n v="0.06"/>
    <n v="62.667000000000002"/>
    <n v="1044.45"/>
    <n v="21"/>
    <s v="Electronics"/>
    <n v="1701.62"/>
    <n v="2193.2199999999998"/>
    <s v="New"/>
    <n v="0.22"/>
    <s v="Bank Transfer"/>
    <s v="Retail"/>
    <s v="Low"/>
  </r>
  <r>
    <n v="1028"/>
    <s v="Pyjamas"/>
    <d v="2023-02-16T00:00:00"/>
    <s v="Bob"/>
    <s v="Michael Smith"/>
    <s v="East"/>
    <n v="0.06"/>
    <n v="260.64899999999994"/>
    <n v="4344.1499999999996"/>
    <n v="24"/>
    <s v="Electronics"/>
    <n v="1969.09"/>
    <n v="2241.96"/>
    <s v="Returning"/>
    <n v="0.02"/>
    <s v="Credit Card"/>
    <s v="Online"/>
    <s v="Low"/>
  </r>
  <r>
    <n v="1028"/>
    <s v="Pyjamas"/>
    <d v="2023-11-20T00:00:00"/>
    <s v="Alice"/>
    <s v="Scott Wayne"/>
    <s v="East"/>
    <n v="0.06"/>
    <n v="23.326799999999999"/>
    <n v="388.78"/>
    <n v="5"/>
    <s v="Food"/>
    <n v="734.92"/>
    <n v="991.21"/>
    <s v="Returning"/>
    <n v="0.21"/>
    <s v="Credit Card"/>
    <s v="Online"/>
    <s v="Low"/>
  </r>
  <r>
    <n v="1044"/>
    <s v="Burger"/>
    <d v="2023-11-28T00:00:00"/>
    <s v="Charlie"/>
    <s v="Susan Jerkins"/>
    <s v="West"/>
    <n v="0.08"/>
    <n v="388.86480000000006"/>
    <n v="4860.8100000000004"/>
    <n v="6"/>
    <s v="Electronics"/>
    <n v="3703.93"/>
    <n v="3840.24"/>
    <s v="New"/>
    <n v="7.0000000000000007E-2"/>
    <s v="Credit Card"/>
    <s v="Online"/>
    <s v="Low"/>
  </r>
  <r>
    <n v="1084"/>
    <s v="Card Table"/>
    <d v="2023-06-22T00:00:00"/>
    <s v="Eve"/>
    <s v="Tracy Moore"/>
    <s v="North"/>
    <n v="7.4999999999999997E-2"/>
    <n v="499.35750000000002"/>
    <n v="6658.1"/>
    <n v="49"/>
    <s v="Furniture"/>
    <n v="4291.97"/>
    <n v="4645.6400000000003"/>
    <s v="Returning"/>
    <n v="0.26"/>
    <s v="Credit Card"/>
    <s v="Online"/>
    <s v="High"/>
  </r>
  <r>
    <n v="1030"/>
    <s v="Jeans"/>
    <d v="2023-05-10T00:00:00"/>
    <s v="Bob"/>
    <s v="Michael Smith"/>
    <s v="South"/>
    <n v="0.05"/>
    <n v="63.659000000000006"/>
    <n v="1273.18"/>
    <n v="43"/>
    <s v="Clothing"/>
    <n v="4696.6400000000003"/>
    <n v="4713.68"/>
    <s v="Returning"/>
    <n v="0.24"/>
    <s v="Bank Transfer"/>
    <s v="Online"/>
    <s v="Low"/>
  </r>
  <r>
    <n v="1062"/>
    <s v="Boxers"/>
    <d v="2023-04-05T00:00:00"/>
    <s v="Bob"/>
    <s v="Michael Smith"/>
    <s v="North"/>
    <n v="7.4999999999999997E-2"/>
    <n v="221.99699999999999"/>
    <n v="2959.96"/>
    <n v="48"/>
    <s v="Food"/>
    <n v="2487.19"/>
    <n v="2521.4499999999998"/>
    <s v="New"/>
    <n v="0.28999999999999998"/>
    <s v="Cash"/>
    <s v="Online"/>
    <s v="Low"/>
  </r>
  <r>
    <n v="1075"/>
    <s v="Bookshelf"/>
    <d v="2023-04-25T00:00:00"/>
    <s v="David"/>
    <s v="Hogan Rock"/>
    <s v="West"/>
    <n v="0.08"/>
    <n v="323.08640000000003"/>
    <n v="4038.58"/>
    <n v="44"/>
    <s v="Furniture"/>
    <n v="3519.29"/>
    <n v="3822.98"/>
    <s v="Returning"/>
    <n v="0.27"/>
    <s v="Bank Transfer"/>
    <s v="Online"/>
    <s v="Low"/>
  </r>
  <r>
    <n v="1092"/>
    <s v="Recliner"/>
    <d v="2023-08-31T00:00:00"/>
    <s v="Eve"/>
    <s v="Tracy Moore"/>
    <s v="South"/>
    <n v="0.05"/>
    <n v="460.16800000000006"/>
    <n v="9203.36"/>
    <n v="47"/>
    <s v="Food"/>
    <n v="4284.9799999999996"/>
    <n v="4462.3999999999996"/>
    <s v="New"/>
    <n v="0.28000000000000003"/>
    <s v="Credit Card"/>
    <s v="Retail"/>
    <s v="High"/>
  </r>
  <r>
    <n v="1089"/>
    <s v="Recliner"/>
    <d v="2023-10-19T00:00:00"/>
    <s v="Eve"/>
    <s v="Tracy Moore"/>
    <s v="West"/>
    <n v="0.08"/>
    <n v="794.6576"/>
    <n v="9933.2199999999993"/>
    <n v="23"/>
    <s v="Food"/>
    <n v="2120.54"/>
    <n v="2597.67"/>
    <s v="Returning"/>
    <n v="0.26"/>
    <s v="Credit Card"/>
    <s v="Retail"/>
    <s v="High"/>
  </r>
  <r>
    <n v="1062"/>
    <s v="Boxers"/>
    <d v="2023-10-09T00:00:00"/>
    <s v="Bob"/>
    <s v="Michael Smith"/>
    <s v="East"/>
    <n v="0.06"/>
    <n v="32.677199999999999"/>
    <n v="544.62"/>
    <n v="4"/>
    <s v="Electronics"/>
    <n v="1581.59"/>
    <n v="2034.1499999999901"/>
    <s v="Returning"/>
    <n v="0.21"/>
    <s v="Cash"/>
    <s v="Online"/>
    <s v="Low"/>
  </r>
  <r>
    <n v="1097"/>
    <s v="Freezer"/>
    <d v="2023-10-26T00:00:00"/>
    <s v="Alice"/>
    <s v="Scott Wayne"/>
    <s v="East"/>
    <n v="0.06"/>
    <n v="458.03879999999998"/>
    <n v="7633.98"/>
    <n v="27"/>
    <s v="Electronics"/>
    <n v="4686.79"/>
    <n v="5046.51"/>
    <s v="Returning"/>
    <n v="0.05"/>
    <s v="Credit Card"/>
    <s v="Retail"/>
    <s v="High"/>
  </r>
  <r>
    <n v="1001"/>
    <s v="Camera"/>
    <d v="2023-10-10T00:00:00"/>
    <s v="David"/>
    <s v="Hogan Rock"/>
    <s v="West"/>
    <n v="0.08"/>
    <n v="302.40559999999999"/>
    <n v="3780.07"/>
    <n v="18"/>
    <s v="Furniture"/>
    <n v="2602.6"/>
    <n v="3013.49"/>
    <s v="Returning"/>
    <n v="0.08"/>
    <s v="Bank Transfer"/>
    <s v="Online"/>
    <s v="Low"/>
  </r>
  <r>
    <n v="1027"/>
    <s v="Cookies"/>
    <d v="2023-03-10T00:00:00"/>
    <s v="Eve"/>
    <s v="Tracy Moore"/>
    <s v="South"/>
    <n v="0.05"/>
    <n v="199.26700000000002"/>
    <n v="3985.34"/>
    <n v="21"/>
    <s v="Food"/>
    <n v="2511.41"/>
    <n v="2848.3999999999901"/>
    <s v="Returning"/>
    <n v="0.06"/>
    <s v="Bank Transfer"/>
    <s v="Online"/>
    <s v="Low"/>
  </r>
  <r>
    <n v="1062"/>
    <s v="Boxers"/>
    <d v="2023-05-28T00:00:00"/>
    <s v="Bob"/>
    <s v="Michael Smith"/>
    <s v="South"/>
    <n v="0.05"/>
    <n v="378.36100000000005"/>
    <n v="7567.22"/>
    <n v="28"/>
    <s v="Electronics"/>
    <n v="933.16"/>
    <n v="1004.69999999999"/>
    <s v="Returning"/>
    <n v="0.18"/>
    <s v="Bank Transfer"/>
    <s v="Online"/>
    <s v="High"/>
  </r>
  <r>
    <n v="1077"/>
    <s v="Skirt"/>
    <d v="2023-01-11T00:00:00"/>
    <s v="Eve"/>
    <s v="Tracy Moore"/>
    <s v="North"/>
    <n v="7.4999999999999997E-2"/>
    <n v="689.43150000000003"/>
    <n v="9192.42"/>
    <n v="35"/>
    <s v="Electronics"/>
    <n v="585.37"/>
    <n v="970.49"/>
    <s v="Returning"/>
    <n v="0.15"/>
    <s v="Bank Transfer"/>
    <s v="Retail"/>
    <s v="High"/>
  </r>
  <r>
    <n v="1003"/>
    <s v="Stool"/>
    <d v="2023-09-11T00:00:00"/>
    <s v="David"/>
    <s v="Hogan Rock"/>
    <s v="East"/>
    <n v="0.06"/>
    <n v="570.85140000000001"/>
    <n v="9514.19"/>
    <n v="22"/>
    <s v="Food"/>
    <n v="4218.43"/>
    <n v="4331.42"/>
    <s v="New"/>
    <n v="0.26"/>
    <s v="Bank Transfer"/>
    <s v="Online"/>
    <s v="High"/>
  </r>
  <r>
    <n v="1070"/>
    <s v="Hutch"/>
    <d v="2023-11-26T00:00:00"/>
    <s v="David"/>
    <s v="Hogan Rock"/>
    <s v="North"/>
    <n v="7.4999999999999997E-2"/>
    <n v="436.01325000000003"/>
    <n v="5813.51"/>
    <n v="40"/>
    <s v="Furniture"/>
    <n v="3089.96"/>
    <n v="3258.45"/>
    <s v="New"/>
    <n v="0.28999999999999998"/>
    <s v="Cash"/>
    <s v="Online"/>
    <s v="High"/>
  </r>
  <r>
    <n v="1072"/>
    <s v="T-Shirt"/>
    <d v="2023-12-26T00:00:00"/>
    <s v="Charlie"/>
    <s v="Susan Jerkins"/>
    <s v="North"/>
    <n v="7.4999999999999997E-2"/>
    <n v="272.66249999999997"/>
    <n v="3635.5"/>
    <n v="23"/>
    <s v="Furniture"/>
    <n v="1662.83"/>
    <n v="2074.25"/>
    <s v="New"/>
    <n v="0.12"/>
    <s v="Bank Transfer"/>
    <s v="Online"/>
    <s v="Low"/>
  </r>
  <r>
    <n v="1027"/>
    <s v="Cookies"/>
    <d v="2023-02-07T00:00:00"/>
    <s v="Bob"/>
    <s v="Michael Smith"/>
    <s v="West"/>
    <n v="0.08"/>
    <n v="631.73919999999998"/>
    <n v="7896.74"/>
    <n v="3"/>
    <s v="Food"/>
    <n v="999.09"/>
    <n v="1271.99"/>
    <s v="New"/>
    <n v="0.15"/>
    <s v="Credit Card"/>
    <s v="Online"/>
    <s v="High"/>
  </r>
  <r>
    <n v="1009"/>
    <s v="Jacket"/>
    <d v="2023-05-14T00:00:00"/>
    <s v="David"/>
    <s v="Hogan Rock"/>
    <s v="West"/>
    <n v="0.08"/>
    <n v="206.7928"/>
    <n v="2584.91"/>
    <n v="40"/>
    <s v="Furniture"/>
    <n v="2799.71"/>
    <n v="3231.08"/>
    <s v="Returning"/>
    <n v="0.28999999999999998"/>
    <s v="Credit Card"/>
    <s v="Retail"/>
    <s v="Low"/>
  </r>
  <r>
    <n v="1062"/>
    <s v="Boxers"/>
    <d v="2023-07-19T00:00:00"/>
    <s v="Charlie"/>
    <s v="Susan Jerkins"/>
    <s v="North"/>
    <n v="7.4999999999999997E-2"/>
    <n v="426.32474999999999"/>
    <n v="5684.33"/>
    <n v="10"/>
    <s v="Electronics"/>
    <n v="2940.4"/>
    <n v="3054.79"/>
    <s v="Returning"/>
    <n v="0.08"/>
    <s v="Credit Card"/>
    <s v="Online"/>
    <s v="High"/>
  </r>
  <r>
    <n v="1037"/>
    <s v="Turtleneck Top"/>
    <d v="2023-01-23T00:00:00"/>
    <s v="Charlie"/>
    <s v="Susan Jerkins"/>
    <s v="East"/>
    <n v="0.06"/>
    <n v="218.99579999999997"/>
    <n v="3649.93"/>
    <n v="25"/>
    <s v="Food"/>
    <n v="1074.6199999999999"/>
    <n v="1382.4299999999901"/>
    <s v="Returning"/>
    <n v="0.24"/>
    <s v="Credit Card"/>
    <s v="Retail"/>
    <s v="Low"/>
  </r>
  <r>
    <n v="1097"/>
    <s v="Freezer"/>
    <d v="2023-10-30T00:00:00"/>
    <s v="Eve"/>
    <s v="Tracy Moore"/>
    <s v="West"/>
    <n v="0.08"/>
    <n v="528.05200000000002"/>
    <n v="6600.65"/>
    <n v="49"/>
    <s v="Electronics"/>
    <n v="4264.46"/>
    <n v="4315.5200000000004"/>
    <s v="New"/>
    <n v="7.0000000000000007E-2"/>
    <s v="Cash"/>
    <s v="Retail"/>
    <s v="High"/>
  </r>
  <r>
    <n v="1051"/>
    <s v="Tablet"/>
    <d v="2023-12-12T00:00:00"/>
    <s v="Eve"/>
    <s v="Tracy Moore"/>
    <s v="North"/>
    <n v="7.4999999999999997E-2"/>
    <n v="185.99624999999997"/>
    <n v="2479.9499999999998"/>
    <n v="8"/>
    <s v="Clothing"/>
    <n v="467.11"/>
    <n v="792.21"/>
    <s v="New"/>
    <n v="0.2"/>
    <s v="Credit Card"/>
    <s v="Online"/>
    <s v="Low"/>
  </r>
  <r>
    <n v="1044"/>
    <s v="Burger"/>
    <d v="2023-10-29T00:00:00"/>
    <s v="Charlie"/>
    <s v="Susan Jerkins"/>
    <s v="North"/>
    <n v="7.4999999999999997E-2"/>
    <n v="149.75774999999999"/>
    <n v="1996.77"/>
    <n v="11"/>
    <s v="Clothing"/>
    <n v="1812.66"/>
    <n v="2196.3000000000002"/>
    <s v="New"/>
    <n v="0.08"/>
    <s v="Cash"/>
    <s v="Online"/>
    <s v="Low"/>
  </r>
  <r>
    <n v="1024"/>
    <s v="Pasta Pack"/>
    <d v="2023-12-29T00:00:00"/>
    <s v="Eve"/>
    <s v="Tracy Moore"/>
    <s v="North"/>
    <n v="7.4999999999999997E-2"/>
    <n v="689.29274999999996"/>
    <n v="9190.57"/>
    <n v="5"/>
    <s v="Furniture"/>
    <n v="3417.9"/>
    <n v="3714.52"/>
    <s v="Returning"/>
    <n v="0.27"/>
    <s v="Credit Card"/>
    <s v="Retail"/>
    <s v="High"/>
  </r>
  <r>
    <n v="1079"/>
    <s v="Wardrobe"/>
    <d v="2023-08-06T00:00:00"/>
    <s v="David"/>
    <s v="Hogan Rock"/>
    <s v="North"/>
    <n v="7.4999999999999997E-2"/>
    <n v="83.089499999999987"/>
    <n v="1107.8599999999999"/>
    <n v="45"/>
    <s v="Clothing"/>
    <n v="1406.9"/>
    <n v="1547.35"/>
    <s v="New"/>
    <n v="0.17"/>
    <s v="Cash"/>
    <s v="Retail"/>
    <s v="Low"/>
  </r>
  <r>
    <n v="1059"/>
    <s v="Coffee Beans"/>
    <d v="2023-05-21T00:00:00"/>
    <s v="Alice"/>
    <s v="Scott Wayne"/>
    <s v="North"/>
    <n v="7.4999999999999997E-2"/>
    <n v="383.17349999999993"/>
    <n v="5108.9799999999996"/>
    <n v="37"/>
    <s v="Electronics"/>
    <n v="4146.99"/>
    <n v="4172.3499999999904"/>
    <s v="Returning"/>
    <n v="0.06"/>
    <s v="Cash"/>
    <s v="Retail"/>
    <s v="High"/>
  </r>
  <r>
    <n v="1032"/>
    <s v="Refridgerator"/>
    <d v="2023-04-14T00:00:00"/>
    <s v="David"/>
    <s v="Hogan Rock"/>
    <s v="North"/>
    <n v="7.4999999999999997E-2"/>
    <n v="171.483"/>
    <n v="2286.44"/>
    <n v="45"/>
    <s v="Clothing"/>
    <n v="3712.35"/>
    <n v="3780.88"/>
    <s v="New"/>
    <n v="7.0000000000000007E-2"/>
    <s v="Cash"/>
    <s v="Retail"/>
    <s v="Low"/>
  </r>
  <r>
    <n v="1096"/>
    <s v="Radio"/>
    <d v="2023-07-29T00:00:00"/>
    <s v="Charlie"/>
    <s v="Susan Jerkins"/>
    <s v="West"/>
    <n v="0.08"/>
    <n v="38.832800000000006"/>
    <n v="485.41"/>
    <n v="38"/>
    <s v="Electronics"/>
    <n v="3955.66"/>
    <n v="4270.59"/>
    <s v="Returning"/>
    <n v="0.15"/>
    <s v="Credit Card"/>
    <s v="Online"/>
    <s v="Low"/>
  </r>
  <r>
    <n v="1088"/>
    <s v="Office Desk"/>
    <d v="2023-04-21T00:00:00"/>
    <s v="Charlie"/>
    <s v="Susan Jerkins"/>
    <s v="East"/>
    <n v="0.06"/>
    <n v="27.395399999999999"/>
    <n v="456.59"/>
    <n v="29"/>
    <s v="Furniture"/>
    <n v="639.58000000000004"/>
    <n v="1107.45"/>
    <s v="New"/>
    <n v="0.28999999999999998"/>
    <s v="Cash"/>
    <s v="Retail"/>
    <s v="Low"/>
  </r>
  <r>
    <n v="1052"/>
    <s v="Wooden Chair"/>
    <d v="2023-04-14T00:00:00"/>
    <s v="David"/>
    <s v="Hogan Rock"/>
    <s v="North"/>
    <n v="7.4999999999999997E-2"/>
    <n v="137.60249999999999"/>
    <n v="1834.7"/>
    <n v="5"/>
    <s v="Furniture"/>
    <n v="745.71"/>
    <n v="856.91"/>
    <s v="Returning"/>
    <n v="0.23"/>
    <s v="Bank Transfer"/>
    <s v="Retail"/>
    <s v="Low"/>
  </r>
  <r>
    <n v="1062"/>
    <s v="Boxers"/>
    <d v="2023-11-12T00:00:00"/>
    <s v="Eve"/>
    <s v="Tracy Moore"/>
    <s v="South"/>
    <n v="0.05"/>
    <n v="434.05150000000003"/>
    <n v="8681.0300000000007"/>
    <n v="9"/>
    <s v="Electronics"/>
    <n v="1468.05"/>
    <n v="1838.21"/>
    <s v="New"/>
    <n v="0.15"/>
    <s v="Bank Transfer"/>
    <s v="Retail"/>
    <s v="High"/>
  </r>
  <r>
    <n v="1058"/>
    <s v="Wardrobe"/>
    <d v="2023-06-20T00:00:00"/>
    <s v="Eve"/>
    <s v="Tracy Moore"/>
    <s v="West"/>
    <n v="0.08"/>
    <n v="231.72319999999999"/>
    <n v="2896.54"/>
    <n v="48"/>
    <s v="Clothing"/>
    <n v="2614.48"/>
    <n v="3049.04"/>
    <s v="New"/>
    <n v="0.1"/>
    <s v="Credit Card"/>
    <s v="Retail"/>
    <s v="Low"/>
  </r>
  <r>
    <n v="1052"/>
    <s v="Wooden Chair"/>
    <d v="2023-12-22T00:00:00"/>
    <s v="Charlie"/>
    <s v="Susan Jerkins"/>
    <s v="West"/>
    <n v="0.08"/>
    <n v="760.76400000000001"/>
    <n v="9509.5499999999993"/>
    <n v="2"/>
    <s v="Furniture"/>
    <n v="3752.68"/>
    <n v="4017.91"/>
    <s v="Returning"/>
    <n v="0.16"/>
    <s v="Bank Transfer"/>
    <s v="Online"/>
    <s v="High"/>
  </r>
  <r>
    <n v="1012"/>
    <s v="Cabinet"/>
    <d v="2023-11-20T00:00:00"/>
    <s v="Bob"/>
    <s v="Michael Smith"/>
    <s v="North"/>
    <n v="7.4999999999999997E-2"/>
    <n v="439.35450000000003"/>
    <n v="5858.06"/>
    <n v="1"/>
    <s v="Food"/>
    <n v="4190.83"/>
    <n v="4528.7699999999904"/>
    <s v="Returning"/>
    <n v="0.22"/>
    <s v="Bank Transfer"/>
    <s v="Online"/>
    <s v="High"/>
  </r>
  <r>
    <n v="1039"/>
    <s v="Hoodie"/>
    <d v="2023-05-13T00:00:00"/>
    <s v="Eve"/>
    <s v="Tracy Moore"/>
    <s v="West"/>
    <n v="0.08"/>
    <n v="353.79839999999996"/>
    <n v="4422.4799999999996"/>
    <n v="40"/>
    <s v="Furniture"/>
    <n v="3536.46"/>
    <n v="3945.82"/>
    <s v="New"/>
    <n v="0.24"/>
    <s v="Bank Transfer"/>
    <s v="Online"/>
    <s v="Low"/>
  </r>
  <r>
    <n v="1002"/>
    <s v="Bench"/>
    <d v="2023-10-20T00:00:00"/>
    <s v="David"/>
    <s v="Hogan Rock"/>
    <s v="North"/>
    <n v="7.4999999999999997E-2"/>
    <n v="438.21600000000001"/>
    <n v="5842.88"/>
    <n v="30"/>
    <s v="Clothing"/>
    <n v="4646.55"/>
    <n v="4784.28"/>
    <s v="Returning"/>
    <n v="0.1"/>
    <s v="Credit Card"/>
    <s v="Retail"/>
    <s v="High"/>
  </r>
  <r>
    <n v="1003"/>
    <s v="Stool"/>
    <d v="2023-11-24T00:00:00"/>
    <s v="Eve"/>
    <s v="Tracy Moore"/>
    <s v="East"/>
    <n v="0.06"/>
    <n v="312.91860000000003"/>
    <n v="5215.3100000000004"/>
    <n v="11"/>
    <s v="Food"/>
    <n v="3706.78"/>
    <n v="3862.26"/>
    <s v="New"/>
    <n v="0.22"/>
    <s v="Credit Card"/>
    <s v="Retail"/>
    <s v="High"/>
  </r>
  <r>
    <n v="1056"/>
    <s v="Track Suits"/>
    <d v="2023-05-07T00:00:00"/>
    <s v="David"/>
    <s v="Hogan Rock"/>
    <s v="East"/>
    <n v="0.06"/>
    <n v="456.71280000000002"/>
    <n v="7611.88"/>
    <n v="28"/>
    <s v="Clothing"/>
    <n v="1566.03"/>
    <n v="1576.34"/>
    <s v="Returning"/>
    <n v="0.2"/>
    <s v="Bank Transfer"/>
    <s v="Online"/>
    <s v="High"/>
  </r>
  <r>
    <n v="1081"/>
    <s v="Rocking Chair"/>
    <d v="2023-04-16T00:00:00"/>
    <s v="Charlie"/>
    <s v="Susan Jerkins"/>
    <s v="West"/>
    <n v="0.08"/>
    <n v="231.73680000000002"/>
    <n v="2896.71"/>
    <n v="44"/>
    <s v="Electronics"/>
    <n v="1362.15"/>
    <n v="1844.07"/>
    <s v="New"/>
    <n v="0.28999999999999998"/>
    <s v="Credit Card"/>
    <s v="Online"/>
    <s v="Low"/>
  </r>
  <r>
    <n v="1059"/>
    <s v="Coffee Beans"/>
    <d v="2023-04-02T00:00:00"/>
    <s v="Eve"/>
    <s v="Tracy Moore"/>
    <s v="West"/>
    <n v="0.08"/>
    <n v="287.61599999999999"/>
    <n v="3595.2"/>
    <n v="12"/>
    <s v="Food"/>
    <n v="3496.15"/>
    <n v="3955.75"/>
    <s v="Returning"/>
    <n v="0.28000000000000003"/>
    <s v="Cash"/>
    <s v="Retail"/>
    <s v="Low"/>
  </r>
  <r>
    <n v="1002"/>
    <s v="Bench"/>
    <d v="2023-10-14T00:00:00"/>
    <s v="David"/>
    <s v="Hogan Rock"/>
    <s v="South"/>
    <n v="0.05"/>
    <n v="447.57650000000007"/>
    <n v="8951.5300000000007"/>
    <n v="39"/>
    <s v="Clothing"/>
    <n v="1004.71"/>
    <n v="1389.35"/>
    <s v="New"/>
    <n v="0.24"/>
    <s v="Bank Transfer"/>
    <s v="Online"/>
    <s v="High"/>
  </r>
  <r>
    <n v="1002"/>
    <s v="Bench"/>
    <d v="2023-02-20T00:00:00"/>
    <s v="Charlie"/>
    <s v="Susan Jerkins"/>
    <s v="West"/>
    <n v="0.08"/>
    <n v="757.59360000000004"/>
    <n v="9469.92"/>
    <n v="26"/>
    <s v="Food"/>
    <n v="508.94"/>
    <n v="557.69000000000005"/>
    <s v="New"/>
    <n v="0.22"/>
    <s v="Credit Card"/>
    <s v="Retail"/>
    <s v="High"/>
  </r>
  <r>
    <n v="1092"/>
    <s v="Recliner"/>
    <d v="2023-01-29T00:00:00"/>
    <s v="Bob"/>
    <s v="Michael Smith"/>
    <s v="South"/>
    <n v="0.05"/>
    <n v="446.81650000000002"/>
    <n v="8936.33"/>
    <n v="13"/>
    <s v="Clothing"/>
    <n v="2684.5"/>
    <n v="2913.78"/>
    <s v="New"/>
    <n v="0.08"/>
    <s v="Credit Card"/>
    <s v="Retail"/>
    <s v="High"/>
  </r>
  <r>
    <n v="1054"/>
    <s v="Glider"/>
    <d v="2023-10-23T00:00:00"/>
    <s v="David"/>
    <s v="Hogan Rock"/>
    <s v="East"/>
    <n v="0.06"/>
    <n v="255.1524"/>
    <n v="4252.54"/>
    <n v="8"/>
    <s v="Food"/>
    <n v="4117.13"/>
    <n v="4177.0600000000004"/>
    <s v="Returning"/>
    <n v="0.25"/>
    <s v="Bank Transfer"/>
    <s v="Retail"/>
    <s v="Low"/>
  </r>
  <r>
    <n v="1087"/>
    <s v="Sofa Set"/>
    <d v="2023-10-24T00:00:00"/>
    <s v="Bob"/>
    <s v="Michael Smith"/>
    <s v="East"/>
    <n v="0.06"/>
    <n v="469.53719999999998"/>
    <n v="7825.62"/>
    <n v="28"/>
    <s v="Clothing"/>
    <n v="551.83000000000004"/>
    <n v="569.63"/>
    <s v="New"/>
    <n v="0.13"/>
    <s v="Credit Card"/>
    <s v="Retail"/>
    <s v="High"/>
  </r>
  <r>
    <n v="1096"/>
    <s v="Radio"/>
    <d v="2023-08-02T00:00:00"/>
    <s v="Bob"/>
    <s v="Michael Smith"/>
    <s v="North"/>
    <n v="7.4999999999999997E-2"/>
    <n v="361.17900000000003"/>
    <n v="4815.72"/>
    <n v="30"/>
    <s v="Electronics"/>
    <n v="3969.86"/>
    <n v="4281.79"/>
    <s v="Returning"/>
    <n v="0.08"/>
    <s v="Bank Transfer"/>
    <s v="Retail"/>
    <s v="Low"/>
  </r>
  <r>
    <n v="1097"/>
    <s v="Freezer"/>
    <d v="2023-09-24T00:00:00"/>
    <s v="Alice"/>
    <s v="Scott Wayne"/>
    <s v="East"/>
    <n v="0.06"/>
    <n v="301.53840000000002"/>
    <n v="5025.6400000000003"/>
    <n v="9"/>
    <s v="Food"/>
    <n v="4067.28"/>
    <n v="4548.09"/>
    <s v="Returning"/>
    <n v="0.12"/>
    <s v="Credit Card"/>
    <s v="Retail"/>
    <s v="High"/>
  </r>
  <r>
    <n v="1001"/>
    <s v="Camera"/>
    <d v="2023-09-14T00:00:00"/>
    <s v="Eve"/>
    <s v="Tracy Moore"/>
    <s v="South"/>
    <n v="0.05"/>
    <n v="106.3165"/>
    <n v="2126.33"/>
    <n v="39"/>
    <s v="Food"/>
    <n v="2437.2600000000002"/>
    <n v="2889.67"/>
    <s v="Returning"/>
    <n v="0.25"/>
    <s v="Cash"/>
    <s v="Online"/>
    <s v="Low"/>
  </r>
  <r>
    <n v="1019"/>
    <s v="Apple"/>
    <d v="2023-10-29T00:00:00"/>
    <s v="David"/>
    <s v="Hogan Rock"/>
    <s v="West"/>
    <n v="0.08"/>
    <n v="476.17519999999996"/>
    <n v="5952.19"/>
    <n v="31"/>
    <s v="Food"/>
    <n v="333.69"/>
    <n v="685.1"/>
    <s v="New"/>
    <n v="0.04"/>
    <s v="Bank Transfer"/>
    <s v="Online"/>
    <s v="High"/>
  </r>
  <r>
    <n v="1002"/>
    <s v="Bench"/>
    <d v="2023-04-11T00:00:00"/>
    <s v="Bob"/>
    <s v="Michael Smith"/>
    <s v="North"/>
    <n v="7.4999999999999997E-2"/>
    <n v="145.70624999999998"/>
    <n v="1942.75"/>
    <n v="21"/>
    <s v="Food"/>
    <n v="914.22"/>
    <n v="971.57"/>
    <s v="Returning"/>
    <n v="0.14000000000000001"/>
    <s v="Cash"/>
    <s v="Online"/>
    <s v="Low"/>
  </r>
  <r>
    <n v="1053"/>
    <s v="Bed"/>
    <d v="2023-12-12T00:00:00"/>
    <s v="Alice"/>
    <s v="Scott Wayne"/>
    <s v="South"/>
    <n v="0.05"/>
    <n v="169.12450000000001"/>
    <n v="3382.49"/>
    <n v="47"/>
    <s v="Electronics"/>
    <n v="3551.76"/>
    <n v="3696.1"/>
    <s v="Returning"/>
    <n v="0.15"/>
    <s v="Bank Transfer"/>
    <s v="Retail"/>
    <s v="Low"/>
  </r>
  <r>
    <n v="1044"/>
    <s v="Burger"/>
    <d v="2023-04-20T00:00:00"/>
    <s v="Charlie"/>
    <s v="Susan Jerkins"/>
    <s v="West"/>
    <n v="0.08"/>
    <n v="685.18399999999997"/>
    <n v="8564.7999999999993"/>
    <n v="34"/>
    <s v="Food"/>
    <n v="3573.3"/>
    <n v="3740.13"/>
    <s v="Returning"/>
    <n v="0.01"/>
    <s v="Credit Card"/>
    <s v="Online"/>
    <s v="High"/>
  </r>
  <r>
    <n v="1090"/>
    <s v="Keyboard"/>
    <d v="2023-07-01T00:00:00"/>
    <s v="David"/>
    <s v="Hogan Rock"/>
    <s v="North"/>
    <n v="7.4999999999999997E-2"/>
    <n v="161.25375"/>
    <n v="2150.0500000000002"/>
    <n v="31"/>
    <s v="Furniture"/>
    <n v="4496.8599999999997"/>
    <n v="4880.7999999999902"/>
    <s v="New"/>
    <n v="0.06"/>
    <s v="Cash"/>
    <s v="Retail"/>
    <s v="Low"/>
  </r>
  <r>
    <n v="1032"/>
    <s v="Refridgerator"/>
    <d v="2023-11-09T00:00:00"/>
    <s v="Bob"/>
    <s v="Michael Smith"/>
    <s v="East"/>
    <n v="0.06"/>
    <n v="48.2682"/>
    <n v="804.47"/>
    <n v="25"/>
    <s v="Electronics"/>
    <n v="2934.3"/>
    <n v="3337.4"/>
    <s v="Returning"/>
    <n v="0.25"/>
    <s v="Credit Card"/>
    <s v="Retail"/>
    <s v="Low"/>
  </r>
  <r>
    <n v="1070"/>
    <s v="Hutch"/>
    <d v="2023-01-01T00:00:00"/>
    <s v="Eve"/>
    <s v="Tracy Moore"/>
    <s v="South"/>
    <n v="0.05"/>
    <n v="39.158999999999999"/>
    <n v="783.18"/>
    <n v="12"/>
    <s v="Furniture"/>
    <n v="664.33"/>
    <n v="863.03"/>
    <s v="Returning"/>
    <n v="0.25"/>
    <s v="Bank Transfer"/>
    <s v="Retail"/>
    <s v="Low"/>
  </r>
  <r>
    <n v="1032"/>
    <s v="Refridgerator"/>
    <d v="2023-11-15T00:00:00"/>
    <s v="Alice"/>
    <s v="Scott Wayne"/>
    <s v="West"/>
    <n v="0.08"/>
    <n v="753.10160000000008"/>
    <n v="9413.77"/>
    <n v="1"/>
    <s v="Food"/>
    <n v="651"/>
    <n v="865.76"/>
    <s v="Returning"/>
    <n v="0.09"/>
    <s v="Bank Transfer"/>
    <s v="Retail"/>
    <s v="High"/>
  </r>
  <r>
    <n v="1068"/>
    <s v="Leggings"/>
    <d v="2023-02-24T00:00:00"/>
    <s v="Bob"/>
    <s v="Michael Smith"/>
    <s v="North"/>
    <n v="7.4999999999999997E-2"/>
    <n v="383.88825000000003"/>
    <n v="5118.51"/>
    <n v="22"/>
    <s v="Clothing"/>
    <n v="3619.61"/>
    <n v="3651.42"/>
    <s v="Returning"/>
    <n v="0.26"/>
    <s v="Bank Transfer"/>
    <s v="Online"/>
    <s v="High"/>
  </r>
  <r>
    <n v="1055"/>
    <s v="Cupboard"/>
    <d v="2023-05-29T00:00:00"/>
    <s v="Eve"/>
    <s v="Tracy Moore"/>
    <s v="North"/>
    <n v="7.4999999999999997E-2"/>
    <n v="311.48849999999999"/>
    <n v="4153.18"/>
    <n v="40"/>
    <s v="Furniture"/>
    <n v="959.73"/>
    <n v="1111.4100000000001"/>
    <s v="New"/>
    <n v="0.23"/>
    <s v="Bank Transfer"/>
    <s v="Online"/>
    <s v="Low"/>
  </r>
  <r>
    <n v="1075"/>
    <s v="Bookshelf"/>
    <d v="2023-11-05T00:00:00"/>
    <s v="Bob"/>
    <s v="Michael Smith"/>
    <s v="East"/>
    <n v="0.06"/>
    <n v="487.66199999999998"/>
    <n v="8127.7"/>
    <n v="37"/>
    <s v="Food"/>
    <n v="1675.51"/>
    <n v="1906.6399999999901"/>
    <s v="New"/>
    <n v="0.13"/>
    <s v="Bank Transfer"/>
    <s v="Online"/>
    <s v="High"/>
  </r>
  <r>
    <n v="1056"/>
    <s v="Track Suits"/>
    <d v="2023-05-17T00:00:00"/>
    <s v="David"/>
    <s v="Hogan Rock"/>
    <s v="West"/>
    <n v="0.08"/>
    <n v="669.97440000000006"/>
    <n v="8374.68"/>
    <n v="47"/>
    <s v="Furniture"/>
    <n v="2461.6999999999998"/>
    <n v="2529.02"/>
    <s v="Returning"/>
    <n v="0.22"/>
    <s v="Cash"/>
    <s v="Retail"/>
    <s v="High"/>
  </r>
  <r>
    <n v="1017"/>
    <s v="Peaches"/>
    <d v="2023-07-21T00:00:00"/>
    <s v="David"/>
    <s v="Hogan Rock"/>
    <s v="East"/>
    <n v="0.06"/>
    <n v="203.32139999999998"/>
    <n v="3388.69"/>
    <n v="1"/>
    <s v="Food"/>
    <n v="172.59"/>
    <n v="404.69"/>
    <s v="Returning"/>
    <n v="0.28999999999999998"/>
    <s v="Bank Transfer"/>
    <s v="Online"/>
    <s v="Low"/>
  </r>
  <r>
    <n v="1038"/>
    <s v="Jean Pants"/>
    <d v="2023-11-09T00:00:00"/>
    <s v="David"/>
    <s v="Hogan Rock"/>
    <s v="East"/>
    <n v="0.06"/>
    <n v="418.00919999999996"/>
    <n v="6966.82"/>
    <n v="1"/>
    <s v="Food"/>
    <n v="1281.6500000000001"/>
    <n v="1709.71"/>
    <s v="Returning"/>
    <n v="0.14000000000000001"/>
    <s v="Credit Card"/>
    <s v="Online"/>
    <s v="High"/>
  </r>
  <r>
    <n v="1024"/>
    <s v="Pasta Pack"/>
    <d v="2023-04-27T00:00:00"/>
    <s v="Alice"/>
    <s v="Scott Wayne"/>
    <s v="West"/>
    <n v="0.08"/>
    <n v="618.7296"/>
    <n v="7734.12"/>
    <n v="42"/>
    <s v="Food"/>
    <n v="2069.0500000000002"/>
    <n v="2363.9"/>
    <s v="Returning"/>
    <n v="7.0000000000000007E-2"/>
    <s v="Cash"/>
    <s v="Online"/>
    <s v="High"/>
  </r>
  <r>
    <n v="1069"/>
    <s v="Suit"/>
    <d v="2023-06-03T00:00:00"/>
    <s v="David"/>
    <s v="Hogan Rock"/>
    <s v="West"/>
    <n v="0.08"/>
    <n v="526.48320000000001"/>
    <n v="6581.04"/>
    <n v="42"/>
    <s v="Clothing"/>
    <n v="1434.2"/>
    <n v="1482.88"/>
    <s v="New"/>
    <n v="0.28000000000000003"/>
    <s v="Credit Card"/>
    <s v="Retail"/>
    <s v="High"/>
  </r>
  <r>
    <n v="1098"/>
    <s v="File Cabinet"/>
    <d v="2023-10-18T00:00:00"/>
    <s v="Eve"/>
    <s v="Tracy Moore"/>
    <s v="West"/>
    <n v="0.08"/>
    <n v="128.06319999999999"/>
    <n v="1600.79"/>
    <n v="21"/>
    <s v="Furniture"/>
    <n v="725.03"/>
    <n v="828.94999999999902"/>
    <s v="New"/>
    <n v="0.18"/>
    <s v="Bank Transfer"/>
    <s v="Online"/>
    <s v="Low"/>
  </r>
  <r>
    <n v="1070"/>
    <s v="Hutch"/>
    <d v="2023-03-04T00:00:00"/>
    <s v="Bob"/>
    <s v="Michael Smith"/>
    <s v="South"/>
    <n v="0.05"/>
    <n v="438.56200000000001"/>
    <n v="8771.24"/>
    <n v="15"/>
    <s v="Electronics"/>
    <n v="3653.66"/>
    <n v="3896.19"/>
    <s v="New"/>
    <n v="0.03"/>
    <s v="Credit Card"/>
    <s v="Retail"/>
    <s v="High"/>
  </r>
  <r>
    <n v="1086"/>
    <s v="Gaming Console"/>
    <d v="2023-09-01T00:00:00"/>
    <s v="Charlie"/>
    <s v="Susan Jerkins"/>
    <s v="West"/>
    <n v="0.08"/>
    <n v="434.96320000000003"/>
    <n v="5437.04"/>
    <n v="17"/>
    <s v="Electronics"/>
    <n v="4075.08"/>
    <n v="4262.21"/>
    <s v="New"/>
    <n v="0.17"/>
    <s v="Cash"/>
    <s v="Online"/>
    <s v="High"/>
  </r>
  <r>
    <n v="1011"/>
    <s v="Coffee Table"/>
    <d v="2023-01-25T00:00:00"/>
    <s v="Eve"/>
    <s v="Tracy Moore"/>
    <s v="North"/>
    <n v="7.4999999999999997E-2"/>
    <n v="217.23599999999999"/>
    <n v="2896.48"/>
    <n v="22"/>
    <s v="Electronics"/>
    <n v="1324.52"/>
    <n v="1510.3"/>
    <s v="Returning"/>
    <n v="0.15"/>
    <s v="Cash"/>
    <s v="Retail"/>
    <s v="Low"/>
  </r>
  <r>
    <n v="1016"/>
    <s v="Washing Machine"/>
    <d v="2023-03-31T00:00:00"/>
    <s v="Eve"/>
    <s v="Tracy Moore"/>
    <s v="East"/>
    <n v="0.06"/>
    <n v="258.5856"/>
    <n v="4309.76"/>
    <n v="38"/>
    <s v="Electronics"/>
    <n v="3883.38"/>
    <n v="4152.72"/>
    <s v="Returning"/>
    <n v="0.26"/>
    <s v="Cash"/>
    <s v="Online"/>
    <s v="Low"/>
  </r>
  <r>
    <n v="1097"/>
    <s v="Freezer"/>
    <d v="2023-03-16T00:00:00"/>
    <s v="David"/>
    <s v="Hogan Rock"/>
    <s v="South"/>
    <n v="0.05"/>
    <n v="23.5975"/>
    <n v="471.95"/>
    <n v="35"/>
    <s v="Food"/>
    <n v="1958.49"/>
    <n v="2254.84"/>
    <s v="New"/>
    <n v="0.16"/>
    <s v="Credit Card"/>
    <s v="Online"/>
    <s v="Low"/>
  </r>
  <r>
    <n v="1073"/>
    <s v="Console Table"/>
    <d v="2023-10-21T00:00:00"/>
    <s v="Alice"/>
    <s v="Scott Wayne"/>
    <s v="West"/>
    <n v="0.08"/>
    <n v="109.27040000000001"/>
    <n v="1365.88"/>
    <n v="45"/>
    <s v="Furniture"/>
    <n v="2558.09"/>
    <n v="2958.55"/>
    <s v="New"/>
    <n v="0.08"/>
    <s v="Cash"/>
    <s v="Online"/>
    <s v="Low"/>
  </r>
  <r>
    <n v="1059"/>
    <s v="Coffee Beans"/>
    <d v="2023-07-29T00:00:00"/>
    <s v="Bob"/>
    <s v="Michael Smith"/>
    <s v="South"/>
    <n v="0.05"/>
    <n v="383.94550000000004"/>
    <n v="7678.91"/>
    <n v="16"/>
    <s v="Furniture"/>
    <n v="4287.21"/>
    <n v="4464.28"/>
    <s v="Returning"/>
    <n v="0.2"/>
    <s v="Credit Card"/>
    <s v="Retail"/>
    <s v="High"/>
  </r>
  <r>
    <n v="1070"/>
    <s v="Hutch"/>
    <d v="2023-12-13T00:00:00"/>
    <s v="Alice"/>
    <s v="Scott Wayne"/>
    <s v="West"/>
    <n v="0.08"/>
    <n v="8.0096000000000007"/>
    <n v="100.12"/>
    <n v="8"/>
    <s v="Clothing"/>
    <n v="3762.27"/>
    <n v="4166.95"/>
    <s v="Returning"/>
    <n v="0.16"/>
    <s v="Bank Transfer"/>
    <s v="Online"/>
    <s v="Low"/>
  </r>
  <r>
    <n v="1080"/>
    <s v="Headphones"/>
    <d v="2023-01-17T00:00:00"/>
    <s v="Bob"/>
    <s v="Michael Smith"/>
    <s v="South"/>
    <n v="0.05"/>
    <n v="211.20000000000002"/>
    <n v="4224"/>
    <n v="47"/>
    <s v="Furniture"/>
    <n v="4035.33"/>
    <n v="4211.25"/>
    <s v="Returning"/>
    <n v="7.0000000000000007E-2"/>
    <s v="Bank Transfer"/>
    <s v="Online"/>
    <s v="Low"/>
  </r>
  <r>
    <n v="1093"/>
    <s v="Dining Table"/>
    <d v="2023-05-08T00:00:00"/>
    <s v="Bob"/>
    <s v="Michael Smith"/>
    <s v="East"/>
    <n v="0.06"/>
    <n v="316.37100000000004"/>
    <n v="5272.85"/>
    <n v="17"/>
    <s v="Furniture"/>
    <n v="727.38"/>
    <n v="764.54"/>
    <s v="Returning"/>
    <n v="0.17"/>
    <s v="Credit Card"/>
    <s v="Retail"/>
    <s v="High"/>
  </r>
  <r>
    <n v="1003"/>
    <s v="Stool"/>
    <d v="2023-12-30T00:00:00"/>
    <s v="Alice"/>
    <s v="Scott Wayne"/>
    <s v="East"/>
    <n v="0.06"/>
    <n v="38.452799999999996"/>
    <n v="640.88"/>
    <n v="17"/>
    <s v="Furniture"/>
    <n v="395.11"/>
    <n v="676.66"/>
    <s v="Returning"/>
    <n v="0.25"/>
    <s v="Cash"/>
    <s v="Retail"/>
    <s v="Low"/>
  </r>
  <r>
    <n v="1020"/>
    <s v="Apron"/>
    <d v="2023-09-08T00:00:00"/>
    <s v="Eve"/>
    <s v="Tracy Moore"/>
    <s v="North"/>
    <n v="7.4999999999999997E-2"/>
    <n v="730.01024999999993"/>
    <n v="9733.4699999999993"/>
    <n v="26"/>
    <s v="Clothing"/>
    <n v="4472.3500000000004"/>
    <n v="4770.42"/>
    <s v="New"/>
    <n v="0.01"/>
    <s v="Credit Card"/>
    <s v="Retail"/>
    <s v="High"/>
  </r>
  <r>
    <n v="1059"/>
    <s v="Coffee Beans"/>
    <d v="2023-06-28T00:00:00"/>
    <s v="Bob"/>
    <s v="Michael Smith"/>
    <s v="North"/>
    <n v="7.4999999999999997E-2"/>
    <n v="175.398"/>
    <n v="2338.64"/>
    <n v="13"/>
    <s v="Electronics"/>
    <n v="1969.78"/>
    <n v="2437.6999999999998"/>
    <s v="New"/>
    <n v="0.19"/>
    <s v="Credit Card"/>
    <s v="Retail"/>
    <s v="Low"/>
  </r>
  <r>
    <n v="1036"/>
    <s v="Shorts"/>
    <d v="2023-07-01T00:00:00"/>
    <s v="Alice"/>
    <s v="Scott Wayne"/>
    <s v="West"/>
    <n v="0.08"/>
    <n v="248.92560000000003"/>
    <n v="3111.57"/>
    <n v="17"/>
    <s v="Furniture"/>
    <n v="1475"/>
    <n v="1840.77"/>
    <s v="Returning"/>
    <n v="0.1"/>
    <s v="Credit Card"/>
    <s v="Online"/>
    <s v="Low"/>
  </r>
  <r>
    <n v="1019"/>
    <s v="Apple"/>
    <d v="2023-06-01T00:00:00"/>
    <s v="Bob"/>
    <s v="Michael Smith"/>
    <s v="East"/>
    <n v="0.06"/>
    <n v="186.54179999999999"/>
    <n v="3109.03"/>
    <n v="38"/>
    <s v="Clothing"/>
    <n v="3637.25"/>
    <n v="4096.96"/>
    <s v="Returning"/>
    <n v="0.09"/>
    <s v="Bank Transfer"/>
    <s v="Online"/>
    <s v="Low"/>
  </r>
  <r>
    <n v="1090"/>
    <s v="Keyboard"/>
    <d v="2023-01-25T00:00:00"/>
    <s v="Charlie"/>
    <s v="Susan Jerkins"/>
    <s v="South"/>
    <n v="0.05"/>
    <n v="119.056"/>
    <n v="2381.12"/>
    <n v="17"/>
    <s v="Clothing"/>
    <n v="4190.26"/>
    <n v="4645.3500000000004"/>
    <s v="New"/>
    <n v="0.12"/>
    <s v="Credit Card"/>
    <s v="Retail"/>
    <s v="Low"/>
  </r>
  <r>
    <n v="1067"/>
    <s v="Grapes"/>
    <d v="2023-06-29T00:00:00"/>
    <s v="Eve"/>
    <s v="Tracy Moore"/>
    <s v="South"/>
    <n v="0.05"/>
    <n v="5.7295000000000007"/>
    <n v="114.59"/>
    <n v="48"/>
    <s v="Food"/>
    <n v="4319.32"/>
    <n v="4625.5599999999904"/>
    <s v="Returning"/>
    <n v="0.1"/>
    <s v="Bank Transfer"/>
    <s v="Online"/>
    <s v="Low"/>
  </r>
  <r>
    <n v="1019"/>
    <s v="Apple"/>
    <d v="2023-07-17T00:00:00"/>
    <s v="David"/>
    <s v="Hogan Rock"/>
    <s v="South"/>
    <n v="0.05"/>
    <n v="366.02550000000002"/>
    <n v="7320.51"/>
    <n v="14"/>
    <s v="Clothing"/>
    <n v="1614.19"/>
    <n v="1882.79"/>
    <s v="New"/>
    <n v="0.25"/>
    <s v="Credit Card"/>
    <s v="Retail"/>
    <s v="High"/>
  </r>
  <r>
    <n v="1020"/>
    <s v="Apron"/>
    <d v="2023-12-10T00:00:00"/>
    <s v="Bob"/>
    <s v="Michael Smith"/>
    <s v="North"/>
    <n v="7.4999999999999997E-2"/>
    <n v="725.38274999999999"/>
    <n v="9671.77"/>
    <n v="45"/>
    <s v="Electronics"/>
    <n v="4268.45"/>
    <n v="4551.5999999999904"/>
    <s v="New"/>
    <n v="0.08"/>
    <s v="Bank Transfer"/>
    <s v="Online"/>
    <s v="High"/>
  </r>
  <r>
    <n v="1096"/>
    <s v="Radio"/>
    <d v="2023-06-10T00:00:00"/>
    <s v="Charlie"/>
    <s v="Susan Jerkins"/>
    <s v="South"/>
    <n v="0.05"/>
    <n v="116.02550000000002"/>
    <n v="2320.5100000000002"/>
    <n v="6"/>
    <s v="Furniture"/>
    <n v="252.62"/>
    <n v="742"/>
    <s v="New"/>
    <n v="0.22"/>
    <s v="Credit Card"/>
    <s v="Retail"/>
    <s v="Low"/>
  </r>
  <r>
    <n v="1071"/>
    <s v="Game Table"/>
    <d v="2023-06-26T00:00:00"/>
    <s v="David"/>
    <s v="Hogan Rock"/>
    <s v="North"/>
    <n v="7.4999999999999997E-2"/>
    <n v="499.81274999999999"/>
    <n v="6664.17"/>
    <n v="35"/>
    <s v="Clothing"/>
    <n v="295.82"/>
    <n v="684.67"/>
    <s v="New"/>
    <n v="0.03"/>
    <s v="Credit Card"/>
    <s v="Online"/>
    <s v="High"/>
  </r>
  <r>
    <n v="1052"/>
    <s v="Wooden Chair"/>
    <d v="2023-10-12T00:00:00"/>
    <s v="David"/>
    <s v="Hogan Rock"/>
    <s v="North"/>
    <n v="7.4999999999999997E-2"/>
    <n v="558.35775000000001"/>
    <n v="7444.77"/>
    <n v="46"/>
    <s v="Electronics"/>
    <n v="3136.42"/>
    <n v="3198.49"/>
    <s v="Returning"/>
    <n v="0.28999999999999998"/>
    <s v="Cash"/>
    <s v="Retail"/>
    <s v="High"/>
  </r>
  <r>
    <n v="1033"/>
    <s v="TV Stand"/>
    <d v="2023-03-04T00:00:00"/>
    <s v="Bob"/>
    <s v="Michael Smith"/>
    <s v="West"/>
    <n v="0.08"/>
    <n v="679.95280000000002"/>
    <n v="8499.41"/>
    <n v="14"/>
    <s v="Clothing"/>
    <n v="362.38"/>
    <n v="753.81"/>
    <s v="Returning"/>
    <n v="0.19"/>
    <s v="Cash"/>
    <s v="Retail"/>
    <s v="High"/>
  </r>
  <r>
    <n v="1040"/>
    <s v="Cap"/>
    <d v="2023-05-30T00:00:00"/>
    <s v="Alice"/>
    <s v="Scott Wayne"/>
    <s v="South"/>
    <n v="0.05"/>
    <n v="214.20150000000001"/>
    <n v="4284.03"/>
    <n v="47"/>
    <s v="Clothing"/>
    <n v="1656.82"/>
    <n v="1750.3799999999901"/>
    <s v="New"/>
    <n v="0.21"/>
    <s v="Credit Card"/>
    <s v="Online"/>
    <s v="Low"/>
  </r>
  <r>
    <n v="1039"/>
    <s v="Hoodie"/>
    <d v="2023-06-03T00:00:00"/>
    <s v="Bob"/>
    <s v="Michael Smith"/>
    <s v="South"/>
    <n v="0.05"/>
    <n v="154.95100000000002"/>
    <n v="3099.02"/>
    <n v="8"/>
    <s v="Clothing"/>
    <n v="3380.14"/>
    <n v="3609.3399999999901"/>
    <s v="Returning"/>
    <n v="0.09"/>
    <s v="Credit Card"/>
    <s v="Online"/>
    <s v="Low"/>
  </r>
  <r>
    <n v="1082"/>
    <s v="USB Drive"/>
    <d v="2023-06-05T00:00:00"/>
    <s v="Charlie"/>
    <s v="Susan Jerkins"/>
    <s v="East"/>
    <n v="0.06"/>
    <n v="199.2252"/>
    <n v="3320.42"/>
    <n v="15"/>
    <s v="Clothing"/>
    <n v="1719.47"/>
    <n v="1832.6"/>
    <s v="Returning"/>
    <n v="0.12"/>
    <s v="Credit Card"/>
    <s v="Online"/>
    <s v="Low"/>
  </r>
  <r>
    <n v="1001"/>
    <s v="Camera"/>
    <d v="2023-02-18T00:00:00"/>
    <s v="David"/>
    <s v="Hogan Rock"/>
    <s v="West"/>
    <n v="0.08"/>
    <n v="572.39599999999996"/>
    <n v="7154.95"/>
    <n v="27"/>
    <s v="Clothing"/>
    <n v="939.02"/>
    <n v="1286.92"/>
    <s v="Returning"/>
    <n v="7.0000000000000007E-2"/>
    <s v="Credit Card"/>
    <s v="Retail"/>
    <s v="High"/>
  </r>
  <r>
    <n v="1011"/>
    <s v="Coffee Table"/>
    <d v="2023-12-03T00:00:00"/>
    <s v="Bob"/>
    <s v="Michael Smith"/>
    <s v="East"/>
    <n v="0.06"/>
    <n v="491.16719999999998"/>
    <n v="8186.12"/>
    <n v="13"/>
    <s v="Electronics"/>
    <n v="1442.69"/>
    <n v="1882.57"/>
    <s v="Returning"/>
    <n v="0.28000000000000003"/>
    <s v="Cash"/>
    <s v="Online"/>
    <s v="High"/>
  </r>
  <r>
    <n v="1092"/>
    <s v="Recliner"/>
    <d v="2023-03-25T00:00:00"/>
    <s v="Alice"/>
    <s v="Scott Wayne"/>
    <s v="West"/>
    <n v="0.08"/>
    <n v="151.83840000000001"/>
    <n v="1897.98"/>
    <n v="49"/>
    <s v="Furniture"/>
    <n v="2315"/>
    <n v="2467.2800000000002"/>
    <s v="New"/>
    <n v="0.15"/>
    <s v="Bank Transfer"/>
    <s v="Retail"/>
    <s v="Low"/>
  </r>
  <r>
    <n v="1057"/>
    <s v="Avocadro Pear"/>
    <d v="2023-12-27T00:00:00"/>
    <s v="Bob"/>
    <s v="Michael Smith"/>
    <s v="South"/>
    <n v="0.05"/>
    <n v="188.61600000000001"/>
    <n v="3772.32"/>
    <n v="31"/>
    <s v="Furniture"/>
    <n v="2403.16"/>
    <n v="2453.35"/>
    <s v="Returning"/>
    <n v="0.19"/>
    <s v="Credit Card"/>
    <s v="Online"/>
    <s v="Low"/>
  </r>
  <r>
    <n v="1089"/>
    <s v="Recliner"/>
    <d v="2023-06-26T00:00:00"/>
    <s v="Eve"/>
    <s v="Tracy Moore"/>
    <s v="North"/>
    <n v="7.4999999999999997E-2"/>
    <n v="677.19074999999987"/>
    <n v="9029.2099999999991"/>
    <n v="35"/>
    <s v="Furniture"/>
    <n v="3925.85"/>
    <n v="4082.1099999999901"/>
    <s v="New"/>
    <n v="0.22"/>
    <s v="Cash"/>
    <s v="Online"/>
    <s v="High"/>
  </r>
  <r>
    <n v="1050"/>
    <s v="Sneakers"/>
    <d v="2023-05-28T00:00:00"/>
    <s v="Alice"/>
    <s v="Scott Wayne"/>
    <s v="North"/>
    <n v="7.4999999999999997E-2"/>
    <n v="606.47024999999996"/>
    <n v="8086.27"/>
    <n v="6"/>
    <s v="Furniture"/>
    <n v="3763.26"/>
    <n v="4102.72"/>
    <s v="New"/>
    <n v="0.11"/>
    <s v="Credit Card"/>
    <s v="Retail"/>
    <s v="High"/>
  </r>
  <r>
    <n v="1023"/>
    <s v="Tights"/>
    <d v="2023-04-28T00:00:00"/>
    <s v="Charlie"/>
    <s v="Susan Jerkins"/>
    <s v="North"/>
    <n v="7.4999999999999997E-2"/>
    <n v="738.75750000000005"/>
    <n v="9850.1"/>
    <n v="5"/>
    <s v="Electronics"/>
    <n v="2311.25"/>
    <n v="2482.34"/>
    <s v="Returning"/>
    <n v="0.22"/>
    <s v="Credit Card"/>
    <s v="Retail"/>
    <s v="High"/>
  </r>
  <r>
    <n v="1031"/>
    <s v="Butter"/>
    <d v="2023-12-08T00:00:00"/>
    <s v="David"/>
    <s v="Hogan Rock"/>
    <s v="North"/>
    <n v="7.4999999999999997E-2"/>
    <n v="567.52949999999998"/>
    <n v="7567.06"/>
    <n v="22"/>
    <s v="Food"/>
    <n v="4236.05"/>
    <n v="4382.32"/>
    <s v="New"/>
    <n v="0.2"/>
    <s v="Bank Transfer"/>
    <s v="Online"/>
    <s v="High"/>
  </r>
  <r>
    <n v="1094"/>
    <s v="Microwave"/>
    <d v="2023-03-04T00:00:00"/>
    <s v="Bob"/>
    <s v="Michael Smith"/>
    <s v="North"/>
    <n v="7.4999999999999997E-2"/>
    <n v="299.44725"/>
    <n v="3992.63"/>
    <n v="49"/>
    <s v="Food"/>
    <n v="615.47"/>
    <n v="715.84"/>
    <s v="Returning"/>
    <n v="0.21"/>
    <s v="Credit Card"/>
    <s v="Retail"/>
    <s v="Low"/>
  </r>
  <r>
    <n v="1042"/>
    <s v="Frozen Pizza"/>
    <d v="2023-07-08T00:00:00"/>
    <s v="Alice"/>
    <s v="Scott Wayne"/>
    <s v="East"/>
    <n v="0.06"/>
    <n v="356.83859999999999"/>
    <n v="5947.31"/>
    <n v="23"/>
    <s v="Electronics"/>
    <n v="1314"/>
    <n v="1567.78"/>
    <s v="Returning"/>
    <n v="0.15"/>
    <s v="Credit Card"/>
    <s v="Retail"/>
    <s v="High"/>
  </r>
  <r>
    <n v="1099"/>
    <s v="Chest"/>
    <d v="2023-12-26T00:00:00"/>
    <s v="Eve"/>
    <s v="Tracy Moore"/>
    <s v="West"/>
    <n v="0.08"/>
    <n v="531.52319999999997"/>
    <n v="6644.04"/>
    <n v="25"/>
    <s v="Electronics"/>
    <n v="4148.4799999999996"/>
    <n v="4293.6899999999996"/>
    <s v="New"/>
    <n v="0.11"/>
    <s v="Bank Transfer"/>
    <s v="Online"/>
    <s v="High"/>
  </r>
  <r>
    <n v="1007"/>
    <s v="Fruit Jam"/>
    <d v="2023-02-18T00:00:00"/>
    <s v="Alice"/>
    <s v="Scott Wayne"/>
    <s v="South"/>
    <n v="0.05"/>
    <n v="43.835500000000003"/>
    <n v="876.71"/>
    <n v="34"/>
    <s v="Clothing"/>
    <n v="1921.07"/>
    <n v="2289.27"/>
    <s v="Returning"/>
    <n v="7.0000000000000007E-2"/>
    <s v="Bank Transfer"/>
    <s v="Retail"/>
    <s v="Low"/>
  </r>
  <r>
    <n v="1016"/>
    <s v="Washing Machine"/>
    <d v="2023-11-23T00:00:00"/>
    <s v="Eve"/>
    <s v="Tracy Moore"/>
    <s v="East"/>
    <n v="0.06"/>
    <n v="329.43119999999999"/>
    <n v="5490.52"/>
    <n v="26"/>
    <s v="Clothing"/>
    <n v="4906.8500000000004"/>
    <n v="4954.3900000000003"/>
    <s v="New"/>
    <n v="0.25"/>
    <s v="Bank Transfer"/>
    <s v="Online"/>
    <s v="High"/>
  </r>
  <r>
    <n v="1090"/>
    <s v="Keyboard"/>
    <d v="2023-09-14T00:00:00"/>
    <s v="Charlie"/>
    <s v="Susan Jerkins"/>
    <s v="West"/>
    <n v="0.08"/>
    <n v="569.78239999999994"/>
    <n v="7122.28"/>
    <n v="47"/>
    <s v="Clothing"/>
    <n v="2357.9499999999998"/>
    <n v="2693.33"/>
    <s v="New"/>
    <n v="0.18"/>
    <s v="Bank Transfer"/>
    <s v="Online"/>
    <s v="High"/>
  </r>
  <r>
    <n v="1060"/>
    <s v="Head Warmer"/>
    <d v="2023-08-12T00:00:00"/>
    <s v="David"/>
    <s v="Hogan Rock"/>
    <s v="North"/>
    <n v="7.4999999999999997E-2"/>
    <n v="131.73599999999999"/>
    <n v="1756.48"/>
    <n v="5"/>
    <s v="Furniture"/>
    <n v="3970.08"/>
    <n v="4096.4799999999996"/>
    <s v="Returning"/>
    <n v="0.13"/>
    <s v="Cash"/>
    <s v="Retail"/>
    <s v="Low"/>
  </r>
  <r>
    <n v="1002"/>
    <s v="Bench"/>
    <d v="2023-05-21T00:00:00"/>
    <s v="Charlie"/>
    <s v="Susan Jerkins"/>
    <s v="West"/>
    <n v="0.08"/>
    <n v="626.26"/>
    <n v="7828.25"/>
    <n v="26"/>
    <s v="Clothing"/>
    <n v="2041.42"/>
    <n v="2291.17"/>
    <s v="Returning"/>
    <n v="0.28000000000000003"/>
    <s v="Cash"/>
    <s v="Online"/>
    <s v="High"/>
  </r>
  <r>
    <n v="1001"/>
    <s v="Camera"/>
    <d v="2023-08-03T00:00:00"/>
    <s v="Bob"/>
    <s v="Michael Smith"/>
    <s v="West"/>
    <n v="0.08"/>
    <n v="470.34800000000001"/>
    <n v="5879.35"/>
    <n v="20"/>
    <s v="Food"/>
    <n v="2153.52"/>
    <n v="2303.6999999999998"/>
    <s v="Returning"/>
    <n v="0.01"/>
    <s v="Cash"/>
    <s v="Retail"/>
    <s v="High"/>
  </r>
  <r>
    <n v="1048"/>
    <s v="Chaise Lounge"/>
    <d v="2023-07-30T00:00:00"/>
    <s v="Alice"/>
    <s v="Scott Wayne"/>
    <s v="North"/>
    <n v="7.4999999999999997E-2"/>
    <n v="714.52499999999998"/>
    <n v="9527"/>
    <n v="6"/>
    <s v="Furniture"/>
    <n v="1945.27"/>
    <n v="2309.4299999999998"/>
    <s v="New"/>
    <n v="0.26"/>
    <s v="Credit Card"/>
    <s v="Online"/>
    <s v="High"/>
  </r>
  <r>
    <n v="1012"/>
    <s v="Cabinet"/>
    <d v="2023-11-14T00:00:00"/>
    <s v="Eve"/>
    <s v="Tracy Moore"/>
    <s v="North"/>
    <n v="7.4999999999999997E-2"/>
    <n v="38.9985"/>
    <n v="519.98"/>
    <n v="6"/>
    <s v="Clothing"/>
    <n v="3609.42"/>
    <n v="4082.62"/>
    <s v="Returning"/>
    <n v="0.3"/>
    <s v="Bank Transfer"/>
    <s v="Retail"/>
    <s v="Low"/>
  </r>
  <r>
    <n v="1069"/>
    <s v="Suit"/>
    <d v="2023-02-01T00:00:00"/>
    <s v="Eve"/>
    <s v="Tracy Moore"/>
    <s v="North"/>
    <n v="7.4999999999999997E-2"/>
    <n v="204.50475"/>
    <n v="2726.73"/>
    <n v="18"/>
    <s v="Furniture"/>
    <n v="2760.21"/>
    <n v="3219.58"/>
    <s v="New"/>
    <n v="0.27"/>
    <s v="Bank Transfer"/>
    <s v="Retail"/>
    <s v="Low"/>
  </r>
  <r>
    <n v="1037"/>
    <s v="Turtleneck Top"/>
    <d v="2023-06-07T00:00:00"/>
    <s v="Alice"/>
    <s v="Scott Wayne"/>
    <s v="South"/>
    <n v="0.05"/>
    <n v="302.76900000000001"/>
    <n v="6055.38"/>
    <n v="4"/>
    <s v="Food"/>
    <n v="4721.7"/>
    <n v="5017.58"/>
    <s v="New"/>
    <n v="0.24"/>
    <s v="Cash"/>
    <s v="Retail"/>
    <s v="High"/>
  </r>
  <r>
    <n v="1032"/>
    <s v="Refridgerator"/>
    <d v="2023-10-12T00:00:00"/>
    <s v="Alice"/>
    <s v="Scott Wayne"/>
    <s v="North"/>
    <n v="7.4999999999999997E-2"/>
    <n v="227.69550000000001"/>
    <n v="3035.94"/>
    <n v="17"/>
    <s v="Clothing"/>
    <n v="1291.9100000000001"/>
    <n v="1528.59"/>
    <s v="Returning"/>
    <n v="0.11"/>
    <s v="Credit Card"/>
    <s v="Retail"/>
    <s v="Low"/>
  </r>
  <r>
    <n v="1009"/>
    <s v="Jacket"/>
    <d v="2023-11-01T00:00:00"/>
    <s v="Bob"/>
    <s v="Michael Smith"/>
    <s v="South"/>
    <n v="0.05"/>
    <n v="358.64000000000004"/>
    <n v="7172.8"/>
    <n v="14"/>
    <s v="Food"/>
    <n v="547.79"/>
    <n v="958.76"/>
    <s v="Returning"/>
    <n v="7.0000000000000007E-2"/>
    <s v="Credit Card"/>
    <s v="Retail"/>
    <s v="High"/>
  </r>
  <r>
    <n v="1099"/>
    <s v="Chest"/>
    <d v="2023-10-13T00:00:00"/>
    <s v="Charlie"/>
    <s v="Susan Jerkins"/>
    <s v="North"/>
    <n v="7.4999999999999997E-2"/>
    <n v="571.06124999999997"/>
    <n v="7614.15"/>
    <n v="14"/>
    <s v="Food"/>
    <n v="1996.64"/>
    <n v="2341.4699999999998"/>
    <s v="Returning"/>
    <n v="0.22"/>
    <s v="Credit Card"/>
    <s v="Online"/>
    <s v="High"/>
  </r>
  <r>
    <n v="1019"/>
    <s v="Apple"/>
    <d v="2023-05-24T00:00:00"/>
    <s v="Eve"/>
    <s v="Tracy Moore"/>
    <s v="South"/>
    <n v="0.05"/>
    <n v="55.745500000000007"/>
    <n v="1114.9100000000001"/>
    <n v="13"/>
    <s v="Food"/>
    <n v="3102.73"/>
    <n v="3202.68"/>
    <s v="New"/>
    <n v="0.09"/>
    <s v="Cash"/>
    <s v="Online"/>
    <s v="Low"/>
  </r>
  <r>
    <n v="1048"/>
    <s v="Chaise Lounge"/>
    <d v="2023-01-19T00:00:00"/>
    <s v="Bob"/>
    <s v="Michael Smith"/>
    <s v="West"/>
    <n v="0.08"/>
    <n v="414.97280000000001"/>
    <n v="5187.16"/>
    <n v="7"/>
    <s v="Clothing"/>
    <n v="4310.95"/>
    <n v="4723.2"/>
    <s v="Returning"/>
    <n v="0.05"/>
    <s v="Credit Card"/>
    <s v="Retail"/>
    <s v="High"/>
  </r>
  <r>
    <n v="1080"/>
    <s v="Headphones"/>
    <d v="2023-01-18T00:00:00"/>
    <s v="Charlie"/>
    <s v="Susan Jerkins"/>
    <s v="East"/>
    <n v="0.06"/>
    <n v="308.28120000000001"/>
    <n v="5138.0200000000004"/>
    <n v="44"/>
    <s v="Electronics"/>
    <n v="1763.67"/>
    <n v="1983.82"/>
    <s v="New"/>
    <n v="0.24"/>
    <s v="Credit Card"/>
    <s v="Online"/>
    <s v="High"/>
  </r>
  <r>
    <n v="1003"/>
    <s v="Stool"/>
    <d v="2023-09-14T00:00:00"/>
    <s v="Bob"/>
    <s v="Michael Smith"/>
    <s v="West"/>
    <n v="0.08"/>
    <n v="300.47040000000004"/>
    <n v="3755.88"/>
    <n v="15"/>
    <s v="Clothing"/>
    <n v="3286.24"/>
    <n v="3388.8399999999901"/>
    <s v="Returning"/>
    <n v="0.09"/>
    <s v="Credit Card"/>
    <s v="Retail"/>
    <s v="Low"/>
  </r>
  <r>
    <n v="1020"/>
    <s v="Apron"/>
    <d v="2023-03-19T00:00:00"/>
    <s v="Eve"/>
    <s v="Tracy Moore"/>
    <s v="West"/>
    <n v="0.08"/>
    <n v="746.87679999999989"/>
    <n v="9335.9599999999991"/>
    <n v="19"/>
    <s v="Food"/>
    <n v="1783.48"/>
    <n v="1931.56"/>
    <s v="Returning"/>
    <n v="0.27"/>
    <s v="Bank Transfer"/>
    <s v="Retail"/>
    <s v="High"/>
  </r>
  <r>
    <n v="1024"/>
    <s v="Pasta Pack"/>
    <d v="2023-06-24T00:00:00"/>
    <s v="Alice"/>
    <s v="Scott Wayne"/>
    <s v="North"/>
    <n v="7.4999999999999997E-2"/>
    <n v="621.92324999999994"/>
    <n v="8292.31"/>
    <n v="43"/>
    <s v="Clothing"/>
    <n v="3105.24"/>
    <n v="3246.33"/>
    <s v="New"/>
    <n v="0.25"/>
    <s v="Cash"/>
    <s v="Online"/>
    <s v="High"/>
  </r>
  <r>
    <n v="1054"/>
    <s v="Glider"/>
    <d v="2023-07-13T00:00:00"/>
    <s v="Alice"/>
    <s v="Scott Wayne"/>
    <s v="South"/>
    <n v="0.05"/>
    <n v="350.11850000000004"/>
    <n v="7002.37"/>
    <n v="47"/>
    <s v="Food"/>
    <n v="4429.8"/>
    <n v="4694.21"/>
    <s v="New"/>
    <n v="0.25"/>
    <s v="Bank Transfer"/>
    <s v="Online"/>
    <s v="High"/>
  </r>
  <r>
    <n v="1033"/>
    <s v="TV Stand"/>
    <d v="2023-04-23T00:00:00"/>
    <s v="Charlie"/>
    <s v="Susan Jerkins"/>
    <s v="East"/>
    <n v="0.06"/>
    <n v="430.3098"/>
    <n v="7171.83"/>
    <n v="44"/>
    <s v="Electronics"/>
    <n v="1195.22"/>
    <n v="1320.06"/>
    <s v="Returning"/>
    <n v="0.23"/>
    <s v="Bank Transfer"/>
    <s v="Retail"/>
    <s v="High"/>
  </r>
  <r>
    <n v="1024"/>
    <s v="Pasta Pack"/>
    <d v="2023-04-24T00:00:00"/>
    <s v="David"/>
    <s v="Hogan Rock"/>
    <s v="North"/>
    <n v="7.4999999999999997E-2"/>
    <n v="350.32424999999995"/>
    <n v="4670.99"/>
    <n v="35"/>
    <s v="Furniture"/>
    <n v="2051"/>
    <n v="2121.5500000000002"/>
    <s v="Returning"/>
    <n v="0.26"/>
    <s v="Cash"/>
    <s v="Retail"/>
    <s v="Low"/>
  </r>
  <r>
    <n v="1075"/>
    <s v="Bookshelf"/>
    <d v="2023-08-10T00:00:00"/>
    <s v="Charlie"/>
    <s v="Susan Jerkins"/>
    <s v="North"/>
    <n v="7.4999999999999997E-2"/>
    <n v="691.33875"/>
    <n v="9217.85"/>
    <n v="17"/>
    <s v="Electronics"/>
    <n v="4966.66"/>
    <n v="5037.2699999999904"/>
    <s v="Returning"/>
    <n v="0.24"/>
    <s v="Bank Transfer"/>
    <s v="Retail"/>
    <s v="High"/>
  </r>
  <r>
    <n v="1072"/>
    <s v="T-Shirt"/>
    <d v="2023-06-15T00:00:00"/>
    <s v="David"/>
    <s v="Hogan Rock"/>
    <s v="North"/>
    <n v="7.4999999999999997E-2"/>
    <n v="523.23674999999992"/>
    <n v="6976.49"/>
    <n v="35"/>
    <s v="Electronics"/>
    <n v="4349.3599999999997"/>
    <n v="4645.17"/>
    <s v="Returning"/>
    <n v="0.18"/>
    <s v="Credit Card"/>
    <s v="Retail"/>
    <s v="High"/>
  </r>
  <r>
    <n v="1036"/>
    <s v="Shorts"/>
    <d v="2023-11-15T00:00:00"/>
    <s v="Bob"/>
    <s v="Michael Smith"/>
    <s v="West"/>
    <n v="0.08"/>
    <n v="585.3528"/>
    <n v="7316.91"/>
    <n v="19"/>
    <s v="Furniture"/>
    <n v="2844.97"/>
    <n v="3215"/>
    <s v="Returning"/>
    <n v="0.09"/>
    <s v="Credit Card"/>
    <s v="Retail"/>
    <s v="High"/>
  </r>
  <r>
    <n v="1038"/>
    <s v="Jean Pants"/>
    <d v="2023-05-12T00:00:00"/>
    <s v="Bob"/>
    <s v="Michael Smith"/>
    <s v="South"/>
    <n v="0.05"/>
    <n v="431.53700000000003"/>
    <n v="8630.74"/>
    <n v="20"/>
    <s v="Clothing"/>
    <n v="2607.31"/>
    <n v="2774.86"/>
    <s v="New"/>
    <n v="0.27"/>
    <s v="Credit Card"/>
    <s v="Retail"/>
    <s v="High"/>
  </r>
  <r>
    <n v="1084"/>
    <s v="Card Table"/>
    <d v="2023-09-21T00:00:00"/>
    <s v="Eve"/>
    <s v="Tracy Moore"/>
    <s v="South"/>
    <n v="0.05"/>
    <n v="140.66550000000001"/>
    <n v="2813.31"/>
    <n v="36"/>
    <s v="Furniture"/>
    <n v="1458.77"/>
    <n v="1485.75"/>
    <s v="New"/>
    <n v="0.25"/>
    <s v="Credit Card"/>
    <s v="Online"/>
    <s v="Low"/>
  </r>
  <r>
    <n v="1099"/>
    <s v="Chest"/>
    <d v="2023-02-24T00:00:00"/>
    <s v="David"/>
    <s v="Hogan Rock"/>
    <s v="East"/>
    <n v="0.06"/>
    <n v="485.4"/>
    <n v="8090"/>
    <n v="35"/>
    <s v="Clothing"/>
    <n v="2610.19"/>
    <n v="2682.53"/>
    <s v="New"/>
    <n v="0.14000000000000001"/>
    <s v="Cash"/>
    <s v="Retail"/>
    <s v="High"/>
  </r>
  <r>
    <n v="1089"/>
    <s v="Recliner"/>
    <d v="2023-12-25T00:00:00"/>
    <s v="Eve"/>
    <s v="Tracy Moore"/>
    <s v="South"/>
    <n v="0.05"/>
    <n v="101.64400000000001"/>
    <n v="2032.88"/>
    <n v="32"/>
    <s v="Clothing"/>
    <n v="4248.5"/>
    <n v="4706.7"/>
    <s v="New"/>
    <n v="0.01"/>
    <s v="Bank Transfer"/>
    <s v="Retail"/>
    <s v="Low"/>
  </r>
  <r>
    <n v="1099"/>
    <s v="Chest"/>
    <d v="2023-05-11T00:00:00"/>
    <s v="Alice"/>
    <s v="Scott Wayne"/>
    <s v="South"/>
    <n v="0.05"/>
    <n v="175.94450000000001"/>
    <n v="3518.89"/>
    <n v="48"/>
    <s v="Food"/>
    <n v="3441.61"/>
    <n v="3693.45"/>
    <s v="Returning"/>
    <n v="0.19"/>
    <s v="Bank Transfer"/>
    <s v="Online"/>
    <s v="Low"/>
  </r>
  <r>
    <n v="1025"/>
    <s v="Mayonnaise"/>
    <d v="2023-10-15T00:00:00"/>
    <s v="David"/>
    <s v="Hogan Rock"/>
    <s v="North"/>
    <n v="7.4999999999999997E-2"/>
    <n v="256.69049999999999"/>
    <n v="3422.54"/>
    <n v="44"/>
    <s v="Food"/>
    <n v="1485.72"/>
    <n v="1717.97"/>
    <s v="New"/>
    <n v="0.02"/>
    <s v="Credit Card"/>
    <s v="Retail"/>
    <s v="Low"/>
  </r>
  <r>
    <n v="1093"/>
    <s v="Dining Table"/>
    <d v="2023-09-23T00:00:00"/>
    <s v="Charlie"/>
    <s v="Susan Jerkins"/>
    <s v="North"/>
    <n v="7.4999999999999997E-2"/>
    <n v="734.05499999999995"/>
    <n v="9787.4"/>
    <n v="40"/>
    <s v="Furniture"/>
    <n v="1047.25"/>
    <n v="1075.8900000000001"/>
    <s v="New"/>
    <n v="0.28000000000000003"/>
    <s v="Credit Card"/>
    <s v="Retail"/>
    <s v="High"/>
  </r>
  <r>
    <n v="1018"/>
    <s v="Dress Shirt"/>
    <d v="2024-01-01T00:00:00"/>
    <s v="Alice"/>
    <s v="Scott Wayne"/>
    <s v="West"/>
    <n v="0.08"/>
    <n v="686.37759999999992"/>
    <n v="8579.7199999999993"/>
    <n v="24"/>
    <s v="Electronics"/>
    <n v="1362.78"/>
    <n v="1729.81"/>
    <s v="New"/>
    <n v="0.28999999999999998"/>
    <s v="Bank Transfer"/>
    <s v="Online"/>
    <s v="High"/>
  </r>
  <r>
    <n v="1082"/>
    <s v="USB Drive"/>
    <d v="2023-06-11T00:00:00"/>
    <s v="Alice"/>
    <s v="Scott Wayne"/>
    <s v="North"/>
    <n v="7.4999999999999997E-2"/>
    <n v="528.11849999999993"/>
    <n v="7041.58"/>
    <n v="17"/>
    <s v="Furniture"/>
    <n v="890.31"/>
    <n v="1159.06"/>
    <s v="Returning"/>
    <n v="0.06"/>
    <s v="Cash"/>
    <s v="Retail"/>
    <s v="High"/>
  </r>
  <r>
    <n v="1066"/>
    <s v="Armoire"/>
    <d v="2023-03-28T00:00:00"/>
    <s v="Charlie"/>
    <s v="Susan Jerkins"/>
    <s v="North"/>
    <n v="7.4999999999999997E-2"/>
    <n v="547.33949999999993"/>
    <n v="7297.86"/>
    <n v="7"/>
    <s v="Clothing"/>
    <n v="523.41999999999996"/>
    <n v="632.43999999999903"/>
    <s v="New"/>
    <n v="0.2"/>
    <s v="Bank Transfer"/>
    <s v="Online"/>
    <s v="High"/>
  </r>
  <r>
    <n v="1054"/>
    <s v="Glider"/>
    <d v="2023-02-24T00:00:00"/>
    <s v="Alice"/>
    <s v="Scott Wayne"/>
    <s v="North"/>
    <n v="7.4999999999999997E-2"/>
    <n v="424.839"/>
    <n v="5664.52"/>
    <n v="43"/>
    <s v="Food"/>
    <n v="2124.7199999999998"/>
    <n v="2188.66"/>
    <s v="Returning"/>
    <n v="0.03"/>
    <s v="Credit Card"/>
    <s v="Retail"/>
    <s v="High"/>
  </r>
  <r>
    <n v="1035"/>
    <s v="Doughnut"/>
    <d v="2023-10-15T00:00:00"/>
    <s v="David"/>
    <s v="Hogan Rock"/>
    <s v="North"/>
    <n v="7.4999999999999997E-2"/>
    <n v="710.71500000000003"/>
    <n v="9476.2000000000007"/>
    <n v="1"/>
    <s v="Furniture"/>
    <n v="610.83000000000004"/>
    <n v="808.69"/>
    <s v="New"/>
    <n v="0.22"/>
    <s v="Credit Card"/>
    <s v="Online"/>
    <s v="High"/>
  </r>
  <r>
    <n v="1080"/>
    <s v="Headphones"/>
    <d v="2023-06-27T00:00:00"/>
    <s v="Eve"/>
    <s v="Tracy Moore"/>
    <s v="West"/>
    <n v="0.08"/>
    <n v="401.03680000000003"/>
    <n v="5012.96"/>
    <n v="35"/>
    <s v="Furniture"/>
    <n v="900.97"/>
    <n v="1321.18"/>
    <s v="Returning"/>
    <n v="0.1"/>
    <s v="Cash"/>
    <s v="Online"/>
    <s v="High"/>
  </r>
  <r>
    <n v="1061"/>
    <s v="Laptop"/>
    <d v="2023-12-15T00:00:00"/>
    <s v="Alice"/>
    <s v="Scott Wayne"/>
    <s v="North"/>
    <n v="7.4999999999999997E-2"/>
    <n v="290.03474999999997"/>
    <n v="3867.13"/>
    <n v="32"/>
    <s v="Food"/>
    <n v="2759.26"/>
    <n v="3193.25"/>
    <s v="New"/>
    <n v="0.2"/>
    <s v="Bank Transfer"/>
    <s v="Online"/>
    <s v="Low"/>
  </r>
  <r>
    <n v="1041"/>
    <s v="Bread"/>
    <d v="2023-01-08T00:00:00"/>
    <s v="David"/>
    <s v="Hogan Rock"/>
    <s v="East"/>
    <n v="0.06"/>
    <n v="102.84299999999999"/>
    <n v="1714.05"/>
    <n v="36"/>
    <s v="Food"/>
    <n v="864.77"/>
    <n v="1170.1599999999901"/>
    <s v="Returning"/>
    <n v="0.11"/>
    <s v="Cash"/>
    <s v="Retail"/>
    <s v="Low"/>
  </r>
  <r>
    <n v="1100"/>
    <s v="Protein Cookies"/>
    <d v="2023-11-17T00:00:00"/>
    <s v="Bob"/>
    <s v="Michael Smith"/>
    <s v="East"/>
    <n v="0.06"/>
    <n v="473.00639999999999"/>
    <n v="7883.44"/>
    <n v="13"/>
    <s v="Food"/>
    <n v="366.2"/>
    <n v="732.69"/>
    <s v="New"/>
    <n v="0.04"/>
    <s v="Cash"/>
    <s v="Retail"/>
    <s v="High"/>
  </r>
  <r>
    <n v="1033"/>
    <s v="TV Stand"/>
    <d v="2023-11-09T00:00:00"/>
    <s v="David"/>
    <s v="Hogan Rock"/>
    <s v="East"/>
    <n v="0.06"/>
    <n v="442.25939999999997"/>
    <n v="7370.99"/>
    <n v="6"/>
    <s v="Clothing"/>
    <n v="1621.07"/>
    <n v="1687.5"/>
    <s v="Returning"/>
    <n v="0.12"/>
    <s v="Credit Card"/>
    <s v="Online"/>
    <s v="High"/>
  </r>
  <r>
    <n v="1068"/>
    <s v="Leggings"/>
    <d v="2023-09-04T00:00:00"/>
    <s v="Eve"/>
    <s v="Tracy Moore"/>
    <s v="East"/>
    <n v="0.06"/>
    <n v="234.3066"/>
    <n v="3905.11"/>
    <n v="14"/>
    <s v="Food"/>
    <n v="1140.58"/>
    <n v="1438.76"/>
    <s v="Returning"/>
    <n v="0.03"/>
    <s v="Bank Transfer"/>
    <s v="Online"/>
    <s v="Low"/>
  </r>
  <r>
    <n v="1033"/>
    <s v="TV Stand"/>
    <d v="2023-11-19T00:00:00"/>
    <s v="David"/>
    <s v="Hogan Rock"/>
    <s v="North"/>
    <n v="7.4999999999999997E-2"/>
    <n v="26.205750000000002"/>
    <n v="349.41"/>
    <n v="37"/>
    <s v="Electronics"/>
    <n v="2600.7600000000002"/>
    <n v="2937.57"/>
    <s v="New"/>
    <n v="0.17"/>
    <s v="Credit Card"/>
    <s v="Retail"/>
    <s v="Low"/>
  </r>
  <r>
    <n v="1014"/>
    <s v="Cheese Block"/>
    <d v="2023-09-12T00:00:00"/>
    <s v="Charlie"/>
    <s v="Susan Jerkins"/>
    <s v="East"/>
    <n v="0.06"/>
    <n v="504.36419999999998"/>
    <n v="8406.07"/>
    <n v="48"/>
    <s v="Furniture"/>
    <n v="556.72"/>
    <n v="665.07"/>
    <s v="Returning"/>
    <n v="0.01"/>
    <s v="Bank Transfer"/>
    <s v="Retail"/>
    <s v="High"/>
  </r>
  <r>
    <n v="1021"/>
    <s v="Almond Milk"/>
    <d v="2023-11-24T00:00:00"/>
    <s v="Eve"/>
    <s v="Tracy Moore"/>
    <s v="North"/>
    <n v="7.4999999999999997E-2"/>
    <n v="15.977999999999998"/>
    <n v="213.04"/>
    <n v="15"/>
    <s v="Food"/>
    <n v="3771.27"/>
    <n v="4212.55"/>
    <s v="Returning"/>
    <n v="0.16"/>
    <s v="Credit Card"/>
    <s v="Retail"/>
    <s v="Low"/>
  </r>
  <r>
    <n v="1048"/>
    <s v="Chaise Lounge"/>
    <d v="2023-02-23T00:00:00"/>
    <s v="Bob"/>
    <s v="Michael Smith"/>
    <s v="West"/>
    <n v="0.08"/>
    <n v="565.33040000000005"/>
    <n v="7066.63"/>
    <n v="47"/>
    <s v="Food"/>
    <n v="4535.8599999999997"/>
    <n v="4641.41"/>
    <s v="New"/>
    <n v="0.27"/>
    <s v="Credit Card"/>
    <s v="Retail"/>
    <s v="High"/>
  </r>
  <r>
    <n v="1020"/>
    <s v="Apron"/>
    <d v="2023-09-06T00:00:00"/>
    <s v="Charlie"/>
    <s v="Susan Jerkins"/>
    <s v="East"/>
    <n v="0.06"/>
    <n v="582.33299999999997"/>
    <n v="9705.5499999999993"/>
    <n v="4"/>
    <s v="Clothing"/>
    <n v="3730"/>
    <n v="3893.6"/>
    <s v="New"/>
    <n v="0.25"/>
    <s v="Bank Transfer"/>
    <s v="Retail"/>
    <s v="High"/>
  </r>
  <r>
    <n v="1008"/>
    <s v="Skirt"/>
    <d v="2023-08-27T00:00:00"/>
    <s v="David"/>
    <s v="Hogan Rock"/>
    <s v="South"/>
    <n v="0.05"/>
    <n v="221.64250000000004"/>
    <n v="4432.8500000000004"/>
    <n v="40"/>
    <s v="Clothing"/>
    <n v="2687.49"/>
    <n v="3001.56"/>
    <s v="Returning"/>
    <n v="0.26"/>
    <s v="Bank Transfer"/>
    <s v="Online"/>
    <s v="Low"/>
  </r>
  <r>
    <n v="1007"/>
    <s v="Fruit Jam"/>
    <d v="2023-08-17T00:00:00"/>
    <s v="Eve"/>
    <s v="Tracy Moore"/>
    <s v="East"/>
    <n v="0.06"/>
    <n v="145.57439999999997"/>
    <n v="2426.2399999999998"/>
    <n v="16"/>
    <s v="Furniture"/>
    <n v="4310.3100000000004"/>
    <n v="4633.1000000000004"/>
    <s v="New"/>
    <n v="0.28000000000000003"/>
    <s v="Credit Card"/>
    <s v="Retail"/>
    <s v="Low"/>
  </r>
  <r>
    <n v="1067"/>
    <s v="Grapes"/>
    <d v="2023-03-08T00:00:00"/>
    <s v="Bob"/>
    <s v="Michael Smith"/>
    <s v="East"/>
    <n v="0.06"/>
    <n v="424.69319999999999"/>
    <n v="7078.22"/>
    <n v="28"/>
    <s v="Electronics"/>
    <n v="3489.85"/>
    <n v="3842.5499999999902"/>
    <s v="New"/>
    <n v="0.03"/>
    <s v="Bank Transfer"/>
    <s v="Online"/>
    <s v="High"/>
  </r>
  <r>
    <n v="1017"/>
    <s v="Peaches"/>
    <d v="2023-02-20T00:00:00"/>
    <s v="Charlie"/>
    <s v="Susan Jerkins"/>
    <s v="North"/>
    <n v="7.4999999999999997E-2"/>
    <n v="614.21774999999991"/>
    <n v="8189.57"/>
    <n v="16"/>
    <s v="Furniture"/>
    <n v="102.23"/>
    <n v="167.12"/>
    <s v="New"/>
    <n v="0.04"/>
    <s v="Credit Card"/>
    <s v="Retail"/>
    <s v="High"/>
  </r>
  <r>
    <n v="1033"/>
    <s v="TV Stand"/>
    <d v="2023-04-07T00:00:00"/>
    <s v="Bob"/>
    <s v="Michael Smith"/>
    <s v="East"/>
    <n v="0.06"/>
    <n v="330.57959999999997"/>
    <n v="5509.66"/>
    <n v="4"/>
    <s v="Food"/>
    <n v="2000.75"/>
    <n v="2426.9899999999998"/>
    <s v="Returning"/>
    <n v="0.17"/>
    <s v="Bank Transfer"/>
    <s v="Online"/>
    <s v="High"/>
  </r>
  <r>
    <n v="1048"/>
    <s v="Chaise Lounge"/>
    <d v="2023-04-02T00:00:00"/>
    <s v="David"/>
    <s v="Hogan Rock"/>
    <s v="South"/>
    <n v="0.05"/>
    <n v="483.6825"/>
    <n v="9673.65"/>
    <n v="45"/>
    <s v="Electronics"/>
    <n v="4262.21"/>
    <n v="4533.3100000000004"/>
    <s v="Returning"/>
    <n v="0.27"/>
    <s v="Credit Card"/>
    <s v="Online"/>
    <s v="High"/>
  </r>
  <r>
    <n v="1076"/>
    <s v="Polo Shirt"/>
    <d v="2023-09-21T00:00:00"/>
    <s v="Bob"/>
    <s v="Michael Smith"/>
    <s v="North"/>
    <n v="7.4999999999999997E-2"/>
    <n v="45.863999999999997"/>
    <n v="611.52"/>
    <n v="26"/>
    <s v="Electronics"/>
    <n v="1762"/>
    <n v="2002.95"/>
    <s v="Returning"/>
    <n v="0.28999999999999998"/>
    <s v="Credit Card"/>
    <s v="Retail"/>
    <s v="Low"/>
  </r>
  <r>
    <n v="1059"/>
    <s v="Coffee Beans"/>
    <d v="2023-10-18T00:00:00"/>
    <s v="Alice"/>
    <s v="Scott Wayne"/>
    <s v="North"/>
    <n v="7.4999999999999997E-2"/>
    <n v="382.31099999999998"/>
    <n v="5097.4799999999996"/>
    <n v="28"/>
    <s v="Electronics"/>
    <n v="224.32"/>
    <n v="715.06"/>
    <s v="Returning"/>
    <n v="0.01"/>
    <s v="Credit Card"/>
    <s v="Online"/>
    <s v="High"/>
  </r>
  <r>
    <n v="1086"/>
    <s v="Gaming Console"/>
    <d v="2023-04-06T00:00:00"/>
    <s v="Charlie"/>
    <s v="Susan Jerkins"/>
    <s v="West"/>
    <n v="0.08"/>
    <n v="577.01519999999994"/>
    <n v="7212.69"/>
    <n v="32"/>
    <s v="Electronics"/>
    <n v="3743.59"/>
    <n v="4116.38"/>
    <s v="Returning"/>
    <n v="0.11"/>
    <s v="Cash"/>
    <s v="Online"/>
    <s v="High"/>
  </r>
  <r>
    <n v="1022"/>
    <s v="Organic Honey"/>
    <d v="2023-03-29T00:00:00"/>
    <s v="Bob"/>
    <s v="Michael Smith"/>
    <s v="West"/>
    <n v="0.08"/>
    <n v="691.21119999999996"/>
    <n v="8640.14"/>
    <n v="45"/>
    <s v="Furniture"/>
    <n v="4020.09"/>
    <n v="4087.91"/>
    <s v="Returning"/>
    <n v="0.06"/>
    <s v="Bank Transfer"/>
    <s v="Online"/>
    <s v="High"/>
  </r>
  <r>
    <n v="1030"/>
    <s v="Jeans"/>
    <d v="2023-03-19T00:00:00"/>
    <s v="David"/>
    <s v="Hogan Rock"/>
    <s v="East"/>
    <n v="0.06"/>
    <n v="112.4778"/>
    <n v="1874.63"/>
    <n v="2"/>
    <s v="Clothing"/>
    <n v="844.94"/>
    <n v="1225.6400000000001"/>
    <s v="Returning"/>
    <n v="0.23"/>
    <s v="Credit Card"/>
    <s v="Online"/>
    <s v="Low"/>
  </r>
  <r>
    <n v="1038"/>
    <s v="Jean Pants"/>
    <d v="2023-10-15T00:00:00"/>
    <s v="David"/>
    <s v="Hogan Rock"/>
    <s v="West"/>
    <n v="0.08"/>
    <n v="641.60239999999999"/>
    <n v="8020.03"/>
    <n v="31"/>
    <s v="Clothing"/>
    <n v="2709.84"/>
    <n v="2766.51"/>
    <s v="New"/>
    <n v="0.19"/>
    <s v="Cash"/>
    <s v="Retail"/>
    <s v="High"/>
  </r>
  <r>
    <n v="1051"/>
    <s v="Tablet"/>
    <d v="2023-04-30T00:00:00"/>
    <s v="Bob"/>
    <s v="Michael Smith"/>
    <s v="West"/>
    <n v="0.08"/>
    <n v="445.74400000000003"/>
    <n v="5571.8"/>
    <n v="3"/>
    <s v="Food"/>
    <n v="1000.18"/>
    <n v="1023.64"/>
    <s v="Returning"/>
    <n v="0.04"/>
    <s v="Credit Card"/>
    <s v="Online"/>
    <s v="High"/>
  </r>
  <r>
    <n v="1054"/>
    <s v="Glider"/>
    <d v="2023-10-29T00:00:00"/>
    <s v="David"/>
    <s v="Hogan Rock"/>
    <s v="West"/>
    <n v="0.08"/>
    <n v="322.07040000000001"/>
    <n v="4025.88"/>
    <n v="8"/>
    <s v="Clothing"/>
    <n v="3610.21"/>
    <n v="3817.99"/>
    <s v="Returning"/>
    <n v="0.15"/>
    <s v="Cash"/>
    <s v="Retail"/>
    <s v="Low"/>
  </r>
  <r>
    <n v="1008"/>
    <s v="Skirt"/>
    <d v="2023-06-14T00:00:00"/>
    <s v="Eve"/>
    <s v="Tracy Moore"/>
    <s v="North"/>
    <n v="7.4999999999999997E-2"/>
    <n v="105.2985"/>
    <n v="1403.98"/>
    <n v="24"/>
    <s v="Clothing"/>
    <n v="1394.17"/>
    <n v="1891.02"/>
    <s v="New"/>
    <n v="0.21"/>
    <s v="Credit Card"/>
    <s v="Online"/>
    <s v="Low"/>
  </r>
  <r>
    <n v="1027"/>
    <s v="Cookies"/>
    <d v="2023-07-01T00:00:00"/>
    <s v="Eve"/>
    <s v="Tracy Moore"/>
    <s v="North"/>
    <n v="7.4999999999999997E-2"/>
    <n v="649.98225000000002"/>
    <n v="8666.43"/>
    <n v="15"/>
    <s v="Clothing"/>
    <n v="1615.26"/>
    <n v="1710.95"/>
    <s v="New"/>
    <n v="0.23"/>
    <s v="Credit Card"/>
    <s v="Retail"/>
    <s v="High"/>
  </r>
  <r>
    <n v="1027"/>
    <s v="Cookies"/>
    <d v="2023-08-11T00:00:00"/>
    <s v="Eve"/>
    <s v="Tracy Moore"/>
    <s v="North"/>
    <n v="7.4999999999999997E-2"/>
    <n v="124.27499999999999"/>
    <n v="1657"/>
    <n v="43"/>
    <s v="Clothing"/>
    <n v="4232.6099999999997"/>
    <n v="4572.21"/>
    <s v="New"/>
    <n v="0.01"/>
    <s v="Cash"/>
    <s v="Retail"/>
    <s v="Low"/>
  </r>
  <r>
    <n v="1098"/>
    <s v="File Cabinet"/>
    <d v="2023-11-07T00:00:00"/>
    <s v="Alice"/>
    <s v="Scott Wayne"/>
    <s v="West"/>
    <n v="0.08"/>
    <n v="253.352"/>
    <n v="3166.9"/>
    <n v="31"/>
    <s v="Food"/>
    <n v="2407.8000000000002"/>
    <n v="2502.7600000000002"/>
    <s v="Returning"/>
    <n v="0.27"/>
    <s v="Cash"/>
    <s v="Retail"/>
    <s v="Low"/>
  </r>
  <r>
    <n v="1021"/>
    <s v="Almond Milk"/>
    <d v="2023-01-07T00:00:00"/>
    <s v="Bob"/>
    <s v="Michael Smith"/>
    <s v="North"/>
    <n v="7.4999999999999997E-2"/>
    <n v="222.85874999999999"/>
    <n v="2971.45"/>
    <n v="9"/>
    <s v="Furniture"/>
    <n v="3365.28"/>
    <n v="3730.43"/>
    <s v="New"/>
    <n v="0.17"/>
    <s v="Bank Transfer"/>
    <s v="Online"/>
    <s v="Low"/>
  </r>
  <r>
    <n v="1030"/>
    <s v="Jeans"/>
    <d v="2023-11-26T00:00:00"/>
    <s v="Alice"/>
    <s v="Scott Wayne"/>
    <s v="West"/>
    <n v="0.08"/>
    <n v="698.16"/>
    <n v="8727"/>
    <n v="39"/>
    <s v="Electronics"/>
    <n v="2041.75"/>
    <n v="2299.37"/>
    <s v="Returning"/>
    <n v="0.24"/>
    <s v="Bank Transfer"/>
    <s v="Retail"/>
    <s v="High"/>
  </r>
  <r>
    <n v="1097"/>
    <s v="Freezer"/>
    <d v="2023-09-20T00:00:00"/>
    <s v="David"/>
    <s v="Hogan Rock"/>
    <s v="North"/>
    <n v="7.4999999999999997E-2"/>
    <n v="506.98199999999997"/>
    <n v="6759.76"/>
    <n v="45"/>
    <s v="Clothing"/>
    <n v="1525.13"/>
    <n v="1868.32"/>
    <s v="Returning"/>
    <n v="0.24"/>
    <s v="Cash"/>
    <s v="Retail"/>
    <s v="High"/>
  </r>
  <r>
    <n v="1028"/>
    <s v="Pyjamas"/>
    <d v="2023-06-10T00:00:00"/>
    <s v="Alice"/>
    <s v="Scott Wayne"/>
    <s v="North"/>
    <n v="7.4999999999999997E-2"/>
    <n v="599.03625"/>
    <n v="7987.15"/>
    <n v="2"/>
    <s v="Furniture"/>
    <n v="3146.12"/>
    <n v="3255.5299999999902"/>
    <s v="Returning"/>
    <n v="0.06"/>
    <s v="Bank Transfer"/>
    <s v="Online"/>
    <s v="High"/>
  </r>
  <r>
    <n v="1064"/>
    <s v="Smartphone"/>
    <d v="2023-05-31T00:00:00"/>
    <s v="David"/>
    <s v="Hogan Rock"/>
    <s v="South"/>
    <n v="0.05"/>
    <n v="128.98150000000001"/>
    <n v="2579.63"/>
    <n v="8"/>
    <s v="Clothing"/>
    <n v="816.54"/>
    <n v="1191.9000000000001"/>
    <s v="New"/>
    <n v="0.03"/>
    <s v="Cash"/>
    <s v="Retail"/>
    <s v="Low"/>
  </r>
  <r>
    <n v="1097"/>
    <s v="Freezer"/>
    <d v="2023-03-26T00:00:00"/>
    <s v="David"/>
    <s v="Hogan Rock"/>
    <s v="East"/>
    <n v="0.06"/>
    <n v="377.17500000000001"/>
    <n v="6286.25"/>
    <n v="7"/>
    <s v="Clothing"/>
    <n v="1896.35"/>
    <n v="2394.1999999999998"/>
    <s v="New"/>
    <n v="0.22"/>
    <s v="Bank Transfer"/>
    <s v="Online"/>
    <s v="High"/>
  </r>
  <r>
    <n v="1069"/>
    <s v="Suit"/>
    <d v="2023-05-27T00:00:00"/>
    <s v="Charlie"/>
    <s v="Susan Jerkins"/>
    <s v="West"/>
    <n v="0.08"/>
    <n v="460.82319999999999"/>
    <n v="5760.29"/>
    <n v="44"/>
    <s v="Electronics"/>
    <n v="1084.73"/>
    <n v="1420.9"/>
    <s v="Returning"/>
    <n v="0.05"/>
    <s v="Credit Card"/>
    <s v="Online"/>
    <s v="High"/>
  </r>
  <r>
    <n v="1061"/>
    <s v="Laptop"/>
    <d v="2023-04-22T00:00:00"/>
    <s v="Eve"/>
    <s v="Tracy Moore"/>
    <s v="South"/>
    <n v="0.05"/>
    <n v="417.25100000000003"/>
    <n v="8345.02"/>
    <n v="39"/>
    <s v="Electronics"/>
    <n v="3494.19"/>
    <n v="3746"/>
    <s v="Returning"/>
    <n v="0.25"/>
    <s v="Bank Transfer"/>
    <s v="Retail"/>
    <s v="High"/>
  </r>
  <r>
    <n v="1048"/>
    <s v="Chaise Lounge"/>
    <d v="2023-02-05T00:00:00"/>
    <s v="David"/>
    <s v="Hogan Rock"/>
    <s v="North"/>
    <n v="7.4999999999999997E-2"/>
    <n v="680.26949999999999"/>
    <n v="9070.26"/>
    <n v="42"/>
    <s v="Electronics"/>
    <n v="4723.83"/>
    <n v="5186.1899999999996"/>
    <s v="Returning"/>
    <n v="0.22"/>
    <s v="Credit Card"/>
    <s v="Online"/>
    <s v="High"/>
  </r>
  <r>
    <n v="1019"/>
    <s v="Apple"/>
    <d v="2023-10-12T00:00:00"/>
    <s v="Charlie"/>
    <s v="Susan Jerkins"/>
    <s v="West"/>
    <n v="0.08"/>
    <n v="17.628"/>
    <n v="220.35"/>
    <n v="16"/>
    <s v="Clothing"/>
    <n v="4977.78"/>
    <n v="4995.55"/>
    <s v="New"/>
    <n v="0.25"/>
    <s v="Credit Card"/>
    <s v="Online"/>
    <s v="Low"/>
  </r>
  <r>
    <n v="1004"/>
    <s v="Smartwatch"/>
    <d v="2023-07-07T00:00:00"/>
    <s v="Eve"/>
    <s v="Tracy Moore"/>
    <s v="North"/>
    <n v="7.4999999999999997E-2"/>
    <n v="507.96"/>
    <n v="6772.8"/>
    <n v="35"/>
    <s v="Clothing"/>
    <n v="2278.87"/>
    <n v="2646.5299999999902"/>
    <s v="Returning"/>
    <n v="0.09"/>
    <s v="Bank Transfer"/>
    <s v="Online"/>
    <s v="High"/>
  </r>
  <r>
    <n v="1035"/>
    <s v="Doughnut"/>
    <d v="2023-03-23T00:00:00"/>
    <s v="David"/>
    <s v="Hogan Rock"/>
    <s v="East"/>
    <n v="0.06"/>
    <n v="36.790199999999999"/>
    <n v="613.16999999999996"/>
    <n v="30"/>
    <s v="Clothing"/>
    <n v="1300.03"/>
    <n v="1745.52"/>
    <s v="New"/>
    <n v="0.09"/>
    <s v="Cash"/>
    <s v="Retail"/>
    <s v="Low"/>
  </r>
  <r>
    <n v="1064"/>
    <s v="Smartphone"/>
    <d v="2023-01-02T00:00:00"/>
    <s v="David"/>
    <s v="Hogan Rock"/>
    <s v="South"/>
    <n v="0.05"/>
    <n v="276.685"/>
    <n v="5533.7"/>
    <n v="10"/>
    <s v="Electronics"/>
    <n v="2242.0100000000002"/>
    <n v="2282.23"/>
    <s v="Returning"/>
    <n v="0.2"/>
    <s v="Credit Card"/>
    <s v="Online"/>
    <s v="High"/>
  </r>
  <r>
    <n v="1049"/>
    <s v="Coffee Table"/>
    <d v="2023-10-30T00:00:00"/>
    <s v="Alice"/>
    <s v="Scott Wayne"/>
    <s v="East"/>
    <n v="0.06"/>
    <n v="176.8536"/>
    <n v="2947.56"/>
    <n v="38"/>
    <s v="Food"/>
    <n v="4243.9799999999996"/>
    <n v="4474.5099999999902"/>
    <s v="New"/>
    <n v="0.01"/>
    <s v="Credit Card"/>
    <s v="Online"/>
    <s v="Low"/>
  </r>
  <r>
    <n v="1017"/>
    <s v="Peaches"/>
    <d v="2023-07-16T00:00:00"/>
    <s v="Alice"/>
    <s v="Scott Wayne"/>
    <s v="South"/>
    <n v="0.05"/>
    <n v="156.85450000000003"/>
    <n v="3137.09"/>
    <n v="18"/>
    <s v="Furniture"/>
    <n v="1069.73"/>
    <n v="1180.04"/>
    <s v="Returning"/>
    <n v="0.22"/>
    <s v="Bank Transfer"/>
    <s v="Online"/>
    <s v="Low"/>
  </r>
  <r>
    <n v="1044"/>
    <s v="Burger"/>
    <d v="2023-01-11T00:00:00"/>
    <s v="Eve"/>
    <s v="Tracy Moore"/>
    <s v="North"/>
    <n v="7.4999999999999997E-2"/>
    <n v="269.57175000000001"/>
    <n v="3594.29"/>
    <n v="5"/>
    <s v="Food"/>
    <n v="4762.87"/>
    <n v="5050.46"/>
    <s v="New"/>
    <n v="0.25"/>
    <s v="Cash"/>
    <s v="Retail"/>
    <s v="Low"/>
  </r>
  <r>
    <n v="1092"/>
    <s v="Recliner"/>
    <d v="2023-08-22T00:00:00"/>
    <s v="David"/>
    <s v="Hogan Rock"/>
    <s v="East"/>
    <n v="0.06"/>
    <n v="375.048"/>
    <n v="6250.8"/>
    <n v="29"/>
    <s v="Clothing"/>
    <n v="1742.24"/>
    <n v="2070.52"/>
    <s v="New"/>
    <n v="0.12"/>
    <s v="Cash"/>
    <s v="Online"/>
    <s v="High"/>
  </r>
  <r>
    <n v="1030"/>
    <s v="Jeans"/>
    <d v="2023-07-14T00:00:00"/>
    <s v="Bob"/>
    <s v="Michael Smith"/>
    <s v="East"/>
    <n v="0.06"/>
    <n v="204.4254"/>
    <n v="3407.09"/>
    <n v="39"/>
    <s v="Clothing"/>
    <n v="4929.7299999999996"/>
    <n v="5088.0199999999904"/>
    <s v="New"/>
    <n v="0.23"/>
    <s v="Bank Transfer"/>
    <s v="Retail"/>
    <s v="Low"/>
  </r>
  <r>
    <n v="1093"/>
    <s v="Dining Table"/>
    <d v="2023-04-29T00:00:00"/>
    <s v="Alice"/>
    <s v="Scott Wayne"/>
    <s v="North"/>
    <n v="7.4999999999999997E-2"/>
    <n v="551.529"/>
    <n v="7353.72"/>
    <n v="34"/>
    <s v="Food"/>
    <n v="4201.1099999999997"/>
    <n v="4436.5"/>
    <s v="New"/>
    <n v="0.05"/>
    <s v="Cash"/>
    <s v="Online"/>
    <s v="High"/>
  </r>
  <r>
    <n v="1046"/>
    <s v="Sweat Shirts"/>
    <d v="2023-01-20T00:00:00"/>
    <s v="Eve"/>
    <s v="Tracy Moore"/>
    <s v="East"/>
    <n v="0.06"/>
    <n v="246.28919999999997"/>
    <n v="4104.82"/>
    <n v="43"/>
    <s v="Clothing"/>
    <n v="4052.42"/>
    <n v="4199.3"/>
    <s v="New"/>
    <n v="0.1"/>
    <s v="Bank Transfer"/>
    <s v="Retail"/>
    <s v="Low"/>
  </r>
  <r>
    <n v="1006"/>
    <s v="Monitor"/>
    <d v="2023-09-18T00:00:00"/>
    <s v="David"/>
    <s v="Hogan Rock"/>
    <s v="West"/>
    <n v="0.08"/>
    <n v="62.136000000000003"/>
    <n v="776.7"/>
    <n v="45"/>
    <s v="Furniture"/>
    <n v="1623.63"/>
    <n v="1814.63"/>
    <s v="New"/>
    <n v="0.28999999999999998"/>
    <s v="Bank Transfer"/>
    <s v="Retail"/>
    <s v="Low"/>
  </r>
  <r>
    <n v="1099"/>
    <s v="Chest"/>
    <d v="2023-10-20T00:00:00"/>
    <s v="David"/>
    <s v="Hogan Rock"/>
    <s v="South"/>
    <n v="0.05"/>
    <n v="392.96100000000001"/>
    <n v="7859.22"/>
    <n v="23"/>
    <s v="Clothing"/>
    <n v="93.45"/>
    <n v="181.62"/>
    <s v="Returning"/>
    <n v="0.3"/>
    <s v="Bank Transfer"/>
    <s v="Retail"/>
    <s v="High"/>
  </r>
  <r>
    <n v="1037"/>
    <s v="Turtleneck Top"/>
    <d v="2023-09-13T00:00:00"/>
    <s v="Bob"/>
    <s v="Michael Smith"/>
    <s v="South"/>
    <n v="0.05"/>
    <n v="146.45050000000001"/>
    <n v="2929.01"/>
    <n v="5"/>
    <s v="Furniture"/>
    <n v="1941.56"/>
    <n v="2385.48"/>
    <s v="Returning"/>
    <n v="0.15"/>
    <s v="Credit Card"/>
    <s v="Online"/>
    <s v="Low"/>
  </r>
  <r>
    <n v="1024"/>
    <s v="Pasta Pack"/>
    <d v="2023-08-10T00:00:00"/>
    <s v="Eve"/>
    <s v="Tracy Moore"/>
    <s v="South"/>
    <n v="0.05"/>
    <n v="219.21950000000004"/>
    <n v="4384.3900000000003"/>
    <n v="30"/>
    <s v="Food"/>
    <n v="1543.96"/>
    <n v="1558.87"/>
    <s v="Returning"/>
    <n v="0.28000000000000003"/>
    <s v="Credit Card"/>
    <s v="Online"/>
    <s v="Low"/>
  </r>
  <r>
    <n v="1093"/>
    <s v="Dining Table"/>
    <d v="2023-08-14T00:00:00"/>
    <s v="David"/>
    <s v="Hogan Rock"/>
    <s v="West"/>
    <n v="0.08"/>
    <n v="550.87120000000004"/>
    <n v="6885.89"/>
    <n v="6"/>
    <s v="Food"/>
    <n v="235.12"/>
    <n v="677.5"/>
    <s v="Returning"/>
    <n v="0.16"/>
    <s v="Credit Card"/>
    <s v="Online"/>
    <s v="High"/>
  </r>
  <r>
    <n v="1046"/>
    <s v="Sweat Shirts"/>
    <d v="2023-02-22T00:00:00"/>
    <s v="Alice"/>
    <s v="Scott Wayne"/>
    <s v="South"/>
    <n v="0.05"/>
    <n v="169.56600000000003"/>
    <n v="3391.32"/>
    <n v="46"/>
    <s v="Clothing"/>
    <n v="2551.56"/>
    <n v="2841.68"/>
    <s v="New"/>
    <n v="0.09"/>
    <s v="Bank Transfer"/>
    <s v="Retail"/>
    <s v="Low"/>
  </r>
  <r>
    <n v="1053"/>
    <s v="Bed"/>
    <d v="2023-12-21T00:00:00"/>
    <s v="Bob"/>
    <s v="Michael Smith"/>
    <s v="North"/>
    <n v="7.4999999999999997E-2"/>
    <n v="49.515000000000001"/>
    <n v="660.2"/>
    <n v="44"/>
    <s v="Furniture"/>
    <n v="2045"/>
    <n v="2217.5100000000002"/>
    <s v="Returning"/>
    <n v="0.08"/>
    <s v="Credit Card"/>
    <s v="Online"/>
    <s v="Low"/>
  </r>
  <r>
    <n v="1095"/>
    <s v="Bluetooth Speaker"/>
    <d v="2023-12-08T00:00:00"/>
    <s v="Eve"/>
    <s v="Tracy Moore"/>
    <s v="East"/>
    <n v="0.06"/>
    <n v="228.10920000000002"/>
    <n v="3801.82"/>
    <n v="4"/>
    <s v="Clothing"/>
    <n v="3191.05"/>
    <n v="3555.35"/>
    <s v="New"/>
    <n v="0.28000000000000003"/>
    <s v="Credit Card"/>
    <s v="Online"/>
    <s v="Low"/>
  </r>
  <r>
    <n v="1099"/>
    <s v="Chest"/>
    <d v="2023-12-30T00:00:00"/>
    <s v="Bob"/>
    <s v="Michael Smith"/>
    <s v="West"/>
    <n v="0.08"/>
    <n v="756.00320000000011"/>
    <n v="9450.0400000000009"/>
    <n v="29"/>
    <s v="Electronics"/>
    <n v="3124.87"/>
    <n v="3383.67"/>
    <s v="New"/>
    <n v="0.05"/>
    <s v="Credit Card"/>
    <s v="Retail"/>
    <s v="High"/>
  </r>
  <r>
    <n v="1060"/>
    <s v="Head Warmer"/>
    <d v="2023-10-07T00:00:00"/>
    <s v="Alice"/>
    <s v="Scott Wayne"/>
    <s v="South"/>
    <n v="0.05"/>
    <n v="322.6585"/>
    <n v="6453.17"/>
    <n v="23"/>
    <s v="Electronics"/>
    <n v="647.70000000000005"/>
    <n v="902.26"/>
    <s v="New"/>
    <n v="0.17"/>
    <s v="Bank Transfer"/>
    <s v="Online"/>
    <s v="High"/>
  </r>
  <r>
    <n v="1097"/>
    <s v="Freezer"/>
    <d v="2023-03-22T00:00:00"/>
    <s v="Eve"/>
    <s v="Tracy Moore"/>
    <s v="North"/>
    <n v="7.4999999999999997E-2"/>
    <n v="506.07299999999998"/>
    <n v="6747.64"/>
    <n v="6"/>
    <s v="Electronics"/>
    <n v="4885.9799999999996"/>
    <n v="4949.95"/>
    <s v="Returning"/>
    <n v="0.17"/>
    <s v="Bank Transfer"/>
    <s v="Online"/>
    <s v="High"/>
  </r>
  <r>
    <n v="1063"/>
    <s v="Noodles"/>
    <d v="2023-07-21T00:00:00"/>
    <s v="Bob"/>
    <s v="Michael Smith"/>
    <s v="East"/>
    <n v="0.06"/>
    <n v="381.5754"/>
    <n v="6359.59"/>
    <n v="32"/>
    <s v="Electronics"/>
    <n v="975.31"/>
    <n v="1176.17"/>
    <s v="New"/>
    <n v="0.22"/>
    <s v="Bank Transfer"/>
    <s v="Retail"/>
    <s v="High"/>
  </r>
  <r>
    <n v="1085"/>
    <s v="Settee"/>
    <d v="2023-06-07T00:00:00"/>
    <s v="Charlie"/>
    <s v="Susan Jerkins"/>
    <s v="East"/>
    <n v="0.06"/>
    <n v="124.2012"/>
    <n v="2070.02"/>
    <n v="42"/>
    <s v="Clothing"/>
    <n v="2254.11"/>
    <n v="2382.23"/>
    <s v="Returning"/>
    <n v="0.15"/>
    <s v="Credit Card"/>
    <s v="Retail"/>
    <s v="Low"/>
  </r>
  <r>
    <n v="1032"/>
    <s v="Refridgerator"/>
    <d v="2023-04-30T00:00:00"/>
    <s v="Alice"/>
    <s v="Scott Wayne"/>
    <s v="West"/>
    <n v="0.08"/>
    <n v="339.32080000000002"/>
    <n v="4241.51"/>
    <n v="18"/>
    <s v="Electronics"/>
    <n v="2466.1799999999998"/>
    <n v="2483.87"/>
    <s v="Returning"/>
    <n v="0.08"/>
    <s v="Cash"/>
    <s v="Online"/>
    <s v="Low"/>
  </r>
  <r>
    <n v="1087"/>
    <s v="Sofa Set"/>
    <d v="2023-02-28T00:00:00"/>
    <s v="Alice"/>
    <s v="Scott Wayne"/>
    <s v="West"/>
    <n v="0.08"/>
    <n v="602.74400000000003"/>
    <n v="7534.3"/>
    <n v="15"/>
    <s v="Furniture"/>
    <n v="4074.66"/>
    <n v="4261.1099999999997"/>
    <s v="Returning"/>
    <n v="0.05"/>
    <s v="Credit Card"/>
    <s v="Retail"/>
    <s v="High"/>
  </r>
  <r>
    <n v="1033"/>
    <s v="TV Stand"/>
    <d v="2023-08-03T00:00:00"/>
    <s v="Alice"/>
    <s v="Scott Wayne"/>
    <s v="West"/>
    <n v="0.08"/>
    <n v="88.287199999999999"/>
    <n v="1103.5899999999999"/>
    <n v="40"/>
    <s v="Food"/>
    <n v="541.19000000000005"/>
    <n v="595.20000000000005"/>
    <s v="Returning"/>
    <n v="0.19"/>
    <s v="Credit Card"/>
    <s v="Online"/>
    <s v="Low"/>
  </r>
  <r>
    <n v="1067"/>
    <s v="Grapes"/>
    <d v="2023-05-08T00:00:00"/>
    <s v="Charlie"/>
    <s v="Susan Jerkins"/>
    <s v="North"/>
    <n v="7.4999999999999997E-2"/>
    <n v="213.80549999999997"/>
    <n v="2850.74"/>
    <n v="32"/>
    <s v="Food"/>
    <n v="2171.79"/>
    <n v="2307.64"/>
    <s v="Returning"/>
    <n v="0.22"/>
    <s v="Bank Transfer"/>
    <s v="Online"/>
    <s v="Low"/>
  </r>
  <r>
    <n v="1018"/>
    <s v="Dress Shirt"/>
    <d v="2023-08-12T00:00:00"/>
    <s v="Charlie"/>
    <s v="Susan Jerkins"/>
    <s v="North"/>
    <n v="7.4999999999999997E-2"/>
    <n v="212.667"/>
    <n v="2835.56"/>
    <n v="9"/>
    <s v="Electronics"/>
    <n v="3161.09"/>
    <n v="3216.42"/>
    <s v="New"/>
    <n v="0.17"/>
    <s v="Bank Transfer"/>
    <s v="Online"/>
    <s v="Low"/>
  </r>
  <r>
    <n v="1025"/>
    <s v="Mayonnaise"/>
    <d v="2023-07-28T00:00:00"/>
    <s v="David"/>
    <s v="Hogan Rock"/>
    <s v="West"/>
    <n v="0.08"/>
    <n v="350.1592"/>
    <n v="4376.99"/>
    <n v="37"/>
    <s v="Electronics"/>
    <n v="1115.02"/>
    <n v="1174.48"/>
    <s v="New"/>
    <n v="0.22"/>
    <s v="Credit Card"/>
    <s v="Online"/>
    <s v="Low"/>
  </r>
  <r>
    <n v="1095"/>
    <s v="Bluetooth Speaker"/>
    <d v="2023-04-25T00:00:00"/>
    <s v="Bob"/>
    <s v="Michael Smith"/>
    <s v="South"/>
    <n v="0.05"/>
    <n v="490.28250000000003"/>
    <n v="9805.65"/>
    <n v="10"/>
    <s v="Electronics"/>
    <n v="3155.97"/>
    <n v="3263.49"/>
    <s v="Returning"/>
    <n v="0.04"/>
    <s v="Credit Card"/>
    <s v="Online"/>
    <s v="High"/>
  </r>
  <r>
    <n v="1054"/>
    <s v="Glider"/>
    <d v="2023-07-28T00:00:00"/>
    <s v="David"/>
    <s v="Hogan Rock"/>
    <s v="East"/>
    <n v="0.06"/>
    <n v="46.096799999999995"/>
    <n v="768.28"/>
    <n v="20"/>
    <s v="Clothing"/>
    <n v="4622.1400000000003"/>
    <n v="5122.07"/>
    <s v="New"/>
    <n v="0.26"/>
    <s v="Cash"/>
    <s v="Retail"/>
    <s v="Low"/>
  </r>
  <r>
    <n v="1058"/>
    <s v="Wardrobe"/>
    <d v="2023-01-14T00:00:00"/>
    <s v="Bob"/>
    <s v="Michael Smith"/>
    <s v="East"/>
    <n v="0.06"/>
    <n v="314.10840000000002"/>
    <n v="5235.1400000000003"/>
    <n v="6"/>
    <s v="Food"/>
    <n v="4987.71"/>
    <n v="4998.78"/>
    <s v="Returning"/>
    <n v="0.17"/>
    <s v="Cash"/>
    <s v="Retail"/>
    <s v="High"/>
  </r>
  <r>
    <n v="1067"/>
    <s v="Grapes"/>
    <d v="2023-01-09T00:00:00"/>
    <s v="Charlie"/>
    <s v="Susan Jerkins"/>
    <s v="North"/>
    <n v="7.4999999999999997E-2"/>
    <n v="140.67824999999999"/>
    <n v="1875.71"/>
    <n v="48"/>
    <s v="Electronics"/>
    <n v="210.63"/>
    <n v="533.57999999999902"/>
    <s v="New"/>
    <n v="0.04"/>
    <s v="Bank Transfer"/>
    <s v="Online"/>
    <s v="Low"/>
  </r>
  <r>
    <n v="1046"/>
    <s v="Sweat Shirts"/>
    <d v="2023-02-09T00:00:00"/>
    <s v="Charlie"/>
    <s v="Susan Jerkins"/>
    <s v="East"/>
    <n v="0.06"/>
    <n v="582.58199999999999"/>
    <n v="9709.7000000000007"/>
    <n v="3"/>
    <s v="Furniture"/>
    <n v="1216.1600000000001"/>
    <n v="1295.3699999999999"/>
    <s v="New"/>
    <n v="0.14000000000000001"/>
    <s v="Cash"/>
    <s v="Retail"/>
    <s v="High"/>
  </r>
  <r>
    <n v="1024"/>
    <s v="Pasta Pack"/>
    <d v="2023-08-25T00:00:00"/>
    <s v="David"/>
    <s v="Hogan Rock"/>
    <s v="South"/>
    <n v="0.05"/>
    <n v="61.085000000000008"/>
    <n v="1221.7"/>
    <n v="42"/>
    <s v="Electronics"/>
    <n v="1586.02"/>
    <n v="2047.13"/>
    <s v="New"/>
    <n v="0.25"/>
    <s v="Cash"/>
    <s v="Retail"/>
    <s v="Low"/>
  </r>
  <r>
    <n v="1032"/>
    <s v="Refridgerator"/>
    <d v="2023-10-08T00:00:00"/>
    <s v="Eve"/>
    <s v="Tracy Moore"/>
    <s v="East"/>
    <n v="0.06"/>
    <n v="245.739"/>
    <n v="4095.65"/>
    <n v="11"/>
    <s v="Food"/>
    <n v="2025.67"/>
    <n v="2081.5500000000002"/>
    <s v="New"/>
    <n v="0.27"/>
    <s v="Bank Transfer"/>
    <s v="Online"/>
    <s v="Low"/>
  </r>
  <r>
    <n v="1047"/>
    <s v="Mouse"/>
    <d v="2023-12-25T00:00:00"/>
    <s v="David"/>
    <s v="Hogan Rock"/>
    <s v="North"/>
    <n v="7.4999999999999997E-2"/>
    <n v="555.37950000000001"/>
    <n v="7405.06"/>
    <n v="43"/>
    <s v="Electronics"/>
    <n v="1249.17"/>
    <n v="1727.15"/>
    <s v="New"/>
    <n v="0.08"/>
    <s v="Cash"/>
    <s v="Retail"/>
    <s v="High"/>
  </r>
  <r>
    <n v="1086"/>
    <s v="Gaming Console"/>
    <d v="2023-07-20T00:00:00"/>
    <s v="Bob"/>
    <s v="Michael Smith"/>
    <s v="North"/>
    <n v="7.4999999999999997E-2"/>
    <n v="530.63175000000001"/>
    <n v="7075.09"/>
    <n v="17"/>
    <s v="Food"/>
    <n v="1057.27"/>
    <n v="1366.62"/>
    <s v="New"/>
    <n v="0.21"/>
    <s v="Credit Card"/>
    <s v="Retail"/>
    <s v="High"/>
  </r>
  <r>
    <n v="1023"/>
    <s v="Tights"/>
    <d v="2023-09-03T00:00:00"/>
    <s v="David"/>
    <s v="Hogan Rock"/>
    <s v="South"/>
    <n v="0.05"/>
    <n v="214.25050000000002"/>
    <n v="4285.01"/>
    <n v="32"/>
    <s v="Electronics"/>
    <n v="4775.04"/>
    <n v="4785.66"/>
    <s v="New"/>
    <n v="0.03"/>
    <s v="Cash"/>
    <s v="Online"/>
    <s v="Low"/>
  </r>
  <r>
    <n v="1066"/>
    <s v="Armoire"/>
    <d v="2023-10-05T00:00:00"/>
    <s v="Alice"/>
    <s v="Scott Wayne"/>
    <s v="South"/>
    <n v="0.05"/>
    <n v="176.52950000000001"/>
    <n v="3530.59"/>
    <n v="4"/>
    <s v="Furniture"/>
    <n v="4596.68"/>
    <n v="5044.74"/>
    <s v="New"/>
    <n v="0.01"/>
    <s v="Bank Transfer"/>
    <s v="Online"/>
    <s v="Low"/>
  </r>
  <r>
    <n v="1027"/>
    <s v="Cookies"/>
    <d v="2023-08-23T00:00:00"/>
    <s v="Bob"/>
    <s v="Michael Smith"/>
    <s v="East"/>
    <n v="0.06"/>
    <n v="242.1816"/>
    <n v="4036.36"/>
    <n v="4"/>
    <s v="Electronics"/>
    <n v="282.61"/>
    <n v="548.25"/>
    <s v="New"/>
    <n v="0.17"/>
    <s v="Credit Card"/>
    <s v="Online"/>
    <s v="Low"/>
  </r>
  <r>
    <n v="1002"/>
    <s v="Bench"/>
    <d v="2023-01-04T00:00:00"/>
    <s v="Bob"/>
    <s v="Michael Smith"/>
    <s v="East"/>
    <n v="0.06"/>
    <n v="162.9804"/>
    <n v="2716.34"/>
    <n v="17"/>
    <s v="Furniture"/>
    <n v="1727.12"/>
    <n v="1865.83"/>
    <s v="New"/>
    <n v="0.21"/>
    <s v="Cash"/>
    <s v="Online"/>
    <s v="Low"/>
  </r>
  <r>
    <n v="1090"/>
    <s v="Keyboard"/>
    <d v="2023-06-03T00:00:00"/>
    <s v="Eve"/>
    <s v="Tracy Moore"/>
    <s v="North"/>
    <n v="7.4999999999999997E-2"/>
    <n v="159.96"/>
    <n v="2132.8000000000002"/>
    <n v="41"/>
    <s v="Furniture"/>
    <n v="2055.4899999999998"/>
    <n v="2441.46"/>
    <s v="New"/>
    <n v="0.24"/>
    <s v="Credit Card"/>
    <s v="Online"/>
    <s v="Low"/>
  </r>
  <r>
    <n v="1017"/>
    <s v="Peaches"/>
    <d v="2023-01-29T00:00:00"/>
    <s v="Charlie"/>
    <s v="Susan Jerkins"/>
    <s v="South"/>
    <n v="0.05"/>
    <n v="244.10450000000003"/>
    <n v="4882.09"/>
    <n v="19"/>
    <s v="Electronics"/>
    <n v="1233.1199999999999"/>
    <n v="1697.1899999999901"/>
    <s v="New"/>
    <n v="0.1"/>
    <s v="Credit Card"/>
    <s v="Online"/>
    <s v="Low"/>
  </r>
  <r>
    <n v="1033"/>
    <s v="TV Stand"/>
    <d v="2023-04-19T00:00:00"/>
    <s v="Bob"/>
    <s v="Michael Smith"/>
    <s v="South"/>
    <n v="0.05"/>
    <n v="137.92400000000001"/>
    <n v="2758.48"/>
    <n v="5"/>
    <s v="Furniture"/>
    <n v="3162.92"/>
    <n v="3409.93"/>
    <s v="New"/>
    <n v="0"/>
    <s v="Cash"/>
    <s v="Online"/>
    <s v="Low"/>
  </r>
  <r>
    <n v="1009"/>
    <s v="Jacket"/>
    <d v="2023-04-08T00:00:00"/>
    <s v="Charlie"/>
    <s v="Susan Jerkins"/>
    <s v="South"/>
    <n v="0.05"/>
    <n v="147.29349999999999"/>
    <n v="2945.87"/>
    <n v="32"/>
    <s v="Clothing"/>
    <n v="3219.88"/>
    <n v="3384.5"/>
    <s v="Returning"/>
    <n v="0.14000000000000001"/>
    <s v="Cash"/>
    <s v="Retail"/>
    <s v="Low"/>
  </r>
  <r>
    <n v="1043"/>
    <s v="Oven"/>
    <d v="2023-08-03T00:00:00"/>
    <s v="David"/>
    <s v="Hogan Rock"/>
    <s v="East"/>
    <n v="0.06"/>
    <n v="396.11340000000001"/>
    <n v="6601.89"/>
    <n v="22"/>
    <s v="Electronics"/>
    <n v="4260"/>
    <n v="4656.58"/>
    <s v="New"/>
    <n v="0"/>
    <s v="Bank Transfer"/>
    <s v="Online"/>
    <s v="High"/>
  </r>
  <r>
    <n v="1048"/>
    <s v="Chaise Lounge"/>
    <d v="2023-10-20T00:00:00"/>
    <s v="Alice"/>
    <s v="Scott Wayne"/>
    <s v="South"/>
    <n v="0.05"/>
    <n v="484.42600000000004"/>
    <n v="9688.52"/>
    <n v="6"/>
    <s v="Electronics"/>
    <n v="3717.3"/>
    <n v="4061.37"/>
    <s v="New"/>
    <n v="0.03"/>
    <s v="Bank Transfer"/>
    <s v="Retail"/>
    <s v="High"/>
  </r>
  <r>
    <n v="1039"/>
    <s v="Hoodie"/>
    <d v="2023-03-16T00:00:00"/>
    <s v="Eve"/>
    <s v="Tracy Moore"/>
    <s v="North"/>
    <n v="7.4999999999999997E-2"/>
    <n v="455.70075000000003"/>
    <n v="6076.01"/>
    <n v="35"/>
    <s v="Furniture"/>
    <n v="2735.74"/>
    <n v="3181.22999999999"/>
    <s v="New"/>
    <n v="0.1"/>
    <s v="Credit Card"/>
    <s v="Retail"/>
    <s v="High"/>
  </r>
  <r>
    <n v="1093"/>
    <s v="Dining Table"/>
    <d v="2023-11-22T00:00:00"/>
    <s v="Charlie"/>
    <s v="Susan Jerkins"/>
    <s v="North"/>
    <n v="7.4999999999999997E-2"/>
    <n v="64.657499999999999"/>
    <n v="862.1"/>
    <n v="22"/>
    <s v="Furniture"/>
    <n v="3285.25"/>
    <n v="3634.58"/>
    <s v="New"/>
    <n v="0.13"/>
    <s v="Bank Transfer"/>
    <s v="Online"/>
    <s v="Low"/>
  </r>
  <r>
    <n v="1042"/>
    <s v="Frozen Pizza"/>
    <d v="2023-05-26T00:00:00"/>
    <s v="Bob"/>
    <s v="Michael Smith"/>
    <s v="East"/>
    <n v="0.06"/>
    <n v="50.896799999999999"/>
    <n v="848.28"/>
    <n v="1"/>
    <s v="Electronics"/>
    <n v="1406.24"/>
    <n v="1535.57"/>
    <s v="New"/>
    <n v="0.08"/>
    <s v="Credit Card"/>
    <s v="Retail"/>
    <s v="Low"/>
  </r>
  <r>
    <n v="1026"/>
    <s v="Television"/>
    <d v="2023-05-08T00:00:00"/>
    <s v="Charlie"/>
    <s v="Susan Jerkins"/>
    <s v="West"/>
    <n v="0.08"/>
    <n v="761.52719999999999"/>
    <n v="9519.09"/>
    <n v="20"/>
    <s v="Clothing"/>
    <n v="2985.63"/>
    <n v="3452.14"/>
    <s v="New"/>
    <n v="0.17"/>
    <s v="Credit Card"/>
    <s v="Retail"/>
    <s v="High"/>
  </r>
  <r>
    <n v="1099"/>
    <s v="Chest"/>
    <d v="2023-12-07T00:00:00"/>
    <s v="Bob"/>
    <s v="Michael Smith"/>
    <s v="East"/>
    <n v="0.06"/>
    <n v="182.59079999999997"/>
    <n v="3043.18"/>
    <n v="22"/>
    <s v="Furniture"/>
    <n v="2471.67"/>
    <n v="2533.04"/>
    <s v="Returning"/>
    <n v="0.02"/>
    <s v="Bank Transfer"/>
    <s v="Retail"/>
    <s v="Low"/>
  </r>
  <r>
    <n v="1050"/>
    <s v="Sneakers"/>
    <d v="2023-02-11T00:00:00"/>
    <s v="Charlie"/>
    <s v="Susan Jerkins"/>
    <s v="West"/>
    <n v="0.08"/>
    <n v="80.916800000000009"/>
    <n v="1011.46"/>
    <n v="48"/>
    <s v="Furniture"/>
    <n v="710.06"/>
    <n v="851.349999999999"/>
    <s v="Returning"/>
    <n v="0.04"/>
    <s v="Bank Transfer"/>
    <s v="Online"/>
    <s v="Low"/>
  </r>
  <r>
    <n v="1025"/>
    <s v="Mayonnaise"/>
    <d v="2023-12-22T00:00:00"/>
    <s v="Bob"/>
    <s v="Michael Smith"/>
    <s v="South"/>
    <n v="0.05"/>
    <n v="301.52699999999999"/>
    <n v="6030.54"/>
    <n v="11"/>
    <s v="Food"/>
    <n v="1250.5899999999999"/>
    <n v="1515.48999999999"/>
    <s v="Returning"/>
    <n v="0.21"/>
    <s v="Bank Transfer"/>
    <s v="Retail"/>
    <s v="High"/>
  </r>
  <r>
    <n v="1024"/>
    <s v="Pasta Pack"/>
    <d v="2023-02-10T00:00:00"/>
    <s v="David"/>
    <s v="Hogan Rock"/>
    <s v="East"/>
    <n v="0.06"/>
    <n v="376.44719999999995"/>
    <n v="6274.12"/>
    <n v="13"/>
    <s v="Clothing"/>
    <n v="1493.88"/>
    <n v="1781.09"/>
    <s v="New"/>
    <n v="0.04"/>
    <s v="Cash"/>
    <s v="Retail"/>
    <s v="High"/>
  </r>
  <r>
    <n v="1013"/>
    <s v="Gas Cooker"/>
    <d v="2023-02-03T00:00:00"/>
    <s v="Bob"/>
    <s v="Michael Smith"/>
    <s v="North"/>
    <n v="7.4999999999999997E-2"/>
    <n v="489.01499999999999"/>
    <n v="6520.2"/>
    <n v="42"/>
    <s v="Clothing"/>
    <n v="4625.33"/>
    <n v="4642.83"/>
    <s v="New"/>
    <n v="0.19"/>
    <s v="Credit Card"/>
    <s v="Online"/>
    <s v="High"/>
  </r>
  <r>
    <n v="1060"/>
    <s v="Head Warmer"/>
    <d v="2023-01-17T00:00:00"/>
    <s v="Bob"/>
    <s v="Michael Smith"/>
    <s v="South"/>
    <n v="0.05"/>
    <n v="137.364"/>
    <n v="2747.28"/>
    <n v="3"/>
    <s v="Electronics"/>
    <n v="1190.4100000000001"/>
    <n v="1582.89"/>
    <s v="New"/>
    <n v="0.02"/>
    <s v="Credit Card"/>
    <s v="Retail"/>
    <s v="Low"/>
  </r>
  <r>
    <n v="1007"/>
    <s v="Fruit Jam"/>
    <d v="2023-06-14T00:00:00"/>
    <s v="Alice"/>
    <s v="Scott Wayne"/>
    <s v="North"/>
    <n v="7.4999999999999997E-2"/>
    <n v="18.72"/>
    <n v="249.6"/>
    <n v="9"/>
    <s v="Clothing"/>
    <n v="1481.76"/>
    <n v="1668.95"/>
    <s v="Returning"/>
    <n v="0.12"/>
    <s v="Credit Card"/>
    <s v="Retail"/>
    <s v="Low"/>
  </r>
  <r>
    <n v="1057"/>
    <s v="Avocadro Pear"/>
    <d v="2023-06-02T00:00:00"/>
    <s v="Bob"/>
    <s v="Michael Smith"/>
    <s v="South"/>
    <n v="0.05"/>
    <n v="482.6825"/>
    <n v="9653.65"/>
    <n v="12"/>
    <s v="Electronics"/>
    <n v="1878.3"/>
    <n v="2087.4499999999998"/>
    <s v="New"/>
    <n v="0.05"/>
    <s v="Bank Transfer"/>
    <s v="Retail"/>
    <s v="High"/>
  </r>
  <r>
    <n v="1036"/>
    <s v="Shorts"/>
    <d v="2023-03-17T00:00:00"/>
    <s v="Alice"/>
    <s v="Scott Wayne"/>
    <s v="East"/>
    <n v="0.06"/>
    <n v="155.03040000000001"/>
    <n v="2583.84"/>
    <n v="23"/>
    <s v="Food"/>
    <n v="3335.53"/>
    <n v="3742.12"/>
    <s v="New"/>
    <n v="0.03"/>
    <s v="Bank Transfer"/>
    <s v="Retail"/>
    <s v="Low"/>
  </r>
  <r>
    <n v="1045"/>
    <s v="Bikers Shorts"/>
    <d v="2023-03-28T00:00:00"/>
    <s v="Eve"/>
    <s v="Tracy Moore"/>
    <s v="West"/>
    <n v="0.08"/>
    <n v="543.41279999999995"/>
    <n v="6792.66"/>
    <n v="14"/>
    <s v="Clothing"/>
    <n v="635.28"/>
    <n v="831.13"/>
    <s v="Returning"/>
    <n v="0.17"/>
    <s v="Bank Transfer"/>
    <s v="Retail"/>
    <s v="High"/>
  </r>
  <r>
    <n v="1020"/>
    <s v="Apron"/>
    <d v="2023-04-27T00:00:00"/>
    <s v="Alice"/>
    <s v="Scott Wayne"/>
    <s v="South"/>
    <n v="0.05"/>
    <n v="354.78200000000004"/>
    <n v="7095.64"/>
    <n v="33"/>
    <s v="Furniture"/>
    <n v="4772.03"/>
    <n v="4805.17"/>
    <s v="Returning"/>
    <n v="0.28000000000000003"/>
    <s v="Bank Transfer"/>
    <s v="Online"/>
    <s v="High"/>
  </r>
  <r>
    <n v="1065"/>
    <s v="Potatoes"/>
    <d v="2023-12-28T00:00:00"/>
    <s v="David"/>
    <s v="Hogan Rock"/>
    <s v="West"/>
    <n v="0.08"/>
    <n v="491.12559999999996"/>
    <n v="6139.07"/>
    <n v="18"/>
    <s v="Food"/>
    <n v="4334.58"/>
    <n v="4431.04"/>
    <s v="New"/>
    <n v="0.02"/>
    <s v="Bank Transfer"/>
    <s v="Retail"/>
    <s v="High"/>
  </r>
  <r>
    <n v="1008"/>
    <s v="Skirt"/>
    <d v="2023-12-08T00:00:00"/>
    <s v="Alice"/>
    <s v="Scott Wayne"/>
    <s v="South"/>
    <n v="0.05"/>
    <n v="159.88900000000001"/>
    <n v="3197.78"/>
    <n v="49"/>
    <s v="Electronics"/>
    <n v="2907.22"/>
    <n v="3385.6099999999901"/>
    <s v="New"/>
    <n v="0.13"/>
    <s v="Cash"/>
    <s v="Online"/>
    <s v="Low"/>
  </r>
  <r>
    <n v="1016"/>
    <s v="Washing Machine"/>
    <d v="2023-01-27T00:00:00"/>
    <s v="Eve"/>
    <s v="Tracy Moore"/>
    <s v="North"/>
    <n v="7.4999999999999997E-2"/>
    <n v="208.78874999999999"/>
    <n v="2783.85"/>
    <n v="41"/>
    <s v="Food"/>
    <n v="3386.49"/>
    <n v="3430.99"/>
    <s v="New"/>
    <n v="0.21"/>
    <s v="Bank Transfer"/>
    <s v="Retail"/>
    <s v="Low"/>
  </r>
  <r>
    <n v="1014"/>
    <s v="Cheese Block"/>
    <d v="2023-11-09T00:00:00"/>
    <s v="David"/>
    <s v="Hogan Rock"/>
    <s v="North"/>
    <n v="7.4999999999999997E-2"/>
    <n v="451.26900000000001"/>
    <n v="6016.92"/>
    <n v="9"/>
    <s v="Electronics"/>
    <n v="132.47"/>
    <n v="316.39"/>
    <s v="New"/>
    <n v="0.14000000000000001"/>
    <s v="Credit Card"/>
    <s v="Online"/>
    <s v="High"/>
  </r>
  <r>
    <n v="1076"/>
    <s v="Polo Shirt"/>
    <d v="2023-10-14T00:00:00"/>
    <s v="Charlie"/>
    <s v="Susan Jerkins"/>
    <s v="South"/>
    <n v="0.05"/>
    <n v="433.71750000000003"/>
    <n v="8674.35"/>
    <n v="23"/>
    <s v="Food"/>
    <n v="1727.78"/>
    <n v="1984.34"/>
    <s v="Returning"/>
    <n v="0.24"/>
    <s v="Bank Transfer"/>
    <s v="Online"/>
    <s v="High"/>
  </r>
  <r>
    <n v="1087"/>
    <s v="Sofa Set"/>
    <d v="2023-05-14T00:00:00"/>
    <s v="Charlie"/>
    <s v="Susan Jerkins"/>
    <s v="West"/>
    <n v="0.08"/>
    <n v="757.81280000000004"/>
    <n v="9472.66"/>
    <n v="10"/>
    <s v="Electronics"/>
    <n v="3988.52"/>
    <n v="4240.2299999999996"/>
    <s v="New"/>
    <n v="0.05"/>
    <s v="Credit Card"/>
    <s v="Online"/>
    <s v="High"/>
  </r>
  <r>
    <n v="1015"/>
    <s v="Chocolate Bar"/>
    <d v="2023-08-07T00:00:00"/>
    <s v="Alice"/>
    <s v="Scott Wayne"/>
    <s v="East"/>
    <n v="0.06"/>
    <n v="68.908199999999994"/>
    <n v="1148.47"/>
    <n v="19"/>
    <s v="Clothing"/>
    <n v="433.54"/>
    <n v="445.48"/>
    <s v="New"/>
    <n v="0.28999999999999998"/>
    <s v="Bank Transfer"/>
    <s v="Retail"/>
    <s v="Low"/>
  </r>
  <r>
    <n v="1092"/>
    <s v="Recliner"/>
    <d v="2023-06-17T00:00:00"/>
    <s v="Alice"/>
    <s v="Scott Wayne"/>
    <s v="East"/>
    <n v="0.06"/>
    <n v="97.967999999999989"/>
    <n v="1632.8"/>
    <n v="47"/>
    <s v="Furniture"/>
    <n v="1447.45"/>
    <n v="1703.02"/>
    <s v="Returning"/>
    <n v="0.12"/>
    <s v="Bank Transfer"/>
    <s v="Retail"/>
    <s v="Low"/>
  </r>
  <r>
    <n v="1098"/>
    <s v="File Cabinet"/>
    <d v="2023-04-08T00:00:00"/>
    <s v="Eve"/>
    <s v="Tracy Moore"/>
    <s v="North"/>
    <n v="7.4999999999999997E-2"/>
    <n v="708.96674999999993"/>
    <n v="9452.89"/>
    <n v="5"/>
    <s v="Electronics"/>
    <n v="2947.22"/>
    <n v="3145.27"/>
    <s v="New"/>
    <n v="0.1"/>
    <s v="Credit Card"/>
    <s v="Retail"/>
    <s v="High"/>
  </r>
  <r>
    <n v="1066"/>
    <s v="Armoire"/>
    <d v="2023-09-25T00:00:00"/>
    <s v="Eve"/>
    <s v="Tracy Moore"/>
    <s v="East"/>
    <n v="0.06"/>
    <n v="443.50199999999995"/>
    <n v="7391.7"/>
    <n v="47"/>
    <s v="Food"/>
    <n v="1319.24"/>
    <n v="1805.56"/>
    <s v="New"/>
    <n v="0.26"/>
    <s v="Credit Card"/>
    <s v="Retail"/>
    <s v="High"/>
  </r>
  <r>
    <n v="1032"/>
    <s v="Refridgerator"/>
    <d v="2023-08-25T00:00:00"/>
    <s v="Bob"/>
    <s v="Michael Smith"/>
    <s v="North"/>
    <n v="7.4999999999999997E-2"/>
    <n v="663.12299999999993"/>
    <n v="8841.64"/>
    <n v="23"/>
    <s v="Electronics"/>
    <n v="4673.1899999999996"/>
    <n v="4761.1799999999903"/>
    <s v="Returning"/>
    <n v="0.17"/>
    <s v="Credit Card"/>
    <s v="Retail"/>
    <s v="High"/>
  </r>
  <r>
    <n v="1087"/>
    <s v="Sofa Set"/>
    <d v="2023-11-05T00:00:00"/>
    <s v="Eve"/>
    <s v="Tracy Moore"/>
    <s v="East"/>
    <n v="0.06"/>
    <n v="126.36359999999999"/>
    <n v="2106.06"/>
    <n v="30"/>
    <s v="Electronics"/>
    <n v="698.74"/>
    <n v="882.28"/>
    <s v="Returning"/>
    <n v="0.15"/>
    <s v="Credit Card"/>
    <s v="Online"/>
    <s v="Low"/>
  </r>
  <r>
    <n v="1063"/>
    <s v="Noodles"/>
    <d v="2023-06-22T00:00:00"/>
    <s v="Bob"/>
    <s v="Michael Smith"/>
    <s v="South"/>
    <n v="0.05"/>
    <n v="295.85500000000002"/>
    <n v="5917.1"/>
    <n v="25"/>
    <s v="Electronics"/>
    <n v="3997.1"/>
    <n v="4212.6499999999996"/>
    <s v="New"/>
    <n v="0.22"/>
    <s v="Cash"/>
    <s v="Online"/>
    <s v="High"/>
  </r>
  <r>
    <n v="1086"/>
    <s v="Gaming Console"/>
    <d v="2023-07-09T00:00:00"/>
    <s v="David"/>
    <s v="Hogan Rock"/>
    <s v="North"/>
    <n v="7.4999999999999997E-2"/>
    <n v="528.096"/>
    <n v="7041.28"/>
    <n v="28"/>
    <s v="Food"/>
    <n v="2564.35"/>
    <n v="2765.79"/>
    <s v="Returning"/>
    <n v="0.17"/>
    <s v="Credit Card"/>
    <s v="Online"/>
    <s v="High"/>
  </r>
  <r>
    <n v="1051"/>
    <s v="Tablet"/>
    <d v="2023-05-02T00:00:00"/>
    <s v="Alice"/>
    <s v="Scott Wayne"/>
    <s v="North"/>
    <n v="7.4999999999999997E-2"/>
    <n v="512.48325"/>
    <n v="6833.11"/>
    <n v="34"/>
    <s v="Furniture"/>
    <n v="3764.14"/>
    <n v="4100.3999999999996"/>
    <s v="Returning"/>
    <n v="0.05"/>
    <s v="Bank Transfer"/>
    <s v="Retail"/>
    <s v="High"/>
  </r>
  <r>
    <n v="1025"/>
    <s v="Mayonnaise"/>
    <d v="2023-02-15T00:00:00"/>
    <s v="David"/>
    <s v="Hogan Rock"/>
    <s v="South"/>
    <n v="0.05"/>
    <n v="207.035"/>
    <n v="4140.7"/>
    <n v="45"/>
    <s v="Clothing"/>
    <n v="1588.04"/>
    <n v="1703.6399999999901"/>
    <s v="New"/>
    <n v="0.2"/>
    <s v="Bank Transfer"/>
    <s v="Retail"/>
    <s v="Low"/>
  </r>
  <r>
    <n v="1058"/>
    <s v="Wardrobe"/>
    <d v="2023-03-05T00:00:00"/>
    <s v="Eve"/>
    <s v="Tracy Moore"/>
    <s v="North"/>
    <n v="7.4999999999999997E-2"/>
    <n v="18.93075"/>
    <n v="252.41"/>
    <n v="48"/>
    <s v="Furniture"/>
    <n v="2596.7199999999998"/>
    <n v="2715.0499999999902"/>
    <s v="Returning"/>
    <n v="0.04"/>
    <s v="Cash"/>
    <s v="Online"/>
    <s v="Low"/>
  </r>
  <r>
    <n v="1063"/>
    <s v="Noodles"/>
    <d v="2023-05-10T00:00:00"/>
    <s v="David"/>
    <s v="Hogan Rock"/>
    <s v="East"/>
    <n v="0.06"/>
    <n v="352.25819999999999"/>
    <n v="5870.97"/>
    <n v="47"/>
    <s v="Electronics"/>
    <n v="4291.33"/>
    <n v="4658.6400000000003"/>
    <s v="New"/>
    <n v="0.24"/>
    <s v="Credit Card"/>
    <s v="Retail"/>
    <s v="High"/>
  </r>
  <r>
    <n v="1062"/>
    <s v="Boxers"/>
    <d v="2023-11-06T00:00:00"/>
    <s v="David"/>
    <s v="Hogan Rock"/>
    <s v="East"/>
    <n v="0.06"/>
    <n v="156.3426"/>
    <n v="2605.71"/>
    <n v="25"/>
    <s v="Food"/>
    <n v="2361.0500000000002"/>
    <n v="2616.19"/>
    <s v="New"/>
    <n v="0.3"/>
    <s v="Bank Transfer"/>
    <s v="Retail"/>
    <s v="Low"/>
  </r>
  <r>
    <n v="1022"/>
    <s v="Organic Honey"/>
    <d v="2023-12-29T00:00:00"/>
    <s v="David"/>
    <s v="Hogan Rock"/>
    <s v="North"/>
    <n v="7.4999999999999997E-2"/>
    <n v="341.81400000000002"/>
    <n v="4557.5200000000004"/>
    <n v="10"/>
    <s v="Furniture"/>
    <n v="1830.61"/>
    <n v="2044.04"/>
    <s v="New"/>
    <n v="0.11"/>
    <s v="Cash"/>
    <s v="Online"/>
    <s v="Low"/>
  </r>
  <r>
    <n v="1058"/>
    <s v="Wardrobe"/>
    <d v="2023-07-12T00:00:00"/>
    <s v="Eve"/>
    <s v="Tracy Moore"/>
    <s v="East"/>
    <n v="0.06"/>
    <n v="574.80299999999988"/>
    <n v="9580.0499999999993"/>
    <n v="14"/>
    <s v="Electronics"/>
    <n v="2703.97"/>
    <n v="2796.8799999999901"/>
    <s v="New"/>
    <n v="0.13"/>
    <s v="Bank Transfer"/>
    <s v="Online"/>
    <s v="High"/>
  </r>
  <r>
    <n v="1058"/>
    <s v="Wardrobe"/>
    <d v="2023-11-03T00:00:00"/>
    <s v="David"/>
    <s v="Hogan Rock"/>
    <s v="West"/>
    <n v="0.08"/>
    <n v="324.036"/>
    <n v="4050.45"/>
    <n v="42"/>
    <s v="Clothing"/>
    <n v="3600.95"/>
    <n v="3702.8399999999901"/>
    <s v="Returning"/>
    <n v="0.01"/>
    <s v="Cash"/>
    <s v="Retail"/>
    <s v="Low"/>
  </r>
  <r>
    <n v="1086"/>
    <s v="Gaming Console"/>
    <d v="2023-06-30T00:00:00"/>
    <s v="Bob"/>
    <s v="Michael Smith"/>
    <s v="North"/>
    <n v="7.4999999999999997E-2"/>
    <n v="631.053"/>
    <n v="8414.0400000000009"/>
    <n v="46"/>
    <s v="Clothing"/>
    <n v="2245.64"/>
    <n v="2260.81"/>
    <s v="New"/>
    <n v="0"/>
    <s v="Cash"/>
    <s v="Retail"/>
    <s v="High"/>
  </r>
  <r>
    <n v="1049"/>
    <s v="Coffee Table"/>
    <d v="2023-10-19T00:00:00"/>
    <s v="Eve"/>
    <s v="Tracy Moore"/>
    <s v="South"/>
    <n v="0.05"/>
    <n v="98.327500000000001"/>
    <n v="1966.55"/>
    <n v="30"/>
    <s v="Clothing"/>
    <n v="4697.4399999999996"/>
    <n v="4752.24"/>
    <s v="New"/>
    <n v="0.28000000000000003"/>
    <s v="Credit Card"/>
    <s v="Online"/>
    <s v="Low"/>
  </r>
  <r>
    <n v="1052"/>
    <s v="Wooden Chair"/>
    <d v="2023-10-09T00:00:00"/>
    <s v="David"/>
    <s v="Hogan Rock"/>
    <s v="West"/>
    <n v="0.08"/>
    <n v="540.58879999999999"/>
    <n v="6757.36"/>
    <n v="41"/>
    <s v="Electronics"/>
    <n v="1509.98"/>
    <n v="1792.83"/>
    <s v="New"/>
    <n v="0.04"/>
    <s v="Cash"/>
    <s v="Retail"/>
    <s v="High"/>
  </r>
  <r>
    <n v="1042"/>
    <s v="Frozen Pizza"/>
    <d v="2023-01-29T00:00:00"/>
    <s v="Eve"/>
    <s v="Tracy Moore"/>
    <s v="North"/>
    <n v="7.4999999999999997E-2"/>
    <n v="732.92775000000006"/>
    <n v="9772.3700000000008"/>
    <n v="25"/>
    <s v="Food"/>
    <n v="2403.54"/>
    <n v="2850.56"/>
    <s v="New"/>
    <n v="0.13"/>
    <s v="Bank Transfer"/>
    <s v="Online"/>
    <s v="High"/>
  </r>
  <r>
    <n v="1070"/>
    <s v="Hutch"/>
    <d v="2023-05-29T00:00:00"/>
    <s v="Charlie"/>
    <s v="Susan Jerkins"/>
    <s v="South"/>
    <n v="0.05"/>
    <n v="55.437000000000005"/>
    <n v="1108.74"/>
    <n v="14"/>
    <s v="Furniture"/>
    <n v="3796.79"/>
    <n v="3947.5"/>
    <s v="Returning"/>
    <n v="0.24"/>
    <s v="Bank Transfer"/>
    <s v="Online"/>
    <s v="Low"/>
  </r>
  <r>
    <n v="1015"/>
    <s v="Chocolate Bar"/>
    <d v="2023-09-24T00:00:00"/>
    <s v="Bob"/>
    <s v="Michael Smith"/>
    <s v="East"/>
    <n v="0.06"/>
    <n v="10.9422"/>
    <n v="182.37"/>
    <n v="35"/>
    <s v="Clothing"/>
    <n v="3461.15"/>
    <n v="3631.75"/>
    <s v="Returning"/>
    <n v="0.27"/>
    <s v="Credit Card"/>
    <s v="Online"/>
    <s v="Low"/>
  </r>
  <r>
    <n v="1054"/>
    <s v="Glider"/>
    <d v="2023-10-23T00:00:00"/>
    <s v="David"/>
    <s v="Hogan Rock"/>
    <s v="South"/>
    <n v="0.05"/>
    <n v="219.62350000000004"/>
    <n v="4392.47"/>
    <n v="48"/>
    <s v="Electronics"/>
    <n v="4325.0200000000004"/>
    <n v="4391.67"/>
    <s v="Returning"/>
    <n v="0.16"/>
    <s v="Credit Card"/>
    <s v="Retail"/>
    <s v="Low"/>
  </r>
  <r>
    <n v="1060"/>
    <s v="Head Warmer"/>
    <d v="2023-01-11T00:00:00"/>
    <s v="Charlie"/>
    <s v="Susan Jerkins"/>
    <s v="West"/>
    <n v="0.08"/>
    <n v="81.359200000000001"/>
    <n v="1016.99"/>
    <n v="34"/>
    <s v="Electronics"/>
    <n v="4984.21"/>
    <n v="5184.6400000000003"/>
    <s v="New"/>
    <n v="0.17"/>
    <s v="Cash"/>
    <s v="Online"/>
    <s v="Low"/>
  </r>
  <r>
    <n v="1097"/>
    <s v="Freezer"/>
    <d v="2023-06-13T00:00:00"/>
    <s v="Charlie"/>
    <s v="Susan Jerkins"/>
    <s v="East"/>
    <n v="0.06"/>
    <n v="450.54059999999998"/>
    <n v="7509.01"/>
    <n v="10"/>
    <s v="Furniture"/>
    <n v="2162.9499999999998"/>
    <n v="2191.1899999999901"/>
    <s v="Returning"/>
    <n v="0.2"/>
    <s v="Credit Card"/>
    <s v="Online"/>
    <s v="High"/>
  </r>
  <r>
    <n v="1008"/>
    <s v="Skirt"/>
    <d v="2023-04-23T00:00:00"/>
    <s v="Eve"/>
    <s v="Tracy Moore"/>
    <s v="North"/>
    <n v="7.4999999999999997E-2"/>
    <n v="686.55225000000007"/>
    <n v="9154.0300000000007"/>
    <n v="35"/>
    <s v="Clothing"/>
    <n v="600.20000000000005"/>
    <n v="1059.82"/>
    <s v="Returning"/>
    <n v="0.28999999999999998"/>
    <s v="Bank Transfer"/>
    <s v="Retail"/>
    <s v="High"/>
  </r>
  <r>
    <n v="1053"/>
    <s v="Bed"/>
    <d v="2023-07-06T00:00:00"/>
    <s v="Charlie"/>
    <s v="Susan Jerkins"/>
    <s v="East"/>
    <n v="0.06"/>
    <n v="263.80860000000001"/>
    <n v="4396.8100000000004"/>
    <n v="11"/>
    <s v="Electronics"/>
    <n v="200.56"/>
    <n v="540.38"/>
    <s v="New"/>
    <n v="0.18"/>
    <s v="Bank Transfer"/>
    <s v="Online"/>
    <s v="Low"/>
  </r>
  <r>
    <n v="1060"/>
    <s v="Head Warmer"/>
    <d v="2023-10-22T00:00:00"/>
    <s v="Bob"/>
    <s v="Michael Smith"/>
    <s v="North"/>
    <n v="7.4999999999999997E-2"/>
    <n v="199.59375"/>
    <n v="2661.25"/>
    <n v="11"/>
    <s v="Furniture"/>
    <n v="3648.04"/>
    <n v="4143.51"/>
    <s v="Returning"/>
    <n v="0.17"/>
    <s v="Credit Card"/>
    <s v="Retail"/>
    <s v="Low"/>
  </r>
  <r>
    <n v="1005"/>
    <s v="Smart Phone"/>
    <d v="2023-08-20T00:00:00"/>
    <s v="Bob"/>
    <s v="Michael Smith"/>
    <s v="North"/>
    <n v="7.4999999999999997E-2"/>
    <n v="330.04424999999998"/>
    <n v="4400.59"/>
    <n v="21"/>
    <s v="Food"/>
    <n v="4376.37"/>
    <n v="4818.95"/>
    <s v="New"/>
    <n v="0"/>
    <s v="Credit Card"/>
    <s v="Retail"/>
    <s v="Low"/>
  </r>
  <r>
    <n v="1068"/>
    <s v="Leggings"/>
    <d v="2023-08-15T00:00:00"/>
    <s v="Alice"/>
    <s v="Scott Wayne"/>
    <s v="South"/>
    <n v="0.05"/>
    <n v="363.10650000000004"/>
    <n v="7262.13"/>
    <n v="21"/>
    <s v="Food"/>
    <n v="1142.53"/>
    <n v="1384.3"/>
    <s v="Returning"/>
    <n v="0.02"/>
    <s v="Credit Card"/>
    <s v="Retail"/>
    <s v="High"/>
  </r>
  <r>
    <n v="1006"/>
    <s v="Monitor"/>
    <d v="2023-11-06T00:00:00"/>
    <s v="Bob"/>
    <s v="Michael Smith"/>
    <s v="South"/>
    <n v="0.05"/>
    <n v="9.4819999999999993"/>
    <n v="189.64"/>
    <n v="22"/>
    <s v="Food"/>
    <n v="834.32"/>
    <n v="1098.97"/>
    <s v="Returning"/>
    <n v="0.17"/>
    <s v="Cash"/>
    <s v="Online"/>
    <s v="Low"/>
  </r>
  <r>
    <n v="1096"/>
    <s v="Radio"/>
    <d v="2023-04-08T00:00:00"/>
    <s v="Charlie"/>
    <s v="Susan Jerkins"/>
    <s v="South"/>
    <n v="0.05"/>
    <n v="296.77950000000004"/>
    <n v="5935.59"/>
    <n v="45"/>
    <s v="Clothing"/>
    <n v="357.92"/>
    <n v="461.3"/>
    <s v="Returning"/>
    <n v="0.28000000000000003"/>
    <s v="Cash"/>
    <s v="Online"/>
    <s v="High"/>
  </r>
  <r>
    <n v="1094"/>
    <s v="Microwave"/>
    <d v="2023-02-24T00:00:00"/>
    <s v="Bob"/>
    <s v="Michael Smith"/>
    <s v="West"/>
    <n v="0.08"/>
    <n v="493.72720000000004"/>
    <n v="6171.59"/>
    <n v="7"/>
    <s v="Furniture"/>
    <n v="4122.38"/>
    <n v="4358.78"/>
    <s v="Returning"/>
    <n v="0.26"/>
    <s v="Bank Transfer"/>
    <s v="Retail"/>
    <s v="High"/>
  </r>
  <r>
    <n v="1047"/>
    <s v="Mouse"/>
    <d v="2023-04-21T00:00:00"/>
    <s v="Eve"/>
    <s v="Tracy Moore"/>
    <s v="West"/>
    <n v="0.08"/>
    <n v="513.04880000000003"/>
    <n v="6413.11"/>
    <n v="17"/>
    <s v="Furniture"/>
    <n v="1591.34"/>
    <n v="2043.82"/>
    <s v="New"/>
    <n v="0.28999999999999998"/>
    <s v="Cash"/>
    <s v="Retail"/>
    <s v="High"/>
  </r>
  <r>
    <n v="1099"/>
    <s v="Chest"/>
    <d v="2023-06-01T00:00:00"/>
    <s v="Alice"/>
    <s v="Scott Wayne"/>
    <s v="South"/>
    <n v="0.05"/>
    <n v="124.801"/>
    <n v="2496.02"/>
    <n v="2"/>
    <s v="Electronics"/>
    <n v="2038.4"/>
    <n v="2073.3200000000002"/>
    <s v="New"/>
    <n v="0.16"/>
    <s v="Cash"/>
    <s v="Retail"/>
    <s v="Low"/>
  </r>
  <r>
    <n v="1055"/>
    <s v="Cupboard"/>
    <d v="2023-09-03T00:00:00"/>
    <s v="Charlie"/>
    <s v="Susan Jerkins"/>
    <s v="West"/>
    <n v="0.08"/>
    <n v="573.52959999999996"/>
    <n v="7169.12"/>
    <n v="12"/>
    <s v="Electronics"/>
    <n v="2538.61"/>
    <n v="2971.75"/>
    <s v="Returning"/>
    <n v="0.24"/>
    <s v="Cash"/>
    <s v="Online"/>
    <s v="High"/>
  </r>
  <r>
    <n v="1040"/>
    <s v="Cap"/>
    <d v="2023-03-10T00:00:00"/>
    <s v="Alice"/>
    <s v="Scott Wayne"/>
    <s v="East"/>
    <n v="0.06"/>
    <n v="60.286799999999999"/>
    <n v="1004.78"/>
    <n v="42"/>
    <s v="Electronics"/>
    <n v="4205.29"/>
    <n v="4382.3500000000004"/>
    <s v="New"/>
    <n v="0.25"/>
    <s v="Cash"/>
    <s v="Retail"/>
    <s v="Low"/>
  </r>
  <r>
    <n v="1052"/>
    <s v="Wooden Chair"/>
    <d v="2023-11-08T00:00:00"/>
    <s v="Charlie"/>
    <s v="Susan Jerkins"/>
    <s v="East"/>
    <n v="0.06"/>
    <n v="124.36680000000001"/>
    <n v="2072.7800000000002"/>
    <n v="18"/>
    <s v="Furniture"/>
    <n v="3271.62"/>
    <n v="3722.38"/>
    <s v="Returning"/>
    <n v="0.19"/>
    <s v="Bank Transfer"/>
    <s v="Retail"/>
    <s v="Low"/>
  </r>
  <r>
    <n v="1016"/>
    <s v="Washing Machine"/>
    <d v="2023-10-16T00:00:00"/>
    <s v="Eve"/>
    <s v="Tracy Moore"/>
    <s v="West"/>
    <n v="0.08"/>
    <n v="702.95600000000002"/>
    <n v="8786.9500000000007"/>
    <n v="11"/>
    <s v="Electronics"/>
    <n v="3094.57"/>
    <n v="3565.6"/>
    <s v="Returning"/>
    <n v="0.1"/>
    <s v="Credit Card"/>
    <s v="Retail"/>
    <s v="High"/>
  </r>
  <r>
    <n v="1013"/>
    <s v="Gas Cooker"/>
    <d v="2023-09-07T00:00:00"/>
    <s v="Alice"/>
    <s v="Scott Wayne"/>
    <s v="West"/>
    <n v="0.08"/>
    <n v="593.06880000000001"/>
    <n v="7413.36"/>
    <n v="16"/>
    <s v="Furniture"/>
    <n v="919.58"/>
    <n v="1258.3"/>
    <s v="Returning"/>
    <n v="0.14000000000000001"/>
    <s v="Bank Transfer"/>
    <s v="Online"/>
    <s v="High"/>
  </r>
  <r>
    <n v="1030"/>
    <s v="Jeans"/>
    <d v="2023-02-05T00:00:00"/>
    <s v="David"/>
    <s v="Hogan Rock"/>
    <s v="East"/>
    <n v="0.06"/>
    <n v="14.1648"/>
    <n v="236.08"/>
    <n v="49"/>
    <s v="Furniture"/>
    <n v="2590.29"/>
    <n v="2925.86"/>
    <s v="Returning"/>
    <n v="0.26"/>
    <s v="Cash"/>
    <s v="Retail"/>
    <s v="Low"/>
  </r>
  <r>
    <n v="1019"/>
    <s v="Apple"/>
    <d v="2023-08-27T00:00:00"/>
    <s v="Charlie"/>
    <s v="Susan Jerkins"/>
    <s v="North"/>
    <n v="7.4999999999999997E-2"/>
    <n v="191.91900000000001"/>
    <n v="2558.92"/>
    <n v="18"/>
    <s v="Food"/>
    <n v="3591.14"/>
    <n v="3822.99"/>
    <s v="Returning"/>
    <n v="0.09"/>
    <s v="Credit Card"/>
    <s v="Online"/>
    <s v="Low"/>
  </r>
  <r>
    <n v="1017"/>
    <s v="Peaches"/>
    <d v="2023-05-28T00:00:00"/>
    <s v="David"/>
    <s v="Hogan Rock"/>
    <s v="East"/>
    <n v="0.06"/>
    <n v="133.35719999999998"/>
    <n v="2222.62"/>
    <n v="35"/>
    <s v="Electronics"/>
    <n v="4867.6400000000003"/>
    <n v="5287.05"/>
    <s v="Returning"/>
    <n v="0.28000000000000003"/>
    <s v="Credit Card"/>
    <s v="Online"/>
    <s v="Low"/>
  </r>
  <r>
    <n v="1063"/>
    <s v="Noodles"/>
    <d v="2023-08-15T00:00:00"/>
    <s v="Alice"/>
    <s v="Scott Wayne"/>
    <s v="East"/>
    <n v="0.06"/>
    <n v="166.8588"/>
    <n v="2780.98"/>
    <n v="26"/>
    <s v="Food"/>
    <n v="1046.96"/>
    <n v="1528.15"/>
    <s v="New"/>
    <n v="7.0000000000000007E-2"/>
    <s v="Credit Card"/>
    <s v="Retail"/>
    <s v="Low"/>
  </r>
  <r>
    <n v="1019"/>
    <s v="Apple"/>
    <d v="2023-09-01T00:00:00"/>
    <s v="David"/>
    <s v="Hogan Rock"/>
    <s v="West"/>
    <n v="0.08"/>
    <n v="204.06720000000001"/>
    <n v="2550.84"/>
    <n v="16"/>
    <s v="Clothing"/>
    <n v="97.24"/>
    <n v="487.03"/>
    <s v="New"/>
    <n v="0.22"/>
    <s v="Bank Transfer"/>
    <s v="Retail"/>
    <s v="Low"/>
  </r>
  <r>
    <n v="1092"/>
    <s v="Recliner"/>
    <d v="2023-12-03T00:00:00"/>
    <s v="David"/>
    <s v="Hogan Rock"/>
    <s v="East"/>
    <n v="0.06"/>
    <n v="43.140599999999999"/>
    <n v="719.01"/>
    <n v="6"/>
    <s v="Clothing"/>
    <n v="422.74"/>
    <n v="737.49"/>
    <s v="Returning"/>
    <n v="0.19"/>
    <s v="Credit Card"/>
    <s v="Retail"/>
    <s v="Low"/>
  </r>
  <r>
    <n v="1058"/>
    <s v="Wardrobe"/>
    <d v="2023-12-31T00:00:00"/>
    <s v="Alice"/>
    <s v="Scott Wayne"/>
    <s v="West"/>
    <n v="0.08"/>
    <n v="371.48080000000004"/>
    <n v="4643.51"/>
    <n v="44"/>
    <s v="Clothing"/>
    <n v="1910.47"/>
    <n v="2217.8000000000002"/>
    <s v="New"/>
    <n v="0.22"/>
    <s v="Bank Transfer"/>
    <s v="Online"/>
    <s v="Low"/>
  </r>
  <r>
    <n v="1055"/>
    <s v="Cupboard"/>
    <d v="2023-07-20T00:00:00"/>
    <s v="Eve"/>
    <s v="Tracy Moore"/>
    <s v="West"/>
    <n v="0.08"/>
    <n v="588.3248000000001"/>
    <n v="7354.06"/>
    <n v="43"/>
    <s v="Furniture"/>
    <n v="4111.7"/>
    <n v="4537.9399999999996"/>
    <s v="Returning"/>
    <n v="0.13"/>
    <s v="Bank Transfer"/>
    <s v="Online"/>
    <s v="High"/>
  </r>
  <r>
    <n v="1090"/>
    <s v="Keyboard"/>
    <d v="2023-06-03T00:00:00"/>
    <s v="David"/>
    <s v="Hogan Rock"/>
    <s v="South"/>
    <n v="0.05"/>
    <n v="305.33200000000005"/>
    <n v="6106.64"/>
    <n v="47"/>
    <s v="Furniture"/>
    <n v="85.35"/>
    <n v="360.539999999999"/>
    <s v="New"/>
    <n v="0.28000000000000003"/>
    <s v="Cash"/>
    <s v="Online"/>
    <s v="High"/>
  </r>
  <r>
    <n v="1090"/>
    <s v="Keyboard"/>
    <d v="2023-03-14T00:00:00"/>
    <s v="David"/>
    <s v="Hogan Rock"/>
    <s v="East"/>
    <n v="0.06"/>
    <n v="405.68580000000003"/>
    <n v="6761.43"/>
    <n v="47"/>
    <s v="Furniture"/>
    <n v="2310.8200000000002"/>
    <n v="2714.71"/>
    <s v="New"/>
    <n v="0.19"/>
    <s v="Cash"/>
    <s v="Retail"/>
    <s v="High"/>
  </r>
  <r>
    <n v="1062"/>
    <s v="Boxers"/>
    <d v="2023-07-20T00:00:00"/>
    <s v="Eve"/>
    <s v="Tracy Moore"/>
    <s v="North"/>
    <n v="7.4999999999999997E-2"/>
    <n v="67.753500000000003"/>
    <n v="903.38"/>
    <n v="48"/>
    <s v="Electronics"/>
    <n v="1679.69"/>
    <n v="1939.04"/>
    <s v="New"/>
    <n v="0.09"/>
    <s v="Credit Card"/>
    <s v="Online"/>
    <s v="Low"/>
  </r>
  <r>
    <n v="1023"/>
    <s v="Tights"/>
    <d v="2023-10-23T00:00:00"/>
    <s v="David"/>
    <s v="Hogan Rock"/>
    <s v="South"/>
    <n v="0.05"/>
    <n v="475.98800000000006"/>
    <n v="9519.76"/>
    <n v="42"/>
    <s v="Food"/>
    <n v="309.77999999999997"/>
    <n v="350.38"/>
    <s v="Returning"/>
    <n v="0.19"/>
    <s v="Credit Card"/>
    <s v="Retail"/>
    <s v="High"/>
  </r>
  <r>
    <n v="1009"/>
    <s v="Jacket"/>
    <d v="2023-01-17T00:00:00"/>
    <s v="David"/>
    <s v="Hogan Rock"/>
    <s v="West"/>
    <n v="0.08"/>
    <n v="672.0856"/>
    <n v="8401.07"/>
    <n v="12"/>
    <s v="Furniture"/>
    <n v="2278.67"/>
    <n v="2476.8000000000002"/>
    <s v="New"/>
    <n v="0.09"/>
    <s v="Cash"/>
    <s v="Retail"/>
    <s v="High"/>
  </r>
  <r>
    <n v="1012"/>
    <s v="Cabinet"/>
    <d v="2023-05-09T00:00:00"/>
    <s v="David"/>
    <s v="Hogan Rock"/>
    <s v="West"/>
    <n v="0.08"/>
    <n v="645.63120000000004"/>
    <n v="8070.39"/>
    <n v="13"/>
    <s v="Food"/>
    <n v="1311.01"/>
    <n v="1538.79"/>
    <s v="Returning"/>
    <n v="0.09"/>
    <s v="Bank Transfer"/>
    <s v="Retail"/>
    <s v="High"/>
  </r>
  <r>
    <n v="1001"/>
    <s v="Camera"/>
    <d v="2023-08-05T00:00:00"/>
    <s v="Bob"/>
    <s v="Michael Smith"/>
    <s v="North"/>
    <n v="7.4999999999999997E-2"/>
    <n v="618.56550000000004"/>
    <n v="8247.5400000000009"/>
    <n v="4"/>
    <s v="Food"/>
    <n v="1791.83"/>
    <n v="1871.22"/>
    <s v="Returning"/>
    <n v="0.12"/>
    <s v="Bank Transfer"/>
    <s v="Online"/>
    <s v="High"/>
  </r>
  <r>
    <n v="1058"/>
    <s v="Wardrobe"/>
    <d v="2023-03-02T00:00:00"/>
    <s v="Eve"/>
    <s v="Tracy Moore"/>
    <s v="West"/>
    <n v="0.08"/>
    <n v="746.70640000000003"/>
    <n v="9333.83"/>
    <n v="39"/>
    <s v="Food"/>
    <n v="3542.8"/>
    <n v="3603.02"/>
    <s v="Returning"/>
    <n v="0.26"/>
    <s v="Cash"/>
    <s v="Online"/>
    <s v="High"/>
  </r>
  <r>
    <n v="1001"/>
    <s v="Camera"/>
    <d v="2023-04-14T00:00:00"/>
    <s v="David"/>
    <s v="Hogan Rock"/>
    <s v="East"/>
    <n v="0.06"/>
    <n v="329.28659999999996"/>
    <n v="5488.11"/>
    <n v="2"/>
    <s v="Electronics"/>
    <n v="2631.68"/>
    <n v="2904.06"/>
    <s v="New"/>
    <n v="0.15"/>
    <s v="Bank Transfer"/>
    <s v="Online"/>
    <s v="High"/>
  </r>
  <r>
    <n v="1034"/>
    <s v="Socks Pack"/>
    <d v="2023-02-11T00:00:00"/>
    <s v="Eve"/>
    <s v="Tracy Moore"/>
    <s v="South"/>
    <n v="0.05"/>
    <n v="104.1395"/>
    <n v="2082.79"/>
    <n v="26"/>
    <s v="Electronics"/>
    <n v="667"/>
    <n v="718.72"/>
    <s v="New"/>
    <n v="0.2"/>
    <s v="Cash"/>
    <s v="Retail"/>
    <s v="Low"/>
  </r>
  <r>
    <n v="1096"/>
    <s v="Radio"/>
    <d v="2023-01-25T00:00:00"/>
    <s v="Charlie"/>
    <s v="Susan Jerkins"/>
    <s v="West"/>
    <n v="0.08"/>
    <n v="496.49279999999999"/>
    <n v="6206.16"/>
    <n v="27"/>
    <s v="Clothing"/>
    <n v="4809"/>
    <n v="4967.4399999999996"/>
    <s v="New"/>
    <n v="0.12"/>
    <s v="Cash"/>
    <s v="Online"/>
    <s v="High"/>
  </r>
  <r>
    <n v="1048"/>
    <s v="Chaise Lounge"/>
    <d v="2023-02-08T00:00:00"/>
    <s v="Charlie"/>
    <s v="Susan Jerkins"/>
    <s v="West"/>
    <n v="0.08"/>
    <n v="596.36239999999998"/>
    <n v="7454.53"/>
    <n v="27"/>
    <s v="Clothing"/>
    <n v="3197.76"/>
    <n v="3572.61"/>
    <s v="Returning"/>
    <n v="0.08"/>
    <s v="Credit Card"/>
    <s v="Online"/>
    <s v="High"/>
  </r>
  <r>
    <n v="1089"/>
    <s v="Recliner"/>
    <d v="2023-10-18T00:00:00"/>
    <s v="David"/>
    <s v="Hogan Rock"/>
    <s v="North"/>
    <n v="7.4999999999999997E-2"/>
    <n v="555.40350000000001"/>
    <n v="7405.38"/>
    <n v="15"/>
    <s v="Food"/>
    <n v="3841.05"/>
    <n v="4323.62"/>
    <s v="Returning"/>
    <n v="0.28999999999999998"/>
    <s v="Credit Card"/>
    <s v="Retail"/>
    <s v="High"/>
  </r>
  <r>
    <n v="1001"/>
    <s v="Camera"/>
    <d v="2023-05-11T00:00:00"/>
    <s v="Eve"/>
    <s v="Tracy Moore"/>
    <s v="East"/>
    <n v="0.06"/>
    <n v="315.74099999999999"/>
    <n v="5262.35"/>
    <n v="8"/>
    <s v="Clothing"/>
    <n v="442.11"/>
    <n v="803.87"/>
    <s v="New"/>
    <n v="0.18"/>
    <s v="Cash"/>
    <s v="Retail"/>
    <s v="High"/>
  </r>
  <r>
    <n v="1016"/>
    <s v="Washing Machine"/>
    <d v="2023-08-17T00:00:00"/>
    <s v="Eve"/>
    <s v="Tracy Moore"/>
    <s v="West"/>
    <n v="0.08"/>
    <n v="62.219200000000001"/>
    <n v="777.74"/>
    <n v="7"/>
    <s v="Food"/>
    <n v="282.94"/>
    <n v="779.32999999999902"/>
    <s v="Returning"/>
    <n v="0.28000000000000003"/>
    <s v="Credit Card"/>
    <s v="Online"/>
    <s v="Low"/>
  </r>
  <r>
    <n v="1061"/>
    <s v="Laptop"/>
    <d v="2023-04-18T00:00:00"/>
    <s v="Eve"/>
    <s v="Tracy Moore"/>
    <s v="North"/>
    <n v="7.4999999999999997E-2"/>
    <n v="283.05149999999998"/>
    <n v="3774.02"/>
    <n v="47"/>
    <s v="Electronics"/>
    <n v="146.27000000000001"/>
    <n v="498.46"/>
    <s v="New"/>
    <n v="0.06"/>
    <s v="Cash"/>
    <s v="Retail"/>
    <s v="Low"/>
  </r>
  <r>
    <n v="1064"/>
    <s v="Smartphone"/>
    <d v="2023-06-21T00:00:00"/>
    <s v="Bob"/>
    <s v="Michael Smith"/>
    <s v="West"/>
    <n v="0.08"/>
    <n v="737.24720000000002"/>
    <n v="9215.59"/>
    <n v="46"/>
    <s v="Electronics"/>
    <n v="984.53"/>
    <n v="1138.49"/>
    <s v="New"/>
    <n v="0.04"/>
    <s v="Bank Transfer"/>
    <s v="Online"/>
    <s v="High"/>
  </r>
  <r>
    <n v="1063"/>
    <s v="Noodles"/>
    <d v="2023-04-12T00:00:00"/>
    <s v="Charlie"/>
    <s v="Susan Jerkins"/>
    <s v="North"/>
    <n v="7.4999999999999997E-2"/>
    <n v="441.45299999999997"/>
    <n v="5886.04"/>
    <n v="40"/>
    <s v="Electronics"/>
    <n v="2101.3200000000002"/>
    <n v="2440.63"/>
    <s v="New"/>
    <n v="0.26"/>
    <s v="Bank Transfer"/>
    <s v="Retail"/>
    <s v="High"/>
  </r>
  <r>
    <n v="1069"/>
    <s v="Suit"/>
    <d v="2023-12-20T00:00:00"/>
    <s v="Eve"/>
    <s v="Tracy Moore"/>
    <s v="North"/>
    <n v="7.4999999999999997E-2"/>
    <n v="407.21174999999999"/>
    <n v="5429.49"/>
    <n v="12"/>
    <s v="Furniture"/>
    <n v="4682.34"/>
    <n v="5036.3999999999996"/>
    <s v="New"/>
    <n v="0.2"/>
    <s v="Bank Transfer"/>
    <s v="Retail"/>
    <s v="High"/>
  </r>
  <r>
    <n v="1022"/>
    <s v="Organic Honey"/>
    <d v="2023-01-12T00:00:00"/>
    <s v="Eve"/>
    <s v="Tracy Moore"/>
    <s v="East"/>
    <n v="0.06"/>
    <n v="165.69900000000001"/>
    <n v="2761.65"/>
    <n v="13"/>
    <s v="Food"/>
    <n v="2312.4499999999998"/>
    <n v="2504.6"/>
    <s v="Returning"/>
    <n v="0.06"/>
    <s v="Bank Transfer"/>
    <s v="Online"/>
    <s v="Low"/>
  </r>
  <r>
    <n v="1093"/>
    <s v="Dining Table"/>
    <d v="2023-10-02T00:00:00"/>
    <s v="Bob"/>
    <s v="Michael Smith"/>
    <s v="West"/>
    <n v="0.08"/>
    <n v="299.81119999999999"/>
    <n v="3747.64"/>
    <n v="43"/>
    <s v="Electronics"/>
    <n v="1486.76"/>
    <n v="1505.44"/>
    <s v="New"/>
    <n v="0.08"/>
    <s v="Cash"/>
    <s v="Retail"/>
    <s v="Low"/>
  </r>
  <r>
    <n v="1067"/>
    <s v="Grapes"/>
    <d v="2023-04-11T00:00:00"/>
    <s v="Bob"/>
    <s v="Michael Smith"/>
    <s v="East"/>
    <n v="0.06"/>
    <n v="537.83579999999995"/>
    <n v="8963.93"/>
    <n v="17"/>
    <s v="Food"/>
    <n v="2831.58"/>
    <n v="3186.15"/>
    <s v="New"/>
    <n v="0.24"/>
    <s v="Bank Transfer"/>
    <s v="Retail"/>
    <s v="High"/>
  </r>
  <r>
    <n v="1076"/>
    <s v="Polo Shirt"/>
    <d v="2023-02-13T00:00:00"/>
    <s v="Eve"/>
    <s v="Tracy Moore"/>
    <s v="North"/>
    <n v="7.4999999999999997E-2"/>
    <n v="502.34849999999994"/>
    <n v="6697.98"/>
    <n v="17"/>
    <s v="Clothing"/>
    <n v="604.08000000000004"/>
    <n v="624.71"/>
    <s v="New"/>
    <n v="0.14000000000000001"/>
    <s v="Bank Transfer"/>
    <s v="Retail"/>
    <s v="High"/>
  </r>
  <r>
    <n v="1026"/>
    <s v="Television"/>
    <d v="2023-11-01T00:00:00"/>
    <s v="Alice"/>
    <s v="Scott Wayne"/>
    <s v="South"/>
    <n v="0.05"/>
    <n v="394.75650000000002"/>
    <n v="7895.13"/>
    <n v="36"/>
    <s v="Clothing"/>
    <n v="3067.05"/>
    <n v="3386.33"/>
    <s v="New"/>
    <n v="0.2"/>
    <s v="Bank Transfer"/>
    <s v="Online"/>
    <s v="High"/>
  </r>
  <r>
    <n v="1016"/>
    <s v="Washing Machine"/>
    <d v="2023-01-17T00:00:00"/>
    <s v="Eve"/>
    <s v="Tracy Moore"/>
    <s v="West"/>
    <n v="0.08"/>
    <n v="367.84160000000003"/>
    <n v="4598.0200000000004"/>
    <n v="21"/>
    <s v="Electronics"/>
    <n v="2863.74"/>
    <n v="2953.91"/>
    <s v="New"/>
    <n v="0.1"/>
    <s v="Bank Transfer"/>
    <s v="Retail"/>
    <s v="Low"/>
  </r>
  <r>
    <n v="1051"/>
    <s v="Tablet"/>
    <d v="2023-11-26T00:00:00"/>
    <s v="Eve"/>
    <s v="Tracy Moore"/>
    <s v="South"/>
    <n v="0.05"/>
    <n v="316.97250000000003"/>
    <n v="6339.45"/>
    <n v="8"/>
    <s v="Food"/>
    <n v="3970.37"/>
    <n v="4257.5199999999904"/>
    <s v="New"/>
    <n v="0.11"/>
    <s v="Cash"/>
    <s v="Retail"/>
    <s v="High"/>
  </r>
  <r>
    <n v="1086"/>
    <s v="Gaming Console"/>
    <d v="2023-02-26T00:00:00"/>
    <s v="Bob"/>
    <s v="Michael Smith"/>
    <s v="West"/>
    <n v="0.08"/>
    <n v="204.72"/>
    <n v="2559"/>
    <n v="5"/>
    <s v="Electronics"/>
    <n v="4934.1000000000004"/>
    <n v="5191.0200000000004"/>
    <s v="New"/>
    <n v="0.3"/>
    <s v="Bank Transfer"/>
    <s v="Online"/>
    <s v="Low"/>
  </r>
  <r>
    <n v="1057"/>
    <s v="Avocadro Pear"/>
    <d v="2023-11-07T00:00:00"/>
    <s v="Bob"/>
    <s v="Michael Smith"/>
    <s v="East"/>
    <n v="0.06"/>
    <n v="425.04360000000003"/>
    <n v="7084.06"/>
    <n v="26"/>
    <s v="Clothing"/>
    <n v="1291.82"/>
    <n v="1308.4399999999901"/>
    <s v="Returning"/>
    <n v="7.0000000000000007E-2"/>
    <s v="Credit Card"/>
    <s v="Online"/>
    <s v="High"/>
  </r>
  <r>
    <n v="1029"/>
    <s v="Camisole"/>
    <d v="2023-10-30T00:00:00"/>
    <s v="Eve"/>
    <s v="Tracy Moore"/>
    <s v="East"/>
    <n v="0.06"/>
    <n v="259.995"/>
    <n v="4333.25"/>
    <n v="16"/>
    <s v="Electronics"/>
    <n v="2572.8000000000002"/>
    <n v="2760.6"/>
    <s v="Returning"/>
    <n v="0.15"/>
    <s v="Credit Card"/>
    <s v="Retail"/>
    <s v="Low"/>
  </r>
  <r>
    <n v="1078"/>
    <s v="Kitchen Island"/>
    <d v="2023-01-12T00:00:00"/>
    <s v="Eve"/>
    <s v="Tracy Moore"/>
    <s v="East"/>
    <n v="0.06"/>
    <n v="268.87199999999996"/>
    <n v="4481.2"/>
    <n v="36"/>
    <s v="Food"/>
    <n v="4548.88"/>
    <n v="4853.41"/>
    <s v="Returning"/>
    <n v="0.25"/>
    <s v="Credit Card"/>
    <s v="Retail"/>
    <s v="Low"/>
  </r>
  <r>
    <n v="1092"/>
    <s v="Recliner"/>
    <d v="2023-11-14T00:00:00"/>
    <s v="Eve"/>
    <s v="Tracy Moore"/>
    <s v="East"/>
    <n v="0.06"/>
    <n v="391.69739999999996"/>
    <n v="6528.29"/>
    <n v="28"/>
    <s v="Clothing"/>
    <n v="3936.69"/>
    <n v="4362.51"/>
    <s v="Returning"/>
    <n v="7.0000000000000007E-2"/>
    <s v="Credit Card"/>
    <s v="Retail"/>
    <s v="High"/>
  </r>
  <r>
    <n v="1069"/>
    <s v="Suit"/>
    <d v="2023-03-21T00:00:00"/>
    <s v="Bob"/>
    <s v="Michael Smith"/>
    <s v="East"/>
    <n v="0.06"/>
    <n v="562.1508"/>
    <n v="9369.18"/>
    <n v="29"/>
    <s v="Furniture"/>
    <n v="2462.66"/>
    <n v="2908.0899999999901"/>
    <s v="New"/>
    <n v="0.12"/>
    <s v="Credit Card"/>
    <s v="Online"/>
    <s v="High"/>
  </r>
  <r>
    <n v="1047"/>
    <s v="Mouse"/>
    <d v="2023-08-04T00:00:00"/>
    <s v="Eve"/>
    <s v="Tracy Moore"/>
    <s v="South"/>
    <n v="0.05"/>
    <n v="36.683"/>
    <n v="733.66"/>
    <n v="47"/>
    <s v="Clothing"/>
    <n v="4729.59"/>
    <n v="4976.68"/>
    <s v="Returning"/>
    <n v="0.18"/>
    <s v="Credit Card"/>
    <s v="Retail"/>
    <s v="Low"/>
  </r>
  <r>
    <n v="1094"/>
    <s v="Microwave"/>
    <d v="2023-12-05T00:00:00"/>
    <s v="Eve"/>
    <s v="Tracy Moore"/>
    <s v="East"/>
    <n v="0.06"/>
    <n v="495.89759999999995"/>
    <n v="8264.9599999999991"/>
    <n v="12"/>
    <s v="Furniture"/>
    <n v="333.32"/>
    <n v="700.25"/>
    <s v="Returning"/>
    <n v="0.14000000000000001"/>
    <s v="Cash"/>
    <s v="Online"/>
    <s v="High"/>
  </r>
  <r>
    <n v="1062"/>
    <s v="Boxers"/>
    <d v="2023-09-21T00:00:00"/>
    <s v="David"/>
    <s v="Hogan Rock"/>
    <s v="North"/>
    <n v="7.4999999999999997E-2"/>
    <n v="224.59425000000002"/>
    <n v="2994.59"/>
    <n v="37"/>
    <s v="Electronics"/>
    <n v="4658.4399999999996"/>
    <n v="4823.5"/>
    <s v="Returning"/>
    <n v="0.14000000000000001"/>
    <s v="Credit Card"/>
    <s v="Online"/>
    <s v="Low"/>
  </r>
  <r>
    <n v="1069"/>
    <s v="Suit"/>
    <d v="2023-05-29T00:00:00"/>
    <s v="Alice"/>
    <s v="Scott Wayne"/>
    <s v="North"/>
    <n v="7.4999999999999997E-2"/>
    <n v="337.11"/>
    <n v="4494.8"/>
    <n v="30"/>
    <s v="Electronics"/>
    <n v="300.01"/>
    <n v="477.67999999999898"/>
    <s v="New"/>
    <n v="0.11"/>
    <s v="Bank Transfer"/>
    <s v="Retail"/>
    <s v="Low"/>
  </r>
  <r>
    <n v="1076"/>
    <s v="Polo Shirt"/>
    <d v="2023-03-22T00:00:00"/>
    <s v="Charlie"/>
    <s v="Susan Jerkins"/>
    <s v="South"/>
    <n v="0.05"/>
    <n v="15.847000000000001"/>
    <n v="316.94"/>
    <n v="23"/>
    <s v="Food"/>
    <n v="2759.16"/>
    <n v="2864.45"/>
    <s v="Returning"/>
    <n v="0.18"/>
    <s v="Credit Card"/>
    <s v="Retail"/>
    <s v="Low"/>
  </r>
  <r>
    <n v="1016"/>
    <s v="Washing Machine"/>
    <d v="2023-08-03T00:00:00"/>
    <s v="Alice"/>
    <s v="Scott Wayne"/>
    <s v="West"/>
    <n v="0.08"/>
    <n v="246.42880000000002"/>
    <n v="3080.36"/>
    <n v="16"/>
    <s v="Furniture"/>
    <n v="4457.68"/>
    <n v="4743.03"/>
    <s v="Returning"/>
    <n v="0.19"/>
    <s v="Cash"/>
    <s v="Online"/>
    <s v="Low"/>
  </r>
  <r>
    <n v="1090"/>
    <s v="Keyboard"/>
    <d v="2023-07-17T00:00:00"/>
    <s v="David"/>
    <s v="Hogan Rock"/>
    <s v="North"/>
    <n v="7.4999999999999997E-2"/>
    <n v="380.70375000000001"/>
    <n v="5076.05"/>
    <n v="14"/>
    <s v="Electronics"/>
    <n v="1350.47"/>
    <n v="1514.61"/>
    <s v="New"/>
    <n v="0.2"/>
    <s v="Credit Card"/>
    <s v="Retail"/>
    <s v="High"/>
  </r>
  <r>
    <n v="1090"/>
    <s v="Keyboard"/>
    <d v="2023-07-19T00:00:00"/>
    <s v="Charlie"/>
    <s v="Susan Jerkins"/>
    <s v="West"/>
    <n v="0.08"/>
    <n v="52.491199999999999"/>
    <n v="656.14"/>
    <n v="10"/>
    <s v="Furniture"/>
    <n v="2387.63"/>
    <n v="2438.9699999999998"/>
    <s v="Returning"/>
    <n v="0.02"/>
    <s v="Bank Transfer"/>
    <s v="Retail"/>
    <s v="Low"/>
  </r>
  <r>
    <n v="1048"/>
    <s v="Chaise Lounge"/>
    <d v="2023-01-25T00:00:00"/>
    <s v="Eve"/>
    <s v="Tracy Moore"/>
    <s v="South"/>
    <n v="0.05"/>
    <n v="248.09250000000003"/>
    <n v="4961.8500000000004"/>
    <n v="7"/>
    <s v="Electronics"/>
    <n v="1655.43"/>
    <n v="2001.08"/>
    <s v="New"/>
    <n v="0.19"/>
    <s v="Bank Transfer"/>
    <s v="Online"/>
    <s v="Low"/>
  </r>
  <r>
    <n v="1085"/>
    <s v="Settee"/>
    <d v="2023-03-30T00:00:00"/>
    <s v="David"/>
    <s v="Hogan Rock"/>
    <s v="West"/>
    <n v="0.08"/>
    <n v="742.27199999999993"/>
    <n v="9278.4"/>
    <n v="45"/>
    <s v="Clothing"/>
    <n v="4763.1099999999997"/>
    <n v="5119.91"/>
    <s v="Returning"/>
    <n v="0.28999999999999998"/>
    <s v="Cash"/>
    <s v="Retail"/>
    <s v="High"/>
  </r>
  <r>
    <n v="1039"/>
    <s v="Hoodie"/>
    <d v="2023-09-25T00:00:00"/>
    <s v="Eve"/>
    <s v="Tracy Moore"/>
    <s v="West"/>
    <n v="0.08"/>
    <n v="91.47120000000001"/>
    <n v="1143.3900000000001"/>
    <n v="37"/>
    <s v="Electronics"/>
    <n v="4127.05"/>
    <n v="4313.45"/>
    <s v="New"/>
    <n v="0.16"/>
    <s v="Cash"/>
    <s v="Online"/>
    <s v="Low"/>
  </r>
  <r>
    <n v="1100"/>
    <s v="Protein Cookies"/>
    <d v="2023-05-23T00:00:00"/>
    <s v="Bob"/>
    <s v="Michael Smith"/>
    <s v="West"/>
    <n v="0.08"/>
    <n v="613.43680000000006"/>
    <n v="7667.96"/>
    <n v="29"/>
    <s v="Food"/>
    <n v="3559.56"/>
    <n v="3607.15"/>
    <s v="Returning"/>
    <n v="0.21"/>
    <s v="Cash"/>
    <s v="Retail"/>
    <s v="High"/>
  </r>
  <r>
    <n v="1033"/>
    <s v="TV Stand"/>
    <d v="2023-02-28T00:00:00"/>
    <s v="David"/>
    <s v="Hogan Rock"/>
    <s v="West"/>
    <n v="0.08"/>
    <n v="332.45920000000001"/>
    <n v="4155.74"/>
    <n v="3"/>
    <s v="Clothing"/>
    <n v="2958.75"/>
    <n v="3177.64"/>
    <s v="Returning"/>
    <n v="0.17"/>
    <s v="Cash"/>
    <s v="Online"/>
    <s v="Low"/>
  </r>
  <r>
    <n v="1094"/>
    <s v="Microwave"/>
    <d v="2023-12-31T00:00:00"/>
    <s v="Bob"/>
    <s v="Michael Smith"/>
    <s v="South"/>
    <n v="0.05"/>
    <n v="329.31100000000004"/>
    <n v="6586.22"/>
    <n v="15"/>
    <s v="Food"/>
    <n v="4111.93"/>
    <n v="4338.67"/>
    <s v="Returning"/>
    <n v="0.26"/>
    <s v="Credit Card"/>
    <s v="Online"/>
    <s v="High"/>
  </r>
  <r>
    <n v="1023"/>
    <s v="Tights"/>
    <d v="2023-01-26T00:00:00"/>
    <s v="David"/>
    <s v="Hogan Rock"/>
    <s v="North"/>
    <n v="7.4999999999999997E-2"/>
    <n v="200.72550000000001"/>
    <n v="2676.34"/>
    <n v="36"/>
    <s v="Clothing"/>
    <n v="1991.72"/>
    <n v="2329.37"/>
    <s v="New"/>
    <n v="0.28000000000000003"/>
    <s v="Credit Card"/>
    <s v="Retail"/>
    <s v="Low"/>
  </r>
  <r>
    <n v="1010"/>
    <s v="Lawn Chair"/>
    <d v="2023-02-16T00:00:00"/>
    <s v="David"/>
    <s v="Hogan Rock"/>
    <s v="East"/>
    <n v="0.06"/>
    <n v="100.73819999999999"/>
    <n v="1678.97"/>
    <n v="47"/>
    <s v="Furniture"/>
    <n v="2265.38"/>
    <n v="2429.9299999999998"/>
    <s v="Returning"/>
    <n v="0.06"/>
    <s v="Bank Transfer"/>
    <s v="Online"/>
    <s v="Low"/>
  </r>
  <r>
    <n v="1069"/>
    <s v="Suit"/>
    <d v="2023-10-15T00:00:00"/>
    <s v="Bob"/>
    <s v="Michael Smith"/>
    <s v="West"/>
    <n v="0.08"/>
    <n v="135.0864"/>
    <n v="1688.58"/>
    <n v="46"/>
    <s v="Food"/>
    <n v="3663.51"/>
    <n v="4007.98"/>
    <s v="New"/>
    <n v="0.13"/>
    <s v="Cash"/>
    <s v="Online"/>
    <s v="Low"/>
  </r>
  <r>
    <n v="1100"/>
    <s v="Protein Cookies"/>
    <d v="2023-09-23T00:00:00"/>
    <s v="Charlie"/>
    <s v="Susan Jerkins"/>
    <s v="North"/>
    <n v="7.4999999999999997E-2"/>
    <n v="59.840249999999997"/>
    <n v="797.87"/>
    <n v="19"/>
    <s v="Electronics"/>
    <n v="1820.89"/>
    <n v="2257.92"/>
    <s v="New"/>
    <n v="0.12"/>
    <s v="Cash"/>
    <s v="Retail"/>
    <s v="Low"/>
  </r>
  <r>
    <n v="1034"/>
    <s v="Socks Pack"/>
    <d v="2023-01-16T00:00:00"/>
    <s v="Alice"/>
    <s v="Scott Wayne"/>
    <s v="North"/>
    <n v="7.4999999999999997E-2"/>
    <n v="145.3425"/>
    <n v="1937.9"/>
    <n v="13"/>
    <s v="Furniture"/>
    <n v="366.31"/>
    <n v="492.68"/>
    <s v="New"/>
    <n v="0.12"/>
    <s v="Credit Card"/>
    <s v="Retail"/>
    <s v="Low"/>
  </r>
  <r>
    <n v="1052"/>
    <s v="Wooden Chair"/>
    <d v="2023-07-18T00:00:00"/>
    <s v="Eve"/>
    <s v="Tracy Moore"/>
    <s v="South"/>
    <n v="0.05"/>
    <n v="333.78850000000006"/>
    <n v="6675.77"/>
    <n v="42"/>
    <s v="Electronics"/>
    <n v="417.96"/>
    <n v="907.63"/>
    <s v="New"/>
    <n v="0.04"/>
    <s v="Cash"/>
    <s v="Retail"/>
    <s v="High"/>
  </r>
  <r>
    <n v="1095"/>
    <s v="Bluetooth Speaker"/>
    <d v="2023-10-09T00:00:00"/>
    <s v="David"/>
    <s v="Hogan Rock"/>
    <s v="North"/>
    <n v="7.4999999999999997E-2"/>
    <n v="662.15549999999996"/>
    <n v="8828.74"/>
    <n v="21"/>
    <s v="Clothing"/>
    <n v="621.04999999999995"/>
    <n v="820.36999999999898"/>
    <s v="Returning"/>
    <n v="0.24"/>
    <s v="Bank Transfer"/>
    <s v="Online"/>
    <s v="High"/>
  </r>
  <r>
    <n v="1010"/>
    <s v="Lawn Chair"/>
    <d v="2023-03-27T00:00:00"/>
    <s v="Eve"/>
    <s v="Tracy Moore"/>
    <s v="South"/>
    <n v="0.05"/>
    <n v="407.99200000000002"/>
    <n v="8159.84"/>
    <n v="37"/>
    <s v="Clothing"/>
    <n v="4354.92"/>
    <n v="4495.88"/>
    <s v="Returning"/>
    <n v="0.01"/>
    <s v="Bank Transfer"/>
    <s v="Online"/>
    <s v="High"/>
  </r>
  <r>
    <n v="1019"/>
    <s v="Apple"/>
    <d v="2023-09-07T00:00:00"/>
    <s v="Bob"/>
    <s v="Michael Smith"/>
    <s v="West"/>
    <n v="0.08"/>
    <n v="550.62639999999999"/>
    <n v="6882.83"/>
    <n v="27"/>
    <s v="Electronics"/>
    <n v="2387.52"/>
    <n v="2604.06"/>
    <s v="Returning"/>
    <n v="0.16"/>
    <s v="Cash"/>
    <s v="Online"/>
    <s v="High"/>
  </r>
  <r>
    <n v="1058"/>
    <s v="Wardrobe"/>
    <d v="2023-09-27T00:00:00"/>
    <s v="Eve"/>
    <s v="Tracy Moore"/>
    <s v="West"/>
    <n v="0.08"/>
    <n v="95.462400000000002"/>
    <n v="1193.28"/>
    <n v="29"/>
    <s v="Electronics"/>
    <n v="3578.77"/>
    <n v="3635.02"/>
    <s v="New"/>
    <n v="0.2"/>
    <s v="Bank Transfer"/>
    <s v="Retail"/>
    <s v="Low"/>
  </r>
  <r>
    <n v="1096"/>
    <s v="Radio"/>
    <d v="2023-12-01T00:00:00"/>
    <s v="Bob"/>
    <s v="Michael Smith"/>
    <s v="East"/>
    <n v="0.06"/>
    <n v="177.77760000000001"/>
    <n v="2962.96"/>
    <n v="20"/>
    <s v="Furniture"/>
    <n v="1994.9"/>
    <n v="2066.5"/>
    <s v="Returning"/>
    <n v="0.06"/>
    <s v="Bank Transfer"/>
    <s v="Online"/>
    <s v="Low"/>
  </r>
  <r>
    <n v="1001"/>
    <s v="Camera"/>
    <d v="2023-04-27T00:00:00"/>
    <s v="Eve"/>
    <s v="Tracy Moore"/>
    <s v="East"/>
    <n v="0.06"/>
    <n v="190.02539999999999"/>
    <n v="3167.09"/>
    <n v="25"/>
    <s v="Electronics"/>
    <n v="1330.62"/>
    <n v="1543.6899999999901"/>
    <s v="New"/>
    <n v="0.27"/>
    <s v="Credit Card"/>
    <s v="Online"/>
    <s v="Low"/>
  </r>
  <r>
    <n v="1069"/>
    <s v="Suit"/>
    <d v="2023-01-07T00:00:00"/>
    <s v="Alice"/>
    <s v="Scott Wayne"/>
    <s v="East"/>
    <n v="0.06"/>
    <n v="154.4742"/>
    <n v="2574.5700000000002"/>
    <n v="6"/>
    <s v="Food"/>
    <n v="1768.6"/>
    <n v="2152.1999999999998"/>
    <s v="New"/>
    <n v="0.25"/>
    <s v="Bank Transfer"/>
    <s v="Retail"/>
    <s v="Low"/>
  </r>
  <r>
    <n v="1004"/>
    <s v="Smartwatch"/>
    <d v="2023-05-17T00:00:00"/>
    <s v="Alice"/>
    <s v="Scott Wayne"/>
    <s v="North"/>
    <n v="7.4999999999999997E-2"/>
    <n v="389.892"/>
    <n v="5198.5600000000004"/>
    <n v="36"/>
    <s v="Food"/>
    <n v="3981.2"/>
    <n v="4432.3499999999904"/>
    <s v="New"/>
    <n v="0.14000000000000001"/>
    <s v="Cash"/>
    <s v="Online"/>
    <s v="High"/>
  </r>
  <r>
    <n v="1016"/>
    <s v="Washing Machine"/>
    <d v="2023-06-25T00:00:00"/>
    <s v="Alice"/>
    <s v="Scott Wayne"/>
    <s v="West"/>
    <n v="0.08"/>
    <n v="432.15839999999997"/>
    <n v="5401.98"/>
    <n v="2"/>
    <s v="Electronics"/>
    <n v="3144.82"/>
    <n v="3480.58"/>
    <s v="Returning"/>
    <n v="0.12"/>
    <s v="Cash"/>
    <s v="Retail"/>
    <s v="High"/>
  </r>
  <r>
    <n v="1024"/>
    <s v="Pasta Pack"/>
    <d v="2023-11-24T00:00:00"/>
    <s v="Alice"/>
    <s v="Scott Wayne"/>
    <s v="South"/>
    <n v="0.05"/>
    <n v="181.6585"/>
    <n v="3633.17"/>
    <n v="22"/>
    <s v="Food"/>
    <n v="4691.32"/>
    <n v="4752.88"/>
    <s v="Returning"/>
    <n v="7.0000000000000007E-2"/>
    <s v="Bank Transfer"/>
    <s v="Retail"/>
    <s v="Low"/>
  </r>
  <r>
    <n v="1080"/>
    <s v="Headphones"/>
    <d v="2023-11-11T00:00:00"/>
    <s v="Alice"/>
    <s v="Scott Wayne"/>
    <s v="East"/>
    <n v="0.06"/>
    <n v="216.1506"/>
    <n v="3602.51"/>
    <n v="32"/>
    <s v="Electronics"/>
    <n v="3414.54"/>
    <n v="3753.83"/>
    <s v="New"/>
    <n v="0.22"/>
    <s v="Cash"/>
    <s v="Retail"/>
    <s v="Low"/>
  </r>
  <r>
    <n v="1002"/>
    <s v="Bench"/>
    <d v="2023-08-03T00:00:00"/>
    <s v="Alice"/>
    <s v="Scott Wayne"/>
    <s v="South"/>
    <n v="0.05"/>
    <n v="415.13500000000005"/>
    <n v="8302.7000000000007"/>
    <n v="16"/>
    <s v="Furniture"/>
    <n v="2872.4"/>
    <n v="3193.76"/>
    <s v="Returning"/>
    <n v="0.04"/>
    <s v="Credit Card"/>
    <s v="Online"/>
    <s v="High"/>
  </r>
  <r>
    <n v="1092"/>
    <s v="Recliner"/>
    <d v="2023-03-23T00:00:00"/>
    <s v="Bob"/>
    <s v="Michael Smith"/>
    <s v="South"/>
    <n v="0.05"/>
    <n v="395.70000000000005"/>
    <n v="7914"/>
    <n v="18"/>
    <s v="Food"/>
    <n v="3070.47"/>
    <n v="3475.29"/>
    <s v="Returning"/>
    <n v="0.2"/>
    <s v="Bank Transfer"/>
    <s v="Online"/>
    <s v="High"/>
  </r>
  <r>
    <n v="1032"/>
    <s v="Refridgerator"/>
    <d v="2023-08-11T00:00:00"/>
    <s v="David"/>
    <s v="Hogan Rock"/>
    <s v="East"/>
    <n v="0.06"/>
    <n v="188.83079999999998"/>
    <n v="3147.18"/>
    <n v="5"/>
    <s v="Food"/>
    <n v="4714.74"/>
    <n v="5129.1099999999997"/>
    <s v="New"/>
    <n v="0.25"/>
    <s v="Bank Transfer"/>
    <s v="Online"/>
    <s v="Low"/>
  </r>
  <r>
    <n v="1091"/>
    <s v="Granola Bar"/>
    <d v="2023-04-13T00:00:00"/>
    <s v="Eve"/>
    <s v="Tracy Moore"/>
    <s v="West"/>
    <n v="0.08"/>
    <n v="731.72080000000005"/>
    <n v="9146.51"/>
    <n v="36"/>
    <s v="Electronics"/>
    <n v="3951.59"/>
    <n v="4387.01"/>
    <s v="New"/>
    <n v="7.0000000000000007E-2"/>
    <s v="Bank Transfer"/>
    <s v="Retail"/>
    <s v="High"/>
  </r>
  <r>
    <n v="1084"/>
    <s v="Card Table"/>
    <d v="2023-09-30T00:00:00"/>
    <s v="Alice"/>
    <s v="Scott Wayne"/>
    <s v="East"/>
    <n v="0.06"/>
    <n v="571.97220000000004"/>
    <n v="9532.8700000000008"/>
    <n v="30"/>
    <s v="Food"/>
    <n v="169"/>
    <n v="381.91999999999899"/>
    <s v="Returning"/>
    <n v="0.26"/>
    <s v="Cash"/>
    <s v="Retail"/>
    <s v="High"/>
  </r>
  <r>
    <n v="1024"/>
    <s v="Pasta Pack"/>
    <d v="2023-01-14T00:00:00"/>
    <s v="Bob"/>
    <s v="Michael Smith"/>
    <s v="South"/>
    <n v="0.05"/>
    <n v="166.73750000000001"/>
    <n v="3334.75"/>
    <n v="45"/>
    <s v="Clothing"/>
    <n v="2693.99"/>
    <n v="3045.9399999999901"/>
    <s v="New"/>
    <n v="0.01"/>
    <s v="Cash"/>
    <s v="Retail"/>
    <s v="Low"/>
  </r>
  <r>
    <n v="1012"/>
    <s v="Cabinet"/>
    <d v="2023-06-08T00:00:00"/>
    <s v="Bob"/>
    <s v="Michael Smith"/>
    <s v="East"/>
    <n v="0.06"/>
    <n v="216.52859999999998"/>
    <n v="3608.81"/>
    <n v="19"/>
    <s v="Furniture"/>
    <n v="3457.28"/>
    <n v="3598.72"/>
    <s v="New"/>
    <n v="0.27"/>
    <s v="Bank Transfer"/>
    <s v="Online"/>
    <s v="Low"/>
  </r>
  <r>
    <n v="1050"/>
    <s v="Sneakers"/>
    <d v="2023-06-01T00:00:00"/>
    <s v="Bob"/>
    <s v="Michael Smith"/>
    <s v="South"/>
    <n v="0.05"/>
    <n v="255.28899999999999"/>
    <n v="5105.78"/>
    <n v="23"/>
    <s v="Furniture"/>
    <n v="3756.06"/>
    <n v="4255.7299999999996"/>
    <s v="Returning"/>
    <n v="0.04"/>
    <s v="Cash"/>
    <s v="Online"/>
    <s v="High"/>
  </r>
  <r>
    <n v="1035"/>
    <s v="Doughnut"/>
    <d v="2023-04-18T00:00:00"/>
    <s v="David"/>
    <s v="Hogan Rock"/>
    <s v="South"/>
    <n v="0.05"/>
    <n v="470.85500000000002"/>
    <n v="9417.1"/>
    <n v="34"/>
    <s v="Food"/>
    <n v="1105.05"/>
    <n v="1200.96"/>
    <s v="Returning"/>
    <n v="0.19"/>
    <s v="Cash"/>
    <s v="Online"/>
    <s v="High"/>
  </r>
  <r>
    <n v="1033"/>
    <s v="TV Stand"/>
    <d v="2023-07-07T00:00:00"/>
    <s v="Eve"/>
    <s v="Tracy Moore"/>
    <s v="East"/>
    <n v="0.06"/>
    <n v="526.53359999999998"/>
    <n v="8775.56"/>
    <n v="13"/>
    <s v="Food"/>
    <n v="4342.53"/>
    <n v="4357.49"/>
    <s v="New"/>
    <n v="0.08"/>
    <s v="Bank Transfer"/>
    <s v="Online"/>
    <s v="High"/>
  </r>
  <r>
    <n v="1033"/>
    <s v="TV Stand"/>
    <d v="2023-10-28T00:00:00"/>
    <s v="David"/>
    <s v="Hogan Rock"/>
    <s v="North"/>
    <n v="7.4999999999999997E-2"/>
    <n v="83.656500000000008"/>
    <n v="1115.42"/>
    <n v="43"/>
    <s v="Clothing"/>
    <n v="4781.42"/>
    <n v="4864.34"/>
    <s v="Returning"/>
    <n v="0.25"/>
    <s v="Bank Transfer"/>
    <s v="Online"/>
    <s v="Low"/>
  </r>
  <r>
    <n v="1061"/>
    <s v="Laptop"/>
    <d v="2023-04-08T00:00:00"/>
    <s v="Charlie"/>
    <s v="Susan Jerkins"/>
    <s v="East"/>
    <n v="0.06"/>
    <n v="239.2818"/>
    <n v="3988.03"/>
    <n v="29"/>
    <s v="Clothing"/>
    <n v="1221.74"/>
    <n v="1611.92"/>
    <s v="New"/>
    <n v="0.15"/>
    <s v="Cash"/>
    <s v="Retail"/>
    <s v="Low"/>
  </r>
  <r>
    <n v="1051"/>
    <s v="Tablet"/>
    <d v="2023-05-11T00:00:00"/>
    <s v="Bob"/>
    <s v="Michael Smith"/>
    <s v="North"/>
    <n v="7.4999999999999997E-2"/>
    <n v="418.37774999999999"/>
    <n v="5578.37"/>
    <n v="36"/>
    <s v="Food"/>
    <n v="4418.95"/>
    <n v="4647.87"/>
    <s v="New"/>
    <n v="0.04"/>
    <s v="Bank Transfer"/>
    <s v="Online"/>
    <s v="High"/>
  </r>
  <r>
    <n v="1043"/>
    <s v="Oven"/>
    <d v="2023-10-20T00:00:00"/>
    <s v="Charlie"/>
    <s v="Susan Jerkins"/>
    <s v="South"/>
    <n v="0.05"/>
    <n v="254.05050000000003"/>
    <n v="5081.01"/>
    <n v="22"/>
    <s v="Food"/>
    <n v="530.04"/>
    <n v="759.31999999999903"/>
    <s v="Returning"/>
    <n v="0.17"/>
    <s v="Bank Transfer"/>
    <s v="Retail"/>
    <s v="High"/>
  </r>
  <r>
    <n v="1012"/>
    <s v="Cabinet"/>
    <d v="2023-06-20T00:00:00"/>
    <s v="Alice"/>
    <s v="Scott Wayne"/>
    <s v="South"/>
    <n v="0.05"/>
    <n v="100.962"/>
    <n v="2019.24"/>
    <n v="47"/>
    <s v="Clothing"/>
    <n v="325.75"/>
    <n v="803.71"/>
    <s v="New"/>
    <n v="0.12"/>
    <s v="Bank Transfer"/>
    <s v="Retail"/>
    <s v="Low"/>
  </r>
  <r>
    <n v="1067"/>
    <s v="Grapes"/>
    <d v="2023-07-02T00:00:00"/>
    <s v="Alice"/>
    <s v="Scott Wayne"/>
    <s v="North"/>
    <n v="7.4999999999999997E-2"/>
    <n v="645.17175000000009"/>
    <n v="8602.2900000000009"/>
    <n v="36"/>
    <s v="Electronics"/>
    <n v="689.66"/>
    <n v="1150.28"/>
    <s v="New"/>
    <n v="0.2"/>
    <s v="Bank Transfer"/>
    <s v="Online"/>
    <s v="High"/>
  </r>
  <r>
    <n v="1065"/>
    <s v="Potatoes"/>
    <d v="2023-12-30T00:00:00"/>
    <s v="David"/>
    <s v="Hogan Rock"/>
    <s v="South"/>
    <n v="0.05"/>
    <n v="340.08550000000002"/>
    <n v="6801.71"/>
    <n v="9"/>
    <s v="Clothing"/>
    <n v="335.82"/>
    <n v="498.31"/>
    <s v="New"/>
    <n v="0.26"/>
    <s v="Cash"/>
    <s v="Retail"/>
    <s v="High"/>
  </r>
  <r>
    <n v="1033"/>
    <s v="TV Stand"/>
    <d v="2023-02-08T00:00:00"/>
    <s v="Eve"/>
    <s v="Tracy Moore"/>
    <s v="North"/>
    <n v="7.4999999999999997E-2"/>
    <n v="629.64675"/>
    <n v="8395.2900000000009"/>
    <n v="39"/>
    <s v="Electronics"/>
    <n v="4232.8100000000004"/>
    <n v="4345.25"/>
    <s v="Returning"/>
    <n v="0.12"/>
    <s v="Bank Transfer"/>
    <s v="Online"/>
    <s v="High"/>
  </r>
  <r>
    <n v="1040"/>
    <s v="Cap"/>
    <d v="2023-01-15T00:00:00"/>
    <s v="Charlie"/>
    <s v="Susan Jerkins"/>
    <s v="North"/>
    <n v="7.4999999999999997E-2"/>
    <n v="645.13274999999999"/>
    <n v="8601.77"/>
    <n v="19"/>
    <s v="Furniture"/>
    <n v="342.3"/>
    <n v="768.06"/>
    <s v="Returning"/>
    <n v="0.09"/>
    <s v="Credit Card"/>
    <s v="Online"/>
    <s v="High"/>
  </r>
  <r>
    <n v="1074"/>
    <s v="French Fries"/>
    <d v="2023-01-04T00:00:00"/>
    <s v="Eve"/>
    <s v="Tracy Moore"/>
    <s v="South"/>
    <n v="0.05"/>
    <n v="375.43600000000004"/>
    <n v="7508.72"/>
    <n v="38"/>
    <s v="Furniture"/>
    <n v="1394.74"/>
    <n v="1848.69"/>
    <s v="Returning"/>
    <n v="0"/>
    <s v="Bank Transfer"/>
    <s v="Retail"/>
    <s v="High"/>
  </r>
  <r>
    <n v="1043"/>
    <s v="Oven"/>
    <d v="2023-12-15T00:00:00"/>
    <s v="David"/>
    <s v="Hogan Rock"/>
    <s v="West"/>
    <n v="0.08"/>
    <n v="355.85440000000006"/>
    <n v="4448.18"/>
    <n v="6"/>
    <s v="Clothing"/>
    <n v="563.59"/>
    <n v="838.97"/>
    <s v="New"/>
    <n v="0.17"/>
    <s v="Credit Card"/>
    <s v="Online"/>
    <s v="Low"/>
  </r>
  <r>
    <n v="1044"/>
    <s v="Burger"/>
    <d v="2023-07-29T00:00:00"/>
    <s v="Alice"/>
    <s v="Scott Wayne"/>
    <s v="North"/>
    <n v="7.4999999999999997E-2"/>
    <n v="460.83074999999997"/>
    <n v="6144.41"/>
    <n v="47"/>
    <s v="Electronics"/>
    <n v="1512.34"/>
    <n v="1830.76"/>
    <s v="New"/>
    <n v="0.12"/>
    <s v="Bank Transfer"/>
    <s v="Online"/>
    <s v="High"/>
  </r>
  <r>
    <n v="1029"/>
    <s v="Camisole"/>
    <d v="2023-06-10T00:00:00"/>
    <s v="Eve"/>
    <s v="Tracy Moore"/>
    <s v="East"/>
    <n v="0.06"/>
    <n v="101.25719999999998"/>
    <n v="1687.62"/>
    <n v="15"/>
    <s v="Clothing"/>
    <n v="498.27"/>
    <n v="634.16"/>
    <s v="Returning"/>
    <n v="0.11"/>
    <s v="Credit Card"/>
    <s v="Retail"/>
    <s v="Low"/>
  </r>
  <r>
    <n v="1013"/>
    <s v="Gas Cooker"/>
    <d v="2023-01-16T00:00:00"/>
    <s v="Eve"/>
    <s v="Tracy Moore"/>
    <s v="East"/>
    <n v="0.06"/>
    <n v="406.1454"/>
    <n v="6769.09"/>
    <n v="20"/>
    <s v="Clothing"/>
    <n v="3356.62"/>
    <n v="3759.0099999999902"/>
    <s v="Returning"/>
    <n v="0.05"/>
    <s v="Credit Card"/>
    <s v="Retail"/>
    <s v="High"/>
  </r>
  <r>
    <n v="1012"/>
    <s v="Cabinet"/>
    <d v="2023-04-18T00:00:00"/>
    <s v="Alice"/>
    <s v="Scott Wayne"/>
    <s v="South"/>
    <n v="0.05"/>
    <n v="93.730500000000006"/>
    <n v="1874.61"/>
    <n v="9"/>
    <s v="Electronics"/>
    <n v="709.97"/>
    <n v="1029.71"/>
    <s v="Returning"/>
    <n v="0.13"/>
    <s v="Bank Transfer"/>
    <s v="Retail"/>
    <s v="Low"/>
  </r>
  <r>
    <n v="1095"/>
    <s v="Bluetooth Speaker"/>
    <d v="2023-11-07T00:00:00"/>
    <s v="Charlie"/>
    <s v="Susan Jerkins"/>
    <s v="West"/>
    <n v="0.08"/>
    <n v="557.60800000000006"/>
    <n v="6970.1"/>
    <n v="32"/>
    <s v="Clothing"/>
    <n v="4266.6400000000003"/>
    <n v="4523.3599999999997"/>
    <s v="New"/>
    <n v="0.3"/>
    <s v="Bank Transfer"/>
    <s v="Retail"/>
    <s v="High"/>
  </r>
  <r>
    <n v="1046"/>
    <s v="Sweat Shirts"/>
    <d v="2023-08-15T00:00:00"/>
    <s v="Alice"/>
    <s v="Scott Wayne"/>
    <s v="South"/>
    <n v="0.05"/>
    <n v="118.65100000000001"/>
    <n v="2373.02"/>
    <n v="4"/>
    <s v="Furniture"/>
    <n v="4095.1"/>
    <n v="4134.55"/>
    <s v="Returning"/>
    <n v="0.09"/>
    <s v="Bank Transfer"/>
    <s v="Retail"/>
    <s v="Low"/>
  </r>
  <r>
    <n v="1002"/>
    <s v="Bench"/>
    <d v="2023-06-19T00:00:00"/>
    <s v="Eve"/>
    <s v="Tracy Moore"/>
    <s v="West"/>
    <n v="0.08"/>
    <n v="101.10080000000001"/>
    <n v="1263.76"/>
    <n v="18"/>
    <s v="Food"/>
    <n v="117.63"/>
    <n v="576.44000000000005"/>
    <s v="New"/>
    <n v="0.18"/>
    <s v="Credit Card"/>
    <s v="Retail"/>
    <s v="Low"/>
  </r>
  <r>
    <n v="1035"/>
    <s v="Doughnut"/>
    <d v="2023-02-03T00:00:00"/>
    <s v="Charlie"/>
    <s v="Susan Jerkins"/>
    <s v="North"/>
    <n v="7.4999999999999997E-2"/>
    <n v="130.22399999999999"/>
    <n v="1736.32"/>
    <n v="5"/>
    <s v="Food"/>
    <n v="4483.8500000000004"/>
    <n v="4795.42"/>
    <s v="Returning"/>
    <n v="0.23"/>
    <s v="Cash"/>
    <s v="Online"/>
    <s v="Low"/>
  </r>
  <r>
    <n v="1087"/>
    <s v="Sofa Set"/>
    <d v="2023-09-08T00:00:00"/>
    <s v="Charlie"/>
    <s v="Susan Jerkins"/>
    <s v="North"/>
    <n v="7.4999999999999997E-2"/>
    <n v="8.9789999999999992"/>
    <n v="119.72"/>
    <n v="20"/>
    <s v="Clothing"/>
    <n v="193.27"/>
    <n v="297.69"/>
    <s v="New"/>
    <n v="0.22"/>
    <s v="Cash"/>
    <s v="Online"/>
    <s v="Low"/>
  </r>
  <r>
    <n v="1081"/>
    <s v="Rocking Chair"/>
    <d v="2023-09-04T00:00:00"/>
    <s v="Alice"/>
    <s v="Scott Wayne"/>
    <s v="North"/>
    <n v="7.4999999999999997E-2"/>
    <n v="541.16399999999999"/>
    <n v="7215.52"/>
    <n v="23"/>
    <s v="Electronics"/>
    <n v="1236.25"/>
    <n v="1543.38"/>
    <s v="New"/>
    <n v="0.1"/>
    <s v="Bank Transfer"/>
    <s v="Online"/>
    <s v="High"/>
  </r>
  <r>
    <n v="1090"/>
    <s v="Keyboard"/>
    <d v="2023-09-26T00:00:00"/>
    <s v="Eve"/>
    <s v="Tracy Moore"/>
    <s v="North"/>
    <n v="7.4999999999999997E-2"/>
    <n v="551.30775000000006"/>
    <n v="7350.77"/>
    <n v="11"/>
    <s v="Electronics"/>
    <n v="210.33"/>
    <n v="552.29"/>
    <s v="Returning"/>
    <n v="0.18"/>
    <s v="Cash"/>
    <s v="Retail"/>
    <s v="High"/>
  </r>
  <r>
    <n v="1008"/>
    <s v="Skirt"/>
    <d v="2023-05-21T00:00:00"/>
    <s v="David"/>
    <s v="Hogan Rock"/>
    <s v="East"/>
    <n v="0.06"/>
    <n v="311.87040000000002"/>
    <n v="5197.84"/>
    <n v="37"/>
    <s v="Furniture"/>
    <n v="1712.43"/>
    <n v="1980.06"/>
    <s v="New"/>
    <n v="0.26"/>
    <s v="Cash"/>
    <s v="Online"/>
    <s v="High"/>
  </r>
  <r>
    <n v="1093"/>
    <s v="Dining Table"/>
    <d v="2023-10-01T00:00:00"/>
    <s v="Eve"/>
    <s v="Tracy Moore"/>
    <s v="East"/>
    <n v="0.06"/>
    <n v="101.8494"/>
    <n v="1697.49"/>
    <n v="22"/>
    <s v="Electronics"/>
    <n v="2593.64"/>
    <n v="2955.5099999999902"/>
    <s v="Returning"/>
    <n v="0"/>
    <s v="Bank Transfer"/>
    <s v="Retail"/>
    <s v="Low"/>
  </r>
  <r>
    <n v="1026"/>
    <s v="Television"/>
    <d v="2023-04-06T00:00:00"/>
    <s v="Bob"/>
    <s v="Michael Smith"/>
    <s v="South"/>
    <n v="0.05"/>
    <n v="46.359500000000004"/>
    <n v="927.19"/>
    <n v="4"/>
    <s v="Electronics"/>
    <n v="3993.39"/>
    <n v="4288.3"/>
    <s v="New"/>
    <n v="0.13"/>
    <s v="Credit Card"/>
    <s v="Online"/>
    <s v="Low"/>
  </r>
  <r>
    <n v="1074"/>
    <s v="French Fries"/>
    <d v="2023-08-15T00:00:00"/>
    <s v="David"/>
    <s v="Hogan Rock"/>
    <s v="West"/>
    <n v="0.08"/>
    <n v="23.150400000000001"/>
    <n v="289.38"/>
    <n v="29"/>
    <s v="Furniture"/>
    <n v="1723.01"/>
    <n v="2197.42"/>
    <s v="New"/>
    <n v="7.0000000000000007E-2"/>
    <s v="Bank Transfer"/>
    <s v="Retail"/>
    <s v="Low"/>
  </r>
  <r>
    <n v="1090"/>
    <s v="Keyboard"/>
    <d v="2023-02-08T00:00:00"/>
    <s v="Charlie"/>
    <s v="Susan Jerkins"/>
    <s v="North"/>
    <n v="7.4999999999999997E-2"/>
    <n v="130.56825000000001"/>
    <n v="1740.91"/>
    <n v="44"/>
    <s v="Clothing"/>
    <n v="3542.18"/>
    <n v="3578.49"/>
    <s v="Returning"/>
    <n v="0.12"/>
    <s v="Cash"/>
    <s v="Online"/>
    <s v="Low"/>
  </r>
  <r>
    <n v="1034"/>
    <s v="Socks Pack"/>
    <d v="2023-10-29T00:00:00"/>
    <s v="David"/>
    <s v="Hogan Rock"/>
    <s v="North"/>
    <n v="7.4999999999999997E-2"/>
    <n v="668.96024999999997"/>
    <n v="8919.4699999999993"/>
    <n v="34"/>
    <s v="Food"/>
    <n v="978.15"/>
    <n v="1040.21"/>
    <s v="New"/>
    <n v="0.12"/>
    <s v="Credit Card"/>
    <s v="Retail"/>
    <s v="High"/>
  </r>
  <r>
    <n v="1007"/>
    <s v="Fruit Jam"/>
    <d v="2023-01-29T00:00:00"/>
    <s v="Charlie"/>
    <s v="Susan Jerkins"/>
    <s v="West"/>
    <n v="0.08"/>
    <n v="199.29680000000002"/>
    <n v="2491.21"/>
    <n v="13"/>
    <s v="Furniture"/>
    <n v="3765.46"/>
    <n v="3860.56"/>
    <s v="Returning"/>
    <n v="0.22"/>
    <s v="Cash"/>
    <s v="Retail"/>
    <s v="Low"/>
  </r>
  <r>
    <n v="1068"/>
    <s v="Leggings"/>
    <d v="2023-11-14T00:00:00"/>
    <s v="Charlie"/>
    <s v="Susan Jerkins"/>
    <s v="West"/>
    <n v="0.08"/>
    <n v="288.58319999999998"/>
    <n v="3607.29"/>
    <n v="42"/>
    <s v="Clothing"/>
    <n v="1218.18"/>
    <n v="1566.36"/>
    <s v="Returning"/>
    <n v="0.03"/>
    <s v="Credit Card"/>
    <s v="Retail"/>
    <s v="Low"/>
  </r>
  <r>
    <n v="1058"/>
    <s v="Wardrobe"/>
    <d v="2023-09-02T00:00:00"/>
    <s v="David"/>
    <s v="Hogan Rock"/>
    <s v="South"/>
    <n v="0.05"/>
    <n v="57.146000000000008"/>
    <n v="1142.92"/>
    <n v="9"/>
    <s v="Furniture"/>
    <n v="760.55"/>
    <n v="1086.8899999999901"/>
    <s v="Returning"/>
    <n v="0.15"/>
    <s v="Cash"/>
    <s v="Retail"/>
    <s v="Low"/>
  </r>
  <r>
    <n v="1075"/>
    <s v="Bookshelf"/>
    <d v="2023-08-24T00:00:00"/>
    <s v="Charlie"/>
    <s v="Susan Jerkins"/>
    <s v="West"/>
    <n v="0.08"/>
    <n v="184.1104"/>
    <n v="2301.38"/>
    <n v="42"/>
    <s v="Clothing"/>
    <n v="967.77"/>
    <n v="1414.88"/>
    <s v="New"/>
    <n v="0.17"/>
    <s v="Bank Transfer"/>
    <s v="Online"/>
    <s v="Low"/>
  </r>
  <r>
    <n v="1029"/>
    <s v="Camisole"/>
    <d v="2023-07-04T00:00:00"/>
    <s v="Charlie"/>
    <s v="Susan Jerkins"/>
    <s v="North"/>
    <n v="7.4999999999999997E-2"/>
    <n v="393.02399999999994"/>
    <n v="5240.32"/>
    <n v="31"/>
    <s v="Furniture"/>
    <n v="951.21"/>
    <n v="1320.32"/>
    <s v="New"/>
    <n v="0.15"/>
    <s v="Cash"/>
    <s v="Online"/>
    <s v="High"/>
  </r>
  <r>
    <n v="1036"/>
    <s v="Shorts"/>
    <d v="2023-09-29T00:00:00"/>
    <s v="Bob"/>
    <s v="Michael Smith"/>
    <s v="North"/>
    <n v="7.4999999999999997E-2"/>
    <n v="458.75624999999997"/>
    <n v="6116.75"/>
    <n v="7"/>
    <s v="Clothing"/>
    <n v="2588.67"/>
    <n v="2847.76"/>
    <s v="New"/>
    <n v="0.22"/>
    <s v="Cash"/>
    <s v="Retail"/>
    <s v="High"/>
  </r>
  <r>
    <n v="1089"/>
    <s v="Recliner"/>
    <d v="2023-08-24T00:00:00"/>
    <s v="Eve"/>
    <s v="Tracy Moore"/>
    <s v="North"/>
    <n v="7.4999999999999997E-2"/>
    <n v="189.67424999999997"/>
    <n v="2528.9899999999998"/>
    <n v="4"/>
    <s v="Furniture"/>
    <n v="4231.75"/>
    <n v="4727.75"/>
    <s v="Returning"/>
    <n v="0.12"/>
    <s v="Credit Card"/>
    <s v="Retail"/>
    <s v="Low"/>
  </r>
  <r>
    <n v="1021"/>
    <s v="Almond Milk"/>
    <d v="2023-08-27T00:00:00"/>
    <s v="Eve"/>
    <s v="Tracy Moore"/>
    <s v="North"/>
    <n v="7.4999999999999997E-2"/>
    <n v="50.366249999999994"/>
    <n v="671.55"/>
    <n v="19"/>
    <s v="Clothing"/>
    <n v="444.05"/>
    <n v="584.44000000000005"/>
    <s v="Returning"/>
    <n v="0.28000000000000003"/>
    <s v="Cash"/>
    <s v="Retail"/>
    <s v="Low"/>
  </r>
  <r>
    <n v="1036"/>
    <s v="Shorts"/>
    <d v="2023-09-23T00:00:00"/>
    <s v="Bob"/>
    <s v="Michael Smith"/>
    <s v="North"/>
    <n v="7.4999999999999997E-2"/>
    <n v="297.84224999999998"/>
    <n v="3971.23"/>
    <n v="42"/>
    <s v="Furniture"/>
    <n v="3549.43"/>
    <n v="3967.6899999999901"/>
    <s v="New"/>
    <n v="0.14000000000000001"/>
    <s v="Bank Transfer"/>
    <s v="Online"/>
    <s v="Low"/>
  </r>
  <r>
    <n v="1010"/>
    <s v="Lawn Chair"/>
    <d v="2023-12-25T00:00:00"/>
    <s v="David"/>
    <s v="Hogan Rock"/>
    <s v="South"/>
    <n v="0.05"/>
    <n v="120.93050000000001"/>
    <n v="2418.61"/>
    <n v="30"/>
    <s v="Food"/>
    <n v="3289.01"/>
    <n v="3508.14"/>
    <s v="New"/>
    <n v="0.17"/>
    <s v="Bank Transfer"/>
    <s v="Retail"/>
    <s v="Low"/>
  </r>
  <r>
    <n v="1073"/>
    <s v="Console Table"/>
    <d v="2023-12-06T00:00:00"/>
    <s v="Alice"/>
    <s v="Scott Wayne"/>
    <s v="North"/>
    <n v="7.4999999999999997E-2"/>
    <n v="170.51849999999999"/>
    <n v="2273.58"/>
    <n v="31"/>
    <s v="Food"/>
    <n v="4368.97"/>
    <n v="4696.8500000000004"/>
    <s v="Returning"/>
    <n v="0.25"/>
    <s v="Bank Transfer"/>
    <s v="Retail"/>
    <s v="Low"/>
  </r>
  <r>
    <n v="1024"/>
    <s v="Pasta Pack"/>
    <d v="2023-03-06T00:00:00"/>
    <s v="Alice"/>
    <s v="Scott Wayne"/>
    <s v="South"/>
    <n v="0.05"/>
    <n v="480.13200000000001"/>
    <n v="9602.64"/>
    <n v="35"/>
    <s v="Electronics"/>
    <n v="1258.53"/>
    <n v="1624.8899999999901"/>
    <s v="New"/>
    <n v="0.08"/>
    <s v="Credit Card"/>
    <s v="Online"/>
    <s v="High"/>
  </r>
  <r>
    <n v="1064"/>
    <s v="Smartphone"/>
    <d v="2023-06-26T00:00:00"/>
    <s v="Alice"/>
    <s v="Scott Wayne"/>
    <s v="North"/>
    <n v="7.4999999999999997E-2"/>
    <n v="465.10274999999996"/>
    <n v="6201.37"/>
    <n v="21"/>
    <s v="Clothing"/>
    <n v="2278.04"/>
    <n v="2598.58"/>
    <s v="Returning"/>
    <n v="0.02"/>
    <s v="Credit Card"/>
    <s v="Retail"/>
    <s v="High"/>
  </r>
  <r>
    <n v="1099"/>
    <s v="Chest"/>
    <d v="2023-01-03T00:00:00"/>
    <s v="Bob"/>
    <s v="Michael Smith"/>
    <s v="East"/>
    <n v="0.06"/>
    <n v="336.786"/>
    <n v="5613.1"/>
    <n v="31"/>
    <s v="Furniture"/>
    <n v="4632.8500000000004"/>
    <n v="4711.7"/>
    <s v="New"/>
    <n v="0.21"/>
    <s v="Cash"/>
    <s v="Retail"/>
    <s v="High"/>
  </r>
  <r>
    <n v="1049"/>
    <s v="Coffee Table"/>
    <d v="2023-05-22T00:00:00"/>
    <s v="Bob"/>
    <s v="Michael Smith"/>
    <s v="East"/>
    <n v="0.06"/>
    <n v="252.97020000000001"/>
    <n v="4216.17"/>
    <n v="19"/>
    <s v="Clothing"/>
    <n v="3316.97"/>
    <n v="3544.02"/>
    <s v="Returning"/>
    <n v="0.14000000000000001"/>
    <s v="Cash"/>
    <s v="Online"/>
    <s v="Low"/>
  </r>
  <r>
    <n v="1099"/>
    <s v="Chest"/>
    <d v="2023-06-07T00:00:00"/>
    <s v="Charlie"/>
    <s v="Susan Jerkins"/>
    <s v="East"/>
    <n v="0.06"/>
    <n v="260.79300000000001"/>
    <n v="4346.55"/>
    <n v="31"/>
    <s v="Food"/>
    <n v="1974.4"/>
    <n v="2259.5"/>
    <s v="New"/>
    <n v="0.27"/>
    <s v="Cash"/>
    <s v="Retail"/>
    <s v="Low"/>
  </r>
  <r>
    <n v="1036"/>
    <s v="Shorts"/>
    <d v="2023-11-20T00:00:00"/>
    <s v="Alice"/>
    <s v="Scott Wayne"/>
    <s v="East"/>
    <n v="0.06"/>
    <n v="327.29759999999999"/>
    <n v="5454.96"/>
    <n v="32"/>
    <s v="Clothing"/>
    <n v="700.49"/>
    <n v="1126.52"/>
    <s v="New"/>
    <n v="0.28999999999999998"/>
    <s v="Credit Card"/>
    <s v="Retail"/>
    <s v="High"/>
  </r>
  <r>
    <n v="1082"/>
    <s v="USB Drive"/>
    <d v="2023-05-26T00:00:00"/>
    <s v="David"/>
    <s v="Hogan Rock"/>
    <s v="South"/>
    <n v="0.05"/>
    <n v="349.733"/>
    <n v="6994.66"/>
    <n v="2"/>
    <s v="Furniture"/>
    <n v="1349.3"/>
    <n v="1576.69"/>
    <s v="Returning"/>
    <n v="0.12"/>
    <s v="Credit Card"/>
    <s v="Online"/>
    <s v="High"/>
  </r>
  <r>
    <n v="1096"/>
    <s v="Radio"/>
    <d v="2023-10-20T00:00:00"/>
    <s v="David"/>
    <s v="Hogan Rock"/>
    <s v="South"/>
    <n v="0.05"/>
    <n v="352.5625"/>
    <n v="7051.25"/>
    <n v="10"/>
    <s v="Clothing"/>
    <n v="2927.02"/>
    <n v="3387.21"/>
    <s v="Returning"/>
    <n v="0.12"/>
    <s v="Cash"/>
    <s v="Retail"/>
    <s v="High"/>
  </r>
  <r>
    <n v="1024"/>
    <s v="Pasta Pack"/>
    <d v="2023-06-02T00:00:00"/>
    <s v="Alice"/>
    <s v="Scott Wayne"/>
    <s v="West"/>
    <n v="0.08"/>
    <n v="143.98160000000001"/>
    <n v="1799.77"/>
    <n v="2"/>
    <s v="Furniture"/>
    <n v="3604.93"/>
    <n v="3830.71"/>
    <s v="Returning"/>
    <n v="0.12"/>
    <s v="Credit Card"/>
    <s v="Online"/>
    <s v="Low"/>
  </r>
  <r>
    <n v="1023"/>
    <s v="Tights"/>
    <d v="2023-07-12T00:00:00"/>
    <s v="Alice"/>
    <s v="Scott Wayne"/>
    <s v="North"/>
    <n v="7.4999999999999997E-2"/>
    <n v="378.834"/>
    <n v="5051.12"/>
    <n v="2"/>
    <s v="Food"/>
    <n v="665.89"/>
    <n v="944.79"/>
    <s v="New"/>
    <n v="0.1"/>
    <s v="Credit Card"/>
    <s v="Retail"/>
    <s v="High"/>
  </r>
  <r>
    <n v="1062"/>
    <s v="Boxers"/>
    <d v="2023-03-14T00:00:00"/>
    <s v="Alice"/>
    <s v="Scott Wayne"/>
    <s v="East"/>
    <n v="0.06"/>
    <n v="250.70340000000002"/>
    <n v="4178.3900000000003"/>
    <n v="24"/>
    <s v="Food"/>
    <n v="3018.01"/>
    <n v="3418.19"/>
    <s v="Returning"/>
    <n v="0.23"/>
    <s v="Bank Transfer"/>
    <s v="Retail"/>
    <s v="Low"/>
  </r>
  <r>
    <n v="1096"/>
    <s v="Radio"/>
    <d v="2023-11-01T00:00:00"/>
    <s v="Bob"/>
    <s v="Michael Smith"/>
    <s v="South"/>
    <n v="0.05"/>
    <n v="435.911"/>
    <n v="8718.2199999999993"/>
    <n v="17"/>
    <s v="Food"/>
    <n v="2774.24"/>
    <n v="3069.9399999999901"/>
    <s v="Returning"/>
    <n v="0.23"/>
    <s v="Bank Transfer"/>
    <s v="Retail"/>
    <s v="High"/>
  </r>
  <r>
    <n v="1037"/>
    <s v="Turtleneck Top"/>
    <d v="2023-12-10T00:00:00"/>
    <s v="Bob"/>
    <s v="Michael Smith"/>
    <s v="North"/>
    <n v="7.4999999999999997E-2"/>
    <n v="476.32875000000001"/>
    <n v="6351.05"/>
    <n v="32"/>
    <s v="Electronics"/>
    <n v="2594.08"/>
    <n v="3074.59"/>
    <s v="New"/>
    <n v="0.14000000000000001"/>
    <s v="Cash"/>
    <s v="Retail"/>
    <s v="High"/>
  </r>
  <r>
    <n v="1012"/>
    <s v="Cabinet"/>
    <d v="2023-05-20T00:00:00"/>
    <s v="Bob"/>
    <s v="Michael Smith"/>
    <s v="North"/>
    <n v="7.4999999999999997E-2"/>
    <n v="402.88425000000001"/>
    <n v="5371.79"/>
    <n v="16"/>
    <s v="Food"/>
    <n v="3466.11"/>
    <n v="3799.67"/>
    <s v="Returning"/>
    <n v="0.01"/>
    <s v="Cash"/>
    <s v="Retail"/>
    <s v="High"/>
  </r>
  <r>
    <n v="1055"/>
    <s v="Cupboard"/>
    <d v="2023-07-06T00:00:00"/>
    <s v="Eve"/>
    <s v="Tracy Moore"/>
    <s v="South"/>
    <n v="0.05"/>
    <n v="62.120500000000007"/>
    <n v="1242.4100000000001"/>
    <n v="16"/>
    <s v="Clothing"/>
    <n v="4195.38"/>
    <n v="4461.51"/>
    <s v="Returning"/>
    <n v="0.09"/>
    <s v="Bank Transfer"/>
    <s v="Online"/>
    <s v="Low"/>
  </r>
  <r>
    <n v="1013"/>
    <s v="Gas Cooker"/>
    <d v="2023-10-20T00:00:00"/>
    <s v="David"/>
    <s v="Hogan Rock"/>
    <s v="East"/>
    <n v="0.06"/>
    <n v="365.74919999999997"/>
    <n v="6095.82"/>
    <n v="46"/>
    <s v="Electronics"/>
    <n v="1648.8"/>
    <n v="1670.36"/>
    <s v="Returning"/>
    <n v="0.09"/>
    <s v="Credit Card"/>
    <s v="Retail"/>
    <s v="High"/>
  </r>
  <r>
    <n v="1023"/>
    <s v="Tights"/>
    <d v="2023-03-02T00:00:00"/>
    <s v="David"/>
    <s v="Hogan Rock"/>
    <s v="West"/>
    <n v="0.08"/>
    <n v="100.82559999999999"/>
    <n v="1260.32"/>
    <n v="39"/>
    <s v="Food"/>
    <n v="4450.6099999999997"/>
    <n v="4663.3399999999901"/>
    <s v="New"/>
    <n v="0.24"/>
    <s v="Cash"/>
    <s v="Retail"/>
    <s v="Low"/>
  </r>
  <r>
    <n v="1089"/>
    <s v="Recliner"/>
    <d v="2023-07-17T00:00:00"/>
    <s v="Charlie"/>
    <s v="Susan Jerkins"/>
    <s v="North"/>
    <n v="7.4999999999999997E-2"/>
    <n v="257.87624999999997"/>
    <n v="3438.35"/>
    <n v="31"/>
    <s v="Clothing"/>
    <n v="845.14"/>
    <n v="1001.77"/>
    <s v="New"/>
    <n v="0.03"/>
    <s v="Cash"/>
    <s v="Online"/>
    <s v="Low"/>
  </r>
  <r>
    <n v="1099"/>
    <s v="Chest"/>
    <d v="2023-10-22T00:00:00"/>
    <s v="Bob"/>
    <s v="Michael Smith"/>
    <s v="West"/>
    <n v="0.08"/>
    <n v="121.13120000000001"/>
    <n v="1514.14"/>
    <n v="43"/>
    <s v="Clothing"/>
    <n v="906.47"/>
    <n v="1283.04"/>
    <s v="New"/>
    <n v="0.24"/>
    <s v="Cash"/>
    <s v="Online"/>
    <s v="Low"/>
  </r>
  <r>
    <n v="1030"/>
    <s v="Jeans"/>
    <d v="2023-11-15T00:00:00"/>
    <s v="Eve"/>
    <s v="Tracy Moore"/>
    <s v="East"/>
    <n v="0.06"/>
    <n v="417.09179999999998"/>
    <n v="6951.53"/>
    <n v="24"/>
    <s v="Clothing"/>
    <n v="1370.52"/>
    <n v="1482.58"/>
    <s v="Returning"/>
    <n v="0.2"/>
    <s v="Credit Card"/>
    <s v="Retail"/>
    <s v="High"/>
  </r>
  <r>
    <n v="1017"/>
    <s v="Peaches"/>
    <d v="2023-10-29T00:00:00"/>
    <s v="Eve"/>
    <s v="Tracy Moore"/>
    <s v="East"/>
    <n v="0.06"/>
    <n v="128.51400000000001"/>
    <n v="2141.9"/>
    <n v="1"/>
    <s v="Furniture"/>
    <n v="641.67999999999995"/>
    <n v="752.24"/>
    <s v="New"/>
    <n v="0.22"/>
    <s v="Bank Transfer"/>
    <s v="Online"/>
    <s v="Low"/>
  </r>
  <r>
    <n v="1062"/>
    <s v="Boxers"/>
    <d v="2023-12-10T00:00:00"/>
    <s v="David"/>
    <s v="Hogan Rock"/>
    <s v="West"/>
    <n v="0.08"/>
    <n v="318.3528"/>
    <n v="3979.41"/>
    <n v="11"/>
    <s v="Electronics"/>
    <n v="1190.08"/>
    <n v="1292.9399999999901"/>
    <s v="Returning"/>
    <n v="0.13"/>
    <s v="Cash"/>
    <s v="Retail"/>
    <s v="Low"/>
  </r>
  <r>
    <n v="1084"/>
    <s v="Card Table"/>
    <d v="2023-01-11T00:00:00"/>
    <s v="Bob"/>
    <s v="Michael Smith"/>
    <s v="East"/>
    <n v="0.06"/>
    <n v="538.0308"/>
    <n v="8967.18"/>
    <n v="21"/>
    <s v="Clothing"/>
    <n v="576.74"/>
    <n v="648.29"/>
    <s v="Returning"/>
    <n v="0.2"/>
    <s v="Bank Transfer"/>
    <s v="Online"/>
    <s v="High"/>
  </r>
  <r>
    <n v="1089"/>
    <s v="Recliner"/>
    <d v="2023-03-03T00:00:00"/>
    <s v="Charlie"/>
    <s v="Susan Jerkins"/>
    <s v="North"/>
    <n v="7.4999999999999997E-2"/>
    <n v="159.20474999999999"/>
    <n v="2122.73"/>
    <n v="4"/>
    <s v="Furniture"/>
    <n v="4117.67"/>
    <n v="4280.0600000000004"/>
    <s v="Returning"/>
    <n v="0.18"/>
    <s v="Bank Transfer"/>
    <s v="Online"/>
    <s v="Low"/>
  </r>
  <r>
    <n v="1086"/>
    <s v="Gaming Console"/>
    <d v="2023-11-29T00:00:00"/>
    <s v="Bob"/>
    <s v="Michael Smith"/>
    <s v="West"/>
    <n v="0.08"/>
    <n v="410.18160000000006"/>
    <n v="5127.2700000000004"/>
    <n v="7"/>
    <s v="Food"/>
    <n v="737.9"/>
    <n v="1182"/>
    <s v="New"/>
    <n v="0.23"/>
    <s v="Credit Card"/>
    <s v="Retail"/>
    <s v="High"/>
  </r>
  <r>
    <n v="1013"/>
    <s v="Gas Cooker"/>
    <d v="2023-08-14T00:00:00"/>
    <s v="Alice"/>
    <s v="Scott Wayne"/>
    <s v="East"/>
    <n v="0.06"/>
    <n v="255.04739999999998"/>
    <n v="4250.79"/>
    <n v="26"/>
    <s v="Clothing"/>
    <n v="3749.12"/>
    <n v="4138.83"/>
    <s v="New"/>
    <n v="0.13"/>
    <s v="Credit Card"/>
    <s v="Online"/>
    <s v="Low"/>
  </r>
  <r>
    <n v="1059"/>
    <s v="Coffee Beans"/>
    <d v="2023-06-02T00:00:00"/>
    <s v="Bob"/>
    <s v="Michael Smith"/>
    <s v="West"/>
    <n v="0.08"/>
    <n v="22.354400000000002"/>
    <n v="279.43"/>
    <n v="47"/>
    <s v="Furniture"/>
    <n v="287.17"/>
    <n v="657.44"/>
    <s v="Returning"/>
    <n v="0.14000000000000001"/>
    <s v="Credit Card"/>
    <s v="Retail"/>
    <s v="Low"/>
  </r>
  <r>
    <n v="1019"/>
    <s v="Apple"/>
    <d v="2023-07-18T00:00:00"/>
    <s v="Alice"/>
    <s v="Scott Wayne"/>
    <s v="North"/>
    <n v="7.4999999999999997E-2"/>
    <n v="596.12324999999998"/>
    <n v="7948.31"/>
    <n v="12"/>
    <s v="Clothing"/>
    <n v="4745.18"/>
    <n v="5145.88"/>
    <s v="Returning"/>
    <n v="0.19"/>
    <s v="Credit Card"/>
    <s v="Online"/>
    <s v="High"/>
  </r>
  <r>
    <n v="1049"/>
    <s v="Coffee Table"/>
    <d v="2023-02-21T00:00:00"/>
    <s v="Alice"/>
    <s v="Scott Wayne"/>
    <s v="East"/>
    <n v="0.06"/>
    <n v="47.012999999999998"/>
    <n v="783.55"/>
    <n v="31"/>
    <s v="Electronics"/>
    <n v="3570.24"/>
    <n v="3712.25"/>
    <s v="New"/>
    <n v="0.03"/>
    <s v="Credit Card"/>
    <s v="Online"/>
    <s v="Low"/>
  </r>
  <r>
    <n v="1100"/>
    <s v="Protein Cookies"/>
    <d v="2023-09-17T00:00:00"/>
    <s v="Charlie"/>
    <s v="Susan Jerkins"/>
    <s v="North"/>
    <n v="7.4999999999999997E-2"/>
    <n v="359.63399999999996"/>
    <n v="4795.12"/>
    <n v="17"/>
    <s v="Electronics"/>
    <n v="83.64"/>
    <n v="528.49"/>
    <s v="New"/>
    <n v="0.13"/>
    <s v="Credit Card"/>
    <s v="Online"/>
    <s v="Low"/>
  </r>
  <r>
    <n v="1012"/>
    <s v="Cabinet"/>
    <d v="2023-02-28T00:00:00"/>
    <s v="David"/>
    <s v="Hogan Rock"/>
    <s v="East"/>
    <n v="0.06"/>
    <n v="339.04320000000001"/>
    <n v="5650.72"/>
    <n v="33"/>
    <s v="Food"/>
    <n v="3831.09"/>
    <n v="3908.37"/>
    <s v="New"/>
    <n v="0.28999999999999998"/>
    <s v="Cash"/>
    <s v="Retail"/>
    <s v="High"/>
  </r>
  <r>
    <n v="1061"/>
    <s v="Laptop"/>
    <d v="2023-03-13T00:00:00"/>
    <s v="Bob"/>
    <s v="Michael Smith"/>
    <s v="South"/>
    <n v="0.05"/>
    <n v="316.07100000000003"/>
    <n v="6321.42"/>
    <n v="11"/>
    <s v="Clothing"/>
    <n v="2594.71"/>
    <n v="2769.52"/>
    <s v="Returning"/>
    <n v="0.01"/>
    <s v="Bank Transfer"/>
    <s v="Retail"/>
    <s v="High"/>
  </r>
  <r>
    <n v="1019"/>
    <s v="Apple"/>
    <d v="2023-05-28T00:00:00"/>
    <s v="Alice"/>
    <s v="Scott Wayne"/>
    <s v="East"/>
    <n v="0.06"/>
    <n v="415.04699999999997"/>
    <n v="6917.45"/>
    <n v="28"/>
    <s v="Furniture"/>
    <n v="3907.86"/>
    <n v="4205.37"/>
    <s v="New"/>
    <n v="0.09"/>
    <s v="Credit Card"/>
    <s v="Online"/>
    <s v="High"/>
  </r>
  <r>
    <n v="1076"/>
    <s v="Polo Shirt"/>
    <d v="2023-12-15T00:00:00"/>
    <s v="Bob"/>
    <s v="Michael Smith"/>
    <s v="West"/>
    <n v="0.08"/>
    <n v="208.59200000000001"/>
    <n v="2607.4"/>
    <n v="32"/>
    <s v="Food"/>
    <n v="2636.36"/>
    <n v="2696.78"/>
    <s v="New"/>
    <n v="0.09"/>
    <s v="Cash"/>
    <s v="Retail"/>
    <s v="Low"/>
  </r>
  <r>
    <n v="1009"/>
    <s v="Jacket"/>
    <d v="2023-03-04T00:00:00"/>
    <s v="David"/>
    <s v="Hogan Rock"/>
    <s v="East"/>
    <n v="0.06"/>
    <n v="11.927399999999999"/>
    <n v="198.79"/>
    <n v="1"/>
    <s v="Clothing"/>
    <n v="3223.07"/>
    <n v="3590.83"/>
    <s v="New"/>
    <n v="0.19"/>
    <s v="Bank Transfer"/>
    <s v="Retail"/>
    <s v="Low"/>
  </r>
  <r>
    <n v="1071"/>
    <s v="Game Table"/>
    <d v="2023-11-06T00:00:00"/>
    <s v="David"/>
    <s v="Hogan Rock"/>
    <s v="North"/>
    <n v="7.4999999999999997E-2"/>
    <n v="544.65674999999999"/>
    <n v="7262.09"/>
    <n v="47"/>
    <s v="Food"/>
    <n v="3942.34"/>
    <n v="4142.09"/>
    <s v="Returning"/>
    <n v="0.03"/>
    <s v="Credit Card"/>
    <s v="Retail"/>
    <s v="High"/>
  </r>
  <r>
    <n v="1028"/>
    <s v="Pyjamas"/>
    <d v="2023-08-31T00:00:00"/>
    <s v="Eve"/>
    <s v="Tracy Moore"/>
    <s v="North"/>
    <n v="7.4999999999999997E-2"/>
    <n v="405.22499999999997"/>
    <n v="5403"/>
    <n v="28"/>
    <s v="Furniture"/>
    <n v="2055.2800000000002"/>
    <n v="2449.64"/>
    <s v="New"/>
    <n v="0.19"/>
    <s v="Credit Card"/>
    <s v="Online"/>
    <s v="High"/>
  </r>
  <r>
    <n v="1078"/>
    <s v="Kitchen Island"/>
    <d v="2024-01-01T00:00:00"/>
    <s v="David"/>
    <s v="Hogan Rock"/>
    <s v="East"/>
    <n v="0.06"/>
    <n v="502.65419999999995"/>
    <n v="8377.57"/>
    <n v="42"/>
    <s v="Food"/>
    <n v="63.41"/>
    <n v="314.93"/>
    <s v="Returning"/>
    <n v="0.03"/>
    <s v="Cash"/>
    <s v="Retail"/>
    <s v="High"/>
  </r>
  <r>
    <n v="1095"/>
    <s v="Bluetooth Speaker"/>
    <d v="2023-11-26T00:00:00"/>
    <s v="Charlie"/>
    <s v="Susan Jerkins"/>
    <s v="West"/>
    <n v="0.08"/>
    <n v="658.53920000000005"/>
    <n v="8231.74"/>
    <n v="7"/>
    <s v="Food"/>
    <n v="4257.24"/>
    <n v="4355.87"/>
    <s v="Returning"/>
    <n v="0.03"/>
    <s v="Bank Transfer"/>
    <s v="Online"/>
    <s v="High"/>
  </r>
  <r>
    <n v="1052"/>
    <s v="Wooden Chair"/>
    <d v="2023-04-17T00:00:00"/>
    <s v="Alice"/>
    <s v="Scott Wayne"/>
    <s v="South"/>
    <n v="0.05"/>
    <n v="422.44650000000001"/>
    <n v="8448.93"/>
    <n v="2"/>
    <s v="Food"/>
    <n v="1935.41"/>
    <n v="2305.44"/>
    <s v="Returning"/>
    <n v="0.22"/>
    <s v="Credit Card"/>
    <s v="Online"/>
    <s v="High"/>
  </r>
  <r>
    <n v="1083"/>
    <s v="Nightstand"/>
    <d v="2023-08-14T00:00:00"/>
    <s v="Eve"/>
    <s v="Tracy Moore"/>
    <s v="West"/>
    <n v="0.08"/>
    <n v="392.1952"/>
    <n v="4902.4399999999996"/>
    <n v="42"/>
    <s v="Clothing"/>
    <n v="2505.41"/>
    <n v="2638.96"/>
    <s v="New"/>
    <n v="0.1"/>
    <s v="Bank Transfer"/>
    <s v="Online"/>
    <s v="Low"/>
  </r>
  <r>
    <n v="1016"/>
    <s v="Washing Machine"/>
    <d v="2023-11-09T00:00:00"/>
    <s v="Charlie"/>
    <s v="Susan Jerkins"/>
    <s v="South"/>
    <n v="0.05"/>
    <n v="170.14600000000002"/>
    <n v="3402.92"/>
    <n v="24"/>
    <s v="Furniture"/>
    <n v="88.44"/>
    <n v="338.94"/>
    <s v="New"/>
    <n v="0.28999999999999998"/>
    <s v="Cash"/>
    <s v="Online"/>
    <s v="Low"/>
  </r>
  <r>
    <n v="1069"/>
    <s v="Suit"/>
    <d v="2023-08-06T00:00:00"/>
    <s v="Bob"/>
    <s v="Michael Smith"/>
    <s v="North"/>
    <n v="7.4999999999999997E-2"/>
    <n v="595.23225000000002"/>
    <n v="7936.43"/>
    <n v="4"/>
    <s v="Electronics"/>
    <n v="2485.86"/>
    <n v="2532.87"/>
    <s v="New"/>
    <n v="0.01"/>
    <s v="Credit Card"/>
    <s v="Online"/>
    <s v="High"/>
  </r>
  <r>
    <n v="1099"/>
    <s v="Chest"/>
    <d v="2023-08-29T00:00:00"/>
    <s v="Alice"/>
    <s v="Scott Wayne"/>
    <s v="West"/>
    <n v="0.08"/>
    <n v="365.42480000000006"/>
    <n v="4567.8100000000004"/>
    <n v="44"/>
    <s v="Clothing"/>
    <n v="4933.1099999999997"/>
    <n v="5245.86"/>
    <s v="Returning"/>
    <n v="0.13"/>
    <s v="Bank Transfer"/>
    <s v="Retail"/>
    <s v="Low"/>
  </r>
  <r>
    <n v="1012"/>
    <s v="Cabinet"/>
    <d v="2023-09-16T00:00:00"/>
    <s v="David"/>
    <s v="Hogan Rock"/>
    <s v="South"/>
    <n v="0.05"/>
    <n v="95.804000000000002"/>
    <n v="1916.08"/>
    <n v="19"/>
    <s v="Electronics"/>
    <n v="1427.42"/>
    <n v="1763.69"/>
    <s v="New"/>
    <n v="0.03"/>
    <s v="Cash"/>
    <s v="Retail"/>
    <s v="Low"/>
  </r>
  <r>
    <n v="1025"/>
    <s v="Mayonnaise"/>
    <d v="2023-09-19T00:00:00"/>
    <s v="Alice"/>
    <s v="Scott Wayne"/>
    <s v="East"/>
    <n v="0.06"/>
    <n v="513.85439999999994"/>
    <n v="8564.24"/>
    <n v="26"/>
    <s v="Electronics"/>
    <n v="2007.32"/>
    <n v="2202.87"/>
    <s v="Returning"/>
    <n v="0.11"/>
    <s v="Cash"/>
    <s v="Online"/>
    <s v="High"/>
  </r>
  <r>
    <n v="1052"/>
    <s v="Wooden Chair"/>
    <d v="2023-01-05T00:00:00"/>
    <s v="Bob"/>
    <s v="Michael Smith"/>
    <s v="North"/>
    <n v="7.4999999999999997E-2"/>
    <n v="662.80049999999994"/>
    <n v="8837.34"/>
    <n v="11"/>
    <s v="Clothing"/>
    <n v="3451.59"/>
    <n v="3929.26"/>
    <s v="New"/>
    <n v="0.3"/>
    <s v="Credit Card"/>
    <s v="Retail"/>
    <s v="High"/>
  </r>
  <r>
    <n v="1085"/>
    <s v="Settee"/>
    <d v="2023-09-18T00:00:00"/>
    <s v="Eve"/>
    <s v="Tracy Moore"/>
    <s v="East"/>
    <n v="0.06"/>
    <n v="282.98820000000001"/>
    <n v="4716.47"/>
    <n v="40"/>
    <s v="Clothing"/>
    <n v="4083.23"/>
    <n v="4521.57"/>
    <s v="New"/>
    <n v="0.27"/>
    <s v="Bank Transfer"/>
    <s v="Retail"/>
    <s v="Low"/>
  </r>
  <r>
    <n v="1100"/>
    <s v="Protein Cookies"/>
    <d v="2023-02-23T00:00:00"/>
    <s v="Eve"/>
    <s v="Tracy Moore"/>
    <s v="North"/>
    <n v="7.4999999999999997E-2"/>
    <n v="63.707249999999995"/>
    <n v="849.43"/>
    <n v="43"/>
    <s v="Furniture"/>
    <n v="2116.09"/>
    <n v="2472.98"/>
    <s v="New"/>
    <n v="0.01"/>
    <s v="Credit Card"/>
    <s v="Retail"/>
    <s v="Low"/>
  </r>
  <r>
    <n v="1053"/>
    <s v="Bed"/>
    <d v="2023-02-16T00:00:00"/>
    <s v="Eve"/>
    <s v="Tracy Moore"/>
    <s v="West"/>
    <n v="0.08"/>
    <n v="315.15840000000003"/>
    <n v="3939.48"/>
    <n v="11"/>
    <s v="Furniture"/>
    <n v="1582.86"/>
    <n v="1942.55"/>
    <s v="New"/>
    <n v="0.17"/>
    <s v="Credit Card"/>
    <s v="Retail"/>
    <s v="Low"/>
  </r>
  <r>
    <n v="1023"/>
    <s v="Tights"/>
    <d v="2023-08-03T00:00:00"/>
    <s v="David"/>
    <s v="Hogan Rock"/>
    <s v="West"/>
    <n v="0.08"/>
    <n v="644.40160000000003"/>
    <n v="8055.02"/>
    <n v="45"/>
    <s v="Food"/>
    <n v="4692.24"/>
    <n v="4825.92"/>
    <s v="Returning"/>
    <n v="0.19"/>
    <s v="Bank Transfer"/>
    <s v="Retail"/>
    <s v="High"/>
  </r>
  <r>
    <n v="1016"/>
    <s v="Washing Machine"/>
    <d v="2023-06-26T00:00:00"/>
    <s v="Charlie"/>
    <s v="Susan Jerkins"/>
    <s v="North"/>
    <n v="7.4999999999999997E-2"/>
    <n v="677.06699999999989"/>
    <n v="9027.56"/>
    <n v="3"/>
    <s v="Electronics"/>
    <n v="3401.87"/>
    <n v="3733.71"/>
    <s v="Returning"/>
    <n v="0.06"/>
    <s v="Bank Transfer"/>
    <s v="Retail"/>
    <s v="High"/>
  </r>
  <r>
    <n v="1057"/>
    <s v="Avocadro Pear"/>
    <d v="2023-01-09T00:00:00"/>
    <s v="Charlie"/>
    <s v="Susan Jerkins"/>
    <s v="North"/>
    <n v="7.4999999999999997E-2"/>
    <n v="158.57849999999999"/>
    <n v="2114.38"/>
    <n v="12"/>
    <s v="Furniture"/>
    <n v="639.16"/>
    <n v="746.28"/>
    <s v="Returning"/>
    <n v="0.04"/>
    <s v="Bank Transfer"/>
    <s v="Retail"/>
    <s v="Low"/>
  </r>
  <r>
    <n v="1039"/>
    <s v="Hoodie"/>
    <d v="2023-04-09T00:00:00"/>
    <s v="Alice"/>
    <s v="Scott Wayne"/>
    <s v="North"/>
    <n v="7.4999999999999997E-2"/>
    <n v="57.227999999999994"/>
    <n v="763.04"/>
    <n v="3"/>
    <s v="Food"/>
    <n v="391.19"/>
    <n v="471.75"/>
    <s v="Returning"/>
    <n v="0.27"/>
    <s v="Cash"/>
    <s v="Online"/>
    <s v="Low"/>
  </r>
  <r>
    <n v="1053"/>
    <s v="Bed"/>
    <d v="2023-01-20T00:00:00"/>
    <s v="David"/>
    <s v="Hogan Rock"/>
    <s v="West"/>
    <n v="0.08"/>
    <n v="702.86160000000007"/>
    <n v="8785.77"/>
    <n v="42"/>
    <s v="Furniture"/>
    <n v="2443.5700000000002"/>
    <n v="2943.31"/>
    <s v="New"/>
    <n v="0.28999999999999998"/>
    <s v="Cash"/>
    <s v="Online"/>
    <s v="High"/>
  </r>
  <r>
    <n v="1042"/>
    <s v="Frozen Pizza"/>
    <d v="2023-08-29T00:00:00"/>
    <s v="Eve"/>
    <s v="Tracy Moore"/>
    <s v="South"/>
    <n v="0.05"/>
    <n v="197.75550000000001"/>
    <n v="3955.11"/>
    <n v="27"/>
    <s v="Clothing"/>
    <n v="1139.45"/>
    <n v="1454.41"/>
    <s v="Returning"/>
    <n v="0.3"/>
    <s v="Bank Transfer"/>
    <s v="Online"/>
    <s v="Low"/>
  </r>
  <r>
    <n v="1058"/>
    <s v="Wardrobe"/>
    <d v="2023-03-02T00:00:00"/>
    <s v="Eve"/>
    <s v="Tracy Moore"/>
    <s v="East"/>
    <n v="0.06"/>
    <n v="327.80580000000003"/>
    <n v="5463.43"/>
    <n v="49"/>
    <s v="Furniture"/>
    <n v="1307.22"/>
    <n v="1528.4"/>
    <s v="Returning"/>
    <n v="0.24"/>
    <s v="Cash"/>
    <s v="Retail"/>
    <s v="High"/>
  </r>
  <r>
    <n v="1039"/>
    <s v="Hoodie"/>
    <d v="2023-06-27T00:00:00"/>
    <s v="Bob"/>
    <s v="Michael Smith"/>
    <s v="East"/>
    <n v="0.06"/>
    <n v="581.03099999999995"/>
    <n v="9683.85"/>
    <n v="2"/>
    <s v="Electronics"/>
    <n v="4394.58"/>
    <n v="4545.78"/>
    <s v="Returning"/>
    <n v="0.2"/>
    <s v="Credit Card"/>
    <s v="Retail"/>
    <s v="High"/>
  </r>
  <r>
    <n v="1014"/>
    <s v="Cheese Block"/>
    <d v="2023-12-04T00:00:00"/>
    <s v="Bob"/>
    <s v="Michael Smith"/>
    <s v="West"/>
    <n v="0.08"/>
    <n v="60.719200000000001"/>
    <n v="758.99"/>
    <n v="49"/>
    <s v="Furniture"/>
    <n v="493.35"/>
    <n v="799.27"/>
    <s v="New"/>
    <n v="0.1"/>
    <s v="Bank Transfer"/>
    <s v="Online"/>
    <s v="Low"/>
  </r>
  <r>
    <n v="1095"/>
    <s v="Bluetooth Speaker"/>
    <d v="2023-03-03T00:00:00"/>
    <s v="Eve"/>
    <s v="Tracy Moore"/>
    <s v="East"/>
    <n v="0.06"/>
    <n v="391.101"/>
    <n v="6518.35"/>
    <n v="16"/>
    <s v="Electronics"/>
    <n v="3591.05"/>
    <n v="3625.35"/>
    <s v="Returning"/>
    <n v="0.05"/>
    <s v="Credit Card"/>
    <s v="Retail"/>
    <s v="High"/>
  </r>
  <r>
    <n v="1005"/>
    <s v="Smart Phone"/>
    <d v="2023-05-25T00:00:00"/>
    <s v="Eve"/>
    <s v="Tracy Moore"/>
    <s v="North"/>
    <n v="7.4999999999999997E-2"/>
    <n v="62.522999999999996"/>
    <n v="833.64"/>
    <n v="2"/>
    <s v="Clothing"/>
    <n v="1392.15"/>
    <n v="1448.54"/>
    <s v="Returning"/>
    <n v="0.02"/>
    <s v="Bank Transfer"/>
    <s v="Retail"/>
    <s v="Low"/>
  </r>
  <r>
    <n v="1035"/>
    <s v="Doughnut"/>
    <d v="2023-08-04T00:00:00"/>
    <s v="David"/>
    <s v="Hogan Rock"/>
    <s v="South"/>
    <n v="0.05"/>
    <n v="190.857"/>
    <n v="3817.14"/>
    <n v="30"/>
    <s v="Electronics"/>
    <n v="3813.62"/>
    <n v="3839.72"/>
    <s v="New"/>
    <n v="0.21"/>
    <s v="Credit Card"/>
    <s v="Online"/>
    <s v="Low"/>
  </r>
  <r>
    <n v="1087"/>
    <s v="Sofa Set"/>
    <d v="2023-01-03T00:00:00"/>
    <s v="Charlie"/>
    <s v="Susan Jerkins"/>
    <s v="East"/>
    <n v="0.06"/>
    <n v="483.46559999999999"/>
    <n v="8057.76"/>
    <n v="20"/>
    <s v="Furniture"/>
    <n v="3625.94"/>
    <n v="3880.53"/>
    <s v="New"/>
    <n v="0.24"/>
    <s v="Bank Transfer"/>
    <s v="Online"/>
    <s v="High"/>
  </r>
  <r>
    <n v="1093"/>
    <s v="Dining Table"/>
    <d v="2023-06-09T00:00:00"/>
    <s v="Bob"/>
    <s v="Michael Smith"/>
    <s v="South"/>
    <n v="0.05"/>
    <n v="219.56900000000002"/>
    <n v="4391.38"/>
    <n v="38"/>
    <s v="Food"/>
    <n v="86.59"/>
    <n v="390.89"/>
    <s v="Returning"/>
    <n v="0.25"/>
    <s v="Credit Card"/>
    <s v="Online"/>
    <s v="Low"/>
  </r>
  <r>
    <n v="1075"/>
    <s v="Bookshelf"/>
    <d v="2023-08-15T00:00:00"/>
    <s v="Charlie"/>
    <s v="Susan Jerkins"/>
    <s v="North"/>
    <n v="7.4999999999999997E-2"/>
    <n v="747.90825000000007"/>
    <n v="9972.11"/>
    <n v="28"/>
    <s v="Clothing"/>
    <n v="2570.2199999999998"/>
    <n v="2610.8399999999901"/>
    <s v="Returning"/>
    <n v="0.27"/>
    <s v="Bank Transfer"/>
    <s v="Retail"/>
    <s v="High"/>
  </r>
  <r>
    <n v="1018"/>
    <s v="Dress Shirt"/>
    <d v="2023-09-26T00:00:00"/>
    <s v="David"/>
    <s v="Hogan Rock"/>
    <s v="East"/>
    <n v="0.06"/>
    <n v="338.08139999999997"/>
    <n v="5634.69"/>
    <n v="25"/>
    <s v="Furniture"/>
    <n v="739.63"/>
    <n v="1103.03"/>
    <s v="New"/>
    <n v="0.26"/>
    <s v="Bank Transfer"/>
    <s v="Retail"/>
    <s v="High"/>
  </r>
  <r>
    <n v="1076"/>
    <s v="Polo Shirt"/>
    <d v="2023-04-30T00:00:00"/>
    <s v="Eve"/>
    <s v="Tracy Moore"/>
    <s v="West"/>
    <n v="0.08"/>
    <n v="262.36080000000004"/>
    <n v="3279.51"/>
    <n v="32"/>
    <s v="Clothing"/>
    <n v="4337.82"/>
    <n v="4460.71"/>
    <s v="Returning"/>
    <n v="0.3"/>
    <s v="Cash"/>
    <s v="Retail"/>
    <s v="Low"/>
  </r>
  <r>
    <n v="1009"/>
    <s v="Jacket"/>
    <d v="2023-03-30T00:00:00"/>
    <s v="Charlie"/>
    <s v="Susan Jerkins"/>
    <s v="South"/>
    <n v="0.05"/>
    <n v="113.955"/>
    <n v="2279.1"/>
    <n v="10"/>
    <s v="Clothing"/>
    <n v="4364.3500000000004"/>
    <n v="4710.1000000000004"/>
    <s v="New"/>
    <n v="7.0000000000000007E-2"/>
    <s v="Credit Card"/>
    <s v="Online"/>
    <s v="Low"/>
  </r>
  <r>
    <n v="1074"/>
    <s v="French Fries"/>
    <d v="2023-11-25T00:00:00"/>
    <s v="Eve"/>
    <s v="Tracy Moore"/>
    <s v="North"/>
    <n v="7.4999999999999997E-2"/>
    <n v="267.76125000000002"/>
    <n v="3570.15"/>
    <n v="42"/>
    <s v="Furniture"/>
    <n v="2120.81"/>
    <n v="2611.94"/>
    <s v="Returning"/>
    <n v="0.23"/>
    <s v="Cash"/>
    <s v="Online"/>
    <s v="Low"/>
  </r>
  <r>
    <n v="1058"/>
    <s v="Wardrobe"/>
    <d v="2023-03-09T00:00:00"/>
    <s v="Eve"/>
    <s v="Tracy Moore"/>
    <s v="South"/>
    <n v="0.05"/>
    <n v="189.404"/>
    <n v="3788.08"/>
    <n v="40"/>
    <s v="Furniture"/>
    <n v="2249.7600000000002"/>
    <n v="2598.4"/>
    <s v="Returning"/>
    <n v="0.18"/>
    <s v="Credit Card"/>
    <s v="Retail"/>
    <s v="Low"/>
  </r>
  <r>
    <n v="1017"/>
    <s v="Peaches"/>
    <d v="2023-12-23T00:00:00"/>
    <s v="Alice"/>
    <s v="Scott Wayne"/>
    <s v="East"/>
    <n v="0.06"/>
    <n v="46.816199999999995"/>
    <n v="780.27"/>
    <n v="33"/>
    <s v="Food"/>
    <n v="1551.25"/>
    <n v="1994.01"/>
    <s v="Returning"/>
    <n v="0.08"/>
    <s v="Cash"/>
    <s v="Online"/>
    <s v="Low"/>
  </r>
  <r>
    <n v="1007"/>
    <s v="Fruit Jam"/>
    <d v="2023-04-08T00:00:00"/>
    <s v="Charlie"/>
    <s v="Susan Jerkins"/>
    <s v="East"/>
    <n v="0.06"/>
    <n v="225.52680000000001"/>
    <n v="3758.78"/>
    <n v="13"/>
    <s v="Clothing"/>
    <n v="3597.2"/>
    <n v="4071.8199999999902"/>
    <s v="Returning"/>
    <n v="0.28999999999999998"/>
    <s v="Bank Transfer"/>
    <s v="Online"/>
    <s v="Low"/>
  </r>
  <r>
    <n v="1046"/>
    <s v="Sweat Shirts"/>
    <d v="2023-09-24T00:00:00"/>
    <s v="Charlie"/>
    <s v="Susan Jerkins"/>
    <s v="West"/>
    <n v="0.08"/>
    <n v="375.67680000000001"/>
    <n v="4695.96"/>
    <n v="41"/>
    <s v="Clothing"/>
    <n v="1825.37"/>
    <n v="2073.88"/>
    <s v="Returning"/>
    <n v="0.27"/>
    <s v="Cash"/>
    <s v="Retail"/>
    <s v="Low"/>
  </r>
  <r>
    <n v="1013"/>
    <s v="Gas Cooker"/>
    <d v="2023-04-15T00:00:00"/>
    <s v="Eve"/>
    <s v="Tracy Moore"/>
    <s v="North"/>
    <n v="7.4999999999999997E-2"/>
    <n v="544.13250000000005"/>
    <n v="7255.1"/>
    <n v="42"/>
    <s v="Furniture"/>
    <n v="1375.57"/>
    <n v="1729.71"/>
    <s v="New"/>
    <n v="0.04"/>
    <s v="Cash"/>
    <s v="Online"/>
    <s v="High"/>
  </r>
  <r>
    <n v="1040"/>
    <s v="Cap"/>
    <d v="2023-11-19T00:00:00"/>
    <s v="David"/>
    <s v="Hogan Rock"/>
    <s v="North"/>
    <n v="7.4999999999999997E-2"/>
    <n v="495.12149999999997"/>
    <n v="6601.62"/>
    <n v="47"/>
    <s v="Electronics"/>
    <n v="2189.54"/>
    <n v="2617"/>
    <s v="New"/>
    <n v="0.01"/>
    <s v="Bank Transfer"/>
    <s v="Online"/>
    <s v="High"/>
  </r>
  <r>
    <n v="1042"/>
    <s v="Frozen Pizza"/>
    <d v="2023-05-03T00:00:00"/>
    <s v="Alice"/>
    <s v="Scott Wayne"/>
    <s v="West"/>
    <n v="0.08"/>
    <n v="569.3424"/>
    <n v="7116.78"/>
    <n v="37"/>
    <s v="Furniture"/>
    <n v="502.86"/>
    <n v="687.6"/>
    <s v="Returning"/>
    <n v="0.21"/>
    <s v="Cash"/>
    <s v="Online"/>
    <s v="High"/>
  </r>
  <r>
    <n v="1009"/>
    <s v="Jacket"/>
    <d v="2023-01-29T00:00:00"/>
    <s v="Eve"/>
    <s v="Tracy Moore"/>
    <s v="West"/>
    <n v="0.08"/>
    <n v="14.624000000000001"/>
    <n v="182.8"/>
    <n v="16"/>
    <s v="Clothing"/>
    <n v="3745.69"/>
    <n v="3883.77"/>
    <s v="Returning"/>
    <n v="0.18"/>
    <s v="Bank Transfer"/>
    <s v="Retail"/>
    <s v="Low"/>
  </r>
  <r>
    <n v="1050"/>
    <s v="Sneakers"/>
    <d v="2023-05-17T00:00:00"/>
    <s v="Bob"/>
    <s v="Michael Smith"/>
    <s v="North"/>
    <n v="7.4999999999999997E-2"/>
    <n v="169.11824999999999"/>
    <n v="2254.91"/>
    <n v="45"/>
    <s v="Furniture"/>
    <n v="112.35"/>
    <n v="586.17999999999995"/>
    <s v="Returning"/>
    <n v="0.28000000000000003"/>
    <s v="Credit Card"/>
    <s v="Retail"/>
    <s v="Low"/>
  </r>
  <r>
    <n v="1027"/>
    <s v="Cookies"/>
    <d v="2023-07-14T00:00:00"/>
    <s v="Bob"/>
    <s v="Michael Smith"/>
    <s v="South"/>
    <n v="0.05"/>
    <n v="332.5335"/>
    <n v="6650.67"/>
    <n v="22"/>
    <s v="Food"/>
    <n v="3240.2"/>
    <n v="3606.0899999999901"/>
    <s v="New"/>
    <n v="7.0000000000000007E-2"/>
    <s v="Cash"/>
    <s v="Online"/>
    <s v="High"/>
  </r>
  <r>
    <n v="1066"/>
    <s v="Armoire"/>
    <d v="2023-08-14T00:00:00"/>
    <s v="Alice"/>
    <s v="Scott Wayne"/>
    <s v="South"/>
    <n v="0.05"/>
    <n v="244.5745"/>
    <n v="4891.49"/>
    <n v="20"/>
    <s v="Electronics"/>
    <n v="955.18"/>
    <n v="1072.82"/>
    <s v="New"/>
    <n v="0.03"/>
    <s v="Bank Transfer"/>
    <s v="Retail"/>
    <s v="Low"/>
  </r>
  <r>
    <n v="1005"/>
    <s v="Smart Phone"/>
    <d v="2023-11-28T00:00:00"/>
    <s v="David"/>
    <s v="Hogan Rock"/>
    <s v="West"/>
    <n v="0.08"/>
    <n v="12.208"/>
    <n v="152.6"/>
    <n v="43"/>
    <s v="Furniture"/>
    <n v="1200.4000000000001"/>
    <n v="1430.45"/>
    <s v="New"/>
    <n v="0.08"/>
    <s v="Bank Transfer"/>
    <s v="Retail"/>
    <s v="Low"/>
  </r>
  <r>
    <n v="1029"/>
    <s v="Camisole"/>
    <d v="2023-06-19T00:00:00"/>
    <s v="Eve"/>
    <s v="Tracy Moore"/>
    <s v="South"/>
    <n v="0.05"/>
    <n v="403.22500000000002"/>
    <n v="8064.5"/>
    <n v="27"/>
    <s v="Food"/>
    <n v="3196.38"/>
    <n v="3596.64"/>
    <s v="New"/>
    <n v="0.01"/>
    <s v="Cash"/>
    <s v="Retail"/>
    <s v="High"/>
  </r>
  <r>
    <n v="1037"/>
    <s v="Turtleneck Top"/>
    <d v="2023-01-09T00:00:00"/>
    <s v="Charlie"/>
    <s v="Susan Jerkins"/>
    <s v="North"/>
    <n v="7.4999999999999997E-2"/>
    <n v="581.31074999999998"/>
    <n v="7750.81"/>
    <n v="41"/>
    <s v="Clothing"/>
    <n v="4965.07"/>
    <n v="5243.13"/>
    <s v="New"/>
    <n v="0.01"/>
    <s v="Credit Card"/>
    <s v="Online"/>
    <s v="High"/>
  </r>
  <r>
    <n v="1038"/>
    <s v="Jean Pants"/>
    <d v="2023-02-09T00:00:00"/>
    <s v="Alice"/>
    <s v="Scott Wayne"/>
    <s v="East"/>
    <n v="0.06"/>
    <n v="331.76100000000002"/>
    <n v="5529.35"/>
    <n v="16"/>
    <s v="Furniture"/>
    <n v="3899.7"/>
    <n v="4228.18"/>
    <s v="New"/>
    <n v="0.27"/>
    <s v="Cash"/>
    <s v="Retail"/>
    <s v="High"/>
  </r>
  <r>
    <n v="1083"/>
    <s v="Nightstand"/>
    <d v="2023-01-25T00:00:00"/>
    <s v="David"/>
    <s v="Hogan Rock"/>
    <s v="East"/>
    <n v="0.06"/>
    <n v="45.479399999999998"/>
    <n v="757.99"/>
    <n v="34"/>
    <s v="Clothing"/>
    <n v="1167.9100000000001"/>
    <n v="1547.26"/>
    <s v="New"/>
    <n v="0.11"/>
    <s v="Bank Transfer"/>
    <s v="Online"/>
    <s v="Low"/>
  </r>
  <r>
    <n v="1008"/>
    <s v="Skirt"/>
    <d v="2023-09-18T00:00:00"/>
    <s v="Charlie"/>
    <s v="Susan Jerkins"/>
    <s v="South"/>
    <n v="0.05"/>
    <n v="384.42500000000001"/>
    <n v="7688.5"/>
    <n v="32"/>
    <s v="Food"/>
    <n v="921.32"/>
    <n v="1236.0999999999999"/>
    <s v="New"/>
    <n v="0.12"/>
    <s v="Credit Card"/>
    <s v="Online"/>
    <s v="High"/>
  </r>
  <r>
    <n v="1065"/>
    <s v="Potatoes"/>
    <d v="2023-08-14T00:00:00"/>
    <s v="Bob"/>
    <s v="Michael Smith"/>
    <s v="West"/>
    <n v="0.08"/>
    <n v="470.30080000000004"/>
    <n v="5878.76"/>
    <n v="26"/>
    <s v="Clothing"/>
    <n v="4337.8500000000004"/>
    <n v="4612.49"/>
    <s v="Returning"/>
    <n v="0.01"/>
    <s v="Cash"/>
    <s v="Retail"/>
    <s v="High"/>
  </r>
  <r>
    <n v="1086"/>
    <s v="Gaming Console"/>
    <d v="2023-05-04T00:00:00"/>
    <s v="Bob"/>
    <s v="Michael Smith"/>
    <s v="West"/>
    <n v="0.08"/>
    <n v="627.31200000000001"/>
    <n v="7841.4"/>
    <n v="25"/>
    <s v="Food"/>
    <n v="2248.71"/>
    <n v="2626.02"/>
    <s v="New"/>
    <n v="0.08"/>
    <s v="Bank Transfer"/>
    <s v="Online"/>
    <s v="High"/>
  </r>
  <r>
    <n v="1017"/>
    <s v="Peaches"/>
    <d v="2023-02-07T00:00:00"/>
    <s v="Charlie"/>
    <s v="Susan Jerkins"/>
    <s v="West"/>
    <n v="0.08"/>
    <n v="603.38400000000001"/>
    <n v="7542.3"/>
    <n v="2"/>
    <s v="Food"/>
    <n v="728.41"/>
    <n v="1094.92"/>
    <s v="New"/>
    <n v="0.24"/>
    <s v="Cash"/>
    <s v="Retail"/>
    <s v="High"/>
  </r>
  <r>
    <n v="1071"/>
    <s v="Game Table"/>
    <d v="2023-11-24T00:00:00"/>
    <s v="Alice"/>
    <s v="Scott Wayne"/>
    <s v="West"/>
    <n v="0.08"/>
    <n v="643.97760000000005"/>
    <n v="8049.72"/>
    <n v="12"/>
    <s v="Food"/>
    <n v="4317.95"/>
    <n v="4636.59"/>
    <s v="New"/>
    <n v="0.18"/>
    <s v="Credit Card"/>
    <s v="Retail"/>
    <s v="High"/>
  </r>
  <r>
    <n v="1089"/>
    <s v="Recliner"/>
    <d v="2023-09-08T00:00:00"/>
    <s v="Bob"/>
    <s v="Michael Smith"/>
    <s v="West"/>
    <n v="0.08"/>
    <n v="418.26240000000001"/>
    <n v="5228.28"/>
    <n v="40"/>
    <s v="Furniture"/>
    <n v="4089.66"/>
    <n v="4275.96"/>
    <s v="New"/>
    <n v="0.23"/>
    <s v="Credit Card"/>
    <s v="Online"/>
    <s v="High"/>
  </r>
  <r>
    <n v="1045"/>
    <s v="Bikers Shorts"/>
    <d v="2023-06-25T00:00:00"/>
    <s v="Eve"/>
    <s v="Tracy Moore"/>
    <s v="South"/>
    <n v="0.05"/>
    <n v="74.46050000000001"/>
    <n v="1489.21"/>
    <n v="9"/>
    <s v="Clothing"/>
    <n v="4920.34"/>
    <n v="5129.1899999999996"/>
    <s v="Returning"/>
    <n v="0.13"/>
    <s v="Credit Card"/>
    <s v="Online"/>
    <s v="Low"/>
  </r>
  <r>
    <n v="1004"/>
    <s v="Smartwatch"/>
    <d v="2023-03-31T00:00:00"/>
    <s v="Charlie"/>
    <s v="Susan Jerkins"/>
    <s v="East"/>
    <n v="0.06"/>
    <n v="404.66759999999999"/>
    <n v="6744.46"/>
    <n v="12"/>
    <s v="Clothing"/>
    <n v="4553.2299999999996"/>
    <n v="5038.74"/>
    <s v="New"/>
    <n v="0.09"/>
    <s v="Credit Card"/>
    <s v="Retail"/>
    <s v="High"/>
  </r>
  <r>
    <n v="1036"/>
    <s v="Shorts"/>
    <d v="2023-02-06T00:00:00"/>
    <s v="Charlie"/>
    <s v="Susan Jerkins"/>
    <s v="East"/>
    <n v="0.06"/>
    <n v="374.56139999999994"/>
    <n v="6242.69"/>
    <n v="26"/>
    <s v="Electronics"/>
    <n v="4266.3599999999997"/>
    <n v="4331.4299999999903"/>
    <s v="Returning"/>
    <n v="0.14000000000000001"/>
    <s v="Credit Card"/>
    <s v="Retail"/>
    <s v="High"/>
  </r>
  <r>
    <n v="1070"/>
    <s v="Hutch"/>
    <d v="2023-11-12T00:00:00"/>
    <s v="Bob"/>
    <s v="Michael Smith"/>
    <s v="South"/>
    <n v="0.05"/>
    <n v="372.41550000000007"/>
    <n v="7448.31"/>
    <n v="9"/>
    <s v="Electronics"/>
    <n v="310.24"/>
    <n v="451.81"/>
    <s v="Returning"/>
    <n v="0.1"/>
    <s v="Cash"/>
    <s v="Retail"/>
    <s v="High"/>
  </r>
  <r>
    <n v="1031"/>
    <s v="Butter"/>
    <d v="2023-06-25T00:00:00"/>
    <s v="Alice"/>
    <s v="Scott Wayne"/>
    <s v="West"/>
    <n v="0.08"/>
    <n v="142.54560000000001"/>
    <n v="1781.82"/>
    <n v="10"/>
    <s v="Electronics"/>
    <n v="566.86"/>
    <n v="818.14"/>
    <s v="Returning"/>
    <n v="0.25"/>
    <s v="Credit Card"/>
    <s v="Retail"/>
    <s v="Low"/>
  </r>
  <r>
    <n v="1019"/>
    <s v="Apple"/>
    <d v="2023-10-11T00:00:00"/>
    <s v="Eve"/>
    <s v="Tracy Moore"/>
    <s v="South"/>
    <n v="0.05"/>
    <n v="101.5125"/>
    <n v="2030.25"/>
    <n v="32"/>
    <s v="Electronics"/>
    <n v="2866.47"/>
    <n v="3286.47"/>
    <s v="New"/>
    <n v="0.09"/>
    <s v="Credit Card"/>
    <s v="Online"/>
    <s v="Low"/>
  </r>
  <r>
    <n v="1061"/>
    <s v="Laptop"/>
    <d v="2023-03-22T00:00:00"/>
    <s v="Alice"/>
    <s v="Scott Wayne"/>
    <s v="East"/>
    <n v="0.06"/>
    <n v="534.90299999999991"/>
    <n v="8915.0499999999993"/>
    <n v="34"/>
    <s v="Clothing"/>
    <n v="2680.82"/>
    <n v="2771.02"/>
    <s v="New"/>
    <n v="0.2"/>
    <s v="Bank Transfer"/>
    <s v="Online"/>
    <s v="High"/>
  </r>
  <r>
    <n v="1054"/>
    <s v="Glider"/>
    <d v="2023-04-24T00:00:00"/>
    <s v="David"/>
    <s v="Hogan Rock"/>
    <s v="North"/>
    <n v="7.4999999999999997E-2"/>
    <n v="564.35849999999994"/>
    <n v="7524.78"/>
    <n v="48"/>
    <s v="Food"/>
    <n v="2316.92"/>
    <n v="2462.63"/>
    <s v="New"/>
    <n v="0.04"/>
    <s v="Credit Card"/>
    <s v="Online"/>
    <s v="High"/>
  </r>
  <r>
    <n v="1039"/>
    <s v="Hoodie"/>
    <d v="2023-02-09T00:00:00"/>
    <s v="David"/>
    <s v="Hogan Rock"/>
    <s v="South"/>
    <n v="0.05"/>
    <n v="454.57299999999998"/>
    <n v="9091.4599999999991"/>
    <n v="20"/>
    <s v="Food"/>
    <n v="2014.11"/>
    <n v="2056.35"/>
    <s v="Returning"/>
    <n v="0.21"/>
    <s v="Bank Transfer"/>
    <s v="Retail"/>
    <s v="High"/>
  </r>
  <r>
    <n v="1091"/>
    <s v="Granola Bar"/>
    <d v="2023-10-28T00:00:00"/>
    <s v="Bob"/>
    <s v="Michael Smith"/>
    <s v="West"/>
    <n v="0.08"/>
    <n v="608.90239999999994"/>
    <n v="7611.28"/>
    <n v="39"/>
    <s v="Furniture"/>
    <n v="2184.4899999999998"/>
    <n v="2540.4199999999901"/>
    <s v="Returning"/>
    <n v="0.27"/>
    <s v="Bank Transfer"/>
    <s v="Online"/>
    <s v="High"/>
  </r>
  <r>
    <n v="1074"/>
    <s v="French Fries"/>
    <d v="2023-08-12T00:00:00"/>
    <s v="Bob"/>
    <s v="Michael Smith"/>
    <s v="East"/>
    <n v="0.06"/>
    <n v="360.71039999999999"/>
    <n v="6011.84"/>
    <n v="2"/>
    <s v="Food"/>
    <n v="2868.02"/>
    <n v="2994.74"/>
    <s v="Returning"/>
    <n v="0.18"/>
    <s v="Bank Transfer"/>
    <s v="Online"/>
    <s v="High"/>
  </r>
  <r>
    <n v="1090"/>
    <s v="Keyboard"/>
    <d v="2023-11-14T00:00:00"/>
    <s v="Bob"/>
    <s v="Michael Smith"/>
    <s v="East"/>
    <n v="0.06"/>
    <n v="394.55459999999999"/>
    <n v="6575.91"/>
    <n v="1"/>
    <s v="Clothing"/>
    <n v="60.28"/>
    <n v="260.73"/>
    <s v="Returning"/>
    <n v="0.17"/>
    <s v="Cash"/>
    <s v="Online"/>
    <s v="High"/>
  </r>
  <r>
    <n v="1019"/>
    <s v="Apple"/>
    <d v="2023-12-15T00:00:00"/>
    <s v="David"/>
    <s v="Hogan Rock"/>
    <s v="East"/>
    <n v="0.06"/>
    <n v="534.1422"/>
    <n v="8902.3700000000008"/>
    <n v="36"/>
    <s v="Clothing"/>
    <n v="1340.51"/>
    <n v="1567.92"/>
    <s v="New"/>
    <n v="0.28999999999999998"/>
    <s v="Cash"/>
    <s v="Online"/>
    <s v="High"/>
  </r>
  <r>
    <n v="1039"/>
    <s v="Hoodie"/>
    <d v="2023-04-25T00:00:00"/>
    <s v="Alice"/>
    <s v="Scott Wayne"/>
    <s v="East"/>
    <n v="0.06"/>
    <n v="349.81139999999994"/>
    <n v="5830.19"/>
    <n v="24"/>
    <s v="Clothing"/>
    <n v="2615.48"/>
    <n v="3062.22"/>
    <s v="New"/>
    <n v="0.19"/>
    <s v="Bank Transfer"/>
    <s v="Retail"/>
    <s v="High"/>
  </r>
  <r>
    <n v="1067"/>
    <s v="Grapes"/>
    <d v="2023-07-05T00:00:00"/>
    <s v="Alice"/>
    <s v="Scott Wayne"/>
    <s v="West"/>
    <n v="0.08"/>
    <n v="508.85360000000003"/>
    <n v="6360.67"/>
    <n v="27"/>
    <s v="Furniture"/>
    <n v="3624.97"/>
    <n v="3836.52"/>
    <s v="New"/>
    <n v="0.08"/>
    <s v="Cash"/>
    <s v="Online"/>
    <s v="High"/>
  </r>
  <r>
    <n v="1045"/>
    <s v="Bikers Shorts"/>
    <d v="2023-11-19T00:00:00"/>
    <s v="Bob"/>
    <s v="Michael Smith"/>
    <s v="North"/>
    <n v="7.4999999999999997E-2"/>
    <n v="123.68399999999998"/>
    <n v="1649.12"/>
    <n v="2"/>
    <s v="Electronics"/>
    <n v="912.08"/>
    <n v="993.24"/>
    <s v="Returning"/>
    <n v="0.09"/>
    <s v="Credit Card"/>
    <s v="Online"/>
    <s v="Low"/>
  </r>
  <r>
    <n v="1013"/>
    <s v="Gas Cooker"/>
    <d v="2023-02-25T00:00:00"/>
    <s v="Eve"/>
    <s v="Tracy Moore"/>
    <s v="East"/>
    <n v="0.06"/>
    <n v="287.50919999999996"/>
    <n v="4791.82"/>
    <n v="31"/>
    <s v="Food"/>
    <n v="2757.06"/>
    <n v="3023.97"/>
    <s v="Returning"/>
    <n v="0.21"/>
    <s v="Cash"/>
    <s v="Online"/>
    <s v="Low"/>
  </r>
  <r>
    <n v="1092"/>
    <s v="Recliner"/>
    <d v="2023-02-09T00:00:00"/>
    <s v="Alice"/>
    <s v="Scott Wayne"/>
    <s v="South"/>
    <n v="0.05"/>
    <n v="359.61650000000003"/>
    <n v="7192.33"/>
    <n v="14"/>
    <s v="Clothing"/>
    <n v="3586.58"/>
    <n v="4068.43"/>
    <s v="New"/>
    <n v="0.22"/>
    <s v="Credit Card"/>
    <s v="Online"/>
    <s v="High"/>
  </r>
  <r>
    <n v="1058"/>
    <s v="Wardrobe"/>
    <d v="2023-12-20T00:00:00"/>
    <s v="David"/>
    <s v="Hogan Rock"/>
    <s v="North"/>
    <n v="7.4999999999999997E-2"/>
    <n v="208.67474999999999"/>
    <n v="2782.33"/>
    <n v="2"/>
    <s v="Clothing"/>
    <n v="2250.91"/>
    <n v="2558.6799999999998"/>
    <s v="New"/>
    <n v="0.09"/>
    <s v="Credit Card"/>
    <s v="Retail"/>
    <s v="Low"/>
  </r>
  <r>
    <n v="1020"/>
    <s v="Apron"/>
    <d v="2023-02-09T00:00:00"/>
    <s v="Charlie"/>
    <s v="Susan Jerkins"/>
    <s v="East"/>
    <n v="0.06"/>
    <n v="126.1392"/>
    <n v="2102.3200000000002"/>
    <n v="29"/>
    <s v="Electronics"/>
    <n v="184.05"/>
    <n v="675.91"/>
    <s v="Returning"/>
    <n v="0.1"/>
    <s v="Cash"/>
    <s v="Retail"/>
    <s v="Low"/>
  </r>
  <r>
    <n v="1092"/>
    <s v="Recliner"/>
    <d v="2023-12-13T00:00:00"/>
    <s v="Charlie"/>
    <s v="Susan Jerkins"/>
    <s v="North"/>
    <n v="7.4999999999999997E-2"/>
    <n v="240.51674999999997"/>
    <n v="3206.89"/>
    <n v="15"/>
    <s v="Clothing"/>
    <n v="2273.88"/>
    <n v="2696.02"/>
    <s v="New"/>
    <n v="0.3"/>
    <s v="Cash"/>
    <s v="Online"/>
    <s v="Low"/>
  </r>
  <r>
    <n v="1072"/>
    <s v="T-Shirt"/>
    <d v="2023-08-25T00:00:00"/>
    <s v="Charlie"/>
    <s v="Susan Jerkins"/>
    <s v="South"/>
    <n v="0.05"/>
    <n v="124.54300000000001"/>
    <n v="2490.86"/>
    <n v="12"/>
    <s v="Food"/>
    <n v="1517.4"/>
    <n v="1545.02"/>
    <s v="New"/>
    <n v="0.03"/>
    <s v="Bank Transfer"/>
    <s v="Retail"/>
    <s v="Low"/>
  </r>
  <r>
    <n v="1061"/>
    <s v="Laptop"/>
    <d v="2023-10-16T00:00:00"/>
    <s v="Eve"/>
    <s v="Tracy Moore"/>
    <s v="East"/>
    <n v="0.06"/>
    <n v="133.6584"/>
    <n v="2227.64"/>
    <n v="37"/>
    <s v="Furniture"/>
    <n v="4651.7700000000004"/>
    <n v="4984.3900000000003"/>
    <s v="Returning"/>
    <n v="0.12"/>
    <s v="Cash"/>
    <s v="Retail"/>
    <s v="Low"/>
  </r>
  <r>
    <n v="1039"/>
    <s v="Hoodie"/>
    <d v="2023-09-19T00:00:00"/>
    <s v="Bob"/>
    <s v="Michael Smith"/>
    <s v="South"/>
    <n v="0.05"/>
    <n v="215.30100000000004"/>
    <n v="4306.0200000000004"/>
    <n v="28"/>
    <s v="Clothing"/>
    <n v="666.84"/>
    <n v="817.36"/>
    <s v="Returning"/>
    <n v="0.02"/>
    <s v="Cash"/>
    <s v="Retail"/>
    <s v="Low"/>
  </r>
  <r>
    <n v="1001"/>
    <s v="Camera"/>
    <d v="2023-08-04T00:00:00"/>
    <s v="David"/>
    <s v="Hogan Rock"/>
    <s v="West"/>
    <n v="0.08"/>
    <n v="727.00800000000004"/>
    <n v="9087.6"/>
    <n v="20"/>
    <s v="Food"/>
    <n v="3279.76"/>
    <n v="3563.97"/>
    <s v="Returning"/>
    <n v="0.25"/>
    <s v="Cash"/>
    <s v="Retail"/>
    <s v="High"/>
  </r>
  <r>
    <n v="1003"/>
    <s v="Stool"/>
    <d v="2023-05-27T00:00:00"/>
    <s v="Eve"/>
    <s v="Tracy Moore"/>
    <s v="East"/>
    <n v="0.06"/>
    <n v="307.1934"/>
    <n v="5119.8900000000003"/>
    <n v="39"/>
    <s v="Clothing"/>
    <n v="310.95999999999998"/>
    <n v="457.84"/>
    <s v="New"/>
    <n v="0.03"/>
    <s v="Credit Card"/>
    <s v="Online"/>
    <s v="High"/>
  </r>
  <r>
    <n v="1077"/>
    <s v="Skirt"/>
    <d v="2023-12-02T00:00:00"/>
    <s v="David"/>
    <s v="Hogan Rock"/>
    <s v="East"/>
    <n v="0.06"/>
    <n v="117.6246"/>
    <n v="1960.41"/>
    <n v="24"/>
    <s v="Electronics"/>
    <n v="2258.54"/>
    <n v="2439.4899999999998"/>
    <s v="Returning"/>
    <n v="0.2"/>
    <s v="Credit Card"/>
    <s v="Retail"/>
    <s v="Low"/>
  </r>
  <r>
    <n v="1092"/>
    <s v="Recliner"/>
    <d v="2023-06-17T00:00:00"/>
    <s v="David"/>
    <s v="Hogan Rock"/>
    <s v="East"/>
    <n v="0.06"/>
    <n v="51.721199999999996"/>
    <n v="862.02"/>
    <n v="21"/>
    <s v="Clothing"/>
    <n v="2792.2"/>
    <n v="3254.5499999999902"/>
    <s v="New"/>
    <n v="0.02"/>
    <s v="Credit Card"/>
    <s v="Retail"/>
    <s v="Low"/>
  </r>
  <r>
    <n v="1062"/>
    <s v="Boxers"/>
    <d v="2023-04-02T00:00:00"/>
    <s v="Bob"/>
    <s v="Michael Smith"/>
    <s v="East"/>
    <n v="0.06"/>
    <n v="419.517"/>
    <n v="6991.95"/>
    <n v="10"/>
    <s v="Clothing"/>
    <n v="1524.88"/>
    <n v="1636.14"/>
    <s v="New"/>
    <n v="0.2"/>
    <s v="Bank Transfer"/>
    <s v="Online"/>
    <s v="High"/>
  </r>
  <r>
    <n v="1063"/>
    <s v="Noodles"/>
    <d v="2023-12-19T00:00:00"/>
    <s v="Charlie"/>
    <s v="Susan Jerkins"/>
    <s v="West"/>
    <n v="0.08"/>
    <n v="311.17680000000001"/>
    <n v="3889.71"/>
    <n v="46"/>
    <s v="Furniture"/>
    <n v="2302.62"/>
    <n v="2740.93"/>
    <s v="Returning"/>
    <n v="0.25"/>
    <s v="Bank Transfer"/>
    <s v="Online"/>
    <s v="Low"/>
  </r>
  <r>
    <n v="1025"/>
    <s v="Mayonnaise"/>
    <d v="2023-02-28T00:00:00"/>
    <s v="Bob"/>
    <s v="Michael Smith"/>
    <s v="East"/>
    <n v="0.06"/>
    <n v="494.16779999999994"/>
    <n v="8236.1299999999992"/>
    <n v="14"/>
    <s v="Electronics"/>
    <n v="859.59"/>
    <n v="884.51"/>
    <s v="New"/>
    <n v="0.12"/>
    <s v="Bank Transfer"/>
    <s v="Online"/>
    <s v="High"/>
  </r>
  <r>
    <n v="1056"/>
    <s v="Track Suits"/>
    <d v="2023-02-28T00:00:00"/>
    <s v="Eve"/>
    <s v="Tracy Moore"/>
    <s v="North"/>
    <n v="7.4999999999999997E-2"/>
    <n v="497.18699999999995"/>
    <n v="6629.16"/>
    <n v="37"/>
    <s v="Electronics"/>
    <n v="1555.41"/>
    <n v="1609.94"/>
    <s v="Returning"/>
    <n v="0.16"/>
    <s v="Credit Card"/>
    <s v="Online"/>
    <s v="High"/>
  </r>
  <r>
    <n v="1033"/>
    <s v="TV Stand"/>
    <d v="2023-10-31T00:00:00"/>
    <s v="Eve"/>
    <s v="Tracy Moore"/>
    <s v="East"/>
    <n v="0.06"/>
    <n v="478.9674"/>
    <n v="7982.79"/>
    <n v="18"/>
    <s v="Furniture"/>
    <n v="3124.48"/>
    <n v="3553.27"/>
    <s v="Returning"/>
    <n v="0.12"/>
    <s v="Cash"/>
    <s v="Retail"/>
    <s v="High"/>
  </r>
  <r>
    <n v="1038"/>
    <s v="Jean Pants"/>
    <d v="2023-06-18T00:00:00"/>
    <s v="Eve"/>
    <s v="Tracy Moore"/>
    <s v="West"/>
    <n v="0.08"/>
    <n v="223.38159999999999"/>
    <n v="2792.27"/>
    <n v="24"/>
    <s v="Clothing"/>
    <n v="1543.91"/>
    <n v="1862.88"/>
    <s v="New"/>
    <n v="0.09"/>
    <s v="Bank Transfer"/>
    <s v="Online"/>
    <s v="Low"/>
  </r>
  <r>
    <n v="1006"/>
    <s v="Monitor"/>
    <d v="2023-09-26T00:00:00"/>
    <s v="Bob"/>
    <s v="Michael Smith"/>
    <s v="East"/>
    <n v="0.06"/>
    <n v="417.26100000000002"/>
    <n v="6954.35"/>
    <n v="14"/>
    <s v="Food"/>
    <n v="4503.7299999999996"/>
    <n v="4879.8799999999901"/>
    <s v="New"/>
    <n v="0.24"/>
    <s v="Bank Transfer"/>
    <s v="Retail"/>
    <s v="High"/>
  </r>
  <r>
    <n v="1058"/>
    <s v="Wardrobe"/>
    <d v="2023-12-29T00:00:00"/>
    <s v="David"/>
    <s v="Hogan Rock"/>
    <s v="North"/>
    <n v="7.4999999999999997E-2"/>
    <n v="203.56575000000001"/>
    <n v="2714.21"/>
    <n v="34"/>
    <s v="Electronics"/>
    <n v="3160.61"/>
    <n v="3273.22"/>
    <s v="Returning"/>
    <n v="0.08"/>
    <s v="Credit Card"/>
    <s v="Retail"/>
    <s v="Low"/>
  </r>
  <r>
    <n v="1044"/>
    <s v="Burger"/>
    <d v="2023-02-14T00:00:00"/>
    <s v="David"/>
    <s v="Hogan Rock"/>
    <s v="West"/>
    <n v="0.08"/>
    <n v="751.74240000000009"/>
    <n v="9396.7800000000007"/>
    <n v="12"/>
    <s v="Electronics"/>
    <n v="2221.31"/>
    <n v="2494.48"/>
    <s v="Returning"/>
    <n v="0.22"/>
    <s v="Bank Transfer"/>
    <s v="Online"/>
    <s v="High"/>
  </r>
  <r>
    <n v="1045"/>
    <s v="Bikers Shorts"/>
    <d v="2023-12-11T00:00:00"/>
    <s v="Alice"/>
    <s v="Scott Wayne"/>
    <s v="West"/>
    <n v="0.08"/>
    <n v="512.00879999999995"/>
    <n v="6400.11"/>
    <n v="22"/>
    <s v="Clothing"/>
    <n v="241.85"/>
    <n v="613.09"/>
    <s v="Returning"/>
    <n v="0.06"/>
    <s v="Cash"/>
    <s v="Online"/>
    <s v="High"/>
  </r>
  <r>
    <n v="1032"/>
    <s v="Refridgerator"/>
    <d v="2023-06-30T00:00:00"/>
    <s v="Eve"/>
    <s v="Tracy Moore"/>
    <s v="North"/>
    <n v="7.4999999999999997E-2"/>
    <n v="248.45024999999998"/>
    <n v="3312.67"/>
    <n v="6"/>
    <s v="Clothing"/>
    <n v="2522.7600000000002"/>
    <n v="2840.14"/>
    <s v="Returning"/>
    <n v="7.0000000000000007E-2"/>
    <s v="Credit Card"/>
    <s v="Retail"/>
    <s v="Low"/>
  </r>
  <r>
    <n v="1045"/>
    <s v="Bikers Shorts"/>
    <d v="2023-06-19T00:00:00"/>
    <s v="David"/>
    <s v="Hogan Rock"/>
    <s v="North"/>
    <n v="7.4999999999999997E-2"/>
    <n v="207.61275000000001"/>
    <n v="2768.17"/>
    <n v="36"/>
    <s v="Electronics"/>
    <n v="3835.64"/>
    <n v="4076.77"/>
    <s v="Returning"/>
    <n v="0.1"/>
    <s v="Credit Card"/>
    <s v="Retail"/>
    <s v="Low"/>
  </r>
  <r>
    <n v="1061"/>
    <s v="Laptop"/>
    <d v="2023-12-22T00:00:00"/>
    <s v="Alice"/>
    <s v="Scott Wayne"/>
    <s v="North"/>
    <n v="7.4999999999999997E-2"/>
    <n v="149.26275000000001"/>
    <n v="1990.17"/>
    <n v="45"/>
    <s v="Clothing"/>
    <n v="1364.51"/>
    <n v="1844.8"/>
    <s v="Returning"/>
    <n v="0.18"/>
    <s v="Cash"/>
    <s v="Online"/>
    <s v="Low"/>
  </r>
  <r>
    <n v="1047"/>
    <s v="Mouse"/>
    <d v="2023-07-10T00:00:00"/>
    <s v="David"/>
    <s v="Hogan Rock"/>
    <s v="North"/>
    <n v="7.4999999999999997E-2"/>
    <n v="523.27125000000001"/>
    <n v="6976.95"/>
    <n v="36"/>
    <s v="Food"/>
    <n v="4043.53"/>
    <n v="4384.8500000000004"/>
    <s v="New"/>
    <n v="0.14000000000000001"/>
    <s v="Cash"/>
    <s v="Online"/>
    <s v="High"/>
  </r>
  <r>
    <n v="1021"/>
    <s v="Almond Milk"/>
    <d v="2023-06-04T00:00:00"/>
    <s v="Eve"/>
    <s v="Tracy Moore"/>
    <s v="North"/>
    <n v="7.4999999999999997E-2"/>
    <n v="169.89600000000002"/>
    <n v="2265.2800000000002"/>
    <n v="22"/>
    <s v="Electronics"/>
    <n v="1296.44"/>
    <n v="1751.24"/>
    <s v="New"/>
    <n v="0.22"/>
    <s v="Cash"/>
    <s v="Online"/>
    <s v="Low"/>
  </r>
  <r>
    <n v="1080"/>
    <s v="Headphones"/>
    <d v="2023-07-07T00:00:00"/>
    <s v="Charlie"/>
    <s v="Susan Jerkins"/>
    <s v="West"/>
    <n v="0.08"/>
    <n v="479.48"/>
    <n v="5993.5"/>
    <n v="14"/>
    <s v="Food"/>
    <n v="4127.54"/>
    <n v="4495.13"/>
    <s v="New"/>
    <n v="0.06"/>
    <s v="Bank Transfer"/>
    <s v="Retail"/>
    <s v="High"/>
  </r>
  <r>
    <n v="1085"/>
    <s v="Settee"/>
    <d v="2023-01-07T00:00:00"/>
    <s v="Eve"/>
    <s v="Tracy Moore"/>
    <s v="West"/>
    <n v="0.08"/>
    <n v="217.59119999999999"/>
    <n v="2719.89"/>
    <n v="16"/>
    <s v="Food"/>
    <n v="472.08"/>
    <n v="842.46"/>
    <s v="New"/>
    <n v="0"/>
    <s v="Cash"/>
    <s v="Retail"/>
    <s v="Low"/>
  </r>
  <r>
    <n v="1075"/>
    <s v="Bookshelf"/>
    <d v="2023-05-13T00:00:00"/>
    <s v="Bob"/>
    <s v="Michael Smith"/>
    <s v="East"/>
    <n v="0.06"/>
    <n v="399.20939999999996"/>
    <n v="6653.49"/>
    <n v="36"/>
    <s v="Clothing"/>
    <n v="4337.6099999999997"/>
    <n v="4386.82"/>
    <s v="Returning"/>
    <n v="0.23"/>
    <s v="Credit Card"/>
    <s v="Online"/>
    <s v="High"/>
  </r>
  <r>
    <n v="1036"/>
    <s v="Shorts"/>
    <d v="2023-08-23T00:00:00"/>
    <s v="David"/>
    <s v="Hogan Rock"/>
    <s v="East"/>
    <n v="0.06"/>
    <n v="490.07399999999996"/>
    <n v="8167.9"/>
    <n v="25"/>
    <s v="Food"/>
    <n v="2520.9699999999998"/>
    <n v="2707.1099999999901"/>
    <s v="New"/>
    <n v="0.25"/>
    <s v="Cash"/>
    <s v="Retail"/>
    <s v="High"/>
  </r>
  <r>
    <n v="1099"/>
    <s v="Chest"/>
    <d v="2023-02-14T00:00:00"/>
    <s v="David"/>
    <s v="Hogan Rock"/>
    <s v="South"/>
    <n v="0.05"/>
    <n v="390.1225"/>
    <n v="7802.45"/>
    <n v="32"/>
    <s v="Clothing"/>
    <n v="1517.86"/>
    <n v="1948.46"/>
    <s v="New"/>
    <n v="0.02"/>
    <s v="Credit Card"/>
    <s v="Online"/>
    <s v="High"/>
  </r>
  <r>
    <n v="1019"/>
    <s v="Apple"/>
    <d v="2023-11-10T00:00:00"/>
    <s v="Bob"/>
    <s v="Michael Smith"/>
    <s v="East"/>
    <n v="0.06"/>
    <n v="457.94580000000002"/>
    <n v="7632.43"/>
    <n v="33"/>
    <s v="Furniture"/>
    <n v="1362.31"/>
    <n v="1486.29"/>
    <s v="Returning"/>
    <n v="0.18"/>
    <s v="Credit Card"/>
    <s v="Retail"/>
    <s v="High"/>
  </r>
  <r>
    <n v="1020"/>
    <s v="Apron"/>
    <d v="2023-09-06T00:00:00"/>
    <s v="Bob"/>
    <s v="Michael Smith"/>
    <s v="East"/>
    <n v="0.06"/>
    <n v="117.50700000000001"/>
    <n v="1958.45"/>
    <n v="45"/>
    <s v="Clothing"/>
    <n v="2188.4499999999998"/>
    <n v="2255.0499999999902"/>
    <s v="New"/>
    <n v="0.11"/>
    <s v="Bank Transfer"/>
    <s v="Retail"/>
    <s v="Low"/>
  </r>
  <r>
    <n v="1057"/>
    <s v="Avocadro Pear"/>
    <d v="2023-01-31T00:00:00"/>
    <s v="Charlie"/>
    <s v="Susan Jerkins"/>
    <s v="North"/>
    <n v="7.4999999999999997E-2"/>
    <n v="73.125749999999996"/>
    <n v="975.01"/>
    <n v="36"/>
    <s v="Food"/>
    <n v="4995.3"/>
    <n v="5165.09"/>
    <s v="Returning"/>
    <n v="0.24"/>
    <s v="Cash"/>
    <s v="Online"/>
    <s v="Low"/>
  </r>
  <r>
    <n v="1018"/>
    <s v="Dress Shirt"/>
    <d v="2023-01-23T00:00:00"/>
    <s v="David"/>
    <s v="Hogan Rock"/>
    <s v="North"/>
    <n v="7.4999999999999997E-2"/>
    <n v="526.46924999999999"/>
    <n v="7019.59"/>
    <n v="20"/>
    <s v="Furniture"/>
    <n v="1140.6199999999999"/>
    <n v="1258.6299999999901"/>
    <s v="Returning"/>
    <n v="0.26"/>
    <s v="Bank Transfer"/>
    <s v="Online"/>
    <s v="High"/>
  </r>
  <r>
    <n v="1047"/>
    <s v="Mouse"/>
    <d v="2023-06-09T00:00:00"/>
    <s v="David"/>
    <s v="Hogan Rock"/>
    <s v="East"/>
    <n v="0.06"/>
    <n v="224.79839999999999"/>
    <n v="3746.64"/>
    <n v="18"/>
    <s v="Clothing"/>
    <n v="560.91999999999996"/>
    <n v="1024.31"/>
    <s v="Returning"/>
    <n v="0.26"/>
    <s v="Cash"/>
    <s v="Online"/>
    <s v="Low"/>
  </r>
  <r>
    <n v="1049"/>
    <s v="Coffee Table"/>
    <d v="2023-12-29T00:00:00"/>
    <s v="Charlie"/>
    <s v="Susan Jerkins"/>
    <s v="South"/>
    <n v="0.05"/>
    <n v="219.01149999999998"/>
    <n v="4380.2299999999996"/>
    <n v="38"/>
    <s v="Food"/>
    <n v="2945.92"/>
    <n v="3381.22"/>
    <s v="Returning"/>
    <n v="0.23"/>
    <s v="Cash"/>
    <s v="Retail"/>
    <s v="Low"/>
  </r>
  <r>
    <n v="1014"/>
    <s v="Cheese Block"/>
    <d v="2023-06-07T00:00:00"/>
    <s v="Alice"/>
    <s v="Scott Wayne"/>
    <s v="North"/>
    <n v="7.4999999999999997E-2"/>
    <n v="30.628499999999999"/>
    <n v="408.38"/>
    <n v="3"/>
    <s v="Electronics"/>
    <n v="2468.29"/>
    <n v="2723.13"/>
    <s v="Returning"/>
    <n v="0.08"/>
    <s v="Cash"/>
    <s v="Retail"/>
    <s v="Low"/>
  </r>
  <r>
    <n v="1015"/>
    <s v="Chocolate Bar"/>
    <d v="2023-02-08T00:00:00"/>
    <s v="Charlie"/>
    <s v="Susan Jerkins"/>
    <s v="East"/>
    <n v="0.06"/>
    <n v="160.18859999999998"/>
    <n v="2669.81"/>
    <n v="23"/>
    <s v="Electronics"/>
    <n v="2644.77"/>
    <n v="2684.83"/>
    <s v="New"/>
    <n v="0.24"/>
    <s v="Cash"/>
    <s v="Online"/>
    <s v="Low"/>
  </r>
  <r>
    <n v="1031"/>
    <s v="Butter"/>
    <d v="2023-03-23T00:00:00"/>
    <s v="Eve"/>
    <s v="Tracy Moore"/>
    <s v="East"/>
    <n v="0.06"/>
    <n v="26.003999999999998"/>
    <n v="433.4"/>
    <n v="32"/>
    <s v="Clothing"/>
    <n v="3351.33"/>
    <n v="3711.47"/>
    <s v="New"/>
    <n v="0.16"/>
    <s v="Cash"/>
    <s v="Retail"/>
    <s v="Low"/>
  </r>
  <r>
    <n v="1001"/>
    <s v="Camera"/>
    <d v="2023-12-22T00:00:00"/>
    <s v="David"/>
    <s v="Hogan Rock"/>
    <s v="West"/>
    <n v="0.08"/>
    <n v="704.3152"/>
    <n v="8803.94"/>
    <n v="45"/>
    <s v="Clothing"/>
    <n v="1372.36"/>
    <n v="1687.83"/>
    <s v="New"/>
    <n v="0.02"/>
    <s v="Credit Card"/>
    <s v="Online"/>
    <s v="High"/>
  </r>
  <r>
    <n v="1054"/>
    <s v="Glider"/>
    <d v="2023-09-15T00:00:00"/>
    <s v="Bob"/>
    <s v="Michael Smith"/>
    <s v="South"/>
    <n v="0.05"/>
    <n v="125.48150000000001"/>
    <n v="2509.63"/>
    <n v="16"/>
    <s v="Electronics"/>
    <n v="4557.79"/>
    <n v="5043.3599999999997"/>
    <s v="Returning"/>
    <n v="0.14000000000000001"/>
    <s v="Credit Card"/>
    <s v="Retail"/>
    <s v="Low"/>
  </r>
  <r>
    <n v="1003"/>
    <s v="Stool"/>
    <d v="2023-07-25T00:00:00"/>
    <s v="Eve"/>
    <s v="Tracy Moore"/>
    <s v="West"/>
    <n v="0.08"/>
    <n v="449.41120000000001"/>
    <n v="5617.64"/>
    <n v="5"/>
    <s v="Food"/>
    <n v="2206.58"/>
    <n v="2490.4699999999998"/>
    <s v="New"/>
    <n v="0.28000000000000003"/>
    <s v="Cash"/>
    <s v="Online"/>
    <s v="High"/>
  </r>
  <r>
    <n v="1016"/>
    <s v="Washing Machine"/>
    <d v="2023-03-18T00:00:00"/>
    <s v="David"/>
    <s v="Hogan Rock"/>
    <s v="South"/>
    <n v="0.05"/>
    <n v="24.295000000000002"/>
    <n v="485.9"/>
    <n v="4"/>
    <s v="Food"/>
    <n v="688.98"/>
    <n v="863.81"/>
    <s v="New"/>
    <n v="0.27"/>
    <s v="Credit Card"/>
    <s v="Retail"/>
    <s v="Low"/>
  </r>
  <r>
    <n v="1087"/>
    <s v="Sofa Set"/>
    <d v="2023-01-12T00:00:00"/>
    <s v="Charlie"/>
    <s v="Susan Jerkins"/>
    <s v="North"/>
    <n v="7.4999999999999997E-2"/>
    <n v="502.63424999999995"/>
    <n v="6701.79"/>
    <n v="21"/>
    <s v="Food"/>
    <n v="3724.38"/>
    <n v="3988.7"/>
    <s v="New"/>
    <n v="0.03"/>
    <s v="Bank Transfer"/>
    <s v="Retail"/>
    <s v="High"/>
  </r>
  <r>
    <n v="1057"/>
    <s v="Avocadro Pear"/>
    <d v="2023-10-22T00:00:00"/>
    <s v="Eve"/>
    <s v="Tracy Moore"/>
    <s v="South"/>
    <n v="0.05"/>
    <n v="164.89850000000001"/>
    <n v="3297.97"/>
    <n v="40"/>
    <s v="Clothing"/>
    <n v="3233.37"/>
    <n v="3723.21"/>
    <s v="New"/>
    <n v="0.22"/>
    <s v="Bank Transfer"/>
    <s v="Retail"/>
    <s v="Low"/>
  </r>
  <r>
    <n v="1075"/>
    <s v="Bookshelf"/>
    <d v="2023-08-12T00:00:00"/>
    <s v="David"/>
    <s v="Hogan Rock"/>
    <s v="East"/>
    <n v="0.06"/>
    <n v="539.36399999999992"/>
    <n v="8989.4"/>
    <n v="14"/>
    <s v="Furniture"/>
    <n v="1612.93"/>
    <n v="1964.15"/>
    <s v="Returning"/>
    <n v="0.24"/>
    <s v="Bank Transfer"/>
    <s v="Retail"/>
    <s v="High"/>
  </r>
  <r>
    <n v="1012"/>
    <s v="Cabinet"/>
    <d v="2023-01-13T00:00:00"/>
    <s v="Alice"/>
    <s v="Scott Wayne"/>
    <s v="East"/>
    <n v="0.06"/>
    <n v="533.54219999999998"/>
    <n v="8892.3700000000008"/>
    <n v="39"/>
    <s v="Furniture"/>
    <n v="3126.52"/>
    <n v="3465.79"/>
    <s v="New"/>
    <n v="0.08"/>
    <s v="Cash"/>
    <s v="Online"/>
    <s v="High"/>
  </r>
  <r>
    <n v="1074"/>
    <s v="French Fries"/>
    <d v="2023-02-15T00:00:00"/>
    <s v="Alice"/>
    <s v="Scott Wayne"/>
    <s v="South"/>
    <n v="0.05"/>
    <n v="166.01900000000001"/>
    <n v="3320.38"/>
    <n v="31"/>
    <s v="Furniture"/>
    <n v="1138.32"/>
    <n v="1266.25"/>
    <s v="Returning"/>
    <n v="0.14000000000000001"/>
    <s v="Cash"/>
    <s v="Retail"/>
    <s v="Low"/>
  </r>
  <r>
    <n v="1096"/>
    <s v="Radio"/>
    <d v="2023-06-04T00:00:00"/>
    <s v="Bob"/>
    <s v="Michael Smith"/>
    <s v="South"/>
    <n v="0.05"/>
    <n v="450.97550000000001"/>
    <n v="9019.51"/>
    <n v="14"/>
    <s v="Furniture"/>
    <n v="2251.9499999999998"/>
    <n v="2626.3199999999902"/>
    <s v="Returning"/>
    <n v="0.21"/>
    <s v="Credit Card"/>
    <s v="Online"/>
    <s v="High"/>
  </r>
  <r>
    <n v="1016"/>
    <s v="Washing Machine"/>
    <d v="2023-04-23T00:00:00"/>
    <s v="David"/>
    <s v="Hogan Rock"/>
    <s v="South"/>
    <n v="0.05"/>
    <n v="498.09799999999996"/>
    <n v="9961.9599999999991"/>
    <n v="6"/>
    <s v="Furniture"/>
    <n v="4502.09"/>
    <n v="4879.72"/>
    <s v="New"/>
    <n v="0.13"/>
    <s v="Credit Card"/>
    <s v="Online"/>
    <s v="High"/>
  </r>
  <r>
    <n v="1072"/>
    <s v="T-Shirt"/>
    <d v="2023-08-21T00:00:00"/>
    <s v="Alice"/>
    <s v="Scott Wayne"/>
    <s v="West"/>
    <n v="0.08"/>
    <n v="661.72960000000012"/>
    <n v="8271.6200000000008"/>
    <n v="12"/>
    <s v="Clothing"/>
    <n v="710.99"/>
    <n v="876.46"/>
    <s v="Returning"/>
    <n v="0.03"/>
    <s v="Credit Card"/>
    <s v="Online"/>
    <s v="High"/>
  </r>
  <r>
    <n v="1076"/>
    <s v="Polo Shirt"/>
    <d v="2023-01-17T00:00:00"/>
    <s v="Charlie"/>
    <s v="Susan Jerkins"/>
    <s v="South"/>
    <n v="0.05"/>
    <n v="423.2115"/>
    <n v="8464.23"/>
    <n v="16"/>
    <s v="Clothing"/>
    <n v="1964.15"/>
    <n v="2211.17"/>
    <s v="Returning"/>
    <n v="0.21"/>
    <s v="Bank Transfer"/>
    <s v="Online"/>
    <s v="High"/>
  </r>
  <r>
    <n v="1024"/>
    <s v="Pasta Pack"/>
    <d v="2023-12-26T00:00:00"/>
    <s v="David"/>
    <s v="Hogan Rock"/>
    <s v="North"/>
    <n v="7.4999999999999997E-2"/>
    <n v="192.38925"/>
    <n v="2565.19"/>
    <n v="17"/>
    <s v="Furniture"/>
    <n v="4114.66"/>
    <n v="4269.0199999999904"/>
    <s v="Returning"/>
    <n v="0.27"/>
    <s v="Bank Transfer"/>
    <s v="Retail"/>
    <s v="Low"/>
  </r>
  <r>
    <n v="1028"/>
    <s v="Pyjamas"/>
    <d v="2023-08-11T00:00:00"/>
    <s v="Charlie"/>
    <s v="Susan Jerkins"/>
    <s v="West"/>
    <n v="0.08"/>
    <n v="464.74800000000005"/>
    <n v="5809.35"/>
    <n v="45"/>
    <s v="Clothing"/>
    <n v="4848.9799999999996"/>
    <n v="4985.75"/>
    <s v="Returning"/>
    <n v="0.2"/>
    <s v="Bank Transfer"/>
    <s v="Online"/>
    <s v="High"/>
  </r>
  <r>
    <n v="1008"/>
    <s v="Skirt"/>
    <d v="2023-12-20T00:00:00"/>
    <s v="Charlie"/>
    <s v="Susan Jerkins"/>
    <s v="West"/>
    <n v="0.08"/>
    <n v="61.266400000000004"/>
    <n v="765.83"/>
    <n v="23"/>
    <s v="Clothing"/>
    <n v="2296.9299999999998"/>
    <n v="2319.62"/>
    <s v="Returning"/>
    <n v="0.23"/>
    <s v="Bank Transfer"/>
    <s v="Retail"/>
    <s v="Low"/>
  </r>
  <r>
    <n v="1092"/>
    <s v="Recliner"/>
    <d v="2023-07-07T00:00:00"/>
    <s v="Alice"/>
    <s v="Scott Wayne"/>
    <s v="South"/>
    <n v="0.05"/>
    <n v="51.984500000000004"/>
    <n v="1039.69"/>
    <n v="14"/>
    <s v="Furniture"/>
    <n v="2559.65"/>
    <n v="2709.4"/>
    <s v="Returning"/>
    <n v="0.11"/>
    <s v="Credit Card"/>
    <s v="Retail"/>
    <s v="Low"/>
  </r>
  <r>
    <n v="1036"/>
    <s v="Shorts"/>
    <d v="2023-12-10T00:00:00"/>
    <s v="David"/>
    <s v="Hogan Rock"/>
    <s v="North"/>
    <n v="7.4999999999999997E-2"/>
    <n v="749.178"/>
    <n v="9989.0400000000009"/>
    <n v="7"/>
    <s v="Food"/>
    <n v="2882.25"/>
    <n v="3163.7"/>
    <s v="Returning"/>
    <n v="0.05"/>
    <s v="Cash"/>
    <s v="Retail"/>
    <s v="High"/>
  </r>
  <r>
    <n v="1090"/>
    <s v="Keyboard"/>
    <d v="2023-12-31T00:00:00"/>
    <s v="Eve"/>
    <s v="Tracy Moore"/>
    <s v="West"/>
    <n v="0.08"/>
    <n v="266.69839999999999"/>
    <n v="3333.73"/>
    <n v="46"/>
    <s v="Clothing"/>
    <n v="4665.12"/>
    <n v="4675.8999999999996"/>
    <s v="New"/>
    <n v="0.19"/>
    <s v="Cash"/>
    <s v="Retail"/>
    <s v="Low"/>
  </r>
  <r>
    <n v="1008"/>
    <s v="Skirt"/>
    <d v="2023-06-12T00:00:00"/>
    <s v="Alice"/>
    <s v="Scott Wayne"/>
    <s v="East"/>
    <n v="0.06"/>
    <n v="450.4212"/>
    <n v="7507.02"/>
    <n v="32"/>
    <s v="Food"/>
    <n v="4298.12"/>
    <n v="4446.8999999999996"/>
    <s v="New"/>
    <n v="0.1"/>
    <s v="Bank Transfer"/>
    <s v="Online"/>
    <s v="High"/>
  </r>
  <r>
    <n v="1058"/>
    <s v="Wardrobe"/>
    <d v="2023-11-22T00:00:00"/>
    <s v="Alice"/>
    <s v="Scott Wayne"/>
    <s v="West"/>
    <n v="0.08"/>
    <n v="646.87839999999994"/>
    <n v="8085.98"/>
    <n v="15"/>
    <s v="Clothing"/>
    <n v="894.48"/>
    <n v="1336.37"/>
    <s v="Returning"/>
    <n v="0.26"/>
    <s v="Cash"/>
    <s v="Retail"/>
    <s v="High"/>
  </r>
  <r>
    <n v="1060"/>
    <s v="Head Warmer"/>
    <d v="2023-03-15T00:00:00"/>
    <s v="David"/>
    <s v="Hogan Rock"/>
    <s v="South"/>
    <n v="0.05"/>
    <n v="429.72150000000005"/>
    <n v="8594.43"/>
    <n v="44"/>
    <s v="Clothing"/>
    <n v="2211.9499999999998"/>
    <n v="2512.8399999999901"/>
    <s v="Returning"/>
    <n v="0.04"/>
    <s v="Cash"/>
    <s v="Online"/>
    <s v="High"/>
  </r>
  <r>
    <n v="1050"/>
    <s v="Sneakers"/>
    <d v="2023-08-21T00:00:00"/>
    <s v="David"/>
    <s v="Hogan Rock"/>
    <s v="North"/>
    <n v="7.4999999999999997E-2"/>
    <n v="748.23900000000003"/>
    <n v="9976.52"/>
    <n v="17"/>
    <s v="Furniture"/>
    <n v="2346.8000000000002"/>
    <n v="2654.65"/>
    <s v="New"/>
    <n v="0.13"/>
    <s v="Cash"/>
    <s v="Retail"/>
    <s v="High"/>
  </r>
  <r>
    <n v="1028"/>
    <s v="Pyjamas"/>
    <d v="2023-08-12T00:00:00"/>
    <s v="Charlie"/>
    <s v="Susan Jerkins"/>
    <s v="South"/>
    <n v="0.05"/>
    <n v="124.54100000000001"/>
    <n v="2490.8200000000002"/>
    <n v="41"/>
    <s v="Clothing"/>
    <n v="3956.03"/>
    <n v="4163.68"/>
    <s v="New"/>
    <n v="0.12"/>
    <s v="Bank Transfer"/>
    <s v="Retail"/>
    <s v="Low"/>
  </r>
  <r>
    <n v="1092"/>
    <s v="Recliner"/>
    <d v="2023-11-15T00:00:00"/>
    <s v="David"/>
    <s v="Hogan Rock"/>
    <s v="East"/>
    <n v="0.06"/>
    <n v="29.9682"/>
    <n v="499.47"/>
    <n v="47"/>
    <s v="Electronics"/>
    <n v="3034.32"/>
    <n v="3375.79"/>
    <s v="New"/>
    <n v="0.28000000000000003"/>
    <s v="Credit Card"/>
    <s v="Online"/>
    <s v="Low"/>
  </r>
  <r>
    <n v="1041"/>
    <s v="Bread"/>
    <d v="2023-03-01T00:00:00"/>
    <s v="Charlie"/>
    <s v="Susan Jerkins"/>
    <s v="East"/>
    <n v="0.06"/>
    <n v="250.24799999999999"/>
    <n v="4170.8"/>
    <n v="44"/>
    <s v="Electronics"/>
    <n v="3288.39"/>
    <n v="3391.46"/>
    <s v="New"/>
    <n v="0.05"/>
    <s v="Credit Card"/>
    <s v="Retail"/>
    <s v="Low"/>
  </r>
  <r>
    <n v="1100"/>
    <s v="Protein Cookies"/>
    <d v="2023-12-01T00:00:00"/>
    <s v="Alice"/>
    <s v="Scott Wayne"/>
    <s v="East"/>
    <n v="0.06"/>
    <n v="83.268000000000001"/>
    <n v="1387.8"/>
    <n v="34"/>
    <s v="Furniture"/>
    <n v="4991.09"/>
    <n v="5402.28"/>
    <s v="Returning"/>
    <n v="0"/>
    <s v="Cash"/>
    <s v="Retail"/>
    <s v="Low"/>
  </r>
  <r>
    <n v="1064"/>
    <s v="Smartphone"/>
    <d v="2023-08-10T00:00:00"/>
    <s v="Bob"/>
    <s v="Michael Smith"/>
    <s v="South"/>
    <n v="0.05"/>
    <n v="16.100999999999999"/>
    <n v="322.02"/>
    <n v="5"/>
    <s v="Food"/>
    <n v="421.05"/>
    <n v="488.23"/>
    <s v="Returning"/>
    <n v="7.0000000000000007E-2"/>
    <s v="Credit Card"/>
    <s v="Retail"/>
    <s v="Low"/>
  </r>
  <r>
    <n v="1027"/>
    <s v="Cookies"/>
    <d v="2023-02-06T00:00:00"/>
    <s v="Eve"/>
    <s v="Tracy Moore"/>
    <s v="West"/>
    <n v="0.08"/>
    <n v="293.45839999999998"/>
    <n v="3668.23"/>
    <n v="45"/>
    <s v="Food"/>
    <n v="1153.9000000000001"/>
    <n v="1485.34"/>
    <s v="New"/>
    <n v="0.25"/>
    <s v="Credit Card"/>
    <s v="Retail"/>
    <s v="Low"/>
  </r>
  <r>
    <n v="1063"/>
    <s v="Noodles"/>
    <d v="2023-10-05T00:00:00"/>
    <s v="Alice"/>
    <s v="Scott Wayne"/>
    <s v="South"/>
    <n v="0.05"/>
    <n v="392.95050000000003"/>
    <n v="7859.01"/>
    <n v="27"/>
    <s v="Food"/>
    <n v="2069.08"/>
    <n v="2246.2399999999998"/>
    <s v="New"/>
    <n v="0.06"/>
    <s v="Bank Transfer"/>
    <s v="Retail"/>
    <s v="High"/>
  </r>
  <r>
    <n v="1017"/>
    <s v="Peaches"/>
    <d v="2023-07-15T00:00:00"/>
    <s v="David"/>
    <s v="Hogan Rock"/>
    <s v="North"/>
    <n v="7.4999999999999997E-2"/>
    <n v="427.88924999999995"/>
    <n v="5705.19"/>
    <n v="23"/>
    <s v="Electronics"/>
    <n v="1771.52"/>
    <n v="2147.8000000000002"/>
    <s v="New"/>
    <n v="7.0000000000000007E-2"/>
    <s v="Bank Transfer"/>
    <s v="Online"/>
    <s v="High"/>
  </r>
  <r>
    <n v="1073"/>
    <s v="Console Table"/>
    <d v="2023-12-18T00:00:00"/>
    <s v="Eve"/>
    <s v="Tracy Moore"/>
    <s v="West"/>
    <n v="0.08"/>
    <n v="255.72"/>
    <n v="3196.5"/>
    <n v="40"/>
    <s v="Food"/>
    <n v="157.15"/>
    <n v="436.53"/>
    <s v="New"/>
    <n v="0.04"/>
    <s v="Cash"/>
    <s v="Retail"/>
    <s v="Low"/>
  </r>
  <r>
    <n v="1033"/>
    <s v="TV Stand"/>
    <d v="2023-08-30T00:00:00"/>
    <s v="Bob"/>
    <s v="Michael Smith"/>
    <s v="East"/>
    <n v="0.06"/>
    <n v="394.67939999999999"/>
    <n v="6577.99"/>
    <n v="14"/>
    <s v="Food"/>
    <n v="504.3"/>
    <n v="735.95"/>
    <s v="Returning"/>
    <n v="0.21"/>
    <s v="Cash"/>
    <s v="Retail"/>
    <s v="High"/>
  </r>
  <r>
    <n v="1084"/>
    <s v="Card Table"/>
    <d v="2023-11-20T00:00:00"/>
    <s v="Bob"/>
    <s v="Michael Smith"/>
    <s v="South"/>
    <n v="0.05"/>
    <n v="119.849"/>
    <n v="2396.98"/>
    <n v="15"/>
    <s v="Furniture"/>
    <n v="3420.72"/>
    <n v="3513.74"/>
    <s v="New"/>
    <n v="0.02"/>
    <s v="Cash"/>
    <s v="Online"/>
    <s v="Low"/>
  </r>
  <r>
    <n v="1077"/>
    <s v="Skirt"/>
    <d v="2023-08-07T00:00:00"/>
    <s v="Charlie"/>
    <s v="Susan Jerkins"/>
    <s v="East"/>
    <n v="0.06"/>
    <n v="14.5428"/>
    <n v="242.38"/>
    <n v="43"/>
    <s v="Food"/>
    <n v="4402.66"/>
    <n v="4724.7"/>
    <s v="New"/>
    <n v="0.1"/>
    <s v="Bank Transfer"/>
    <s v="Retail"/>
    <s v="Low"/>
  </r>
  <r>
    <n v="1092"/>
    <s v="Recliner"/>
    <d v="2023-07-11T00:00:00"/>
    <s v="Eve"/>
    <s v="Tracy Moore"/>
    <s v="East"/>
    <n v="0.06"/>
    <n v="460.02600000000001"/>
    <n v="7667.1"/>
    <n v="33"/>
    <s v="Electronics"/>
    <n v="2595.42"/>
    <n v="3083.06"/>
    <s v="New"/>
    <n v="0.08"/>
    <s v="Credit Card"/>
    <s v="Online"/>
    <s v="High"/>
  </r>
  <r>
    <n v="1029"/>
    <s v="Camisole"/>
    <d v="2023-01-17T00:00:00"/>
    <s v="Charlie"/>
    <s v="Susan Jerkins"/>
    <s v="North"/>
    <n v="7.4999999999999997E-2"/>
    <n v="470.62950000000001"/>
    <n v="6275.06"/>
    <n v="31"/>
    <s v="Electronics"/>
    <n v="2719"/>
    <n v="3133.55"/>
    <s v="Returning"/>
    <n v="0.17"/>
    <s v="Bank Transfer"/>
    <s v="Retail"/>
    <s v="High"/>
  </r>
  <r>
    <n v="1013"/>
    <s v="Gas Cooker"/>
    <d v="2023-01-12T00:00:00"/>
    <s v="Alice"/>
    <s v="Scott Wayne"/>
    <s v="West"/>
    <n v="0.08"/>
    <n v="611.74400000000003"/>
    <n v="7646.8"/>
    <n v="35"/>
    <s v="Electronics"/>
    <n v="1312.71"/>
    <n v="1352.11"/>
    <s v="Returning"/>
    <n v="0.22"/>
    <s v="Bank Transfer"/>
    <s v="Retail"/>
    <s v="High"/>
  </r>
  <r>
    <n v="1046"/>
    <s v="Sweat Shirts"/>
    <d v="2023-07-12T00:00:00"/>
    <s v="Eve"/>
    <s v="Tracy Moore"/>
    <s v="North"/>
    <n v="7.4999999999999997E-2"/>
    <n v="36.411749999999998"/>
    <n v="485.49"/>
    <n v="17"/>
    <s v="Furniture"/>
    <n v="3850.99"/>
    <n v="4045.3399999999901"/>
    <s v="Returning"/>
    <n v="0.16"/>
    <s v="Credit Card"/>
    <s v="Online"/>
    <s v="Low"/>
  </r>
  <r>
    <n v="1035"/>
    <s v="Doughnut"/>
    <d v="2023-01-22T00:00:00"/>
    <s v="Alice"/>
    <s v="Scott Wayne"/>
    <s v="North"/>
    <n v="7.4999999999999997E-2"/>
    <n v="629.06099999999992"/>
    <n v="8387.48"/>
    <n v="28"/>
    <s v="Furniture"/>
    <n v="3771.38"/>
    <n v="4234.92"/>
    <s v="New"/>
    <n v="0.28000000000000003"/>
    <s v="Credit Card"/>
    <s v="Retail"/>
    <s v="High"/>
  </r>
  <r>
    <n v="1006"/>
    <s v="Monitor"/>
    <d v="2023-04-30T00:00:00"/>
    <s v="Charlie"/>
    <s v="Susan Jerkins"/>
    <s v="North"/>
    <n v="7.4999999999999997E-2"/>
    <n v="467.49824999999998"/>
    <n v="6233.31"/>
    <n v="19"/>
    <s v="Clothing"/>
    <n v="2962.41"/>
    <n v="3218.8999999999901"/>
    <s v="New"/>
    <n v="0.28999999999999998"/>
    <s v="Cash"/>
    <s v="Retail"/>
    <s v="High"/>
  </r>
  <r>
    <n v="1082"/>
    <s v="USB Drive"/>
    <d v="2023-07-29T00:00:00"/>
    <s v="Eve"/>
    <s v="Tracy Moore"/>
    <s v="East"/>
    <n v="0.06"/>
    <n v="340.65659999999997"/>
    <n v="5677.61"/>
    <n v="46"/>
    <s v="Food"/>
    <n v="1102.69"/>
    <n v="1437.12"/>
    <s v="New"/>
    <n v="0.11"/>
    <s v="Credit Card"/>
    <s v="Online"/>
    <s v="High"/>
  </r>
  <r>
    <n v="1069"/>
    <s v="Suit"/>
    <d v="2023-11-02T00:00:00"/>
    <s v="Charlie"/>
    <s v="Susan Jerkins"/>
    <s v="North"/>
    <n v="7.4999999999999997E-2"/>
    <n v="471.27600000000001"/>
    <n v="6283.68"/>
    <n v="23"/>
    <s v="Furniture"/>
    <n v="530.24"/>
    <n v="987.41"/>
    <s v="Returning"/>
    <n v="0.23"/>
    <s v="Credit Card"/>
    <s v="Online"/>
    <s v="High"/>
  </r>
  <r>
    <n v="1047"/>
    <s v="Mouse"/>
    <d v="2023-09-27T00:00:00"/>
    <s v="Eve"/>
    <s v="Tracy Moore"/>
    <s v="North"/>
    <n v="7.4999999999999997E-2"/>
    <n v="649.34174999999993"/>
    <n v="8657.89"/>
    <n v="32"/>
    <s v="Electronics"/>
    <n v="367.98"/>
    <n v="806.14"/>
    <s v="Returning"/>
    <n v="0.22"/>
    <s v="Credit Card"/>
    <s v="Retail"/>
    <s v="High"/>
  </r>
  <r>
    <n v="1025"/>
    <s v="Mayonnaise"/>
    <d v="2023-07-11T00:00:00"/>
    <s v="Charlie"/>
    <s v="Susan Jerkins"/>
    <s v="West"/>
    <n v="0.08"/>
    <n v="472.85360000000003"/>
    <n v="5910.67"/>
    <n v="40"/>
    <s v="Electronics"/>
    <n v="2983.85"/>
    <n v="3239.74"/>
    <s v="New"/>
    <n v="0.27"/>
    <s v="Credit Card"/>
    <s v="Online"/>
    <s v="High"/>
  </r>
  <r>
    <n v="1066"/>
    <s v="Armoire"/>
    <d v="2023-06-24T00:00:00"/>
    <s v="Bob"/>
    <s v="Michael Smith"/>
    <s v="West"/>
    <n v="0.08"/>
    <n v="468.11279999999999"/>
    <n v="5851.41"/>
    <n v="13"/>
    <s v="Furniture"/>
    <n v="4133.92"/>
    <n v="4358.37"/>
    <s v="New"/>
    <n v="0.13"/>
    <s v="Cash"/>
    <s v="Retail"/>
    <s v="High"/>
  </r>
  <r>
    <n v="1010"/>
    <s v="Lawn Chair"/>
    <d v="2023-10-12T00:00:00"/>
    <s v="Charlie"/>
    <s v="Susan Jerkins"/>
    <s v="North"/>
    <n v="7.4999999999999997E-2"/>
    <n v="743.07899999999995"/>
    <n v="9907.7199999999993"/>
    <n v="20"/>
    <s v="Furniture"/>
    <n v="4298.74"/>
    <n v="4475.1899999999996"/>
    <s v="Returning"/>
    <n v="0.16"/>
    <s v="Cash"/>
    <s v="Online"/>
    <s v="High"/>
  </r>
  <r>
    <n v="1056"/>
    <s v="Track Suits"/>
    <d v="2023-07-23T00:00:00"/>
    <s v="Bob"/>
    <s v="Michael Smith"/>
    <s v="West"/>
    <n v="0.08"/>
    <n v="607.33040000000005"/>
    <n v="7591.63"/>
    <n v="35"/>
    <s v="Furniture"/>
    <n v="2344.9299999999998"/>
    <n v="2707.25"/>
    <s v="New"/>
    <n v="0.12"/>
    <s v="Credit Card"/>
    <s v="Retail"/>
    <s v="High"/>
  </r>
  <r>
    <n v="1030"/>
    <s v="Jeans"/>
    <d v="2023-06-13T00:00:00"/>
    <s v="Charlie"/>
    <s v="Susan Jerkins"/>
    <s v="West"/>
    <n v="0.08"/>
    <n v="358.29680000000002"/>
    <n v="4478.71"/>
    <n v="5"/>
    <s v="Clothing"/>
    <n v="3932.14"/>
    <n v="4082.7599999999902"/>
    <s v="New"/>
    <n v="0.26"/>
    <s v="Credit Card"/>
    <s v="Online"/>
    <s v="Low"/>
  </r>
  <r>
    <n v="1005"/>
    <s v="Smart Phone"/>
    <d v="2023-09-08T00:00:00"/>
    <s v="Eve"/>
    <s v="Tracy Moore"/>
    <s v="North"/>
    <n v="7.4999999999999997E-2"/>
    <n v="532.7422499999999"/>
    <n v="7103.23"/>
    <n v="9"/>
    <s v="Electronics"/>
    <n v="4737.0600000000004"/>
    <n v="4869.5"/>
    <s v="New"/>
    <n v="7.0000000000000007E-2"/>
    <s v="Cash"/>
    <s v="Online"/>
    <s v="High"/>
  </r>
  <r>
    <n v="1033"/>
    <s v="TV Stand"/>
    <d v="2023-08-15T00:00:00"/>
    <s v="Eve"/>
    <s v="Tracy Moore"/>
    <s v="East"/>
    <n v="0.06"/>
    <n v="237.2028"/>
    <n v="3953.38"/>
    <n v="29"/>
    <s v="Clothing"/>
    <n v="1412.09"/>
    <n v="1596.6499999999901"/>
    <s v="Returning"/>
    <n v="7.0000000000000007E-2"/>
    <s v="Cash"/>
    <s v="Online"/>
    <s v="Low"/>
  </r>
  <r>
    <n v="1065"/>
    <s v="Potatoes"/>
    <d v="2023-01-07T00:00:00"/>
    <s v="Eve"/>
    <s v="Tracy Moore"/>
    <s v="North"/>
    <n v="7.4999999999999997E-2"/>
    <n v="177.44024999999999"/>
    <n v="2365.87"/>
    <n v="6"/>
    <s v="Clothing"/>
    <n v="2019.9"/>
    <n v="2116.7399999999998"/>
    <s v="New"/>
    <n v="0.11"/>
    <s v="Credit Card"/>
    <s v="Online"/>
    <s v="Low"/>
  </r>
  <r>
    <n v="1018"/>
    <s v="Dress Shirt"/>
    <d v="2023-01-29T00:00:00"/>
    <s v="David"/>
    <s v="Hogan Rock"/>
    <s v="West"/>
    <n v="0.08"/>
    <n v="480.70640000000003"/>
    <n v="6008.83"/>
    <n v="25"/>
    <s v="Food"/>
    <n v="4660.82"/>
    <n v="5011.4299999999903"/>
    <s v="New"/>
    <n v="7.0000000000000007E-2"/>
    <s v="Bank Transfer"/>
    <s v="Online"/>
    <s v="High"/>
  </r>
  <r>
    <n v="1096"/>
    <s v="Radio"/>
    <d v="2023-02-02T00:00:00"/>
    <s v="Alice"/>
    <s v="Scott Wayne"/>
    <s v="East"/>
    <n v="0.06"/>
    <n v="557.34"/>
    <n v="9289"/>
    <n v="31"/>
    <s v="Electronics"/>
    <n v="1724.24"/>
    <n v="2036.2"/>
    <s v="New"/>
    <n v="0.17"/>
    <s v="Cash"/>
    <s v="Online"/>
    <s v="High"/>
  </r>
  <r>
    <n v="1049"/>
    <s v="Coffee Table"/>
    <d v="2023-05-14T00:00:00"/>
    <s v="Eve"/>
    <s v="Tracy Moore"/>
    <s v="South"/>
    <n v="0.05"/>
    <n v="464.92399999999998"/>
    <n v="9298.48"/>
    <n v="22"/>
    <s v="Electronics"/>
    <n v="4573.6899999999996"/>
    <n v="4820.2999999999902"/>
    <s v="New"/>
    <n v="0.04"/>
    <s v="Cash"/>
    <s v="Online"/>
    <s v="High"/>
  </r>
  <r>
    <n v="1011"/>
    <s v="Coffee Table"/>
    <d v="2023-03-20T00:00:00"/>
    <s v="Bob"/>
    <s v="Michael Smith"/>
    <s v="East"/>
    <n v="0.06"/>
    <n v="209.0916"/>
    <n v="3484.86"/>
    <n v="2"/>
    <s v="Furniture"/>
    <n v="4906.17"/>
    <n v="5107.43"/>
    <s v="Returning"/>
    <n v="0.1"/>
    <s v="Cash"/>
    <s v="Online"/>
    <s v="Low"/>
  </r>
  <r>
    <n v="1085"/>
    <s v="Settee"/>
    <d v="2023-02-27T00:00:00"/>
    <s v="Eve"/>
    <s v="Tracy Moore"/>
    <s v="West"/>
    <n v="0.08"/>
    <n v="425.92080000000004"/>
    <n v="5324.01"/>
    <n v="45"/>
    <s v="Furniture"/>
    <n v="3325.96"/>
    <n v="3781.4"/>
    <s v="Returning"/>
    <n v="0.27"/>
    <s v="Credit Card"/>
    <s v="Online"/>
    <s v="High"/>
  </r>
  <r>
    <n v="1026"/>
    <s v="Television"/>
    <d v="2023-01-26T00:00:00"/>
    <s v="David"/>
    <s v="Hogan Rock"/>
    <s v="East"/>
    <n v="0.06"/>
    <n v="131.71199999999999"/>
    <n v="2195.1999999999998"/>
    <n v="5"/>
    <s v="Food"/>
    <n v="4093.61"/>
    <n v="4117.88"/>
    <s v="Returning"/>
    <n v="0.12"/>
    <s v="Credit Card"/>
    <s v="Retail"/>
    <s v="Low"/>
  </r>
  <r>
    <n v="1063"/>
    <s v="Noodles"/>
    <d v="2023-08-14T00:00:00"/>
    <s v="Bob"/>
    <s v="Michael Smith"/>
    <s v="North"/>
    <n v="7.4999999999999997E-2"/>
    <n v="746.75625000000002"/>
    <n v="9956.75"/>
    <n v="27"/>
    <s v="Clothing"/>
    <n v="3760.25"/>
    <n v="4147.1099999999997"/>
    <s v="New"/>
    <n v="0.22"/>
    <s v="Cash"/>
    <s v="Online"/>
    <s v="High"/>
  </r>
  <r>
    <n v="1089"/>
    <s v="Recliner"/>
    <d v="2023-10-12T00:00:00"/>
    <s v="David"/>
    <s v="Hogan Rock"/>
    <s v="South"/>
    <n v="0.05"/>
    <n v="490.65350000000001"/>
    <n v="9813.07"/>
    <n v="25"/>
    <s v="Furniture"/>
    <n v="3512.69"/>
    <n v="3964.63"/>
    <s v="Returning"/>
    <n v="0.03"/>
    <s v="Credit Card"/>
    <s v="Retail"/>
    <s v="High"/>
  </r>
  <r>
    <n v="1086"/>
    <s v="Gaming Console"/>
    <d v="2023-01-04T00:00:00"/>
    <s v="Bob"/>
    <s v="Michael Smith"/>
    <s v="South"/>
    <n v="0.05"/>
    <n v="326.50700000000006"/>
    <n v="6530.14"/>
    <n v="8"/>
    <s v="Furniture"/>
    <n v="1569.31"/>
    <n v="1798.02"/>
    <s v="New"/>
    <n v="7.0000000000000007E-2"/>
    <s v="Credit Card"/>
    <s v="Online"/>
    <s v="High"/>
  </r>
  <r>
    <n v="1059"/>
    <s v="Coffee Beans"/>
    <d v="2023-04-09T00:00:00"/>
    <s v="Charlie"/>
    <s v="Susan Jerkins"/>
    <s v="South"/>
    <n v="0.05"/>
    <n v="403.185"/>
    <n v="8063.7"/>
    <n v="1"/>
    <s v="Electronics"/>
    <n v="332.62"/>
    <n v="612.46"/>
    <s v="Returning"/>
    <n v="0.24"/>
    <s v="Cash"/>
    <s v="Retail"/>
    <s v="High"/>
  </r>
  <r>
    <n v="1027"/>
    <s v="Cookies"/>
    <d v="2023-02-08T00:00:00"/>
    <s v="Alice"/>
    <s v="Scott Wayne"/>
    <s v="West"/>
    <n v="0.08"/>
    <n v="574.35919999999999"/>
    <n v="7179.49"/>
    <n v="20"/>
    <s v="Electronics"/>
    <n v="1748.11"/>
    <n v="2220.9"/>
    <s v="New"/>
    <n v="0.23"/>
    <s v="Credit Card"/>
    <s v="Retail"/>
    <s v="High"/>
  </r>
  <r>
    <n v="1049"/>
    <s v="Coffee Table"/>
    <d v="2023-09-28T00:00:00"/>
    <s v="Alice"/>
    <s v="Scott Wayne"/>
    <s v="West"/>
    <n v="0.08"/>
    <n v="477.78160000000003"/>
    <n v="5972.27"/>
    <n v="44"/>
    <s v="Furniture"/>
    <n v="3351.33"/>
    <n v="3465.35"/>
    <s v="Returning"/>
    <n v="0.12"/>
    <s v="Bank Transfer"/>
    <s v="Online"/>
    <s v="High"/>
  </r>
  <r>
    <n v="1077"/>
    <s v="Skirt"/>
    <d v="2023-10-12T00:00:00"/>
    <s v="David"/>
    <s v="Hogan Rock"/>
    <s v="South"/>
    <n v="0.05"/>
    <n v="31.407499999999999"/>
    <n v="628.15"/>
    <n v="23"/>
    <s v="Electronics"/>
    <n v="557.52"/>
    <n v="822.39"/>
    <s v="Returning"/>
    <n v="0.28999999999999998"/>
    <s v="Credit Card"/>
    <s v="Online"/>
    <s v="Low"/>
  </r>
  <r>
    <n v="1033"/>
    <s v="TV Stand"/>
    <d v="2023-06-06T00:00:00"/>
    <s v="Alice"/>
    <s v="Scott Wayne"/>
    <s v="East"/>
    <n v="0.06"/>
    <n v="276.1302"/>
    <n v="4602.17"/>
    <n v="32"/>
    <s v="Food"/>
    <n v="108.99"/>
    <n v="351.6"/>
    <s v="Returning"/>
    <n v="0.27"/>
    <s v="Credit Card"/>
    <s v="Retail"/>
    <s v="Low"/>
  </r>
  <r>
    <n v="1098"/>
    <s v="File Cabinet"/>
    <d v="2023-03-16T00:00:00"/>
    <s v="David"/>
    <s v="Hogan Rock"/>
    <s v="South"/>
    <n v="0.05"/>
    <n v="339.01900000000001"/>
    <n v="6780.38"/>
    <n v="11"/>
    <s v="Furniture"/>
    <n v="741.48"/>
    <n v="878.09"/>
    <s v="New"/>
    <n v="0.28999999999999998"/>
    <s v="Cash"/>
    <s v="Retail"/>
    <s v="High"/>
  </r>
  <r>
    <n v="1099"/>
    <s v="Chest"/>
    <d v="2023-10-15T00:00:00"/>
    <s v="David"/>
    <s v="Hogan Rock"/>
    <s v="East"/>
    <n v="0.06"/>
    <n v="408.45359999999999"/>
    <n v="6807.56"/>
    <n v="39"/>
    <s v="Electronics"/>
    <n v="3592.89"/>
    <n v="4004"/>
    <s v="New"/>
    <n v="0.13"/>
    <s v="Cash"/>
    <s v="Online"/>
    <s v="High"/>
  </r>
  <r>
    <n v="1001"/>
    <s v="Camera"/>
    <d v="2023-05-10T00:00:00"/>
    <s v="David"/>
    <s v="Hogan Rock"/>
    <s v="East"/>
    <n v="0.06"/>
    <n v="227.63459999999998"/>
    <n v="3793.91"/>
    <n v="47"/>
    <s v="Food"/>
    <n v="4865.33"/>
    <n v="5316.13"/>
    <s v="New"/>
    <n v="0.06"/>
    <s v="Bank Transfer"/>
    <s v="Online"/>
    <s v="Low"/>
  </r>
  <r>
    <n v="1021"/>
    <s v="Almond Milk"/>
    <d v="2023-06-24T00:00:00"/>
    <s v="Alice"/>
    <s v="Scott Wayne"/>
    <s v="West"/>
    <n v="0.08"/>
    <n v="753.82"/>
    <n v="9422.75"/>
    <n v="24"/>
    <s v="Electronics"/>
    <n v="4916.17"/>
    <n v="5309.32"/>
    <s v="Returning"/>
    <n v="0.19"/>
    <s v="Credit Card"/>
    <s v="Online"/>
    <s v="High"/>
  </r>
  <r>
    <n v="1055"/>
    <s v="Cupboard"/>
    <d v="2023-03-25T00:00:00"/>
    <s v="David"/>
    <s v="Hogan Rock"/>
    <s v="East"/>
    <n v="0.06"/>
    <n v="105.40979999999999"/>
    <n v="1756.83"/>
    <n v="11"/>
    <s v="Electronics"/>
    <n v="2495.1999999999998"/>
    <n v="2600.9299999999998"/>
    <s v="New"/>
    <n v="0.21"/>
    <s v="Bank Transfer"/>
    <s v="Retail"/>
    <s v="Low"/>
  </r>
  <r>
    <n v="1006"/>
    <s v="Monitor"/>
    <d v="2023-01-22T00:00:00"/>
    <s v="Alice"/>
    <s v="Scott Wayne"/>
    <s v="South"/>
    <n v="0.05"/>
    <n v="252.67800000000003"/>
    <n v="5053.5600000000004"/>
    <n v="29"/>
    <s v="Electronics"/>
    <n v="4353.29"/>
    <n v="4405.8"/>
    <s v="New"/>
    <n v="0.04"/>
    <s v="Bank Transfer"/>
    <s v="Online"/>
    <s v="High"/>
  </r>
  <r>
    <n v="1092"/>
    <s v="Recliner"/>
    <d v="2023-01-27T00:00:00"/>
    <s v="David"/>
    <s v="Hogan Rock"/>
    <s v="West"/>
    <n v="0.08"/>
    <n v="555.18000000000006"/>
    <n v="6939.75"/>
    <n v="26"/>
    <s v="Furniture"/>
    <n v="3697.29"/>
    <n v="4003.96"/>
    <s v="New"/>
    <n v="0.24"/>
    <s v="Cash"/>
    <s v="Online"/>
    <s v="High"/>
  </r>
  <r>
    <n v="1081"/>
    <s v="Rocking Chair"/>
    <d v="2023-07-14T00:00:00"/>
    <s v="Eve"/>
    <s v="Tracy Moore"/>
    <s v="North"/>
    <n v="7.4999999999999997E-2"/>
    <n v="525.12300000000005"/>
    <n v="7001.64"/>
    <n v="16"/>
    <s v="Clothing"/>
    <n v="2530.15"/>
    <n v="2568.13"/>
    <s v="New"/>
    <n v="0.01"/>
    <s v="Credit Card"/>
    <s v="Online"/>
    <s v="High"/>
  </r>
  <r>
    <n v="1069"/>
    <s v="Suit"/>
    <d v="2023-12-03T00:00:00"/>
    <s v="David"/>
    <s v="Hogan Rock"/>
    <s v="North"/>
    <n v="7.4999999999999997E-2"/>
    <n v="489.11474999999996"/>
    <n v="6521.53"/>
    <n v="35"/>
    <s v="Electronics"/>
    <n v="2885.16"/>
    <n v="3224.8399999999901"/>
    <s v="New"/>
    <n v="0.14000000000000001"/>
    <s v="Cash"/>
    <s v="Online"/>
    <s v="High"/>
  </r>
  <r>
    <n v="1095"/>
    <s v="Bluetooth Speaker"/>
    <d v="2023-08-24T00:00:00"/>
    <s v="Bob"/>
    <s v="Michael Smith"/>
    <s v="West"/>
    <n v="0.08"/>
    <n v="226.02799999999999"/>
    <n v="2825.35"/>
    <n v="20"/>
    <s v="Food"/>
    <n v="729.27"/>
    <n v="999.18"/>
    <s v="New"/>
    <n v="0.1"/>
    <s v="Bank Transfer"/>
    <s v="Online"/>
    <s v="Low"/>
  </r>
  <r>
    <n v="1005"/>
    <s v="Smart Phone"/>
    <d v="2023-04-02T00:00:00"/>
    <s v="David"/>
    <s v="Hogan Rock"/>
    <s v="South"/>
    <n v="0.05"/>
    <n v="82.322500000000005"/>
    <n v="1646.45"/>
    <n v="46"/>
    <s v="Furniture"/>
    <n v="4691.42"/>
    <n v="5026.1899999999996"/>
    <s v="Returning"/>
    <n v="0.22"/>
    <s v="Bank Transfer"/>
    <s v="Retail"/>
    <s v="Low"/>
  </r>
  <r>
    <n v="1003"/>
    <s v="Stool"/>
    <d v="2023-01-21T00:00:00"/>
    <s v="Charlie"/>
    <s v="Susan Jerkins"/>
    <s v="North"/>
    <n v="7.4999999999999997E-2"/>
    <n v="479.68574999999998"/>
    <n v="6395.81"/>
    <n v="3"/>
    <s v="Furniture"/>
    <n v="1792.05"/>
    <n v="2091.23"/>
    <s v="Returning"/>
    <n v="0.09"/>
    <s v="Cash"/>
    <s v="Retail"/>
    <s v="High"/>
  </r>
  <r>
    <n v="1053"/>
    <s v="Bed"/>
    <d v="2023-10-30T00:00:00"/>
    <s v="David"/>
    <s v="Hogan Rock"/>
    <s v="North"/>
    <n v="7.4999999999999997E-2"/>
    <n v="452.48174999999998"/>
    <n v="6033.09"/>
    <n v="1"/>
    <s v="Food"/>
    <n v="2258.44"/>
    <n v="2475.56"/>
    <s v="New"/>
    <n v="0.25"/>
    <s v="Cash"/>
    <s v="Online"/>
    <s v="High"/>
  </r>
  <r>
    <n v="1023"/>
    <s v="Tights"/>
    <d v="2023-12-23T00:00:00"/>
    <s v="Bob"/>
    <s v="Michael Smith"/>
    <s v="East"/>
    <n v="0.06"/>
    <n v="112.53719999999998"/>
    <n v="1875.62"/>
    <n v="47"/>
    <s v="Electronics"/>
    <n v="3374.72"/>
    <n v="3483.1499999999901"/>
    <s v="Returning"/>
    <n v="0.18"/>
    <s v="Cash"/>
    <s v="Online"/>
    <s v="Low"/>
  </r>
  <r>
    <n v="1053"/>
    <s v="Bed"/>
    <d v="2023-03-25T00:00:00"/>
    <s v="Bob"/>
    <s v="Michael Smith"/>
    <s v="East"/>
    <n v="0.06"/>
    <n v="424.8528"/>
    <n v="7080.88"/>
    <n v="1"/>
    <s v="Clothing"/>
    <n v="1702.82"/>
    <n v="1862.61"/>
    <s v="Returning"/>
    <n v="0.24"/>
    <s v="Cash"/>
    <s v="Retail"/>
    <s v="High"/>
  </r>
  <r>
    <n v="1037"/>
    <s v="Turtleneck Top"/>
    <d v="2023-09-19T00:00:00"/>
    <s v="Alice"/>
    <s v="Scott Wayne"/>
    <s v="South"/>
    <n v="0.05"/>
    <n v="230.31"/>
    <n v="4606.2"/>
    <n v="17"/>
    <s v="Electronics"/>
    <n v="1308.58"/>
    <n v="1575.59"/>
    <s v="New"/>
    <n v="0.3"/>
    <s v="Cash"/>
    <s v="Online"/>
    <s v="Low"/>
  </r>
  <r>
    <n v="1074"/>
    <s v="French Fries"/>
    <d v="2023-05-27T00:00:00"/>
    <s v="Eve"/>
    <s v="Tracy Moore"/>
    <s v="West"/>
    <n v="0.08"/>
    <n v="536.8664"/>
    <n v="6710.83"/>
    <n v="2"/>
    <s v="Food"/>
    <n v="3173.69"/>
    <n v="3503.11"/>
    <s v="New"/>
    <n v="0.2"/>
    <s v="Bank Transfer"/>
    <s v="Retail"/>
    <s v="High"/>
  </r>
  <r>
    <n v="1074"/>
    <s v="French Fries"/>
    <d v="2023-09-14T00:00:00"/>
    <s v="David"/>
    <s v="Hogan Rock"/>
    <s v="South"/>
    <n v="0.05"/>
    <n v="419.49650000000003"/>
    <n v="8389.93"/>
    <n v="29"/>
    <s v="Furniture"/>
    <n v="173.67"/>
    <n v="565.62"/>
    <s v="Returning"/>
    <n v="0.3"/>
    <s v="Cash"/>
    <s v="Online"/>
    <s v="High"/>
  </r>
  <r>
    <n v="1083"/>
    <s v="Nightstand"/>
    <d v="2023-02-27T00:00:00"/>
    <s v="Alice"/>
    <s v="Scott Wayne"/>
    <s v="West"/>
    <n v="0.08"/>
    <n v="142.4248"/>
    <n v="1780.31"/>
    <n v="20"/>
    <s v="Clothing"/>
    <n v="3617.59"/>
    <n v="4003.5"/>
    <s v="New"/>
    <n v="0.01"/>
    <s v="Credit Card"/>
    <s v="Retail"/>
    <s v="Low"/>
  </r>
  <r>
    <n v="1017"/>
    <s v="Peaches"/>
    <d v="2023-01-15T00:00:00"/>
    <s v="Eve"/>
    <s v="Tracy Moore"/>
    <s v="North"/>
    <n v="7.4999999999999997E-2"/>
    <n v="21.714749999999999"/>
    <n v="289.52999999999997"/>
    <n v="6"/>
    <s v="Furniture"/>
    <n v="2594.42"/>
    <n v="3081.04"/>
    <s v="Returning"/>
    <n v="0.1"/>
    <s v="Bank Transfer"/>
    <s v="Retail"/>
    <s v="Low"/>
  </r>
  <r>
    <n v="1085"/>
    <s v="Settee"/>
    <d v="2023-06-11T00:00:00"/>
    <s v="David"/>
    <s v="Hogan Rock"/>
    <s v="East"/>
    <n v="0.06"/>
    <n v="468.78719999999998"/>
    <n v="7813.12"/>
    <n v="8"/>
    <s v="Food"/>
    <n v="3048.48"/>
    <n v="3198.54"/>
    <s v="Returning"/>
    <n v="0.03"/>
    <s v="Bank Transfer"/>
    <s v="Online"/>
    <s v="High"/>
  </r>
  <r>
    <n v="1078"/>
    <s v="Kitchen Island"/>
    <d v="2023-06-12T00:00:00"/>
    <s v="Charlie"/>
    <s v="Susan Jerkins"/>
    <s v="South"/>
    <n v="0.05"/>
    <n v="306.8"/>
    <n v="6136"/>
    <n v="29"/>
    <s v="Electronics"/>
    <n v="3177.81"/>
    <n v="3222.65"/>
    <s v="Returning"/>
    <n v="0.08"/>
    <s v="Credit Card"/>
    <s v="Retail"/>
    <s v="High"/>
  </r>
  <r>
    <n v="1073"/>
    <s v="Console Table"/>
    <d v="2023-11-16T00:00:00"/>
    <s v="David"/>
    <s v="Hogan Rock"/>
    <s v="South"/>
    <n v="0.05"/>
    <n v="351.32150000000001"/>
    <n v="7026.43"/>
    <n v="48"/>
    <s v="Clothing"/>
    <n v="2658.9"/>
    <n v="2838.27"/>
    <s v="New"/>
    <n v="0.25"/>
    <s v="Credit Card"/>
    <s v="Online"/>
    <s v="High"/>
  </r>
  <r>
    <n v="1001"/>
    <s v="Camera"/>
    <d v="2023-10-08T00:00:00"/>
    <s v="Bob"/>
    <s v="Michael Smith"/>
    <s v="West"/>
    <n v="0.08"/>
    <n v="671.8184"/>
    <n v="8397.73"/>
    <n v="33"/>
    <s v="Furniture"/>
    <n v="2933.54"/>
    <n v="3307.75"/>
    <s v="Returning"/>
    <n v="0.01"/>
    <s v="Bank Transfer"/>
    <s v="Retail"/>
    <s v="High"/>
  </r>
  <r>
    <n v="1051"/>
    <s v="Tablet"/>
    <d v="2023-10-07T00:00:00"/>
    <s v="Bob"/>
    <s v="Michael Smith"/>
    <s v="West"/>
    <n v="0.08"/>
    <n v="643.82640000000004"/>
    <n v="8047.83"/>
    <n v="3"/>
    <s v="Furniture"/>
    <n v="3434.75"/>
    <n v="3659.42"/>
    <s v="New"/>
    <n v="0.16"/>
    <s v="Cash"/>
    <s v="Online"/>
    <s v="High"/>
  </r>
  <r>
    <n v="1045"/>
    <s v="Bikers Shorts"/>
    <d v="2023-01-12T00:00:00"/>
    <s v="Charlie"/>
    <s v="Susan Jerkins"/>
    <s v="South"/>
    <n v="0.05"/>
    <n v="480.65550000000007"/>
    <n v="9613.11"/>
    <n v="35"/>
    <s v="Furniture"/>
    <n v="3777.94"/>
    <n v="4188.66"/>
    <s v="New"/>
    <n v="0.17"/>
    <s v="Bank Transfer"/>
    <s v="Online"/>
    <s v="High"/>
  </r>
  <r>
    <n v="1077"/>
    <s v="Skirt"/>
    <d v="2023-10-01T00:00:00"/>
    <s v="Alice"/>
    <s v="Scott Wayne"/>
    <s v="West"/>
    <n v="0.08"/>
    <n v="432.46080000000001"/>
    <n v="5405.76"/>
    <n v="5"/>
    <s v="Electronics"/>
    <n v="3650.89"/>
    <n v="3930.06"/>
    <s v="New"/>
    <n v="0.17"/>
    <s v="Bank Transfer"/>
    <s v="Online"/>
    <s v="High"/>
  </r>
  <r>
    <n v="1004"/>
    <s v="Smartwatch"/>
    <d v="2023-09-28T00:00:00"/>
    <s v="Eve"/>
    <s v="Tracy Moore"/>
    <s v="South"/>
    <n v="0.05"/>
    <n v="246.80549999999999"/>
    <n v="4936.1099999999997"/>
    <n v="27"/>
    <s v="Clothing"/>
    <n v="4354.6000000000004"/>
    <n v="4820.2"/>
    <s v="New"/>
    <n v="0.14000000000000001"/>
    <s v="Credit Card"/>
    <s v="Retail"/>
    <s v="Low"/>
  </r>
  <r>
    <n v="1062"/>
    <s v="Boxers"/>
    <d v="2023-07-27T00:00:00"/>
    <s v="David"/>
    <s v="Hogan Rock"/>
    <s v="South"/>
    <n v="0.05"/>
    <n v="203.934"/>
    <n v="4078.68"/>
    <n v="44"/>
    <s v="Electronics"/>
    <n v="987.74"/>
    <n v="1462.19"/>
    <s v="New"/>
    <n v="0.24"/>
    <s v="Bank Transfer"/>
    <s v="Online"/>
    <s v="Low"/>
  </r>
  <r>
    <n v="1065"/>
    <s v="Potatoes"/>
    <d v="2023-01-27T00:00:00"/>
    <s v="Bob"/>
    <s v="Michael Smith"/>
    <s v="South"/>
    <n v="0.05"/>
    <n v="81.076999999999998"/>
    <n v="1621.54"/>
    <n v="12"/>
    <s v="Electronics"/>
    <n v="2035.68"/>
    <n v="2079.64"/>
    <s v="Returning"/>
    <n v="0.04"/>
    <s v="Cash"/>
    <s v="Online"/>
    <s v="Low"/>
  </r>
  <r>
    <n v="1032"/>
    <s v="Refridgerator"/>
    <d v="2023-03-13T00:00:00"/>
    <s v="Alice"/>
    <s v="Scott Wayne"/>
    <s v="North"/>
    <n v="7.4999999999999997E-2"/>
    <n v="432.66075000000001"/>
    <n v="5768.81"/>
    <n v="20"/>
    <s v="Electronics"/>
    <n v="4741.59"/>
    <n v="4975.2299999999996"/>
    <s v="New"/>
    <n v="0.09"/>
    <s v="Credit Card"/>
    <s v="Online"/>
    <s v="High"/>
  </r>
  <r>
    <n v="1034"/>
    <s v="Socks Pack"/>
    <d v="2023-03-01T00:00:00"/>
    <s v="Charlie"/>
    <s v="Susan Jerkins"/>
    <s v="West"/>
    <n v="0.08"/>
    <n v="227.39360000000002"/>
    <n v="2842.42"/>
    <n v="45"/>
    <s v="Food"/>
    <n v="2013.12"/>
    <n v="2321.87"/>
    <s v="New"/>
    <n v="0.18"/>
    <s v="Bank Transfer"/>
    <s v="Retail"/>
    <s v="Low"/>
  </r>
  <r>
    <n v="1092"/>
    <s v="Recliner"/>
    <d v="2023-05-25T00:00:00"/>
    <s v="Bob"/>
    <s v="Michael Smith"/>
    <s v="East"/>
    <n v="0.06"/>
    <n v="553.25639999999999"/>
    <n v="9220.94"/>
    <n v="20"/>
    <s v="Food"/>
    <n v="668.11"/>
    <n v="803.49"/>
    <s v="New"/>
    <n v="0.21"/>
    <s v="Bank Transfer"/>
    <s v="Online"/>
    <s v="High"/>
  </r>
  <r>
    <n v="1095"/>
    <s v="Bluetooth Speaker"/>
    <d v="2023-04-03T00:00:00"/>
    <s v="Charlie"/>
    <s v="Susan Jerkins"/>
    <s v="East"/>
    <n v="0.06"/>
    <n v="352.41539999999998"/>
    <n v="5873.59"/>
    <n v="9"/>
    <s v="Food"/>
    <n v="2650.95"/>
    <n v="2860.4199999999901"/>
    <s v="New"/>
    <n v="0.12"/>
    <s v="Cash"/>
    <s v="Retail"/>
    <s v="High"/>
  </r>
  <r>
    <n v="1072"/>
    <s v="T-Shirt"/>
    <d v="2023-11-05T00:00:00"/>
    <s v="David"/>
    <s v="Hogan Rock"/>
    <s v="West"/>
    <n v="0.08"/>
    <n v="477.52960000000002"/>
    <n v="5969.12"/>
    <n v="39"/>
    <s v="Clothing"/>
    <n v="591.98"/>
    <n v="934.04"/>
    <s v="New"/>
    <n v="0.26"/>
    <s v="Bank Transfer"/>
    <s v="Retail"/>
    <s v="High"/>
  </r>
  <r>
    <n v="1039"/>
    <s v="Hoodie"/>
    <d v="2023-01-08T00:00:00"/>
    <s v="Eve"/>
    <s v="Tracy Moore"/>
    <s v="South"/>
    <n v="0.05"/>
    <n v="180.6875"/>
    <n v="3613.75"/>
    <n v="4"/>
    <s v="Electronics"/>
    <n v="1054.1199999999999"/>
    <n v="1175.21999999999"/>
    <s v="Returning"/>
    <n v="0.12"/>
    <s v="Bank Transfer"/>
    <s v="Retail"/>
    <s v="Low"/>
  </r>
  <r>
    <n v="1026"/>
    <s v="Television"/>
    <d v="2023-03-20T00:00:00"/>
    <s v="Bob"/>
    <s v="Michael Smith"/>
    <s v="East"/>
    <n v="0.06"/>
    <n v="36.881399999999999"/>
    <n v="614.69000000000005"/>
    <n v="19"/>
    <s v="Electronics"/>
    <n v="4991.68"/>
    <n v="5296.65"/>
    <s v="New"/>
    <n v="0.12"/>
    <s v="Bank Transfer"/>
    <s v="Online"/>
    <s v="Low"/>
  </r>
  <r>
    <n v="1034"/>
    <s v="Socks Pack"/>
    <d v="2023-01-27T00:00:00"/>
    <s v="Bob"/>
    <s v="Michael Smith"/>
    <s v="East"/>
    <n v="0.06"/>
    <n v="24.855599999999999"/>
    <n v="414.26"/>
    <n v="38"/>
    <s v="Food"/>
    <n v="2729.75"/>
    <n v="3081.5"/>
    <s v="New"/>
    <n v="0.01"/>
    <s v="Bank Transfer"/>
    <s v="Online"/>
    <s v="Low"/>
  </r>
  <r>
    <n v="1054"/>
    <s v="Glider"/>
    <d v="2023-06-23T00:00:00"/>
    <s v="David"/>
    <s v="Hogan Rock"/>
    <s v="West"/>
    <n v="0.08"/>
    <n v="343.28160000000003"/>
    <n v="4291.0200000000004"/>
    <n v="27"/>
    <s v="Electronics"/>
    <n v="1456.09"/>
    <n v="1510.4299999999901"/>
    <s v="Returning"/>
    <n v="0.17"/>
    <s v="Cash"/>
    <s v="Retail"/>
    <s v="Low"/>
  </r>
  <r>
    <n v="1003"/>
    <s v="Stool"/>
    <d v="2023-02-19T00:00:00"/>
    <s v="Alice"/>
    <s v="Scott Wayne"/>
    <s v="East"/>
    <n v="0.06"/>
    <n v="56.231999999999999"/>
    <n v="937.2"/>
    <n v="45"/>
    <s v="Electronics"/>
    <n v="4974.1400000000003"/>
    <n v="5227.93"/>
    <s v="New"/>
    <n v="0.21"/>
    <s v="Bank Transfer"/>
    <s v="Online"/>
    <s v="Low"/>
  </r>
  <r>
    <n v="1050"/>
    <s v="Sneakers"/>
    <d v="2023-07-18T00:00:00"/>
    <s v="Eve"/>
    <s v="Tracy Moore"/>
    <s v="South"/>
    <n v="0.05"/>
    <n v="305.38900000000001"/>
    <n v="6107.78"/>
    <n v="43"/>
    <s v="Furniture"/>
    <n v="4834.47"/>
    <n v="4973.38"/>
    <s v="Returning"/>
    <n v="0.03"/>
    <s v="Bank Transfer"/>
    <s v="Online"/>
    <s v="High"/>
  </r>
  <r>
    <n v="1012"/>
    <s v="Cabinet"/>
    <d v="2023-12-15T00:00:00"/>
    <s v="Bob"/>
    <s v="Michael Smith"/>
    <s v="West"/>
    <n v="0.08"/>
    <n v="705.73039999999992"/>
    <n v="8821.6299999999992"/>
    <n v="13"/>
    <s v="Electronics"/>
    <n v="2231.66"/>
    <n v="2596.6099999999901"/>
    <s v="Returning"/>
    <n v="0.09"/>
    <s v="Bank Transfer"/>
    <s v="Retail"/>
    <s v="High"/>
  </r>
  <r>
    <n v="1065"/>
    <s v="Potatoes"/>
    <d v="2023-06-30T00:00:00"/>
    <s v="Eve"/>
    <s v="Tracy Moore"/>
    <s v="South"/>
    <n v="0.05"/>
    <n v="442.04300000000006"/>
    <n v="8840.86"/>
    <n v="13"/>
    <s v="Furniture"/>
    <n v="1339"/>
    <n v="1441.88"/>
    <s v="Returning"/>
    <n v="0.23"/>
    <s v="Credit Card"/>
    <s v="Retail"/>
    <s v="High"/>
  </r>
  <r>
    <n v="1054"/>
    <s v="Glider"/>
    <d v="2023-01-24T00:00:00"/>
    <s v="Bob"/>
    <s v="Michael Smith"/>
    <s v="East"/>
    <n v="0.06"/>
    <n v="397.47300000000001"/>
    <n v="6624.55"/>
    <n v="22"/>
    <s v="Electronics"/>
    <n v="4200.08"/>
    <n v="4647.28"/>
    <s v="Returning"/>
    <n v="0.11"/>
    <s v="Cash"/>
    <s v="Online"/>
    <s v="High"/>
  </r>
  <r>
    <n v="1005"/>
    <s v="Smart Phone"/>
    <d v="2023-11-12T00:00:00"/>
    <s v="Eve"/>
    <s v="Tracy Moore"/>
    <s v="East"/>
    <n v="0.06"/>
    <n v="131.47199999999998"/>
    <n v="2191.1999999999998"/>
    <n v="28"/>
    <s v="Clothing"/>
    <n v="3592.32"/>
    <n v="3813.48"/>
    <s v="New"/>
    <n v="7.0000000000000007E-2"/>
    <s v="Credit Card"/>
    <s v="Retail"/>
    <s v="Low"/>
  </r>
  <r>
    <n v="1094"/>
    <s v="Microwave"/>
    <d v="2023-02-15T00:00:00"/>
    <s v="Charlie"/>
    <s v="Susan Jerkins"/>
    <s v="South"/>
    <n v="0.05"/>
    <n v="432.18350000000004"/>
    <n v="8643.67"/>
    <n v="47"/>
    <s v="Food"/>
    <n v="3450.36"/>
    <n v="3557.38"/>
    <s v="New"/>
    <n v="0.2"/>
    <s v="Credit Card"/>
    <s v="Online"/>
    <s v="High"/>
  </r>
  <r>
    <n v="1094"/>
    <s v="Microwave"/>
    <d v="2023-01-15T00:00:00"/>
    <s v="Bob"/>
    <s v="Michael Smith"/>
    <s v="North"/>
    <n v="7.4999999999999997E-2"/>
    <n v="665.42475000000002"/>
    <n v="8872.33"/>
    <n v="45"/>
    <s v="Furniture"/>
    <n v="4470.91"/>
    <n v="4695.54"/>
    <s v="Returning"/>
    <n v="0.06"/>
    <s v="Cash"/>
    <s v="Retail"/>
    <s v="High"/>
  </r>
  <r>
    <n v="1057"/>
    <s v="Avocadro Pear"/>
    <d v="2023-06-02T00:00:00"/>
    <s v="Eve"/>
    <s v="Tracy Moore"/>
    <s v="East"/>
    <n v="0.06"/>
    <n v="122.81219999999999"/>
    <n v="2046.87"/>
    <n v="22"/>
    <s v="Food"/>
    <n v="3462.61"/>
    <n v="3672.89"/>
    <s v="Returning"/>
    <n v="0.27"/>
    <s v="Credit Card"/>
    <s v="Online"/>
    <s v="Low"/>
  </r>
  <r>
    <n v="1017"/>
    <s v="Peaches"/>
    <d v="2023-08-10T00:00:00"/>
    <s v="Alice"/>
    <s v="Scott Wayne"/>
    <s v="North"/>
    <n v="7.4999999999999997E-2"/>
    <n v="555.03899999999999"/>
    <n v="7400.52"/>
    <n v="43"/>
    <s v="Furniture"/>
    <n v="1454.8"/>
    <n v="1674.97"/>
    <s v="New"/>
    <n v="0.03"/>
    <s v="Credit Card"/>
    <s v="Online"/>
    <s v="High"/>
  </r>
  <r>
    <n v="1047"/>
    <s v="Mouse"/>
    <d v="2023-07-25T00:00:00"/>
    <s v="Charlie"/>
    <s v="Susan Jerkins"/>
    <s v="East"/>
    <n v="0.06"/>
    <n v="176.19239999999999"/>
    <n v="2936.54"/>
    <n v="19"/>
    <s v="Furniture"/>
    <n v="3484.62"/>
    <n v="3781.5499999999902"/>
    <s v="Returning"/>
    <n v="0.21"/>
    <s v="Credit Card"/>
    <s v="Retail"/>
    <s v="Low"/>
  </r>
  <r>
    <n v="1023"/>
    <s v="Tights"/>
    <d v="2023-09-30T00:00:00"/>
    <s v="Charlie"/>
    <s v="Susan Jerkins"/>
    <s v="North"/>
    <n v="7.4999999999999997E-2"/>
    <n v="603.46050000000002"/>
    <n v="8046.14"/>
    <n v="8"/>
    <s v="Furniture"/>
    <n v="1563.78"/>
    <n v="1829.1599999999901"/>
    <s v="Returning"/>
    <n v="0.15"/>
    <s v="Cash"/>
    <s v="Online"/>
    <s v="High"/>
  </r>
  <r>
    <n v="1079"/>
    <s v="Wardrobe"/>
    <d v="2023-08-24T00:00:00"/>
    <s v="Alice"/>
    <s v="Scott Wayne"/>
    <s v="North"/>
    <n v="7.4999999999999997E-2"/>
    <n v="747.94949999999994"/>
    <n v="9972.66"/>
    <n v="8"/>
    <s v="Clothing"/>
    <n v="3808.23"/>
    <n v="3891.62"/>
    <s v="Returning"/>
    <n v="0.26"/>
    <s v="Bank Transfer"/>
    <s v="Online"/>
    <s v="High"/>
  </r>
  <r>
    <n v="1085"/>
    <s v="Settee"/>
    <d v="2023-12-06T00:00:00"/>
    <s v="Eve"/>
    <s v="Tracy Moore"/>
    <s v="North"/>
    <n v="7.4999999999999997E-2"/>
    <n v="29.794499999999999"/>
    <n v="397.26"/>
    <n v="42"/>
    <s v="Electronics"/>
    <n v="3117.75"/>
    <n v="3159.88"/>
    <s v="New"/>
    <n v="0.04"/>
    <s v="Cash"/>
    <s v="Retail"/>
    <s v="Low"/>
  </r>
  <r>
    <n v="1014"/>
    <s v="Cheese Block"/>
    <d v="2023-08-16T00:00:00"/>
    <s v="David"/>
    <s v="Hogan Rock"/>
    <s v="South"/>
    <n v="0.05"/>
    <n v="449.19600000000003"/>
    <n v="8983.92"/>
    <n v="26"/>
    <s v="Furniture"/>
    <n v="433.19"/>
    <n v="800.6"/>
    <s v="Returning"/>
    <n v="0.2"/>
    <s v="Cash"/>
    <s v="Online"/>
    <s v="High"/>
  </r>
  <r>
    <n v="1066"/>
    <s v="Armoire"/>
    <d v="2023-01-09T00:00:00"/>
    <s v="Alice"/>
    <s v="Scott Wayne"/>
    <s v="North"/>
    <n v="7.4999999999999997E-2"/>
    <n v="469.803"/>
    <n v="6264.04"/>
    <n v="48"/>
    <s v="Clothing"/>
    <n v="2588.54"/>
    <n v="2872.8"/>
    <s v="New"/>
    <n v="0.17"/>
    <s v="Cash"/>
    <s v="Online"/>
    <s v="High"/>
  </r>
  <r>
    <n v="1075"/>
    <s v="Bookshelf"/>
    <d v="2023-06-15T00:00:00"/>
    <s v="Eve"/>
    <s v="Tracy Moore"/>
    <s v="North"/>
    <n v="7.4999999999999997E-2"/>
    <n v="730.23674999999992"/>
    <n v="9736.49"/>
    <n v="26"/>
    <s v="Furniture"/>
    <n v="1749.34"/>
    <n v="1935.25"/>
    <s v="New"/>
    <n v="0.14000000000000001"/>
    <s v="Credit Card"/>
    <s v="Online"/>
    <s v="High"/>
  </r>
  <r>
    <n v="1051"/>
    <s v="Tablet"/>
    <d v="2023-11-15T00:00:00"/>
    <s v="Alice"/>
    <s v="Scott Wayne"/>
    <s v="North"/>
    <n v="7.4999999999999997E-2"/>
    <n v="352.76925"/>
    <n v="4703.59"/>
    <n v="23"/>
    <s v="Electronics"/>
    <n v="1676.42"/>
    <n v="2082.52"/>
    <s v="New"/>
    <n v="0.15"/>
    <s v="Bank Transfer"/>
    <s v="Retail"/>
    <s v="Low"/>
  </r>
  <r>
    <n v="1038"/>
    <s v="Jean Pants"/>
    <d v="2023-08-02T00:00:00"/>
    <s v="Alice"/>
    <s v="Scott Wayne"/>
    <s v="East"/>
    <n v="0.06"/>
    <n v="509.34839999999997"/>
    <n v="8489.14"/>
    <n v="43"/>
    <s v="Furniture"/>
    <n v="3031.17"/>
    <n v="3231.32"/>
    <s v="Returning"/>
    <n v="0.22"/>
    <s v="Cash"/>
    <s v="Retail"/>
    <s v="High"/>
  </r>
  <r>
    <n v="1064"/>
    <s v="Smartphone"/>
    <d v="2023-04-27T00:00:00"/>
    <s v="Bob"/>
    <s v="Michael Smith"/>
    <s v="North"/>
    <n v="7.4999999999999997E-2"/>
    <n v="53.827500000000001"/>
    <n v="717.7"/>
    <n v="13"/>
    <s v="Clothing"/>
    <n v="1645.51"/>
    <n v="2045.53"/>
    <s v="Returning"/>
    <n v="0.28000000000000003"/>
    <s v="Cash"/>
    <s v="Retail"/>
    <s v="Low"/>
  </r>
  <r>
    <n v="1098"/>
    <s v="File Cabinet"/>
    <d v="2023-12-10T00:00:00"/>
    <s v="Eve"/>
    <s v="Tracy Moore"/>
    <s v="East"/>
    <n v="0.06"/>
    <n v="205.15559999999999"/>
    <n v="3419.26"/>
    <n v="28"/>
    <s v="Electronics"/>
    <n v="3895.62"/>
    <n v="4055.44"/>
    <s v="New"/>
    <n v="0.03"/>
    <s v="Bank Transfer"/>
    <s v="Retail"/>
    <s v="Low"/>
  </r>
  <r>
    <n v="1038"/>
    <s v="Jean Pants"/>
    <d v="2023-03-13T00:00:00"/>
    <s v="David"/>
    <s v="Hogan Rock"/>
    <s v="North"/>
    <n v="7.4999999999999997E-2"/>
    <n v="57.259500000000003"/>
    <n v="763.46"/>
    <n v="9"/>
    <s v="Clothing"/>
    <n v="400.42"/>
    <n v="446.11"/>
    <s v="New"/>
    <n v="0.01"/>
    <s v="Bank Transfer"/>
    <s v="Retail"/>
    <s v="Low"/>
  </r>
  <r>
    <n v="1050"/>
    <s v="Sneakers"/>
    <d v="2023-03-05T00:00:00"/>
    <s v="Bob"/>
    <s v="Michael Smith"/>
    <s v="North"/>
    <n v="7.4999999999999997E-2"/>
    <n v="731.6925"/>
    <n v="9755.9"/>
    <n v="20"/>
    <s v="Electronics"/>
    <n v="3318.92"/>
    <n v="3785.91"/>
    <s v="New"/>
    <n v="0.24"/>
    <s v="Bank Transfer"/>
    <s v="Online"/>
    <s v="High"/>
  </r>
  <r>
    <n v="1098"/>
    <s v="File Cabinet"/>
    <d v="2023-07-24T00:00:00"/>
    <s v="Alice"/>
    <s v="Scott Wayne"/>
    <s v="South"/>
    <n v="0.05"/>
    <n v="409.40200000000004"/>
    <n v="8188.04"/>
    <n v="19"/>
    <s v="Electronics"/>
    <n v="4055.51"/>
    <n v="4258.84"/>
    <s v="Returning"/>
    <n v="0.03"/>
    <s v="Credit Card"/>
    <s v="Online"/>
    <s v="High"/>
  </r>
  <r>
    <n v="1082"/>
    <s v="USB Drive"/>
    <d v="2023-07-28T00:00:00"/>
    <s v="Alice"/>
    <s v="Scott Wayne"/>
    <s v="East"/>
    <n v="0.06"/>
    <n v="512.41319999999996"/>
    <n v="8540.2199999999993"/>
    <n v="48"/>
    <s v="Food"/>
    <n v="3380.52"/>
    <n v="3778.94"/>
    <s v="Returning"/>
    <n v="0.3"/>
    <s v="Bank Transfer"/>
    <s v="Online"/>
    <s v="High"/>
  </r>
  <r>
    <n v="1030"/>
    <s v="Jeans"/>
    <d v="2023-03-13T00:00:00"/>
    <s v="Alice"/>
    <s v="Scott Wayne"/>
    <s v="North"/>
    <n v="7.4999999999999997E-2"/>
    <n v="703.93950000000007"/>
    <n v="9385.86"/>
    <n v="39"/>
    <s v="Food"/>
    <n v="2511.2800000000002"/>
    <n v="2658.06"/>
    <s v="New"/>
    <n v="0.19"/>
    <s v="Credit Card"/>
    <s v="Retail"/>
    <s v="High"/>
  </r>
  <r>
    <n v="1079"/>
    <s v="Wardrobe"/>
    <d v="2023-10-04T00:00:00"/>
    <s v="Eve"/>
    <s v="Tracy Moore"/>
    <s v="East"/>
    <n v="0.06"/>
    <n v="56.551199999999994"/>
    <n v="942.52"/>
    <n v="12"/>
    <s v="Food"/>
    <n v="4754.0200000000004"/>
    <n v="5080.74"/>
    <s v="New"/>
    <n v="0.2"/>
    <s v="Cash"/>
    <s v="Online"/>
    <s v="Low"/>
  </r>
  <r>
    <n v="1091"/>
    <s v="Granola Bar"/>
    <d v="2023-10-01T00:00:00"/>
    <s v="Eve"/>
    <s v="Tracy Moore"/>
    <s v="East"/>
    <n v="0.06"/>
    <n v="235.04519999999999"/>
    <n v="3917.42"/>
    <n v="15"/>
    <s v="Electronics"/>
    <n v="1534.7"/>
    <n v="1972.62"/>
    <s v="Returning"/>
    <n v="0.06"/>
    <s v="Credit Card"/>
    <s v="Retail"/>
    <s v="Low"/>
  </r>
  <r>
    <n v="1051"/>
    <s v="Tablet"/>
    <d v="2023-11-16T00:00:00"/>
    <s v="Bob"/>
    <s v="Michael Smith"/>
    <s v="West"/>
    <n v="0.08"/>
    <n v="64.260000000000005"/>
    <n v="803.25"/>
    <n v="31"/>
    <s v="Furniture"/>
    <n v="144.88"/>
    <n v="175.29"/>
    <s v="New"/>
    <n v="7.0000000000000007E-2"/>
    <s v="Bank Transfer"/>
    <s v="Online"/>
    <s v="Low"/>
  </r>
  <r>
    <n v="1063"/>
    <s v="Noodles"/>
    <d v="2023-12-04T00:00:00"/>
    <s v="David"/>
    <s v="Hogan Rock"/>
    <s v="South"/>
    <n v="0.05"/>
    <n v="109.3425"/>
    <n v="2186.85"/>
    <n v="14"/>
    <s v="Clothing"/>
    <n v="2188.35"/>
    <n v="2605.3599999999901"/>
    <s v="Returning"/>
    <n v="0.2"/>
    <s v="Credit Card"/>
    <s v="Retail"/>
    <s v="Low"/>
  </r>
  <r>
    <n v="1098"/>
    <s v="File Cabinet"/>
    <d v="2024-01-01T00:00:00"/>
    <s v="Bob"/>
    <s v="Michael Smith"/>
    <s v="South"/>
    <n v="0.05"/>
    <n v="118.536"/>
    <n v="2370.7199999999998"/>
    <n v="11"/>
    <s v="Clothing"/>
    <n v="213.41"/>
    <n v="503.36"/>
    <s v="Returning"/>
    <n v="0.27"/>
    <s v="Bank Transfer"/>
    <s v="Online"/>
    <s v="Low"/>
  </r>
  <r>
    <n v="1052"/>
    <s v="Wooden Chair"/>
    <d v="2023-04-05T00:00:00"/>
    <s v="Charlie"/>
    <s v="Susan Jerkins"/>
    <s v="South"/>
    <n v="0.05"/>
    <n v="237.208"/>
    <n v="4744.16"/>
    <n v="26"/>
    <s v="Clothing"/>
    <n v="4771.99"/>
    <n v="5079.6499999999996"/>
    <s v="New"/>
    <n v="0.28999999999999998"/>
    <s v="Credit Card"/>
    <s v="Online"/>
    <s v="Low"/>
  </r>
  <r>
    <n v="1038"/>
    <s v="Jean Pants"/>
    <d v="2023-06-15T00:00:00"/>
    <s v="Alice"/>
    <s v="Scott Wayne"/>
    <s v="West"/>
    <n v="0.08"/>
    <n v="220.70160000000001"/>
    <n v="2758.77"/>
    <n v="42"/>
    <s v="Food"/>
    <n v="1089.0899999999999"/>
    <n v="1355.44"/>
    <s v="New"/>
    <n v="0.06"/>
    <s v="Cash"/>
    <s v="Retail"/>
    <s v="Low"/>
  </r>
  <r>
    <n v="1097"/>
    <s v="Freezer"/>
    <d v="2023-02-01T00:00:00"/>
    <s v="Alice"/>
    <s v="Scott Wayne"/>
    <s v="West"/>
    <n v="0.08"/>
    <n v="87.974400000000003"/>
    <n v="1099.68"/>
    <n v="27"/>
    <s v="Electronics"/>
    <n v="3955.19"/>
    <n v="4393.68"/>
    <s v="Returning"/>
    <n v="0.04"/>
    <s v="Credit Card"/>
    <s v="Online"/>
    <s v="Low"/>
  </r>
  <r>
    <n v="1088"/>
    <s v="Office Desk"/>
    <d v="2023-01-11T00:00:00"/>
    <s v="Alice"/>
    <s v="Scott Wayne"/>
    <s v="South"/>
    <n v="0.05"/>
    <n v="87.908000000000015"/>
    <n v="1758.16"/>
    <n v="11"/>
    <s v="Food"/>
    <n v="3884.13"/>
    <n v="3915.41"/>
    <s v="Returning"/>
    <n v="0.02"/>
    <s v="Cash"/>
    <s v="Online"/>
    <s v="Low"/>
  </r>
  <r>
    <n v="1079"/>
    <s v="Wardrobe"/>
    <d v="2023-10-28T00:00:00"/>
    <s v="Bob"/>
    <s v="Michael Smith"/>
    <s v="West"/>
    <n v="0.08"/>
    <n v="124.64239999999999"/>
    <n v="1558.03"/>
    <n v="38"/>
    <s v="Furniture"/>
    <n v="1127.76"/>
    <n v="1265.6600000000001"/>
    <s v="Returning"/>
    <n v="0.26"/>
    <s v="Bank Transfer"/>
    <s v="Retail"/>
    <s v="Low"/>
  </r>
  <r>
    <n v="1030"/>
    <s v="Jeans"/>
    <d v="2023-08-05T00:00:00"/>
    <s v="Bob"/>
    <s v="Michael Smith"/>
    <s v="West"/>
    <n v="0.08"/>
    <n v="778.67679999999996"/>
    <n v="9733.4599999999991"/>
    <n v="34"/>
    <s v="Electronics"/>
    <n v="3125.07"/>
    <n v="3564.19"/>
    <s v="Returning"/>
    <n v="0.09"/>
    <s v="Cash"/>
    <s v="Online"/>
    <s v="High"/>
  </r>
  <r>
    <n v="1051"/>
    <s v="Tablet"/>
    <d v="2023-10-16T00:00:00"/>
    <s v="Alice"/>
    <s v="Scott Wayne"/>
    <s v="West"/>
    <n v="0.08"/>
    <n v="609.36"/>
    <n v="7617"/>
    <n v="43"/>
    <s v="Clothing"/>
    <n v="287.99"/>
    <n v="666.64"/>
    <s v="Returning"/>
    <n v="0"/>
    <s v="Bank Transfer"/>
    <s v="Online"/>
    <s v="High"/>
  </r>
  <r>
    <n v="1081"/>
    <s v="Rocking Chair"/>
    <d v="2023-04-12T00:00:00"/>
    <s v="Bob"/>
    <s v="Michael Smith"/>
    <s v="South"/>
    <n v="0.05"/>
    <n v="484.04200000000003"/>
    <n v="9680.84"/>
    <n v="19"/>
    <s v="Food"/>
    <n v="2443.69"/>
    <n v="2462.34"/>
    <s v="New"/>
    <n v="7.0000000000000007E-2"/>
    <s v="Bank Transfer"/>
    <s v="Retail"/>
    <s v="High"/>
  </r>
  <r>
    <n v="1005"/>
    <s v="Smart Phone"/>
    <d v="2023-09-24T00:00:00"/>
    <s v="Eve"/>
    <s v="Tracy Moore"/>
    <s v="South"/>
    <n v="0.05"/>
    <n v="222.67150000000004"/>
    <n v="4453.43"/>
    <n v="6"/>
    <s v="Food"/>
    <n v="122.5"/>
    <n v="385.83"/>
    <s v="Returning"/>
    <n v="0.1"/>
    <s v="Cash"/>
    <s v="Retail"/>
    <s v="Low"/>
  </r>
  <r>
    <n v="1029"/>
    <s v="Camisole"/>
    <d v="2023-08-02T00:00:00"/>
    <s v="Eve"/>
    <s v="Tracy Moore"/>
    <s v="South"/>
    <n v="0.05"/>
    <n v="142.79249999999999"/>
    <n v="2855.85"/>
    <n v="46"/>
    <s v="Furniture"/>
    <n v="4609.66"/>
    <n v="4879.1499999999996"/>
    <s v="Returning"/>
    <n v="0.3"/>
    <s v="Cash"/>
    <s v="Retail"/>
    <s v="Low"/>
  </r>
  <r>
    <n v="1004"/>
    <s v="Smartwatch"/>
    <d v="2023-06-28T00:00:00"/>
    <s v="Bob"/>
    <s v="Michael Smith"/>
    <s v="West"/>
    <n v="0.08"/>
    <n v="640.24800000000005"/>
    <n v="8003.1"/>
    <n v="38"/>
    <s v="Furniture"/>
    <n v="4881.63"/>
    <n v="5088.0600000000004"/>
    <s v="Returning"/>
    <n v="0.16"/>
    <s v="Credit Card"/>
    <s v="Retail"/>
    <s v="High"/>
  </r>
  <r>
    <n v="1010"/>
    <s v="Lawn Chair"/>
    <d v="2023-03-29T00:00:00"/>
    <s v="Alice"/>
    <s v="Scott Wayne"/>
    <s v="South"/>
    <n v="0.05"/>
    <n v="166.49549999999999"/>
    <n v="3329.91"/>
    <n v="49"/>
    <s v="Food"/>
    <n v="1150.3"/>
    <n v="1306.02"/>
    <s v="New"/>
    <n v="0.06"/>
    <s v="Credit Card"/>
    <s v="Retail"/>
    <s v="Low"/>
  </r>
  <r>
    <n v="1056"/>
    <s v="Track Suits"/>
    <d v="2023-02-10T00:00:00"/>
    <s v="Bob"/>
    <s v="Michael Smith"/>
    <s v="West"/>
    <n v="0.08"/>
    <n v="245.11200000000002"/>
    <n v="3063.9"/>
    <n v="42"/>
    <s v="Furniture"/>
    <n v="1080.1199999999999"/>
    <n v="1424.1699999999901"/>
    <s v="New"/>
    <n v="0.1"/>
    <s v="Cash"/>
    <s v="Online"/>
    <s v="Low"/>
  </r>
  <r>
    <n v="1017"/>
    <s v="Peaches"/>
    <d v="2023-03-17T00:00:00"/>
    <s v="Bob"/>
    <s v="Michael Smith"/>
    <s v="North"/>
    <n v="7.4999999999999997E-2"/>
    <n v="180.13575"/>
    <n v="2401.81"/>
    <n v="28"/>
    <s v="Clothing"/>
    <n v="3780.91"/>
    <n v="3892.73"/>
    <s v="Returning"/>
    <n v="0.1"/>
    <s v="Cash"/>
    <s v="Retail"/>
    <s v="Low"/>
  </r>
  <r>
    <n v="1074"/>
    <s v="French Fries"/>
    <d v="2023-02-15T00:00:00"/>
    <s v="Bob"/>
    <s v="Michael Smith"/>
    <s v="West"/>
    <n v="0.08"/>
    <n v="110.7056"/>
    <n v="1383.82"/>
    <n v="1"/>
    <s v="Furniture"/>
    <n v="1304.23"/>
    <n v="1705.71"/>
    <s v="Returning"/>
    <n v="0.01"/>
    <s v="Cash"/>
    <s v="Retail"/>
    <s v="Low"/>
  </r>
  <r>
    <n v="1017"/>
    <s v="Peaches"/>
    <d v="2023-06-09T00:00:00"/>
    <s v="Charlie"/>
    <s v="Susan Jerkins"/>
    <s v="East"/>
    <n v="0.06"/>
    <n v="158.33879999999999"/>
    <n v="2638.98"/>
    <n v="35"/>
    <s v="Furniture"/>
    <n v="4480.63"/>
    <n v="4884.12"/>
    <s v="New"/>
    <n v="0.04"/>
    <s v="Cash"/>
    <s v="Online"/>
    <s v="Low"/>
  </r>
  <r>
    <n v="1084"/>
    <s v="Card Table"/>
    <d v="2023-03-21T00:00:00"/>
    <s v="Eve"/>
    <s v="Tracy Moore"/>
    <s v="South"/>
    <n v="0.05"/>
    <n v="180.88350000000003"/>
    <n v="3617.67"/>
    <n v="40"/>
    <s v="Food"/>
    <n v="2890.95"/>
    <n v="3104.43"/>
    <s v="New"/>
    <n v="0.21"/>
    <s v="Bank Transfer"/>
    <s v="Online"/>
    <s v="Low"/>
  </r>
  <r>
    <n v="1088"/>
    <s v="Office Desk"/>
    <d v="2023-11-06T00:00:00"/>
    <s v="David"/>
    <s v="Hogan Rock"/>
    <s v="South"/>
    <n v="0.05"/>
    <n v="338.62700000000001"/>
    <n v="6772.54"/>
    <n v="8"/>
    <s v="Food"/>
    <n v="1786.35"/>
    <n v="1935.29"/>
    <s v="New"/>
    <n v="0.04"/>
    <s v="Cash"/>
    <s v="Online"/>
    <s v="High"/>
  </r>
  <r>
    <n v="1069"/>
    <s v="Suit"/>
    <d v="2023-03-27T00:00:00"/>
    <s v="David"/>
    <s v="Hogan Rock"/>
    <s v="East"/>
    <n v="0.06"/>
    <n v="43.163399999999996"/>
    <n v="719.39"/>
    <n v="47"/>
    <s v="Electronics"/>
    <n v="4171.83"/>
    <n v="4320.93"/>
    <s v="New"/>
    <n v="7.0000000000000007E-2"/>
    <s v="Cash"/>
    <s v="Online"/>
    <s v="Low"/>
  </r>
  <r>
    <n v="1034"/>
    <s v="Socks Pack"/>
    <d v="2023-04-02T00:00:00"/>
    <s v="Charlie"/>
    <s v="Susan Jerkins"/>
    <s v="West"/>
    <n v="0.08"/>
    <n v="174.7216"/>
    <n v="2184.02"/>
    <n v="7"/>
    <s v="Electronics"/>
    <n v="2492.36"/>
    <n v="2738.68"/>
    <s v="Returning"/>
    <n v="0.11"/>
    <s v="Cash"/>
    <s v="Online"/>
    <s v="Low"/>
  </r>
  <r>
    <n v="1006"/>
    <s v="Monitor"/>
    <d v="2023-05-28T00:00:00"/>
    <s v="Bob"/>
    <s v="Michael Smith"/>
    <s v="North"/>
    <n v="7.4999999999999997E-2"/>
    <n v="608.19974999999999"/>
    <n v="8109.33"/>
    <n v="11"/>
    <s v="Food"/>
    <n v="4562.58"/>
    <n v="4925.17"/>
    <s v="New"/>
    <n v="0.23"/>
    <s v="Cash"/>
    <s v="Retail"/>
    <s v="High"/>
  </r>
  <r>
    <n v="1053"/>
    <s v="Bed"/>
    <d v="2023-06-10T00:00:00"/>
    <s v="Charlie"/>
    <s v="Susan Jerkins"/>
    <s v="East"/>
    <n v="0.06"/>
    <n v="93.271799999999999"/>
    <n v="1554.53"/>
    <n v="39"/>
    <s v="Furniture"/>
    <n v="4643.67"/>
    <n v="4829.5200000000004"/>
    <s v="Returning"/>
    <n v="0.17"/>
    <s v="Bank Transfer"/>
    <s v="Online"/>
    <s v="Low"/>
  </r>
  <r>
    <n v="1066"/>
    <s v="Armoire"/>
    <d v="2023-07-21T00:00:00"/>
    <s v="Charlie"/>
    <s v="Susan Jerkins"/>
    <s v="East"/>
    <n v="0.06"/>
    <n v="209.53139999999999"/>
    <n v="3492.19"/>
    <n v="4"/>
    <s v="Furniture"/>
    <n v="868.83"/>
    <n v="1177.75"/>
    <s v="Returning"/>
    <n v="0.21"/>
    <s v="Credit Card"/>
    <s v="Retail"/>
    <s v="Low"/>
  </r>
  <r>
    <n v="1077"/>
    <s v="Skirt"/>
    <d v="2023-08-30T00:00:00"/>
    <s v="Alice"/>
    <s v="Scott Wayne"/>
    <s v="West"/>
    <n v="0.08"/>
    <n v="692.80960000000005"/>
    <n v="8660.1200000000008"/>
    <n v="25"/>
    <s v="Electronics"/>
    <n v="61.5"/>
    <n v="258.91999999999899"/>
    <s v="New"/>
    <n v="0.17"/>
    <s v="Credit Card"/>
    <s v="Online"/>
    <s v="High"/>
  </r>
  <r>
    <n v="1043"/>
    <s v="Oven"/>
    <d v="2023-12-19T00:00:00"/>
    <s v="Eve"/>
    <s v="Tracy Moore"/>
    <s v="South"/>
    <n v="0.05"/>
    <n v="81.688000000000002"/>
    <n v="1633.76"/>
    <n v="12"/>
    <s v="Electronics"/>
    <n v="4920.46"/>
    <n v="5079.68"/>
    <s v="New"/>
    <n v="0.21"/>
    <s v="Credit Card"/>
    <s v="Retail"/>
    <s v="Low"/>
  </r>
  <r>
    <n v="1075"/>
    <s v="Bookshelf"/>
    <d v="2023-01-02T00:00:00"/>
    <s v="David"/>
    <s v="Hogan Rock"/>
    <s v="West"/>
    <n v="0.08"/>
    <n v="73.527200000000008"/>
    <n v="919.09"/>
    <n v="26"/>
    <s v="Electronics"/>
    <n v="4535.38"/>
    <n v="4557.5600000000004"/>
    <s v="New"/>
    <n v="0"/>
    <s v="Credit Card"/>
    <s v="Online"/>
    <s v="Low"/>
  </r>
  <r>
    <n v="1023"/>
    <s v="Tights"/>
    <d v="2023-08-13T00:00:00"/>
    <s v="Bob"/>
    <s v="Michael Smith"/>
    <s v="East"/>
    <n v="0.06"/>
    <n v="293.81580000000002"/>
    <n v="4896.93"/>
    <n v="38"/>
    <s v="Clothing"/>
    <n v="324.45"/>
    <n v="336.37"/>
    <s v="New"/>
    <n v="0.28000000000000003"/>
    <s v="Credit Card"/>
    <s v="Retail"/>
    <s v="Low"/>
  </r>
  <r>
    <n v="1055"/>
    <s v="Cupboard"/>
    <d v="2023-10-16T00:00:00"/>
    <s v="David"/>
    <s v="Hogan Rock"/>
    <s v="East"/>
    <n v="0.06"/>
    <n v="185.63699999999997"/>
    <n v="3093.95"/>
    <n v="46"/>
    <s v="Clothing"/>
    <n v="4173.5200000000004"/>
    <n v="4294.8500000000004"/>
    <s v="Returning"/>
    <n v="0.03"/>
    <s v="Bank Transfer"/>
    <s v="Retail"/>
    <s v="Low"/>
  </r>
  <r>
    <n v="1080"/>
    <s v="Headphones"/>
    <d v="2023-08-21T00:00:00"/>
    <s v="David"/>
    <s v="Hogan Rock"/>
    <s v="South"/>
    <n v="0.05"/>
    <n v="283.887"/>
    <n v="5677.74"/>
    <n v="12"/>
    <s v="Electronics"/>
    <n v="2316.13"/>
    <n v="2525.27"/>
    <s v="Returning"/>
    <n v="0.12"/>
    <s v="Credit Card"/>
    <s v="Retail"/>
    <s v="High"/>
  </r>
  <r>
    <n v="1095"/>
    <s v="Bluetooth Speaker"/>
    <d v="2023-03-18T00:00:00"/>
    <s v="Eve"/>
    <s v="Tracy Moore"/>
    <s v="South"/>
    <n v="0.05"/>
    <n v="402.88350000000003"/>
    <n v="8057.67"/>
    <n v="43"/>
    <s v="Furniture"/>
    <n v="1331.86"/>
    <n v="1758.98"/>
    <s v="Returning"/>
    <n v="0.23"/>
    <s v="Bank Transfer"/>
    <s v="Retail"/>
    <s v="High"/>
  </r>
  <r>
    <n v="1075"/>
    <s v="Bookshelf"/>
    <d v="2023-04-26T00:00:00"/>
    <s v="David"/>
    <s v="Hogan Rock"/>
    <s v="South"/>
    <n v="0.05"/>
    <n v="72.888500000000008"/>
    <n v="1457.77"/>
    <n v="37"/>
    <s v="Electronics"/>
    <n v="4399.8"/>
    <n v="4801.0600000000004"/>
    <s v="New"/>
    <n v="0.13"/>
    <s v="Bank Transfer"/>
    <s v="Retail"/>
    <s v="Low"/>
  </r>
  <r>
    <n v="1016"/>
    <s v="Washing Machine"/>
    <d v="2023-06-03T00:00:00"/>
    <s v="David"/>
    <s v="Hogan Rock"/>
    <s v="West"/>
    <n v="0.08"/>
    <n v="467.91360000000003"/>
    <n v="5848.92"/>
    <n v="46"/>
    <s v="Clothing"/>
    <n v="1023.5"/>
    <n v="1164.4100000000001"/>
    <s v="Returning"/>
    <n v="0.28000000000000003"/>
    <s v="Credit Card"/>
    <s v="Retail"/>
    <s v="High"/>
  </r>
  <r>
    <n v="1008"/>
    <s v="Skirt"/>
    <d v="2023-04-13T00:00:00"/>
    <s v="Charlie"/>
    <s v="Susan Jerkins"/>
    <s v="South"/>
    <n v="0.05"/>
    <n v="255.227"/>
    <n v="5104.54"/>
    <n v="24"/>
    <s v="Furniture"/>
    <n v="4739.13"/>
    <n v="4868.95"/>
    <s v="New"/>
    <n v="0.14000000000000001"/>
    <s v="Credit Card"/>
    <s v="Retail"/>
    <s v="High"/>
  </r>
  <r>
    <n v="1004"/>
    <s v="Smartwatch"/>
    <d v="2023-07-13T00:00:00"/>
    <s v="Eve"/>
    <s v="Tracy Moore"/>
    <s v="East"/>
    <n v="0.06"/>
    <n v="91.582800000000006"/>
    <n v="1526.38"/>
    <n v="16"/>
    <s v="Clothing"/>
    <n v="1067.83"/>
    <n v="1189.22"/>
    <s v="Returning"/>
    <n v="0.26"/>
    <s v="Credit Card"/>
    <s v="Retail"/>
    <s v="Low"/>
  </r>
  <r>
    <n v="1004"/>
    <s v="Smartwatch"/>
    <d v="2023-06-15T00:00:00"/>
    <s v="Alice"/>
    <s v="Scott Wayne"/>
    <s v="East"/>
    <n v="0.06"/>
    <n v="376.65539999999999"/>
    <n v="6277.59"/>
    <n v="13"/>
    <s v="Furniture"/>
    <n v="3087.73"/>
    <n v="3263.96"/>
    <s v="New"/>
    <n v="0.24"/>
    <s v="Cash"/>
    <s v="Retail"/>
    <s v="High"/>
  </r>
  <r>
    <n v="1056"/>
    <s v="Track Suits"/>
    <d v="2023-12-25T00:00:00"/>
    <s v="Bob"/>
    <s v="Michael Smith"/>
    <s v="North"/>
    <n v="7.4999999999999997E-2"/>
    <n v="210.678"/>
    <n v="2809.04"/>
    <n v="25"/>
    <s v="Clothing"/>
    <n v="1154.28"/>
    <n v="1408.4"/>
    <s v="Returning"/>
    <n v="0.28999999999999998"/>
    <s v="Bank Transfer"/>
    <s v="Retail"/>
    <s v="Low"/>
  </r>
  <r>
    <n v="1025"/>
    <s v="Mayonnaise"/>
    <d v="2023-03-31T00:00:00"/>
    <s v="David"/>
    <s v="Hogan Rock"/>
    <s v="West"/>
    <n v="0.08"/>
    <n v="394.36480000000006"/>
    <n v="4929.5600000000004"/>
    <n v="4"/>
    <s v="Furniture"/>
    <n v="2751.06"/>
    <n v="2976.0099999999902"/>
    <s v="Returning"/>
    <n v="0.28000000000000003"/>
    <s v="Credit Card"/>
    <s v="Online"/>
    <s v="Low"/>
  </r>
  <r>
    <n v="1067"/>
    <s v="Grapes"/>
    <d v="2023-06-23T00:00:00"/>
    <s v="Bob"/>
    <s v="Michael Smith"/>
    <s v="North"/>
    <n v="7.4999999999999997E-2"/>
    <n v="68.587499999999991"/>
    <n v="914.5"/>
    <n v="11"/>
    <s v="Furniture"/>
    <n v="3435.68"/>
    <n v="3552.6299999999901"/>
    <s v="New"/>
    <n v="0.27"/>
    <s v="Cash"/>
    <s v="Retail"/>
    <s v="Low"/>
  </r>
  <r>
    <n v="1096"/>
    <s v="Radio"/>
    <d v="2023-05-02T00:00:00"/>
    <s v="Alice"/>
    <s v="Scott Wayne"/>
    <s v="East"/>
    <n v="0.06"/>
    <n v="278.99279999999999"/>
    <n v="4649.88"/>
    <n v="32"/>
    <s v="Furniture"/>
    <n v="991.63"/>
    <n v="1065.55"/>
    <s v="Returning"/>
    <n v="0.22"/>
    <s v="Bank Transfer"/>
    <s v="Retail"/>
    <s v="Low"/>
  </r>
  <r>
    <n v="1067"/>
    <s v="Grapes"/>
    <d v="2023-05-23T00:00:00"/>
    <s v="Bob"/>
    <s v="Michael Smith"/>
    <s v="North"/>
    <n v="7.4999999999999997E-2"/>
    <n v="235.04924999999997"/>
    <n v="3133.99"/>
    <n v="49"/>
    <s v="Furniture"/>
    <n v="2628.38"/>
    <n v="2644.54"/>
    <s v="Returning"/>
    <n v="0.11"/>
    <s v="Cash"/>
    <s v="Online"/>
    <s v="Low"/>
  </r>
  <r>
    <n v="1027"/>
    <s v="Cookies"/>
    <d v="2023-04-16T00:00:00"/>
    <s v="Alice"/>
    <s v="Scott Wayne"/>
    <s v="East"/>
    <n v="0.06"/>
    <n v="494.49419999999998"/>
    <n v="8241.57"/>
    <n v="7"/>
    <s v="Food"/>
    <n v="2371.85"/>
    <n v="2457.29"/>
    <s v="New"/>
    <n v="0.03"/>
    <s v="Cash"/>
    <s v="Retail"/>
    <s v="High"/>
  </r>
  <r>
    <n v="1093"/>
    <s v="Dining Table"/>
    <d v="2023-11-01T00:00:00"/>
    <s v="Charlie"/>
    <s v="Susan Jerkins"/>
    <s v="North"/>
    <n v="7.4999999999999997E-2"/>
    <n v="49.806750000000001"/>
    <n v="664.09"/>
    <n v="46"/>
    <s v="Clothing"/>
    <n v="401.64"/>
    <n v="757.26"/>
    <s v="New"/>
    <n v="0.21"/>
    <s v="Credit Card"/>
    <s v="Retail"/>
    <s v="Low"/>
  </r>
  <r>
    <n v="1032"/>
    <s v="Refridgerator"/>
    <d v="2023-12-26T00:00:00"/>
    <s v="David"/>
    <s v="Hogan Rock"/>
    <s v="South"/>
    <n v="0.05"/>
    <n v="212.21050000000002"/>
    <n v="4244.21"/>
    <n v="11"/>
    <s v="Clothing"/>
    <n v="4100.62"/>
    <n v="4230"/>
    <s v="New"/>
    <n v="0.28999999999999998"/>
    <s v="Bank Transfer"/>
    <s v="Online"/>
    <s v="Low"/>
  </r>
  <r>
    <n v="1050"/>
    <s v="Sneakers"/>
    <d v="2023-11-13T00:00:00"/>
    <s v="Alice"/>
    <s v="Scott Wayne"/>
    <s v="North"/>
    <n v="7.4999999999999997E-2"/>
    <n v="347.88524999999998"/>
    <n v="4638.47"/>
    <n v="28"/>
    <s v="Food"/>
    <n v="1711.63"/>
    <n v="1951.24"/>
    <s v="New"/>
    <n v="0.22"/>
    <s v="Cash"/>
    <s v="Online"/>
    <s v="Low"/>
  </r>
  <r>
    <n v="1061"/>
    <s v="Laptop"/>
    <d v="2023-05-03T00:00:00"/>
    <s v="Bob"/>
    <s v="Michael Smith"/>
    <s v="South"/>
    <n v="0.05"/>
    <n v="363.87800000000004"/>
    <n v="7277.56"/>
    <n v="41"/>
    <s v="Furniture"/>
    <n v="2894.18"/>
    <n v="3193.92"/>
    <s v="New"/>
    <n v="0.28000000000000003"/>
    <s v="Bank Transfer"/>
    <s v="Retail"/>
    <s v="High"/>
  </r>
  <r>
    <n v="1051"/>
    <s v="Tablet"/>
    <d v="2023-01-09T00:00:00"/>
    <s v="David"/>
    <s v="Hogan Rock"/>
    <s v="South"/>
    <n v="0.05"/>
    <n v="289.27249999999998"/>
    <n v="5785.45"/>
    <n v="23"/>
    <s v="Furniture"/>
    <n v="2598.1799999999998"/>
    <n v="3042.73"/>
    <s v="Returning"/>
    <n v="0.24"/>
    <s v="Credit Card"/>
    <s v="Online"/>
    <s v="High"/>
  </r>
  <r>
    <n v="1019"/>
    <s v="Apple"/>
    <d v="2023-09-19T00:00:00"/>
    <s v="Charlie"/>
    <s v="Susan Jerkins"/>
    <s v="West"/>
    <n v="0.08"/>
    <n v="536.43200000000002"/>
    <n v="6705.4"/>
    <n v="45"/>
    <s v="Clothing"/>
    <n v="2590.64"/>
    <n v="3036.18"/>
    <s v="New"/>
    <n v="0.05"/>
    <s v="Bank Transfer"/>
    <s v="Retail"/>
    <s v="High"/>
  </r>
  <r>
    <n v="1021"/>
    <s v="Almond Milk"/>
    <d v="2023-03-14T00:00:00"/>
    <s v="David"/>
    <s v="Hogan Rock"/>
    <s v="South"/>
    <n v="0.05"/>
    <n v="389.6395"/>
    <n v="7792.79"/>
    <n v="23"/>
    <s v="Food"/>
    <n v="580.75"/>
    <n v="956.16"/>
    <s v="Returning"/>
    <n v="7.0000000000000007E-2"/>
    <s v="Cash"/>
    <s v="Retail"/>
    <s v="High"/>
  </r>
  <r>
    <n v="1005"/>
    <s v="Smart Phone"/>
    <d v="2023-12-25T00:00:00"/>
    <s v="Alice"/>
    <s v="Scott Wayne"/>
    <s v="South"/>
    <n v="0.05"/>
    <n v="431.79050000000001"/>
    <n v="8635.81"/>
    <n v="28"/>
    <s v="Furniture"/>
    <n v="2146.2399999999998"/>
    <n v="2173.4699999999998"/>
    <s v="Returning"/>
    <n v="0.1"/>
    <s v="Cash"/>
    <s v="Retail"/>
    <s v="High"/>
  </r>
  <r>
    <n v="1082"/>
    <s v="USB Drive"/>
    <d v="2023-08-11T00:00:00"/>
    <s v="Charlie"/>
    <s v="Susan Jerkins"/>
    <s v="North"/>
    <n v="7.4999999999999997E-2"/>
    <n v="240.55274999999997"/>
    <n v="3207.37"/>
    <n v="43"/>
    <s v="Furniture"/>
    <n v="2289.2199999999998"/>
    <n v="2581"/>
    <s v="New"/>
    <n v="0.05"/>
    <s v="Bank Transfer"/>
    <s v="Online"/>
    <s v="Low"/>
  </r>
  <r>
    <n v="1092"/>
    <s v="Recliner"/>
    <d v="2023-02-10T00:00:00"/>
    <s v="Bob"/>
    <s v="Michael Smith"/>
    <s v="East"/>
    <n v="0.06"/>
    <n v="325.58519999999999"/>
    <n v="5426.42"/>
    <n v="47"/>
    <s v="Furniture"/>
    <n v="3681.53"/>
    <n v="4076.96"/>
    <s v="Returning"/>
    <n v="0.17"/>
    <s v="Cash"/>
    <s v="Retail"/>
    <s v="High"/>
  </r>
  <r>
    <n v="1042"/>
    <s v="Frozen Pizza"/>
    <d v="2023-07-23T00:00:00"/>
    <s v="Charlie"/>
    <s v="Susan Jerkins"/>
    <s v="West"/>
    <n v="0.08"/>
    <n v="673.36559999999997"/>
    <n v="8417.07"/>
    <n v="26"/>
    <s v="Electronics"/>
    <n v="4208.09"/>
    <n v="4226.5600000000004"/>
    <s v="Returning"/>
    <n v="0.28999999999999998"/>
    <s v="Cash"/>
    <s v="Retail"/>
    <s v="High"/>
  </r>
  <r>
    <n v="1061"/>
    <s v="Laptop"/>
    <d v="2023-09-21T00:00:00"/>
    <s v="Charlie"/>
    <s v="Susan Jerkins"/>
    <s v="South"/>
    <n v="0.05"/>
    <n v="494.77850000000001"/>
    <n v="9895.57"/>
    <n v="25"/>
    <s v="Food"/>
    <n v="2747.66"/>
    <n v="3027.0099999999902"/>
    <s v="New"/>
    <n v="0.23"/>
    <s v="Cash"/>
    <s v="Online"/>
    <s v="High"/>
  </r>
  <r>
    <n v="1022"/>
    <s v="Organic Honey"/>
    <d v="2023-11-24T00:00:00"/>
    <s v="Eve"/>
    <s v="Tracy Moore"/>
    <s v="West"/>
    <n v="0.08"/>
    <n v="712.49919999999997"/>
    <n v="8906.24"/>
    <n v="29"/>
    <s v="Furniture"/>
    <n v="479.58"/>
    <n v="909.88"/>
    <s v="Returning"/>
    <n v="0.13"/>
    <s v="Credit Card"/>
    <s v="Retail"/>
    <s v="High"/>
  </r>
  <r>
    <n v="1021"/>
    <s v="Almond Milk"/>
    <d v="2023-06-27T00:00:00"/>
    <s v="Charlie"/>
    <s v="Susan Jerkins"/>
    <s v="North"/>
    <n v="7.4999999999999997E-2"/>
    <n v="283.31475"/>
    <n v="3777.53"/>
    <n v="19"/>
    <s v="Electronics"/>
    <n v="1222.4000000000001"/>
    <n v="1464.71"/>
    <s v="New"/>
    <n v="0"/>
    <s v="Credit Card"/>
    <s v="Retail"/>
    <s v="Low"/>
  </r>
  <r>
    <n v="1070"/>
    <s v="Hutch"/>
    <d v="2023-12-14T00:00:00"/>
    <s v="Charlie"/>
    <s v="Susan Jerkins"/>
    <s v="South"/>
    <n v="0.05"/>
    <n v="101.60750000000002"/>
    <n v="2032.15"/>
    <n v="33"/>
    <s v="Food"/>
    <n v="866.42"/>
    <n v="878.43"/>
    <s v="New"/>
    <n v="0.09"/>
    <s v="Cash"/>
    <s v="Retail"/>
    <s v="Low"/>
  </r>
  <r>
    <n v="1001"/>
    <s v="Camera"/>
    <d v="2023-11-14T00:00:00"/>
    <s v="David"/>
    <s v="Hogan Rock"/>
    <s v="North"/>
    <n v="7.4999999999999997E-2"/>
    <n v="370.87424999999996"/>
    <n v="4944.99"/>
    <n v="36"/>
    <s v="Furniture"/>
    <n v="666.84"/>
    <n v="682.24"/>
    <s v="New"/>
    <n v="0.16"/>
    <s v="Bank Transfer"/>
    <s v="Retail"/>
    <s v="Low"/>
  </r>
  <r>
    <n v="1005"/>
    <s v="Smart Phone"/>
    <d v="2023-03-25T00:00:00"/>
    <s v="Bob"/>
    <s v="Michael Smith"/>
    <s v="West"/>
    <n v="0.08"/>
    <n v="595.38"/>
    <n v="7442.25"/>
    <n v="14"/>
    <s v="Clothing"/>
    <n v="1861.2"/>
    <n v="2075.35"/>
    <s v="Returning"/>
    <n v="0.1"/>
    <s v="Credit Card"/>
    <s v="Retail"/>
    <s v="High"/>
  </r>
  <r>
    <n v="1012"/>
    <s v="Cabinet"/>
    <d v="2023-11-14T00:00:00"/>
    <s v="David"/>
    <s v="Hogan Rock"/>
    <s v="North"/>
    <n v="7.4999999999999997E-2"/>
    <n v="373.23225000000002"/>
    <n v="4976.43"/>
    <n v="14"/>
    <s v="Electronics"/>
    <n v="1185.5"/>
    <n v="1271.45"/>
    <s v="Returning"/>
    <n v="0.03"/>
    <s v="Bank Transfer"/>
    <s v="Retail"/>
    <s v="Low"/>
  </r>
  <r>
    <n v="1090"/>
    <s v="Keyboard"/>
    <d v="2023-04-21T00:00:00"/>
    <s v="David"/>
    <s v="Hogan Rock"/>
    <s v="West"/>
    <n v="0.08"/>
    <n v="390.67919999999998"/>
    <n v="4883.49"/>
    <n v="35"/>
    <s v="Electronics"/>
    <n v="1130.5999999999999"/>
    <n v="1466.1799999999901"/>
    <s v="Returning"/>
    <n v="0.13"/>
    <s v="Cash"/>
    <s v="Online"/>
    <s v="Low"/>
  </r>
  <r>
    <n v="1046"/>
    <s v="Sweat Shirts"/>
    <d v="2023-09-08T00:00:00"/>
    <s v="Alice"/>
    <s v="Scott Wayne"/>
    <s v="North"/>
    <n v="7.4999999999999997E-2"/>
    <n v="629.88599999999997"/>
    <n v="8398.48"/>
    <n v="30"/>
    <s v="Furniture"/>
    <n v="320.73"/>
    <n v="678.04"/>
    <s v="Returning"/>
    <n v="0.08"/>
    <s v="Cash"/>
    <s v="Retail"/>
    <s v="High"/>
  </r>
  <r>
    <n v="1034"/>
    <s v="Socks Pack"/>
    <d v="2023-01-07T00:00:00"/>
    <s v="David"/>
    <s v="Hogan Rock"/>
    <s v="West"/>
    <n v="0.08"/>
    <n v="294.23200000000003"/>
    <n v="3677.9"/>
    <n v="28"/>
    <s v="Furniture"/>
    <n v="137.47"/>
    <n v="234.63"/>
    <s v="New"/>
    <n v="0.27"/>
    <s v="Bank Transfer"/>
    <s v="Retail"/>
    <s v="Low"/>
  </r>
  <r>
    <n v="1049"/>
    <s v="Coffee Table"/>
    <d v="2023-03-25T00:00:00"/>
    <s v="Eve"/>
    <s v="Tracy Moore"/>
    <s v="East"/>
    <n v="0.06"/>
    <n v="516.71819999999991"/>
    <n v="8611.9699999999993"/>
    <n v="17"/>
    <s v="Electronics"/>
    <n v="558.70000000000005"/>
    <n v="1004.08"/>
    <s v="Returning"/>
    <n v="0.03"/>
    <s v="Credit Card"/>
    <s v="Online"/>
    <s v="High"/>
  </r>
  <r>
    <n v="1078"/>
    <s v="Kitchen Island"/>
    <d v="2023-07-27T00:00:00"/>
    <s v="Eve"/>
    <s v="Tracy Moore"/>
    <s v="North"/>
    <n v="7.4999999999999997E-2"/>
    <n v="309.55275"/>
    <n v="4127.37"/>
    <n v="3"/>
    <s v="Clothing"/>
    <n v="902.38"/>
    <n v="1128.9100000000001"/>
    <s v="New"/>
    <n v="0.01"/>
    <s v="Bank Transfer"/>
    <s v="Retail"/>
    <s v="Low"/>
  </r>
  <r>
    <n v="1090"/>
    <s v="Keyboard"/>
    <d v="2023-11-10T00:00:00"/>
    <s v="Alice"/>
    <s v="Scott Wayne"/>
    <s v="North"/>
    <n v="7.4999999999999997E-2"/>
    <n v="251.21325000000002"/>
    <n v="3349.51"/>
    <n v="16"/>
    <s v="Clothing"/>
    <n v="2183.37"/>
    <n v="2263.3599999999901"/>
    <s v="Returning"/>
    <n v="0"/>
    <s v="Bank Transfer"/>
    <s v="Retail"/>
    <s v="Low"/>
  </r>
  <r>
    <n v="1045"/>
    <s v="Bikers Shorts"/>
    <d v="2023-01-22T00:00:00"/>
    <s v="Bob"/>
    <s v="Michael Smith"/>
    <s v="East"/>
    <n v="0.06"/>
    <n v="275.67"/>
    <n v="4594.5"/>
    <n v="46"/>
    <s v="Food"/>
    <n v="2577.08"/>
    <n v="2961.56"/>
    <s v="Returning"/>
    <n v="0.1"/>
    <s v="Cash"/>
    <s v="Online"/>
    <s v="Low"/>
  </r>
  <r>
    <n v="1027"/>
    <s v="Cookies"/>
    <d v="2023-01-03T00:00:00"/>
    <s v="Bob"/>
    <s v="Michael Smith"/>
    <s v="East"/>
    <n v="0.06"/>
    <n v="458.89319999999998"/>
    <n v="7648.22"/>
    <n v="30"/>
    <s v="Furniture"/>
    <n v="745.93"/>
    <n v="1143.02"/>
    <s v="Returning"/>
    <n v="0.2"/>
    <s v="Credit Card"/>
    <s v="Online"/>
    <s v="High"/>
  </r>
  <r>
    <n v="1073"/>
    <s v="Console Table"/>
    <d v="2023-05-07T00:00:00"/>
    <s v="David"/>
    <s v="Hogan Rock"/>
    <s v="North"/>
    <n v="7.4999999999999997E-2"/>
    <n v="101.0565"/>
    <n v="1347.42"/>
    <n v="29"/>
    <s v="Clothing"/>
    <n v="2152.6799999999998"/>
    <n v="2475.9299999999998"/>
    <s v="Returning"/>
    <n v="0.22"/>
    <s v="Bank Transfer"/>
    <s v="Online"/>
    <s v="Low"/>
  </r>
  <r>
    <n v="1026"/>
    <s v="Television"/>
    <d v="2023-10-24T00:00:00"/>
    <s v="David"/>
    <s v="Hogan Rock"/>
    <s v="East"/>
    <n v="0.06"/>
    <n v="122.67299999999999"/>
    <n v="2044.55"/>
    <n v="45"/>
    <s v="Food"/>
    <n v="1741.66"/>
    <n v="2169.86"/>
    <s v="Returning"/>
    <n v="0.14000000000000001"/>
    <s v="Credit Card"/>
    <s v="Online"/>
    <s v="Low"/>
  </r>
  <r>
    <n v="1047"/>
    <s v="Mouse"/>
    <d v="2023-07-07T00:00:00"/>
    <s v="David"/>
    <s v="Hogan Rock"/>
    <s v="South"/>
    <n v="0.05"/>
    <n v="475.96499999999997"/>
    <n v="9519.2999999999993"/>
    <n v="15"/>
    <s v="Clothing"/>
    <n v="957.95"/>
    <n v="1329.26"/>
    <s v="New"/>
    <n v="0.21"/>
    <s v="Cash"/>
    <s v="Online"/>
    <s v="High"/>
  </r>
  <r>
    <n v="1086"/>
    <s v="Gaming Console"/>
    <d v="2023-12-28T00:00:00"/>
    <s v="Bob"/>
    <s v="Michael Smith"/>
    <s v="West"/>
    <n v="0.08"/>
    <n v="146.9896"/>
    <n v="1837.37"/>
    <n v="46"/>
    <s v="Furniture"/>
    <n v="83.86"/>
    <n v="526.14"/>
    <s v="Returning"/>
    <n v="0.11"/>
    <s v="Credit Card"/>
    <s v="Online"/>
    <s v="Low"/>
  </r>
  <r>
    <n v="1056"/>
    <s v="Track Suits"/>
    <d v="2023-01-14T00:00:00"/>
    <s v="Charlie"/>
    <s v="Susan Jerkins"/>
    <s v="West"/>
    <n v="0.08"/>
    <n v="457.64"/>
    <n v="5720.5"/>
    <n v="25"/>
    <s v="Food"/>
    <n v="2361.7399999999998"/>
    <n v="2584.35"/>
    <s v="Returning"/>
    <n v="0.2"/>
    <s v="Cash"/>
    <s v="Online"/>
    <s v="High"/>
  </r>
  <r>
    <n v="1094"/>
    <s v="Microwave"/>
    <d v="2023-01-12T00:00:00"/>
    <s v="Eve"/>
    <s v="Tracy Moore"/>
    <s v="West"/>
    <n v="0.08"/>
    <n v="466.8168"/>
    <n v="5835.21"/>
    <n v="38"/>
    <s v="Food"/>
    <n v="3443.98"/>
    <n v="3820.3"/>
    <s v="Returning"/>
    <n v="0.01"/>
    <s v="Credit Card"/>
    <s v="Retail"/>
    <s v="High"/>
  </r>
  <r>
    <n v="1063"/>
    <s v="Noodles"/>
    <d v="2023-03-28T00:00:00"/>
    <s v="Charlie"/>
    <s v="Susan Jerkins"/>
    <s v="South"/>
    <n v="0.05"/>
    <n v="247.364"/>
    <n v="4947.28"/>
    <n v="42"/>
    <s v="Food"/>
    <n v="1170.07"/>
    <n v="1669.94999999999"/>
    <s v="Returning"/>
    <n v="0.12"/>
    <s v="Bank Transfer"/>
    <s v="Retail"/>
    <s v="Low"/>
  </r>
  <r>
    <n v="1048"/>
    <s v="Chaise Lounge"/>
    <d v="2023-01-12T00:00:00"/>
    <s v="Charlie"/>
    <s v="Susan Jerkins"/>
    <s v="East"/>
    <n v="0.06"/>
    <n v="388.97879999999998"/>
    <n v="6482.98"/>
    <n v="47"/>
    <s v="Clothing"/>
    <n v="702.44"/>
    <n v="1067.6600000000001"/>
    <s v="New"/>
    <n v="0.24"/>
    <s v="Cash"/>
    <s v="Retail"/>
    <s v="High"/>
  </r>
  <r>
    <n v="1061"/>
    <s v="Laptop"/>
    <d v="2023-01-25T00:00:00"/>
    <s v="Bob"/>
    <s v="Michael Smith"/>
    <s v="East"/>
    <n v="0.06"/>
    <n v="142.51680000000002"/>
    <n v="2375.2800000000002"/>
    <n v="38"/>
    <s v="Furniture"/>
    <n v="4440.8599999999997"/>
    <n v="4506.8099999999904"/>
    <s v="Returning"/>
    <n v="0.24"/>
    <s v="Bank Transfer"/>
    <s v="Online"/>
    <s v="Low"/>
  </r>
  <r>
    <n v="1081"/>
    <s v="Rocking Chair"/>
    <d v="2023-10-28T00:00:00"/>
    <s v="Charlie"/>
    <s v="Susan Jerkins"/>
    <s v="North"/>
    <n v="7.4999999999999997E-2"/>
    <n v="417.85199999999998"/>
    <n v="5571.36"/>
    <n v="23"/>
    <s v="Food"/>
    <n v="1411.37"/>
    <n v="1675.35"/>
    <s v="New"/>
    <n v="0.21"/>
    <s v="Cash"/>
    <s v="Retail"/>
    <s v="High"/>
  </r>
  <r>
    <n v="1026"/>
    <s v="Television"/>
    <d v="2023-08-31T00:00:00"/>
    <s v="Alice"/>
    <s v="Scott Wayne"/>
    <s v="East"/>
    <n v="0.06"/>
    <n v="227.0712"/>
    <n v="3784.52"/>
    <n v="25"/>
    <s v="Electronics"/>
    <n v="1156.8800000000001"/>
    <n v="1454.68"/>
    <s v="Returning"/>
    <n v="0.06"/>
    <s v="Credit Card"/>
    <s v="Online"/>
    <s v="Low"/>
  </r>
  <r>
    <n v="1036"/>
    <s v="Shorts"/>
    <d v="2023-05-02T00:00:00"/>
    <s v="David"/>
    <s v="Hogan Rock"/>
    <s v="North"/>
    <n v="7.4999999999999997E-2"/>
    <n v="498.78825000000001"/>
    <n v="6650.51"/>
    <n v="42"/>
    <s v="Furniture"/>
    <n v="4292.63"/>
    <n v="4387.99"/>
    <s v="New"/>
    <n v="7.0000000000000007E-2"/>
    <s v="Credit Card"/>
    <s v="Retail"/>
    <s v="High"/>
  </r>
  <r>
    <n v="1001"/>
    <s v="Camera"/>
    <d v="2023-05-27T00:00:00"/>
    <s v="Alice"/>
    <s v="Scott Wayne"/>
    <s v="South"/>
    <n v="0.05"/>
    <n v="74.905500000000004"/>
    <n v="1498.11"/>
    <n v="7"/>
    <s v="Electronics"/>
    <n v="4094.68"/>
    <n v="4576.5"/>
    <s v="New"/>
    <n v="0.3"/>
    <s v="Cash"/>
    <s v="Retail"/>
    <s v="Low"/>
  </r>
  <r>
    <n v="1008"/>
    <s v="Skirt"/>
    <d v="2023-02-24T00:00:00"/>
    <s v="Eve"/>
    <s v="Tracy Moore"/>
    <s v="West"/>
    <n v="0.08"/>
    <n v="460.1352"/>
    <n v="5751.69"/>
    <n v="22"/>
    <s v="Electronics"/>
    <n v="2269.3200000000002"/>
    <n v="2365.35"/>
    <s v="New"/>
    <n v="0.03"/>
    <s v="Cash"/>
    <s v="Retail"/>
    <s v="High"/>
  </r>
  <r>
    <n v="1099"/>
    <s v="Chest"/>
    <d v="2023-08-26T00:00:00"/>
    <s v="David"/>
    <s v="Hogan Rock"/>
    <s v="West"/>
    <n v="0.08"/>
    <n v="154.73440000000002"/>
    <n v="1934.18"/>
    <n v="17"/>
    <s v="Food"/>
    <n v="2471.73"/>
    <n v="2568.73"/>
    <s v="New"/>
    <n v="0.05"/>
    <s v="Cash"/>
    <s v="Retail"/>
    <s v="Low"/>
  </r>
  <r>
    <n v="1052"/>
    <s v="Wooden Chair"/>
    <d v="2023-12-22T00:00:00"/>
    <s v="Charlie"/>
    <s v="Susan Jerkins"/>
    <s v="West"/>
    <n v="0.08"/>
    <n v="228.68560000000002"/>
    <n v="2858.57"/>
    <n v="18"/>
    <s v="Food"/>
    <n v="1127.8599999999999"/>
    <n v="1586.29"/>
    <s v="New"/>
    <n v="0.04"/>
    <s v="Credit Card"/>
    <s v="Online"/>
    <s v="Low"/>
  </r>
  <r>
    <n v="1079"/>
    <s v="Wardrobe"/>
    <d v="2023-06-22T00:00:00"/>
    <s v="Eve"/>
    <s v="Tracy Moore"/>
    <s v="East"/>
    <n v="0.06"/>
    <n v="135.91380000000001"/>
    <n v="2265.23"/>
    <n v="49"/>
    <s v="Clothing"/>
    <n v="437.59"/>
    <n v="675.54"/>
    <s v="Returning"/>
    <n v="0.1"/>
    <s v="Cash"/>
    <s v="Online"/>
    <s v="Low"/>
  </r>
  <r>
    <n v="1047"/>
    <s v="Mouse"/>
    <d v="2023-08-09T00:00:00"/>
    <s v="David"/>
    <s v="Hogan Rock"/>
    <s v="North"/>
    <n v="7.4999999999999997E-2"/>
    <n v="143.25674999999998"/>
    <n v="1910.09"/>
    <n v="41"/>
    <s v="Clothing"/>
    <n v="2888.49"/>
    <n v="2929.45"/>
    <s v="New"/>
    <n v="0.06"/>
    <s v="Cash"/>
    <s v="Retail"/>
    <s v="Low"/>
  </r>
  <r>
    <n v="1056"/>
    <s v="Track Suits"/>
    <d v="2023-04-29T00:00:00"/>
    <s v="Charlie"/>
    <s v="Susan Jerkins"/>
    <s v="North"/>
    <n v="7.4999999999999997E-2"/>
    <n v="620.59050000000002"/>
    <n v="8274.5400000000009"/>
    <n v="10"/>
    <s v="Clothing"/>
    <n v="536.80999999999995"/>
    <n v="839.92"/>
    <s v="Returning"/>
    <n v="0.15"/>
    <s v="Bank Transfer"/>
    <s v="Online"/>
    <s v="High"/>
  </r>
  <r>
    <n v="1086"/>
    <s v="Gaming Console"/>
    <d v="2023-11-05T00:00:00"/>
    <s v="Alice"/>
    <s v="Scott Wayne"/>
    <s v="South"/>
    <n v="0.05"/>
    <n v="146.42500000000001"/>
    <n v="2928.5"/>
    <n v="10"/>
    <s v="Furniture"/>
    <n v="2273.91"/>
    <n v="2578.7999999999902"/>
    <s v="New"/>
    <n v="0.14000000000000001"/>
    <s v="Cash"/>
    <s v="Online"/>
    <s v="Low"/>
  </r>
  <r>
    <n v="1014"/>
    <s v="Cheese Block"/>
    <d v="2023-07-02T00:00:00"/>
    <s v="David"/>
    <s v="Hogan Rock"/>
    <s v="East"/>
    <n v="0.06"/>
    <n v="556.71180000000004"/>
    <n v="9278.5300000000007"/>
    <n v="7"/>
    <s v="Clothing"/>
    <n v="4705.46"/>
    <n v="4747.07"/>
    <s v="New"/>
    <n v="0.27"/>
    <s v="Bank Transfer"/>
    <s v="Retail"/>
    <s v="High"/>
  </r>
  <r>
    <n v="1090"/>
    <s v="Keyboard"/>
    <d v="2023-10-15T00:00:00"/>
    <s v="Charlie"/>
    <s v="Susan Jerkins"/>
    <s v="South"/>
    <n v="0.05"/>
    <n v="485.11350000000004"/>
    <n v="9702.27"/>
    <n v="48"/>
    <s v="Electronics"/>
    <n v="4766.53"/>
    <n v="5253.07"/>
    <s v="Returning"/>
    <n v="0.01"/>
    <s v="Bank Transfer"/>
    <s v="Online"/>
    <s v="High"/>
  </r>
  <r>
    <n v="1028"/>
    <s v="Pyjamas"/>
    <d v="2023-11-03T00:00:00"/>
    <s v="Alice"/>
    <s v="Scott Wayne"/>
    <s v="North"/>
    <n v="7.4999999999999997E-2"/>
    <n v="431.66099999999994"/>
    <n v="5755.48"/>
    <n v="38"/>
    <s v="Clothing"/>
    <n v="1234.69"/>
    <n v="1511.26"/>
    <s v="New"/>
    <n v="0.1"/>
    <s v="Bank Transfer"/>
    <s v="Online"/>
    <s v="High"/>
  </r>
  <r>
    <n v="1087"/>
    <s v="Sofa Set"/>
    <d v="2023-10-27T00:00:00"/>
    <s v="Eve"/>
    <s v="Tracy Moore"/>
    <s v="North"/>
    <n v="7.4999999999999997E-2"/>
    <n v="113.67825000000001"/>
    <n v="1515.71"/>
    <n v="27"/>
    <s v="Food"/>
    <n v="3139.36"/>
    <n v="3423.66"/>
    <s v="New"/>
    <n v="0.18"/>
    <s v="Credit Card"/>
    <s v="Online"/>
    <s v="Low"/>
  </r>
  <r>
    <n v="1078"/>
    <s v="Kitchen Island"/>
    <d v="2023-03-23T00:00:00"/>
    <s v="Eve"/>
    <s v="Tracy Moore"/>
    <s v="West"/>
    <n v="0.08"/>
    <n v="304.64240000000001"/>
    <n v="3808.03"/>
    <n v="33"/>
    <s v="Clothing"/>
    <n v="2396.6799999999998"/>
    <n v="2661.54"/>
    <s v="New"/>
    <n v="0.18"/>
    <s v="Bank Transfer"/>
    <s v="Online"/>
    <s v="Low"/>
  </r>
  <r>
    <n v="1088"/>
    <s v="Office Desk"/>
    <d v="2023-07-30T00:00:00"/>
    <s v="Eve"/>
    <s v="Tracy Moore"/>
    <s v="East"/>
    <n v="0.06"/>
    <n v="479.85300000000001"/>
    <n v="7997.55"/>
    <n v="1"/>
    <s v="Furniture"/>
    <n v="4384.6400000000003"/>
    <n v="4693.8999999999996"/>
    <s v="New"/>
    <n v="0.14000000000000001"/>
    <s v="Cash"/>
    <s v="Retail"/>
    <s v="High"/>
  </r>
  <r>
    <n v="1002"/>
    <s v="Bench"/>
    <d v="2023-05-30T00:00:00"/>
    <s v="Eve"/>
    <s v="Tracy Moore"/>
    <s v="North"/>
    <n v="7.4999999999999997E-2"/>
    <n v="280.28775000000002"/>
    <n v="3737.17"/>
    <n v="44"/>
    <s v="Furniture"/>
    <n v="1393.58"/>
    <n v="1533.09"/>
    <s v="Returning"/>
    <n v="0.24"/>
    <s v="Credit Card"/>
    <s v="Retail"/>
    <s v="Low"/>
  </r>
  <r>
    <n v="1026"/>
    <s v="Television"/>
    <d v="2023-02-06T00:00:00"/>
    <s v="Bob"/>
    <s v="Michael Smith"/>
    <s v="West"/>
    <n v="0.08"/>
    <n v="76.917600000000007"/>
    <n v="961.47"/>
    <n v="34"/>
    <s v="Electronics"/>
    <n v="68.33"/>
    <n v="219.07999999999899"/>
    <s v="New"/>
    <n v="0.02"/>
    <s v="Credit Card"/>
    <s v="Online"/>
    <s v="Low"/>
  </r>
  <r>
    <n v="1014"/>
    <s v="Cheese Block"/>
    <d v="2023-12-18T00:00:00"/>
    <s v="David"/>
    <s v="Hogan Rock"/>
    <s v="East"/>
    <n v="0.06"/>
    <n v="336.73019999999997"/>
    <n v="5612.17"/>
    <n v="4"/>
    <s v="Furniture"/>
    <n v="854.68"/>
    <n v="1115.24"/>
    <s v="New"/>
    <n v="0.24"/>
    <s v="Credit Card"/>
    <s v="Retail"/>
    <s v="High"/>
  </r>
  <r>
    <n v="1059"/>
    <s v="Coffee Beans"/>
    <d v="2023-11-08T00:00:00"/>
    <s v="David"/>
    <s v="Hogan Rock"/>
    <s v="South"/>
    <n v="0.05"/>
    <n v="423.33500000000004"/>
    <n v="8466.7000000000007"/>
    <n v="17"/>
    <s v="Clothing"/>
    <n v="1780.14"/>
    <n v="2185.42"/>
    <s v="Returning"/>
    <n v="0.15"/>
    <s v="Credit Card"/>
    <s v="Retail"/>
    <s v="High"/>
  </r>
  <r>
    <n v="1056"/>
    <s v="Track Suits"/>
    <d v="2023-12-27T00:00:00"/>
    <s v="Bob"/>
    <s v="Michael Smith"/>
    <s v="East"/>
    <n v="0.06"/>
    <n v="478.78019999999998"/>
    <n v="7979.67"/>
    <n v="4"/>
    <s v="Food"/>
    <n v="1612.82"/>
    <n v="1647.25"/>
    <s v="Returning"/>
    <n v="0.04"/>
    <s v="Credit Card"/>
    <s v="Retail"/>
    <s v="High"/>
  </r>
  <r>
    <n v="1007"/>
    <s v="Fruit Jam"/>
    <d v="2023-02-28T00:00:00"/>
    <s v="Charlie"/>
    <s v="Susan Jerkins"/>
    <s v="East"/>
    <n v="0.06"/>
    <n v="110.0232"/>
    <n v="1833.72"/>
    <n v="43"/>
    <s v="Furniture"/>
    <n v="3967.25"/>
    <n v="4272.92"/>
    <s v="New"/>
    <n v="0.27"/>
    <s v="Credit Card"/>
    <s v="Online"/>
    <s v="Low"/>
  </r>
  <r>
    <n v="1003"/>
    <s v="Stool"/>
    <d v="2023-05-11T00:00:00"/>
    <s v="Charlie"/>
    <s v="Susan Jerkins"/>
    <s v="North"/>
    <n v="7.4999999999999997E-2"/>
    <n v="507.02774999999997"/>
    <n v="6760.37"/>
    <n v="26"/>
    <s v="Electronics"/>
    <n v="3418.78"/>
    <n v="3824.1"/>
    <s v="New"/>
    <n v="0.19"/>
    <s v="Credit Card"/>
    <s v="Online"/>
    <s v="High"/>
  </r>
  <r>
    <n v="1023"/>
    <s v="Tights"/>
    <d v="2023-07-21T00:00:00"/>
    <s v="Eve"/>
    <s v="Tracy Moore"/>
    <s v="North"/>
    <n v="7.4999999999999997E-2"/>
    <n v="171.22424999999998"/>
    <n v="2282.9899999999998"/>
    <n v="4"/>
    <s v="Clothing"/>
    <n v="1532.8"/>
    <n v="1619.69"/>
    <s v="Returning"/>
    <n v="0.05"/>
    <s v="Bank Transfer"/>
    <s v="Retail"/>
    <s v="Low"/>
  </r>
  <r>
    <n v="1018"/>
    <s v="Dress Shirt"/>
    <d v="2023-08-31T00:00:00"/>
    <s v="Alice"/>
    <s v="Scott Wayne"/>
    <s v="East"/>
    <n v="0.06"/>
    <n v="135.61500000000001"/>
    <n v="2260.25"/>
    <n v="1"/>
    <s v="Electronics"/>
    <n v="2315.83"/>
    <n v="2333.19"/>
    <s v="New"/>
    <n v="0.01"/>
    <s v="Cash"/>
    <s v="Retail"/>
    <s v="Low"/>
  </r>
  <r>
    <n v="1038"/>
    <s v="Jean Pants"/>
    <d v="2023-02-04T00:00:00"/>
    <s v="Charlie"/>
    <s v="Susan Jerkins"/>
    <s v="North"/>
    <n v="7.4999999999999997E-2"/>
    <n v="656.49824999999998"/>
    <n v="8753.31"/>
    <n v="7"/>
    <s v="Furniture"/>
    <n v="523.02"/>
    <n v="686.25"/>
    <s v="Returning"/>
    <n v="0.04"/>
    <s v="Cash"/>
    <s v="Online"/>
    <s v="High"/>
  </r>
  <r>
    <n v="1099"/>
    <s v="Chest"/>
    <d v="2023-04-03T00:00:00"/>
    <s v="Alice"/>
    <s v="Scott Wayne"/>
    <s v="North"/>
    <n v="7.4999999999999997E-2"/>
    <n v="192.87899999999999"/>
    <n v="2571.7199999999998"/>
    <n v="30"/>
    <s v="Furniture"/>
    <n v="4495.82"/>
    <n v="4794.0099999999902"/>
    <s v="New"/>
    <n v="0.18"/>
    <s v="Bank Transfer"/>
    <s v="Retail"/>
    <s v="Low"/>
  </r>
  <r>
    <n v="1015"/>
    <s v="Chocolate Bar"/>
    <d v="2023-07-26T00:00:00"/>
    <s v="David"/>
    <s v="Hogan Rock"/>
    <s v="North"/>
    <n v="7.4999999999999997E-2"/>
    <n v="202.96125000000001"/>
    <n v="2706.15"/>
    <n v="9"/>
    <s v="Electronics"/>
    <n v="4680.3500000000004"/>
    <n v="4758.1099999999997"/>
    <s v="Returning"/>
    <n v="0.05"/>
    <s v="Bank Transfer"/>
    <s v="Online"/>
    <s v="Low"/>
  </r>
  <r>
    <n v="1064"/>
    <s v="Smartphone"/>
    <d v="2023-12-19T00:00:00"/>
    <s v="Alice"/>
    <s v="Scott Wayne"/>
    <s v="West"/>
    <n v="0.08"/>
    <n v="8.5175999999999998"/>
    <n v="106.47"/>
    <n v="35"/>
    <s v="Clothing"/>
    <n v="4900.03"/>
    <n v="5118.83"/>
    <s v="Returning"/>
    <n v="7.0000000000000007E-2"/>
    <s v="Credit Card"/>
    <s v="Retail"/>
    <s v="Low"/>
  </r>
  <r>
    <n v="1089"/>
    <s v="Recliner"/>
    <d v="2023-11-28T00:00:00"/>
    <s v="David"/>
    <s v="Hogan Rock"/>
    <s v="West"/>
    <n v="0.08"/>
    <n v="697.56960000000004"/>
    <n v="8719.6200000000008"/>
    <n v="8"/>
    <s v="Furniture"/>
    <n v="4349.34"/>
    <n v="4629.9799999999996"/>
    <s v="Returning"/>
    <n v="0.01"/>
    <s v="Credit Card"/>
    <s v="Online"/>
    <s v="High"/>
  </r>
  <r>
    <n v="1028"/>
    <s v="Pyjamas"/>
    <d v="2023-11-01T00:00:00"/>
    <s v="Bob"/>
    <s v="Michael Smith"/>
    <s v="East"/>
    <n v="0.06"/>
    <n v="476.80139999999994"/>
    <n v="7946.69"/>
    <n v="24"/>
    <s v="Food"/>
    <n v="911.11"/>
    <n v="1214.56"/>
    <s v="New"/>
    <n v="0.22"/>
    <s v="Bank Transfer"/>
    <s v="Online"/>
    <s v="High"/>
  </r>
  <r>
    <n v="1074"/>
    <s v="French Fries"/>
    <d v="2023-12-16T00:00:00"/>
    <s v="Bob"/>
    <s v="Michael Smith"/>
    <s v="North"/>
    <n v="7.4999999999999997E-2"/>
    <n v="473.29200000000003"/>
    <n v="6310.56"/>
    <n v="19"/>
    <s v="Furniture"/>
    <n v="278.67"/>
    <n v="423.13"/>
    <s v="New"/>
    <n v="0.24"/>
    <s v="Credit Card"/>
    <s v="Online"/>
    <s v="High"/>
  </r>
  <r>
    <n v="1039"/>
    <s v="Hoodie"/>
    <d v="2023-08-01T00:00:00"/>
    <s v="Eve"/>
    <s v="Tracy Moore"/>
    <s v="West"/>
    <n v="0.08"/>
    <n v="602.21040000000005"/>
    <n v="7527.63"/>
    <n v="36"/>
    <s v="Clothing"/>
    <n v="2919"/>
    <n v="3125.01"/>
    <s v="New"/>
    <n v="0.24"/>
    <s v="Cash"/>
    <s v="Online"/>
    <s v="High"/>
  </r>
  <r>
    <n v="1057"/>
    <s v="Avocadro Pear"/>
    <d v="2023-06-08T00:00:00"/>
    <s v="Charlie"/>
    <s v="Susan Jerkins"/>
    <s v="East"/>
    <n v="0.06"/>
    <n v="96.316800000000001"/>
    <n v="1605.28"/>
    <n v="43"/>
    <s v="Furniture"/>
    <n v="4567.3900000000003"/>
    <n v="4958.78"/>
    <s v="New"/>
    <n v="0.04"/>
    <s v="Cash"/>
    <s v="Retail"/>
    <s v="Low"/>
  </r>
  <r>
    <n v="1017"/>
    <s v="Peaches"/>
    <d v="2023-01-24T00:00:00"/>
    <s v="Eve"/>
    <s v="Tracy Moore"/>
    <s v="North"/>
    <n v="7.4999999999999997E-2"/>
    <n v="347.80499999999995"/>
    <n v="4637.3999999999996"/>
    <n v="27"/>
    <s v="Electronics"/>
    <n v="927.89"/>
    <n v="1399.09"/>
    <s v="Returning"/>
    <n v="0.27"/>
    <s v="Credit Card"/>
    <s v="Online"/>
    <s v="Low"/>
  </r>
  <r>
    <n v="1086"/>
    <s v="Gaming Console"/>
    <d v="2023-10-20T00:00:00"/>
    <s v="David"/>
    <s v="Hogan Rock"/>
    <s v="South"/>
    <n v="0.05"/>
    <n v="178.85350000000003"/>
    <n v="3577.07"/>
    <n v="32"/>
    <s v="Furniture"/>
    <n v="84.86"/>
    <n v="517.17999999999995"/>
    <s v="Returning"/>
    <n v="0.2"/>
    <s v="Credit Card"/>
    <s v="Retail"/>
    <s v="Low"/>
  </r>
  <r>
    <n v="1090"/>
    <s v="Keyboard"/>
    <d v="2023-01-04T00:00:00"/>
    <s v="Eve"/>
    <s v="Tracy Moore"/>
    <s v="North"/>
    <n v="7.4999999999999997E-2"/>
    <n v="77.129249999999999"/>
    <n v="1028.3900000000001"/>
    <n v="14"/>
    <s v="Furniture"/>
    <n v="4037.21"/>
    <n v="4323.71"/>
    <s v="Returning"/>
    <n v="0.27"/>
    <s v="Credit Card"/>
    <s v="Online"/>
    <s v="Low"/>
  </r>
  <r>
    <n v="1044"/>
    <s v="Burger"/>
    <d v="2023-08-08T00:00:00"/>
    <s v="Alice"/>
    <s v="Scott Wayne"/>
    <s v="North"/>
    <n v="7.4999999999999997E-2"/>
    <n v="368.45174999999995"/>
    <n v="4912.6899999999996"/>
    <n v="18"/>
    <s v="Clothing"/>
    <n v="430.14"/>
    <n v="641.17999999999995"/>
    <s v="New"/>
    <n v="0.13"/>
    <s v="Cash"/>
    <s v="Online"/>
    <s v="Low"/>
  </r>
  <r>
    <n v="1025"/>
    <s v="Mayonnaise"/>
    <d v="2023-12-30T00:00:00"/>
    <s v="David"/>
    <s v="Hogan Rock"/>
    <s v="West"/>
    <n v="0.08"/>
    <n v="737.22559999999999"/>
    <n v="9215.32"/>
    <n v="28"/>
    <s v="Electronics"/>
    <n v="2097.84"/>
    <n v="2270.9899999999998"/>
    <s v="New"/>
    <n v="0.13"/>
    <s v="Credit Card"/>
    <s v="Retail"/>
    <s v="High"/>
  </r>
  <r>
    <n v="1017"/>
    <s v="Peaches"/>
    <d v="2023-01-20T00:00:00"/>
    <s v="Bob"/>
    <s v="Michael Smith"/>
    <s v="East"/>
    <n v="0.06"/>
    <n v="29.795399999999997"/>
    <n v="496.59"/>
    <n v="29"/>
    <s v="Clothing"/>
    <n v="3410.49"/>
    <n v="3481.72"/>
    <s v="New"/>
    <n v="0.24"/>
    <s v="Bank Transfer"/>
    <s v="Retail"/>
    <s v="Low"/>
  </r>
  <r>
    <n v="1013"/>
    <s v="Gas Cooker"/>
    <d v="2023-06-01T00:00:00"/>
    <s v="Charlie"/>
    <s v="Susan Jerkins"/>
    <s v="East"/>
    <n v="0.06"/>
    <n v="179.1276"/>
    <n v="2985.46"/>
    <n v="16"/>
    <s v="Furniture"/>
    <n v="1222.1500000000001"/>
    <n v="1284.3599999999999"/>
    <s v="Returning"/>
    <n v="0.03"/>
    <s v="Credit Card"/>
    <s v="Retail"/>
    <s v="Low"/>
  </r>
  <r>
    <n v="1084"/>
    <s v="Card Table"/>
    <d v="2023-02-19T00:00:00"/>
    <s v="David"/>
    <s v="Hogan Rock"/>
    <s v="West"/>
    <n v="0.08"/>
    <n v="172.37279999999998"/>
    <n v="2154.66"/>
    <n v="35"/>
    <s v="Food"/>
    <n v="465.61"/>
    <n v="812.91"/>
    <s v="New"/>
    <n v="0.16"/>
    <s v="Bank Transfer"/>
    <s v="Online"/>
    <s v="Low"/>
  </r>
  <r>
    <n v="1025"/>
    <s v="Mayonnaise"/>
    <d v="2023-06-26T00:00:00"/>
    <s v="David"/>
    <s v="Hogan Rock"/>
    <s v="North"/>
    <n v="7.4999999999999997E-2"/>
    <n v="184.32374999999999"/>
    <n v="2457.65"/>
    <n v="47"/>
    <s v="Furniture"/>
    <n v="3861.61"/>
    <n v="3998.91"/>
    <s v="New"/>
    <n v="0.25"/>
    <s v="Credit Card"/>
    <s v="Online"/>
    <s v="Low"/>
  </r>
  <r>
    <n v="1068"/>
    <s v="Leggings"/>
    <d v="2023-04-06T00:00:00"/>
    <s v="Alice"/>
    <s v="Scott Wayne"/>
    <s v="South"/>
    <n v="0.05"/>
    <n v="454.67500000000001"/>
    <n v="9093.5"/>
    <n v="31"/>
    <s v="Clothing"/>
    <n v="3169.37"/>
    <n v="3304.15"/>
    <s v="Returning"/>
    <n v="0.25"/>
    <s v="Credit Card"/>
    <s v="Retail"/>
    <s v="High"/>
  </r>
  <r>
    <n v="1010"/>
    <s v="Lawn Chair"/>
    <d v="2023-04-15T00:00:00"/>
    <s v="Charlie"/>
    <s v="Susan Jerkins"/>
    <s v="North"/>
    <n v="7.4999999999999997E-2"/>
    <n v="355.041"/>
    <n v="4733.88"/>
    <n v="4"/>
    <s v="Food"/>
    <n v="4943.03"/>
    <n v="5442.15"/>
    <s v="Returning"/>
    <n v="0.28999999999999998"/>
    <s v="Cash"/>
    <s v="Online"/>
    <s v="Low"/>
  </r>
  <r>
    <n v="1067"/>
    <s v="Grapes"/>
    <d v="2023-09-07T00:00:00"/>
    <s v="Bob"/>
    <s v="Michael Smith"/>
    <s v="North"/>
    <n v="7.4999999999999997E-2"/>
    <n v="353.72699999999998"/>
    <n v="4716.3599999999997"/>
    <n v="37"/>
    <s v="Clothing"/>
    <n v="1754.32"/>
    <n v="1856.3999999999901"/>
    <s v="New"/>
    <n v="0.21"/>
    <s v="Bank Transfer"/>
    <s v="Retail"/>
    <s v="Low"/>
  </r>
  <r>
    <n v="1018"/>
    <s v="Dress Shirt"/>
    <d v="2023-04-27T00:00:00"/>
    <s v="David"/>
    <s v="Hogan Rock"/>
    <s v="South"/>
    <n v="0.05"/>
    <n v="381.48500000000001"/>
    <n v="7629.7"/>
    <n v="17"/>
    <s v="Clothing"/>
    <n v="355.72"/>
    <n v="438.27"/>
    <s v="Returning"/>
    <n v="0.06"/>
    <s v="Bank Transfer"/>
    <s v="Online"/>
    <s v="High"/>
  </r>
  <r>
    <n v="1100"/>
    <s v="Protein Cookies"/>
    <d v="2023-12-20T00:00:00"/>
    <s v="David"/>
    <s v="Hogan Rock"/>
    <s v="West"/>
    <n v="0.08"/>
    <n v="130.35759999999999"/>
    <n v="1629.47"/>
    <n v="39"/>
    <s v="Electronics"/>
    <n v="3685.03"/>
    <n v="3743.39"/>
    <s v="New"/>
    <n v="0.01"/>
    <s v="Bank Transfer"/>
    <s v="Online"/>
    <s v="Low"/>
  </r>
  <r>
    <n v="1086"/>
    <s v="Gaming Console"/>
    <d v="2023-08-16T00:00:00"/>
    <s v="Alice"/>
    <s v="Scott Wayne"/>
    <s v="East"/>
    <n v="0.06"/>
    <n v="295.43580000000003"/>
    <n v="4923.93"/>
    <n v="48"/>
    <s v="Food"/>
    <n v="2632.58"/>
    <n v="2926.68"/>
    <s v="Returning"/>
    <n v="0.14000000000000001"/>
    <s v="Cash"/>
    <s v="Online"/>
    <s v="Low"/>
  </r>
  <r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d v="2023-02-03T00:00:00"/>
    <s v="Bob"/>
    <s v="North"/>
    <n v="5053.97"/>
    <n v="18"/>
    <s v="Furniture"/>
    <n v="152.75"/>
    <n v="267.22000000000003"/>
    <s v="Returning"/>
    <n v="0.09"/>
    <x v="0"/>
    <x v="0"/>
    <s v="North"/>
    <s v="Bob"/>
    <s v="North|Bob"/>
  </r>
  <r>
    <n v="1093"/>
    <d v="2023-04-21T00:00:00"/>
    <s v="Bob"/>
    <s v="West"/>
    <n v="4384.0200000000004"/>
    <n v="17"/>
    <s v="Furniture"/>
    <n v="3816.39"/>
    <n v="4209.4399999999996"/>
    <s v="Returning"/>
    <n v="0.11"/>
    <x v="0"/>
    <x v="1"/>
    <s v="West"/>
    <s v="Bob"/>
    <s v="West|Bob"/>
  </r>
  <r>
    <n v="1015"/>
    <d v="2023-09-21T00:00:00"/>
    <s v="David"/>
    <s v="South"/>
    <n v="4631.2299999999996"/>
    <n v="30"/>
    <s v="Food"/>
    <n v="261.56"/>
    <n v="371.4"/>
    <s v="Returning"/>
    <n v="0.2"/>
    <x v="1"/>
    <x v="1"/>
    <s v="South"/>
    <s v="David"/>
    <s v="South|David"/>
  </r>
  <r>
    <n v="1072"/>
    <d v="2023-08-24T00:00:00"/>
    <s v="Bob"/>
    <s v="South"/>
    <n v="2167.94"/>
    <n v="39"/>
    <s v="Clothing"/>
    <n v="4330.03"/>
    <n v="4467.75"/>
    <s v="New"/>
    <n v="0.02"/>
    <x v="2"/>
    <x v="1"/>
    <s v="South"/>
    <s v="Bob"/>
    <s v="South|Bob"/>
  </r>
  <r>
    <n v="1061"/>
    <d v="2023-03-24T00:00:00"/>
    <s v="Charlie"/>
    <s v="East"/>
    <n v="3750.2"/>
    <n v="13"/>
    <s v="Electronics"/>
    <n v="637.37"/>
    <n v="692.71"/>
    <s v="New"/>
    <n v="0.08"/>
    <x v="2"/>
    <x v="0"/>
    <s v="East"/>
    <s v="Charlie"/>
    <s v="East|Charlie"/>
  </r>
  <r>
    <n v="1021"/>
    <d v="2023-02-11T00:00:00"/>
    <s v="Charlie"/>
    <s v="West"/>
    <n v="3761.15"/>
    <n v="32"/>
    <s v="Food"/>
    <n v="900.79"/>
    <n v="1106.51"/>
    <s v="New"/>
    <n v="0.21"/>
    <x v="0"/>
    <x v="0"/>
    <s v="West"/>
    <s v="Charlie"/>
    <s v="West|Charlie"/>
  </r>
  <r>
    <n v="1083"/>
    <d v="2023-04-11T00:00:00"/>
    <s v="Bob"/>
    <s v="West"/>
    <n v="618.30999999999995"/>
    <n v="29"/>
    <s v="Furniture"/>
    <n v="2408.81"/>
    <n v="2624.09"/>
    <s v="Returning"/>
    <n v="0.14000000000000001"/>
    <x v="0"/>
    <x v="0"/>
    <s v="West"/>
    <s v="Bob"/>
    <s v="West|Bob"/>
  </r>
  <r>
    <n v="1087"/>
    <d v="2023-01-06T00:00:00"/>
    <s v="Eve"/>
    <s v="South"/>
    <n v="7698.92"/>
    <n v="46"/>
    <s v="Furniture"/>
    <n v="3702.51"/>
    <n v="3964.65"/>
    <s v="New"/>
    <n v="0.12"/>
    <x v="1"/>
    <x v="0"/>
    <s v="South"/>
    <s v="Eve"/>
    <s v="South|Eve"/>
  </r>
  <r>
    <n v="1075"/>
    <d v="2023-06-29T00:00:00"/>
    <s v="David"/>
    <s v="South"/>
    <n v="4223.3900000000003"/>
    <n v="30"/>
    <s v="Furniture"/>
    <n v="738.06"/>
    <n v="1095.44999999999"/>
    <s v="New"/>
    <n v="0.05"/>
    <x v="1"/>
    <x v="0"/>
    <s v="South"/>
    <s v="David"/>
    <s v="South|David"/>
  </r>
  <r>
    <n v="1075"/>
    <d v="2023-10-09T00:00:00"/>
    <s v="Charlie"/>
    <s v="West"/>
    <n v="8239.58"/>
    <n v="18"/>
    <s v="Clothing"/>
    <n v="2228.35"/>
    <n v="2682.34"/>
    <s v="New"/>
    <n v="0.13"/>
    <x v="1"/>
    <x v="0"/>
    <s v="West"/>
    <s v="Charlie"/>
    <s v="West|Charlie"/>
  </r>
  <r>
    <n v="1088"/>
    <d v="2023-11-16T00:00:00"/>
    <s v="Eve"/>
    <s v="North"/>
    <n v="8518.4500000000007"/>
    <n v="13"/>
    <s v="Furniture"/>
    <n v="2440.11"/>
    <n v="2517.6"/>
    <s v="New"/>
    <n v="0.23"/>
    <x v="1"/>
    <x v="1"/>
    <s v="North"/>
    <s v="Eve"/>
    <s v="North|Eve"/>
  </r>
  <r>
    <n v="1100"/>
    <d v="2023-08-14T00:00:00"/>
    <s v="Bob"/>
    <s v="West"/>
    <n v="2198.7399999999998"/>
    <n v="43"/>
    <s v="Food"/>
    <n v="1100.81"/>
    <n v="1137.44"/>
    <s v="Returning"/>
    <n v="0.08"/>
    <x v="1"/>
    <x v="0"/>
    <s v="West"/>
    <s v="Bob"/>
    <s v="West|Bob"/>
  </r>
  <r>
    <n v="1024"/>
    <d v="2023-11-11T00:00:00"/>
    <s v="Eve"/>
    <s v="West"/>
    <n v="6607.8"/>
    <n v="21"/>
    <s v="Food"/>
    <n v="622.01"/>
    <n v="641.09"/>
    <s v="Returning"/>
    <n v="0"/>
    <x v="1"/>
    <x v="1"/>
    <s v="West"/>
    <s v="Eve"/>
    <s v="West|Eve"/>
  </r>
  <r>
    <n v="1003"/>
    <d v="2023-12-31T00:00:00"/>
    <s v="Alice"/>
    <s v="South"/>
    <n v="4775.59"/>
    <n v="30"/>
    <s v="Furniture"/>
    <n v="4190.28"/>
    <n v="4270.6499999999996"/>
    <s v="New"/>
    <n v="0.2"/>
    <x v="0"/>
    <x v="0"/>
    <s v="South"/>
    <s v="Alice"/>
    <s v="South|Alice"/>
  </r>
  <r>
    <n v="1022"/>
    <d v="2023-08-17T00:00:00"/>
    <s v="Charlie"/>
    <s v="South"/>
    <n v="8813.5499999999993"/>
    <n v="21"/>
    <s v="Food"/>
    <n v="2537.1999999999998"/>
    <n v="2869.6"/>
    <s v="New"/>
    <n v="0.28999999999999998"/>
    <x v="1"/>
    <x v="1"/>
    <s v="South"/>
    <s v="Charlie"/>
    <s v="South|Charlie"/>
  </r>
  <r>
    <n v="1053"/>
    <d v="2023-10-16T00:00:00"/>
    <s v="Bob"/>
    <s v="North"/>
    <n v="2235.83"/>
    <n v="48"/>
    <s v="Furniture"/>
    <n v="121.19"/>
    <n v="487.65"/>
    <s v="New"/>
    <n v="0.18"/>
    <x v="0"/>
    <x v="1"/>
    <s v="North"/>
    <s v="Bob"/>
    <s v="North|Bob"/>
  </r>
  <r>
    <n v="1002"/>
    <d v="2023-05-30T00:00:00"/>
    <s v="David"/>
    <s v="North"/>
    <n v="6810.35"/>
    <n v="17"/>
    <s v="Furniture"/>
    <n v="4024.76"/>
    <n v="4420.1499999999996"/>
    <s v="Returning"/>
    <n v="0.04"/>
    <x v="0"/>
    <x v="0"/>
    <s v="North"/>
    <s v="David"/>
    <s v="North|David"/>
  </r>
  <r>
    <n v="1088"/>
    <d v="2023-10-04T00:00:00"/>
    <s v="Bob"/>
    <s v="East"/>
    <n v="6116.75"/>
    <n v="40"/>
    <s v="Electronics"/>
    <n v="4904.93"/>
    <n v="5034.3500000000004"/>
    <s v="New"/>
    <n v="0.1"/>
    <x v="2"/>
    <x v="1"/>
    <s v="East"/>
    <s v="Bob"/>
    <s v="East|Bob"/>
  </r>
  <r>
    <n v="1030"/>
    <d v="2023-07-17T00:00:00"/>
    <s v="David"/>
    <s v="West"/>
    <n v="3023.48"/>
    <n v="19"/>
    <s v="Clothing"/>
    <n v="3049.33"/>
    <n v="3209.22"/>
    <s v="Returning"/>
    <n v="0.26"/>
    <x v="0"/>
    <x v="0"/>
    <s v="West"/>
    <s v="David"/>
    <s v="West|David"/>
  </r>
  <r>
    <n v="1038"/>
    <d v="2023-03-11T00:00:00"/>
    <s v="Bob"/>
    <s v="South"/>
    <n v="1452.35"/>
    <n v="15"/>
    <s v="Clothing"/>
    <n v="2543.36"/>
    <n v="2790.1"/>
    <s v="Returning"/>
    <n v="7.0000000000000007E-2"/>
    <x v="0"/>
    <x v="0"/>
    <s v="South"/>
    <s v="Bob"/>
    <s v="South|Bob"/>
  </r>
  <r>
    <n v="1002"/>
    <d v="2023-04-22T00:00:00"/>
    <s v="Eve"/>
    <s v="North"/>
    <n v="6551.23"/>
    <n v="9"/>
    <s v="Electronics"/>
    <n v="4398.16"/>
    <n v="4439.12"/>
    <s v="New"/>
    <n v="0.18"/>
    <x v="1"/>
    <x v="0"/>
    <s v="North"/>
    <s v="Eve"/>
    <s v="North|Eve"/>
  </r>
  <r>
    <n v="1064"/>
    <d v="2023-01-04T00:00:00"/>
    <s v="Eve"/>
    <s v="East"/>
    <n v="7412.11"/>
    <n v="10"/>
    <s v="Electronics"/>
    <n v="4764.96"/>
    <n v="5074.42"/>
    <s v="New"/>
    <n v="0.12"/>
    <x v="0"/>
    <x v="0"/>
    <s v="East"/>
    <s v="Eve"/>
    <s v="East|Eve"/>
  </r>
  <r>
    <n v="1060"/>
    <d v="2023-12-16T00:00:00"/>
    <s v="Eve"/>
    <s v="East"/>
    <n v="3224.71"/>
    <n v="44"/>
    <s v="Clothing"/>
    <n v="3784.96"/>
    <n v="4276.99"/>
    <s v="New"/>
    <n v="0.06"/>
    <x v="1"/>
    <x v="1"/>
    <s v="East"/>
    <s v="Eve"/>
    <s v="East|Eve"/>
  </r>
  <r>
    <n v="1021"/>
    <d v="2023-11-27T00:00:00"/>
    <s v="Alice"/>
    <s v="South"/>
    <n v="6483.84"/>
    <n v="31"/>
    <s v="Furniture"/>
    <n v="2254.9899999999998"/>
    <n v="2441.79"/>
    <s v="Returning"/>
    <n v="0.24"/>
    <x v="1"/>
    <x v="0"/>
    <s v="South"/>
    <s v="Alice"/>
    <s v="South|Alice"/>
  </r>
  <r>
    <n v="1033"/>
    <d v="2023-11-14T00:00:00"/>
    <s v="David"/>
    <s v="South"/>
    <n v="4011.8"/>
    <n v="23"/>
    <s v="Furniture"/>
    <n v="2981.5"/>
    <n v="3360.4"/>
    <s v="Returning"/>
    <n v="0.22"/>
    <x v="1"/>
    <x v="1"/>
    <s v="South"/>
    <s v="David"/>
    <s v="South|David"/>
  </r>
  <r>
    <n v="1076"/>
    <d v="2023-12-16T00:00:00"/>
    <s v="Eve"/>
    <s v="East"/>
    <n v="7160.75"/>
    <n v="30"/>
    <s v="Clothing"/>
    <n v="3519.63"/>
    <n v="3774.65"/>
    <s v="New"/>
    <n v="0.2"/>
    <x v="2"/>
    <x v="1"/>
    <s v="East"/>
    <s v="Eve"/>
    <s v="East|Eve"/>
  </r>
  <r>
    <n v="1058"/>
    <d v="2023-04-05T00:00:00"/>
    <s v="Alice"/>
    <s v="North"/>
    <n v="2072.23"/>
    <n v="33"/>
    <s v="Furniture"/>
    <n v="1011.65"/>
    <n v="1084.28"/>
    <s v="Returning"/>
    <n v="7.0000000000000007E-2"/>
    <x v="1"/>
    <x v="1"/>
    <s v="North"/>
    <s v="Alice"/>
    <s v="North|Alice"/>
  </r>
  <r>
    <n v="1022"/>
    <d v="2023-06-01T00:00:00"/>
    <s v="David"/>
    <s v="East"/>
    <n v="8913.1299999999992"/>
    <n v="9"/>
    <s v="Electronics"/>
    <n v="2263.65"/>
    <n v="2558.9499999999998"/>
    <s v="New"/>
    <n v="0.03"/>
    <x v="0"/>
    <x v="0"/>
    <s v="East"/>
    <s v="David"/>
    <s v="East|David"/>
  </r>
  <r>
    <n v="1089"/>
    <d v="2023-11-07T00:00:00"/>
    <s v="Bob"/>
    <s v="West"/>
    <n v="2945.36"/>
    <n v="47"/>
    <s v="Furniture"/>
    <n v="4157.62"/>
    <n v="4314.5599999999904"/>
    <s v="New"/>
    <n v="0.17"/>
    <x v="1"/>
    <x v="1"/>
    <s v="West"/>
    <s v="Bob"/>
    <s v="West|Bob"/>
  </r>
  <r>
    <n v="1049"/>
    <d v="2023-05-17T00:00:00"/>
    <s v="Alice"/>
    <s v="West"/>
    <n v="3741.08"/>
    <n v="1"/>
    <s v="Furniture"/>
    <n v="3290.89"/>
    <n v="3317.75"/>
    <s v="Returning"/>
    <n v="0.17"/>
    <x v="1"/>
    <x v="0"/>
    <s v="West"/>
    <s v="Alice"/>
    <s v="West|Alice"/>
  </r>
  <r>
    <n v="1091"/>
    <d v="2023-09-04T00:00:00"/>
    <s v="Charlie"/>
    <s v="South"/>
    <n v="675.11"/>
    <n v="44"/>
    <s v="Food"/>
    <n v="2085.46"/>
    <n v="2406.58"/>
    <s v="Returning"/>
    <n v="0.06"/>
    <x v="1"/>
    <x v="1"/>
    <s v="South"/>
    <s v="Charlie"/>
    <s v="South|Charlie"/>
  </r>
  <r>
    <n v="1059"/>
    <d v="2023-08-31T00:00:00"/>
    <s v="Alice"/>
    <s v="North"/>
    <n v="1203.97"/>
    <n v="35"/>
    <s v="Food"/>
    <n v="3333.64"/>
    <n v="3764.52"/>
    <s v="Returning"/>
    <n v="0.02"/>
    <x v="2"/>
    <x v="0"/>
    <s v="North"/>
    <s v="Alice"/>
    <s v="North|Alice"/>
  </r>
  <r>
    <n v="1042"/>
    <d v="2023-01-31T00:00:00"/>
    <s v="Alice"/>
    <s v="North"/>
    <n v="5207.03"/>
    <n v="11"/>
    <s v="Food"/>
    <n v="635.20000000000005"/>
    <n v="814.14"/>
    <s v="Returning"/>
    <n v="0.02"/>
    <x v="0"/>
    <x v="0"/>
    <s v="North"/>
    <s v="Alice"/>
    <s v="North|Alice"/>
  </r>
  <r>
    <n v="1092"/>
    <d v="2023-02-09T00:00:00"/>
    <s v="David"/>
    <s v="West"/>
    <n v="2749.17"/>
    <n v="34"/>
    <s v="Furniture"/>
    <n v="2037.41"/>
    <n v="2238.65"/>
    <s v="New"/>
    <n v="0.3"/>
    <x v="2"/>
    <x v="0"/>
    <s v="West"/>
    <s v="David"/>
    <s v="West|David"/>
  </r>
  <r>
    <n v="1060"/>
    <d v="2023-08-17T00:00:00"/>
    <s v="Bob"/>
    <s v="East"/>
    <n v="8371.25"/>
    <n v="16"/>
    <s v="Clothing"/>
    <n v="3975.99"/>
    <n v="4422.59"/>
    <s v="New"/>
    <n v="0.24"/>
    <x v="0"/>
    <x v="0"/>
    <s v="East"/>
    <s v="Bob"/>
    <s v="East|Bob"/>
  </r>
  <r>
    <n v="1080"/>
    <d v="2023-02-05T00:00:00"/>
    <s v="Charlie"/>
    <s v="South"/>
    <n v="245.46"/>
    <n v="9"/>
    <s v="Electronics"/>
    <n v="1141.52"/>
    <n v="1550.19"/>
    <s v="New"/>
    <n v="0.28000000000000003"/>
    <x v="2"/>
    <x v="1"/>
    <s v="South"/>
    <s v="Charlie"/>
    <s v="South|Charlie"/>
  </r>
  <r>
    <n v="1015"/>
    <d v="2023-08-11T00:00:00"/>
    <s v="Eve"/>
    <s v="East"/>
    <n v="3853.03"/>
    <n v="32"/>
    <s v="Furniture"/>
    <n v="970.51"/>
    <n v="1330.84"/>
    <s v="Returning"/>
    <n v="0.06"/>
    <x v="0"/>
    <x v="1"/>
    <s v="East"/>
    <s v="Eve"/>
    <s v="East|Eve"/>
  </r>
  <r>
    <n v="1062"/>
    <d v="2023-01-06T00:00:00"/>
    <s v="Eve"/>
    <s v="East"/>
    <n v="3439.72"/>
    <n v="15"/>
    <s v="Clothing"/>
    <n v="4756.55"/>
    <n v="4888.46"/>
    <s v="New"/>
    <n v="0.28999999999999998"/>
    <x v="2"/>
    <x v="0"/>
    <s v="East"/>
    <s v="Eve"/>
    <s v="East|Eve"/>
  </r>
  <r>
    <n v="1062"/>
    <d v="2023-11-18T00:00:00"/>
    <s v="Alice"/>
    <s v="East"/>
    <n v="291.33999999999997"/>
    <n v="12"/>
    <s v="Furniture"/>
    <n v="1088.99"/>
    <n v="1545"/>
    <s v="Returning"/>
    <n v="0.04"/>
    <x v="1"/>
    <x v="1"/>
    <s v="East"/>
    <s v="Alice"/>
    <s v="East|Alice"/>
  </r>
  <r>
    <n v="1047"/>
    <d v="2023-08-08T00:00:00"/>
    <s v="David"/>
    <s v="North"/>
    <n v="1331.25"/>
    <n v="33"/>
    <s v="Electronics"/>
    <n v="1341.55"/>
    <n v="1427.21"/>
    <s v="Returning"/>
    <n v="0.15"/>
    <x v="2"/>
    <x v="0"/>
    <s v="North"/>
    <s v="David"/>
    <s v="North|David"/>
  </r>
  <r>
    <n v="1062"/>
    <d v="2023-03-16T00:00:00"/>
    <s v="David"/>
    <s v="West"/>
    <n v="4195.0600000000004"/>
    <n v="45"/>
    <s v="Furniture"/>
    <n v="4849.6000000000004"/>
    <n v="5166.72"/>
    <s v="Returning"/>
    <n v="0.25"/>
    <x v="2"/>
    <x v="0"/>
    <s v="West"/>
    <s v="David"/>
    <s v="West|David"/>
  </r>
  <r>
    <n v="1051"/>
    <d v="2023-01-04T00:00:00"/>
    <s v="Eve"/>
    <s v="North"/>
    <n v="4979.3599999999997"/>
    <n v="14"/>
    <s v="Electronics"/>
    <n v="3686.81"/>
    <n v="3710.92"/>
    <s v="New"/>
    <n v="0.1"/>
    <x v="1"/>
    <x v="1"/>
    <s v="North"/>
    <s v="Eve"/>
    <s v="North|Eve"/>
  </r>
  <r>
    <n v="1055"/>
    <d v="2023-12-01T00:00:00"/>
    <s v="Charlie"/>
    <s v="West"/>
    <n v="4102.47"/>
    <n v="8"/>
    <s v="Furniture"/>
    <n v="3513"/>
    <n v="3838.42"/>
    <s v="Returning"/>
    <n v="0.13"/>
    <x v="1"/>
    <x v="0"/>
    <s v="West"/>
    <s v="Charlie"/>
    <s v="West|Charlie"/>
  </r>
  <r>
    <n v="1064"/>
    <d v="2023-05-14T00:00:00"/>
    <s v="Bob"/>
    <s v="South"/>
    <n v="5356.28"/>
    <n v="8"/>
    <s v="Electronics"/>
    <n v="4271.99"/>
    <n v="4417.79"/>
    <s v="Returning"/>
    <n v="0.04"/>
    <x v="0"/>
    <x v="0"/>
    <s v="South"/>
    <s v="Bob"/>
    <s v="South|Bob"/>
  </r>
  <r>
    <n v="1003"/>
    <d v="2023-04-28T00:00:00"/>
    <s v="Charlie"/>
    <s v="South"/>
    <n v="5991.8"/>
    <n v="27"/>
    <s v="Furniture"/>
    <n v="623.32000000000005"/>
    <n v="853.66"/>
    <s v="Returning"/>
    <n v="0.04"/>
    <x v="0"/>
    <x v="0"/>
    <s v="South"/>
    <s v="Charlie"/>
    <s v="South|Charlie"/>
  </r>
  <r>
    <n v="1051"/>
    <d v="2023-04-04T00:00:00"/>
    <s v="Bob"/>
    <s v="East"/>
    <n v="198.25"/>
    <n v="12"/>
    <s v="Electronics"/>
    <n v="3544.48"/>
    <n v="3723.66"/>
    <s v="Returning"/>
    <n v="0.19"/>
    <x v="0"/>
    <x v="0"/>
    <s v="East"/>
    <s v="Bob"/>
    <s v="East|Bob"/>
  </r>
  <r>
    <n v="1007"/>
    <d v="2023-03-03T00:00:00"/>
    <s v="Eve"/>
    <s v="West"/>
    <n v="4694.54"/>
    <n v="1"/>
    <s v="Food"/>
    <n v="2543.2600000000002"/>
    <n v="2637.91"/>
    <s v="Returning"/>
    <n v="0.2"/>
    <x v="2"/>
    <x v="0"/>
    <s v="West"/>
    <s v="Eve"/>
    <s v="West|Eve"/>
  </r>
  <r>
    <n v="1021"/>
    <d v="2023-07-13T00:00:00"/>
    <s v="Bob"/>
    <s v="West"/>
    <n v="9638.64"/>
    <n v="43"/>
    <s v="Furniture"/>
    <n v="4154.3"/>
    <n v="4469.07"/>
    <s v="Returning"/>
    <n v="0.23"/>
    <x v="0"/>
    <x v="1"/>
    <s v="West"/>
    <s v="Bob"/>
    <s v="West|Bob"/>
  </r>
  <r>
    <n v="1073"/>
    <d v="2023-12-01T00:00:00"/>
    <s v="David"/>
    <s v="West"/>
    <n v="5238.42"/>
    <n v="40"/>
    <s v="Furniture"/>
    <n v="2565.3000000000002"/>
    <n v="3007.47"/>
    <s v="Returning"/>
    <n v="0.17"/>
    <x v="2"/>
    <x v="1"/>
    <s v="West"/>
    <s v="David"/>
    <s v="West|David"/>
  </r>
  <r>
    <n v="1039"/>
    <d v="2023-07-22T00:00:00"/>
    <s v="Alice"/>
    <s v="East"/>
    <n v="6807.67"/>
    <n v="42"/>
    <s v="Clothing"/>
    <n v="3120.19"/>
    <n v="3600.14"/>
    <s v="Returning"/>
    <n v="0.19"/>
    <x v="2"/>
    <x v="1"/>
    <s v="East"/>
    <s v="Alice"/>
    <s v="East|Alice"/>
  </r>
  <r>
    <n v="1018"/>
    <d v="2023-01-26T00:00:00"/>
    <s v="Alice"/>
    <s v="East"/>
    <n v="3187.45"/>
    <n v="11"/>
    <s v="Clothing"/>
    <n v="2414.8200000000002"/>
    <n v="2519.0700000000002"/>
    <s v="Returning"/>
    <n v="0"/>
    <x v="0"/>
    <x v="0"/>
    <s v="East"/>
    <s v="Alice"/>
    <s v="East|Alice"/>
  </r>
  <r>
    <n v="1004"/>
    <d v="2023-06-22T00:00:00"/>
    <s v="Eve"/>
    <s v="South"/>
    <n v="7762.51"/>
    <n v="39"/>
    <s v="Electronics"/>
    <n v="2416.89"/>
    <n v="2778.3999999999901"/>
    <s v="Returning"/>
    <n v="0.05"/>
    <x v="0"/>
    <x v="0"/>
    <s v="South"/>
    <s v="Eve"/>
    <s v="South|Eve"/>
  </r>
  <r>
    <n v="1089"/>
    <d v="2023-10-27T00:00:00"/>
    <s v="David"/>
    <s v="North"/>
    <n v="7751.92"/>
    <n v="43"/>
    <s v="Furniture"/>
    <n v="3851.45"/>
    <n v="4186.9799999999996"/>
    <s v="Returning"/>
    <n v="0.3"/>
    <x v="2"/>
    <x v="0"/>
    <s v="North"/>
    <s v="David"/>
    <s v="North|David"/>
  </r>
  <r>
    <n v="1060"/>
    <d v="2023-05-13T00:00:00"/>
    <s v="Charlie"/>
    <s v="West"/>
    <n v="5260.83"/>
    <n v="31"/>
    <s v="Electronics"/>
    <n v="3161.4"/>
    <n v="3339.66"/>
    <s v="Returning"/>
    <n v="0.02"/>
    <x v="1"/>
    <x v="0"/>
    <s v="West"/>
    <s v="Charlie"/>
    <s v="West|Charlie"/>
  </r>
  <r>
    <n v="1014"/>
    <d v="2023-11-22T00:00:00"/>
    <s v="David"/>
    <s v="West"/>
    <n v="9762.5400000000009"/>
    <n v="17"/>
    <s v="Food"/>
    <n v="3184.65"/>
    <n v="3204.01"/>
    <s v="New"/>
    <n v="0.2"/>
    <x v="1"/>
    <x v="0"/>
    <s v="West"/>
    <s v="David"/>
    <s v="West|David"/>
  </r>
  <r>
    <n v="1009"/>
    <d v="2023-04-28T00:00:00"/>
    <s v="Alice"/>
    <s v="North"/>
    <n v="1342.95"/>
    <n v="33"/>
    <s v="Clothing"/>
    <n v="2278.9"/>
    <n v="2626.9"/>
    <s v="New"/>
    <n v="0.05"/>
    <x v="2"/>
    <x v="0"/>
    <s v="North"/>
    <s v="Alice"/>
    <s v="North|Alice"/>
  </r>
  <r>
    <n v="1090"/>
    <d v="2023-11-20T00:00:00"/>
    <s v="Alice"/>
    <s v="West"/>
    <n v="267.77999999999997"/>
    <n v="32"/>
    <s v="Electronics"/>
    <n v="2678.99"/>
    <n v="3152.2799999999902"/>
    <s v="Returning"/>
    <n v="0.22"/>
    <x v="0"/>
    <x v="1"/>
    <s v="West"/>
    <s v="Alice"/>
    <s v="West|Alice"/>
  </r>
  <r>
    <n v="1053"/>
    <d v="2023-10-02T00:00:00"/>
    <s v="David"/>
    <s v="East"/>
    <n v="7724.57"/>
    <n v="29"/>
    <s v="Electronics"/>
    <n v="3741.3"/>
    <n v="4061.04"/>
    <s v="Returning"/>
    <n v="0.21"/>
    <x v="2"/>
    <x v="0"/>
    <s v="East"/>
    <s v="David"/>
    <s v="East|David"/>
  </r>
  <r>
    <n v="1002"/>
    <d v="2023-07-31T00:00:00"/>
    <s v="David"/>
    <s v="East"/>
    <n v="8090.84"/>
    <n v="21"/>
    <s v="Clothing"/>
    <n v="4138.41"/>
    <n v="4361.7"/>
    <s v="Returning"/>
    <n v="7.0000000000000007E-2"/>
    <x v="2"/>
    <x v="1"/>
    <s v="East"/>
    <s v="David"/>
    <s v="East|David"/>
  </r>
  <r>
    <n v="1084"/>
    <d v="2023-08-13T00:00:00"/>
    <s v="Alice"/>
    <s v="West"/>
    <n v="1290.05"/>
    <n v="21"/>
    <s v="Furniture"/>
    <n v="3497.98"/>
    <n v="3765.31"/>
    <s v="New"/>
    <n v="0.08"/>
    <x v="0"/>
    <x v="0"/>
    <s v="West"/>
    <s v="Alice"/>
    <s v="West|Alice"/>
  </r>
  <r>
    <n v="1092"/>
    <d v="2023-01-20T00:00:00"/>
    <s v="Charlie"/>
    <s v="East"/>
    <n v="2729.27"/>
    <n v="40"/>
    <s v="Electronics"/>
    <n v="4624.16"/>
    <n v="4731.9799999999996"/>
    <s v="New"/>
    <n v="0.2"/>
    <x v="1"/>
    <x v="1"/>
    <s v="East"/>
    <s v="Charlie"/>
    <s v="East|Charlie"/>
  </r>
  <r>
    <n v="1060"/>
    <d v="2023-04-23T00:00:00"/>
    <s v="Eve"/>
    <s v="East"/>
    <n v="273.77"/>
    <n v="23"/>
    <s v="Clothing"/>
    <n v="4110.6000000000004"/>
    <n v="4488.37"/>
    <s v="New"/>
    <n v="0.12"/>
    <x v="2"/>
    <x v="0"/>
    <s v="East"/>
    <s v="Eve"/>
    <s v="East|Eve"/>
  </r>
  <r>
    <n v="1071"/>
    <d v="2023-05-20T00:00:00"/>
    <s v="Eve"/>
    <s v="West"/>
    <n v="3003.76"/>
    <n v="6"/>
    <s v="Furniture"/>
    <n v="2831.23"/>
    <n v="3206.98"/>
    <s v="Returning"/>
    <n v="0.06"/>
    <x v="1"/>
    <x v="1"/>
    <s v="West"/>
    <s v="Eve"/>
    <s v="West|Eve"/>
  </r>
  <r>
    <n v="1044"/>
    <d v="2023-02-16T00:00:00"/>
    <s v="David"/>
    <s v="South"/>
    <n v="7754.1"/>
    <n v="22"/>
    <s v="Food"/>
    <n v="3373.46"/>
    <n v="3454.76"/>
    <s v="Returning"/>
    <n v="0.22"/>
    <x v="1"/>
    <x v="1"/>
    <s v="South"/>
    <s v="David"/>
    <s v="South|David"/>
  </r>
  <r>
    <n v="1008"/>
    <d v="2023-01-01T00:00:00"/>
    <s v="Eve"/>
    <s v="North"/>
    <n v="5227.8100000000004"/>
    <n v="38"/>
    <s v="Clothing"/>
    <n v="4635.2299999999996"/>
    <n v="5075.4399999999996"/>
    <s v="Returning"/>
    <n v="0.05"/>
    <x v="0"/>
    <x v="0"/>
    <s v="North"/>
    <s v="Eve"/>
    <s v="North|Eve"/>
  </r>
  <r>
    <n v="1047"/>
    <d v="2023-03-31T00:00:00"/>
    <s v="Alice"/>
    <s v="East"/>
    <n v="3546.15"/>
    <n v="37"/>
    <s v="Electronics"/>
    <n v="3114.88"/>
    <n v="3256.78"/>
    <s v="Returning"/>
    <n v="0.26"/>
    <x v="2"/>
    <x v="0"/>
    <s v="East"/>
    <s v="Alice"/>
    <s v="East|Alice"/>
  </r>
  <r>
    <n v="1035"/>
    <d v="2023-05-22T00:00:00"/>
    <s v="Alice"/>
    <s v="South"/>
    <n v="3780.22"/>
    <n v="45"/>
    <s v="Food"/>
    <n v="4132.79"/>
    <n v="4624.1000000000004"/>
    <s v="New"/>
    <n v="0.15"/>
    <x v="2"/>
    <x v="1"/>
    <s v="South"/>
    <s v="Alice"/>
    <s v="South|Alice"/>
  </r>
  <r>
    <n v="1078"/>
    <d v="2023-11-16T00:00:00"/>
    <s v="David"/>
    <s v="East"/>
    <n v="113.4"/>
    <n v="8"/>
    <s v="Furniture"/>
    <n v="3459.61"/>
    <n v="3657.23"/>
    <s v="Returning"/>
    <n v="0.03"/>
    <x v="1"/>
    <x v="0"/>
    <s v="East"/>
    <s v="David"/>
    <s v="East|David"/>
  </r>
  <r>
    <n v="1081"/>
    <d v="2023-02-07T00:00:00"/>
    <s v="David"/>
    <s v="East"/>
    <n v="3068.03"/>
    <n v="41"/>
    <s v="Furniture"/>
    <n v="2782.08"/>
    <n v="2879.24"/>
    <s v="New"/>
    <n v="0.21"/>
    <x v="1"/>
    <x v="0"/>
    <s v="East"/>
    <s v="David"/>
    <s v="East|David"/>
  </r>
  <r>
    <n v="1036"/>
    <d v="2023-10-20T00:00:00"/>
    <s v="David"/>
    <s v="North"/>
    <n v="6499.94"/>
    <n v="49"/>
    <s v="Clothing"/>
    <n v="1247.0999999999999"/>
    <n v="1429.4399999999901"/>
    <s v="New"/>
    <n v="0.16"/>
    <x v="0"/>
    <x v="0"/>
    <s v="North"/>
    <s v="David"/>
    <s v="North|David"/>
  </r>
  <r>
    <n v="1050"/>
    <d v="2023-05-19T00:00:00"/>
    <s v="Charlie"/>
    <s v="East"/>
    <n v="9744.52"/>
    <n v="35"/>
    <s v="Clothing"/>
    <n v="2158.69"/>
    <n v="2384.38"/>
    <s v="Returning"/>
    <n v="0.09"/>
    <x v="1"/>
    <x v="1"/>
    <s v="East"/>
    <s v="Charlie"/>
    <s v="East|Charlie"/>
  </r>
  <r>
    <n v="1004"/>
    <d v="2023-12-22T00:00:00"/>
    <s v="Eve"/>
    <s v="North"/>
    <n v="8485.9"/>
    <n v="11"/>
    <s v="Clothing"/>
    <n v="4840.33"/>
    <n v="4884.29"/>
    <s v="New"/>
    <n v="0.13"/>
    <x v="0"/>
    <x v="0"/>
    <s v="North"/>
    <s v="Eve"/>
    <s v="North|Eve"/>
  </r>
  <r>
    <n v="1002"/>
    <d v="2023-11-29T00:00:00"/>
    <s v="David"/>
    <s v="North"/>
    <n v="333.59"/>
    <n v="24"/>
    <s v="Furniture"/>
    <n v="3305.94"/>
    <n v="3599.27"/>
    <s v="New"/>
    <n v="0.09"/>
    <x v="2"/>
    <x v="1"/>
    <s v="North"/>
    <s v="David"/>
    <s v="North|David"/>
  </r>
  <r>
    <n v="1006"/>
    <d v="2023-09-16T00:00:00"/>
    <s v="Bob"/>
    <s v="North"/>
    <n v="8995.75"/>
    <n v="49"/>
    <s v="Food"/>
    <n v="2843.76"/>
    <n v="3146.6"/>
    <s v="New"/>
    <n v="0.08"/>
    <x v="0"/>
    <x v="1"/>
    <s v="North"/>
    <s v="Bob"/>
    <s v="North|Bob"/>
  </r>
  <r>
    <n v="1054"/>
    <d v="2023-06-10T00:00:00"/>
    <s v="Bob"/>
    <s v="South"/>
    <n v="7853.66"/>
    <n v="21"/>
    <s v="Furniture"/>
    <n v="4668.1400000000003"/>
    <n v="5040.22"/>
    <s v="New"/>
    <n v="0.05"/>
    <x v="1"/>
    <x v="0"/>
    <s v="South"/>
    <s v="Bob"/>
    <s v="South|Bob"/>
  </r>
  <r>
    <n v="1004"/>
    <d v="2023-06-27T00:00:00"/>
    <s v="Alice"/>
    <s v="West"/>
    <n v="7825.72"/>
    <n v="2"/>
    <s v="Electronics"/>
    <n v="2953.23"/>
    <n v="2977.52"/>
    <s v="Returning"/>
    <n v="0.11"/>
    <x v="2"/>
    <x v="1"/>
    <s v="West"/>
    <s v="Alice"/>
    <s v="West|Alice"/>
  </r>
  <r>
    <n v="1054"/>
    <d v="2023-01-10T00:00:00"/>
    <s v="Eve"/>
    <s v="South"/>
    <n v="4634.16"/>
    <n v="40"/>
    <s v="Furniture"/>
    <n v="2654.11"/>
    <n v="2929.32"/>
    <s v="Returning"/>
    <n v="0.08"/>
    <x v="0"/>
    <x v="0"/>
    <s v="South"/>
    <s v="Eve"/>
    <s v="South|Eve"/>
  </r>
  <r>
    <n v="1093"/>
    <d v="2023-09-18T00:00:00"/>
    <s v="David"/>
    <s v="West"/>
    <n v="4040.25"/>
    <n v="19"/>
    <s v="Electronics"/>
    <n v="3808.59"/>
    <n v="3844.51"/>
    <s v="New"/>
    <n v="0.21"/>
    <x v="2"/>
    <x v="0"/>
    <s v="West"/>
    <s v="David"/>
    <s v="West|David"/>
  </r>
  <r>
    <n v="1063"/>
    <d v="2023-05-18T00:00:00"/>
    <s v="Bob"/>
    <s v="West"/>
    <n v="3098.87"/>
    <n v="39"/>
    <s v="Food"/>
    <n v="3577.69"/>
    <n v="3931.25"/>
    <s v="Returning"/>
    <n v="0.21"/>
    <x v="0"/>
    <x v="1"/>
    <s v="West"/>
    <s v="Bob"/>
    <s v="West|Bob"/>
  </r>
  <r>
    <n v="1018"/>
    <d v="2023-06-21T00:00:00"/>
    <s v="Eve"/>
    <s v="North"/>
    <n v="750.38"/>
    <n v="28"/>
    <s v="Clothing"/>
    <n v="1006.14"/>
    <n v="1043.45"/>
    <s v="New"/>
    <n v="0.15"/>
    <x v="1"/>
    <x v="1"/>
    <s v="North"/>
    <s v="Eve"/>
    <s v="North|Eve"/>
  </r>
  <r>
    <n v="1090"/>
    <d v="2023-01-13T00:00:00"/>
    <s v="Alice"/>
    <s v="East"/>
    <n v="2359.5300000000002"/>
    <n v="17"/>
    <s v="Clothing"/>
    <n v="2382.98"/>
    <n v="2839.73"/>
    <s v="Returning"/>
    <n v="0.23"/>
    <x v="1"/>
    <x v="1"/>
    <s v="East"/>
    <s v="Alice"/>
    <s v="East|Alice"/>
  </r>
  <r>
    <n v="1044"/>
    <d v="2023-06-17T00:00:00"/>
    <s v="Charlie"/>
    <s v="North"/>
    <n v="2541.38"/>
    <n v="6"/>
    <s v="Furniture"/>
    <n v="2388.9499999999998"/>
    <n v="2742.97"/>
    <s v="Returning"/>
    <n v="0.25"/>
    <x v="2"/>
    <x v="1"/>
    <s v="North"/>
    <s v="Charlie"/>
    <s v="North|Charlie"/>
  </r>
  <r>
    <n v="1034"/>
    <d v="2023-05-10T00:00:00"/>
    <s v="Eve"/>
    <s v="East"/>
    <n v="4892.3599999999997"/>
    <n v="19"/>
    <s v="Clothing"/>
    <n v="1922.21"/>
    <n v="2180.83"/>
    <s v="Returning"/>
    <n v="0.17"/>
    <x v="2"/>
    <x v="1"/>
    <s v="East"/>
    <s v="Eve"/>
    <s v="East|Eve"/>
  </r>
  <r>
    <n v="1074"/>
    <d v="2023-03-25T00:00:00"/>
    <s v="Eve"/>
    <s v="West"/>
    <n v="7499.7"/>
    <n v="38"/>
    <s v="Food"/>
    <n v="2610.6"/>
    <n v="2836.94"/>
    <s v="Returning"/>
    <n v="0.19"/>
    <x v="2"/>
    <x v="0"/>
    <s v="West"/>
    <s v="Eve"/>
    <s v="West|Eve"/>
  </r>
  <r>
    <n v="1062"/>
    <d v="2023-11-17T00:00:00"/>
    <s v="Charlie"/>
    <s v="North"/>
    <n v="4790.72"/>
    <n v="28"/>
    <s v="Clothing"/>
    <n v="2094.88"/>
    <n v="2168.91"/>
    <s v="Returning"/>
    <n v="0.08"/>
    <x v="0"/>
    <x v="1"/>
    <s v="North"/>
    <s v="Charlie"/>
    <s v="North|Charlie"/>
  </r>
  <r>
    <n v="1100"/>
    <d v="2023-11-15T00:00:00"/>
    <s v="Eve"/>
    <s v="East"/>
    <n v="672.66"/>
    <n v="2"/>
    <s v="Furniture"/>
    <n v="1036.76"/>
    <n v="1189.3499999999999"/>
    <s v="New"/>
    <n v="0.27"/>
    <x v="1"/>
    <x v="0"/>
    <s v="East"/>
    <s v="Eve"/>
    <s v="East|Eve"/>
  </r>
  <r>
    <n v="1014"/>
    <d v="2023-04-11T00:00:00"/>
    <s v="Alice"/>
    <s v="South"/>
    <n v="9582.1200000000008"/>
    <n v="38"/>
    <s v="Food"/>
    <n v="2091.21"/>
    <n v="2527"/>
    <s v="Returning"/>
    <n v="0.01"/>
    <x v="2"/>
    <x v="0"/>
    <s v="South"/>
    <s v="Alice"/>
    <s v="South|Alice"/>
  </r>
  <r>
    <n v="1095"/>
    <d v="2023-11-25T00:00:00"/>
    <s v="Alice"/>
    <s v="East"/>
    <n v="9432.9699999999993"/>
    <n v="37"/>
    <s v="Electronics"/>
    <n v="407.77"/>
    <n v="860.95"/>
    <s v="New"/>
    <n v="0.1"/>
    <x v="2"/>
    <x v="1"/>
    <s v="East"/>
    <s v="Alice"/>
    <s v="East|Alice"/>
  </r>
  <r>
    <n v="1048"/>
    <d v="2023-09-30T00:00:00"/>
    <s v="Charlie"/>
    <s v="North"/>
    <n v="7873.38"/>
    <n v="4"/>
    <s v="Furniture"/>
    <n v="2900.14"/>
    <n v="2910.5099999999902"/>
    <s v="New"/>
    <n v="0.22"/>
    <x v="2"/>
    <x v="1"/>
    <s v="North"/>
    <s v="Charlie"/>
    <s v="North|Charlie"/>
  </r>
  <r>
    <n v="1015"/>
    <d v="2023-09-22T00:00:00"/>
    <s v="David"/>
    <s v="South"/>
    <n v="9914.15"/>
    <n v="22"/>
    <s v="Electronics"/>
    <n v="4275.59"/>
    <n v="4576.72"/>
    <s v="Returning"/>
    <n v="0.02"/>
    <x v="0"/>
    <x v="1"/>
    <s v="South"/>
    <s v="David"/>
    <s v="South|David"/>
  </r>
  <r>
    <n v="1072"/>
    <d v="2023-02-07T00:00:00"/>
    <s v="Bob"/>
    <s v="East"/>
    <n v="5490.38"/>
    <n v="26"/>
    <s v="Food"/>
    <n v="3640.17"/>
    <n v="4002.63"/>
    <s v="New"/>
    <n v="0.05"/>
    <x v="2"/>
    <x v="1"/>
    <s v="East"/>
    <s v="Bob"/>
    <s v="East|Bob"/>
  </r>
  <r>
    <n v="1078"/>
    <d v="2023-04-04T00:00:00"/>
    <s v="David"/>
    <s v="East"/>
    <n v="9631.41"/>
    <n v="49"/>
    <s v="Furniture"/>
    <n v="1833.95"/>
    <n v="2147.14"/>
    <s v="Returning"/>
    <n v="0.18"/>
    <x v="2"/>
    <x v="1"/>
    <s v="East"/>
    <s v="David"/>
    <s v="East|David"/>
  </r>
  <r>
    <n v="1087"/>
    <d v="2023-04-05T00:00:00"/>
    <s v="Eve"/>
    <s v="East"/>
    <n v="848.49"/>
    <n v="43"/>
    <s v="Furniture"/>
    <n v="481"/>
    <n v="531.02"/>
    <s v="New"/>
    <n v="0.17"/>
    <x v="0"/>
    <x v="0"/>
    <s v="East"/>
    <s v="Eve"/>
    <s v="East|Eve"/>
  </r>
  <r>
    <n v="1062"/>
    <d v="2023-11-01T00:00:00"/>
    <s v="Bob"/>
    <s v="East"/>
    <n v="3720.24"/>
    <n v="36"/>
    <s v="Food"/>
    <n v="1050.6400000000001"/>
    <n v="1167.33"/>
    <s v="New"/>
    <n v="0.22"/>
    <x v="0"/>
    <x v="0"/>
    <s v="East"/>
    <s v="Bob"/>
    <s v="East|Bob"/>
  </r>
  <r>
    <n v="1040"/>
    <d v="2023-03-10T00:00:00"/>
    <s v="Charlie"/>
    <s v="East"/>
    <n v="2331.27"/>
    <n v="13"/>
    <s v="Clothing"/>
    <n v="2750.18"/>
    <n v="2882.85"/>
    <s v="Returning"/>
    <n v="0.24"/>
    <x v="2"/>
    <x v="0"/>
    <s v="East"/>
    <s v="Charlie"/>
    <s v="East|Charlie"/>
  </r>
  <r>
    <n v="1085"/>
    <d v="2023-11-14T00:00:00"/>
    <s v="Charlie"/>
    <s v="South"/>
    <n v="2038.75"/>
    <n v="32"/>
    <s v="Furniture"/>
    <n v="1074.93"/>
    <n v="1492.48"/>
    <s v="Returning"/>
    <n v="0.04"/>
    <x v="2"/>
    <x v="1"/>
    <s v="South"/>
    <s v="Charlie"/>
    <s v="South|Charlie"/>
  </r>
  <r>
    <n v="1080"/>
    <d v="2023-08-24T00:00:00"/>
    <s v="Bob"/>
    <s v="West"/>
    <n v="1493.95"/>
    <n v="17"/>
    <s v="Furniture"/>
    <n v="2742.67"/>
    <n v="2979.64"/>
    <s v="Returning"/>
    <n v="0.01"/>
    <x v="0"/>
    <x v="1"/>
    <s v="West"/>
    <s v="Bob"/>
    <s v="West|Bob"/>
  </r>
  <r>
    <n v="1082"/>
    <d v="2023-11-30T00:00:00"/>
    <s v="Alice"/>
    <s v="South"/>
    <n v="6261.9"/>
    <n v="41"/>
    <s v="Electronics"/>
    <n v="1196.42"/>
    <n v="1444.97"/>
    <s v="Returning"/>
    <n v="0.21"/>
    <x v="1"/>
    <x v="0"/>
    <s v="South"/>
    <s v="Alice"/>
    <s v="South|Alice"/>
  </r>
  <r>
    <n v="1053"/>
    <d v="2023-05-17T00:00:00"/>
    <s v="Bob"/>
    <s v="South"/>
    <n v="7835.09"/>
    <n v="36"/>
    <s v="Clothing"/>
    <n v="4252.17"/>
    <n v="4720.2700000000004"/>
    <s v="New"/>
    <n v="0.09"/>
    <x v="0"/>
    <x v="1"/>
    <s v="South"/>
    <s v="Bob"/>
    <s v="South|Bob"/>
  </r>
  <r>
    <n v="1024"/>
    <d v="2023-03-17T00:00:00"/>
    <s v="Eve"/>
    <s v="South"/>
    <n v="5825.15"/>
    <n v="46"/>
    <s v="Electronics"/>
    <n v="2016.49"/>
    <n v="2338.66"/>
    <s v="Returning"/>
    <n v="0.19"/>
    <x v="1"/>
    <x v="1"/>
    <s v="South"/>
    <s v="Eve"/>
    <s v="South|Eve"/>
  </r>
  <r>
    <n v="1026"/>
    <d v="2023-02-04T00:00:00"/>
    <s v="Alice"/>
    <s v="West"/>
    <n v="1554.93"/>
    <n v="19"/>
    <s v="Electronics"/>
    <n v="1265.48"/>
    <n v="1715.83"/>
    <s v="New"/>
    <n v="0.05"/>
    <x v="2"/>
    <x v="1"/>
    <s v="West"/>
    <s v="Alice"/>
    <s v="West|Alice"/>
  </r>
  <r>
    <n v="1089"/>
    <d v="2023-01-01T00:00:00"/>
    <s v="Charlie"/>
    <s v="North"/>
    <n v="8130.13"/>
    <n v="35"/>
    <s v="Clothing"/>
    <n v="4071.01"/>
    <n v="4304.7"/>
    <s v="New"/>
    <n v="0.14000000000000001"/>
    <x v="2"/>
    <x v="0"/>
    <s v="North"/>
    <s v="Charlie"/>
    <s v="North|Charlie"/>
  </r>
  <r>
    <n v="1060"/>
    <d v="2023-10-23T00:00:00"/>
    <s v="Bob"/>
    <s v="West"/>
    <n v="6395.95"/>
    <n v="46"/>
    <s v="Clothing"/>
    <n v="1747.05"/>
    <n v="1830.27"/>
    <s v="New"/>
    <n v="0.15"/>
    <x v="1"/>
    <x v="1"/>
    <s v="West"/>
    <s v="Bob"/>
    <s v="West|Bob"/>
  </r>
  <r>
    <n v="1041"/>
    <d v="2023-11-16T00:00:00"/>
    <s v="David"/>
    <s v="South"/>
    <n v="3942.84"/>
    <n v="40"/>
    <s v="Food"/>
    <n v="601.86"/>
    <n v="1067.53"/>
    <s v="New"/>
    <n v="0.18"/>
    <x v="0"/>
    <x v="0"/>
    <s v="South"/>
    <s v="David"/>
    <s v="South|David"/>
  </r>
  <r>
    <n v="1029"/>
    <d v="2023-03-01T00:00:00"/>
    <s v="David"/>
    <s v="East"/>
    <n v="6773.89"/>
    <n v="28"/>
    <s v="Clothing"/>
    <n v="2873.53"/>
    <n v="3108.3"/>
    <s v="New"/>
    <n v="0.15"/>
    <x v="2"/>
    <x v="1"/>
    <s v="East"/>
    <s v="David"/>
    <s v="East|David"/>
  </r>
  <r>
    <n v="1015"/>
    <d v="2023-11-16T00:00:00"/>
    <s v="Eve"/>
    <s v="East"/>
    <n v="2673.06"/>
    <n v="1"/>
    <s v="Furniture"/>
    <n v="2928.74"/>
    <n v="3027.74"/>
    <s v="New"/>
    <n v="0.15"/>
    <x v="1"/>
    <x v="1"/>
    <s v="East"/>
    <s v="Eve"/>
    <s v="East|Eve"/>
  </r>
  <r>
    <n v="1045"/>
    <d v="2023-12-15T00:00:00"/>
    <s v="David"/>
    <s v="South"/>
    <n v="3517.4"/>
    <n v="42"/>
    <s v="Clothing"/>
    <n v="3587.74"/>
    <n v="3745.91"/>
    <s v="Returning"/>
    <n v="0.1"/>
    <x v="0"/>
    <x v="0"/>
    <s v="South"/>
    <s v="David"/>
    <s v="South|David"/>
  </r>
  <r>
    <n v="1065"/>
    <d v="2023-11-24T00:00:00"/>
    <s v="Bob"/>
    <s v="East"/>
    <n v="9183.11"/>
    <n v="18"/>
    <s v="Food"/>
    <n v="1239.0899999999999"/>
    <n v="1273.98"/>
    <s v="New"/>
    <n v="0.02"/>
    <x v="1"/>
    <x v="1"/>
    <s v="East"/>
    <s v="Bob"/>
    <s v="East|Bob"/>
  </r>
  <r>
    <n v="1089"/>
    <d v="2023-09-24T00:00:00"/>
    <s v="Bob"/>
    <s v="South"/>
    <n v="2975.99"/>
    <n v="48"/>
    <s v="Food"/>
    <n v="2246.67"/>
    <n v="2486.14"/>
    <s v="New"/>
    <n v="0.03"/>
    <x v="0"/>
    <x v="1"/>
    <s v="South"/>
    <s v="Bob"/>
    <s v="South|Bob"/>
  </r>
  <r>
    <n v="1071"/>
    <d v="2023-12-27T00:00:00"/>
    <s v="David"/>
    <s v="East"/>
    <n v="4752.88"/>
    <n v="40"/>
    <s v="Food"/>
    <n v="1447.72"/>
    <n v="1875.75"/>
    <s v="New"/>
    <n v="0.13"/>
    <x v="0"/>
    <x v="1"/>
    <s v="East"/>
    <s v="David"/>
    <s v="East|David"/>
  </r>
  <r>
    <n v="1009"/>
    <d v="2023-08-17T00:00:00"/>
    <s v="Bob"/>
    <s v="West"/>
    <n v="8912.4"/>
    <n v="33"/>
    <s v="Clothing"/>
    <n v="450.72"/>
    <n v="918.17"/>
    <s v="Returning"/>
    <n v="0.11"/>
    <x v="0"/>
    <x v="0"/>
    <s v="West"/>
    <s v="Bob"/>
    <s v="West|Bob"/>
  </r>
  <r>
    <n v="1088"/>
    <d v="2023-09-27T00:00:00"/>
    <s v="Eve"/>
    <s v="North"/>
    <n v="7106.44"/>
    <n v="12"/>
    <s v="Clothing"/>
    <n v="4389.24"/>
    <n v="4856.2199999999903"/>
    <s v="Returning"/>
    <n v="0.15"/>
    <x v="0"/>
    <x v="1"/>
    <s v="North"/>
    <s v="Eve"/>
    <s v="North|Eve"/>
  </r>
  <r>
    <n v="1001"/>
    <d v="2023-11-12T00:00:00"/>
    <s v="Alice"/>
    <s v="North"/>
    <n v="715.81"/>
    <n v="8"/>
    <s v="Electronics"/>
    <n v="3657.91"/>
    <n v="3729.27"/>
    <s v="New"/>
    <n v="0.09"/>
    <x v="1"/>
    <x v="1"/>
    <s v="North"/>
    <s v="Alice"/>
    <s v="North|Alice"/>
  </r>
  <r>
    <n v="1008"/>
    <d v="2023-10-13T00:00:00"/>
    <s v="Eve"/>
    <s v="West"/>
    <n v="1558.3"/>
    <n v="24"/>
    <s v="Electronics"/>
    <n v="1542.24"/>
    <n v="1739.45"/>
    <s v="Returning"/>
    <n v="0.21"/>
    <x v="1"/>
    <x v="1"/>
    <s v="West"/>
    <s v="Eve"/>
    <s v="West|Eve"/>
  </r>
  <r>
    <n v="1088"/>
    <d v="2023-10-18T00:00:00"/>
    <s v="Eve"/>
    <s v="West"/>
    <n v="177.63"/>
    <n v="16"/>
    <s v="Furniture"/>
    <n v="3016.9"/>
    <n v="3040.73"/>
    <s v="New"/>
    <n v="0.26"/>
    <x v="1"/>
    <x v="1"/>
    <s v="West"/>
    <s v="Eve"/>
    <s v="West|Eve"/>
  </r>
  <r>
    <n v="1063"/>
    <d v="2023-08-01T00:00:00"/>
    <s v="Bob"/>
    <s v="South"/>
    <n v="6346.13"/>
    <n v="4"/>
    <s v="Electronics"/>
    <n v="1046.26"/>
    <n v="1475.29"/>
    <s v="Returning"/>
    <n v="0.09"/>
    <x v="1"/>
    <x v="1"/>
    <s v="South"/>
    <s v="Bob"/>
    <s v="South|Bob"/>
  </r>
  <r>
    <n v="1011"/>
    <d v="2023-06-14T00:00:00"/>
    <s v="Alice"/>
    <s v="South"/>
    <n v="4531.97"/>
    <n v="38"/>
    <s v="Furniture"/>
    <n v="4456.67"/>
    <n v="4642.46"/>
    <s v="New"/>
    <n v="0.06"/>
    <x v="1"/>
    <x v="0"/>
    <s v="South"/>
    <s v="Alice"/>
    <s v="South|Alice"/>
  </r>
  <r>
    <n v="1081"/>
    <d v="2023-01-05T00:00:00"/>
    <s v="Bob"/>
    <s v="South"/>
    <n v="1429.32"/>
    <n v="44"/>
    <s v="Food"/>
    <n v="618.79"/>
    <n v="938.04"/>
    <s v="Returning"/>
    <n v="0.03"/>
    <x v="0"/>
    <x v="0"/>
    <s v="South"/>
    <s v="Bob"/>
    <s v="South|Bob"/>
  </r>
  <r>
    <n v="1008"/>
    <d v="2023-12-05T00:00:00"/>
    <s v="Charlie"/>
    <s v="East"/>
    <n v="9583.5499999999993"/>
    <n v="27"/>
    <s v="Electronics"/>
    <n v="68.989999999999995"/>
    <n v="429.29"/>
    <s v="Returning"/>
    <n v="0.18"/>
    <x v="2"/>
    <x v="1"/>
    <s v="East"/>
    <s v="Charlie"/>
    <s v="East|Charlie"/>
  </r>
  <r>
    <n v="1035"/>
    <d v="2023-03-19T00:00:00"/>
    <s v="Bob"/>
    <s v="South"/>
    <n v="5343.63"/>
    <n v="9"/>
    <s v="Clothing"/>
    <n v="2534.94"/>
    <n v="2755.56"/>
    <s v="Returning"/>
    <n v="0.13"/>
    <x v="2"/>
    <x v="1"/>
    <s v="South"/>
    <s v="Bob"/>
    <s v="South|Bob"/>
  </r>
  <r>
    <n v="1035"/>
    <d v="2023-03-03T00:00:00"/>
    <s v="Bob"/>
    <s v="West"/>
    <n v="2494.7399999999998"/>
    <n v="47"/>
    <s v="Electronics"/>
    <n v="2936.48"/>
    <n v="3096.64"/>
    <s v="New"/>
    <n v="0.06"/>
    <x v="1"/>
    <x v="0"/>
    <s v="West"/>
    <s v="Bob"/>
    <s v="West|Bob"/>
  </r>
  <r>
    <n v="1033"/>
    <d v="2023-05-12T00:00:00"/>
    <s v="Bob"/>
    <s v="North"/>
    <n v="5055.9799999999996"/>
    <n v="16"/>
    <s v="Furniture"/>
    <n v="2915.88"/>
    <n v="3397.36"/>
    <s v="New"/>
    <n v="0.2"/>
    <x v="1"/>
    <x v="1"/>
    <s v="North"/>
    <s v="Bob"/>
    <s v="North|Bob"/>
  </r>
  <r>
    <n v="1005"/>
    <d v="2023-03-30T00:00:00"/>
    <s v="Alice"/>
    <s v="East"/>
    <n v="6828.24"/>
    <n v="12"/>
    <s v="Electronics"/>
    <n v="319.83"/>
    <n v="802.43"/>
    <s v="New"/>
    <n v="0.04"/>
    <x v="2"/>
    <x v="1"/>
    <s v="East"/>
    <s v="Alice"/>
    <s v="East|Alice"/>
  </r>
  <r>
    <n v="1041"/>
    <d v="2023-08-25T00:00:00"/>
    <s v="Bob"/>
    <s v="South"/>
    <n v="854.77"/>
    <n v="31"/>
    <s v="Food"/>
    <n v="1604.52"/>
    <n v="1756.34"/>
    <s v="Returning"/>
    <n v="0.17"/>
    <x v="0"/>
    <x v="1"/>
    <s v="South"/>
    <s v="Bob"/>
    <s v="South|Bob"/>
  </r>
  <r>
    <n v="1028"/>
    <d v="2023-02-11T00:00:00"/>
    <s v="Alice"/>
    <s v="East"/>
    <n v="2819.57"/>
    <n v="24"/>
    <s v="Clothing"/>
    <n v="2521.0300000000002"/>
    <n v="2766.05"/>
    <s v="Returning"/>
    <n v="0.16"/>
    <x v="1"/>
    <x v="1"/>
    <s v="East"/>
    <s v="Alice"/>
    <s v="East|Alice"/>
  </r>
  <r>
    <n v="1007"/>
    <d v="2023-03-30T00:00:00"/>
    <s v="David"/>
    <s v="East"/>
    <n v="8088.96"/>
    <n v="14"/>
    <s v="Furniture"/>
    <n v="1122.07"/>
    <n v="1608.76"/>
    <s v="New"/>
    <n v="0.22"/>
    <x v="0"/>
    <x v="1"/>
    <s v="East"/>
    <s v="David"/>
    <s v="East|David"/>
  </r>
  <r>
    <n v="1073"/>
    <d v="2023-10-23T00:00:00"/>
    <s v="Charlie"/>
    <s v="South"/>
    <n v="4650.68"/>
    <n v="45"/>
    <s v="Clothing"/>
    <n v="4369.5"/>
    <n v="4381.8900000000003"/>
    <s v="Returning"/>
    <n v="0.02"/>
    <x v="2"/>
    <x v="1"/>
    <s v="South"/>
    <s v="Charlie"/>
    <s v="South|Charlie"/>
  </r>
  <r>
    <n v="1072"/>
    <d v="2023-11-24T00:00:00"/>
    <s v="Alice"/>
    <s v="East"/>
    <n v="5511.11"/>
    <n v="25"/>
    <s v="Clothing"/>
    <n v="481.19"/>
    <n v="693.4"/>
    <s v="New"/>
    <n v="0.27"/>
    <x v="2"/>
    <x v="1"/>
    <s v="East"/>
    <s v="Alice"/>
    <s v="East|Alice"/>
  </r>
  <r>
    <n v="1012"/>
    <d v="2023-10-22T00:00:00"/>
    <s v="David"/>
    <s v="North"/>
    <n v="4384.88"/>
    <n v="34"/>
    <s v="Furniture"/>
    <n v="2462.5500000000002"/>
    <n v="2521.77"/>
    <s v="New"/>
    <n v="0.21"/>
    <x v="1"/>
    <x v="1"/>
    <s v="North"/>
    <s v="David"/>
    <s v="North|David"/>
  </r>
  <r>
    <n v="1034"/>
    <d v="2023-04-14T00:00:00"/>
    <s v="Alice"/>
    <s v="West"/>
    <n v="534.61"/>
    <n v="3"/>
    <s v="Clothing"/>
    <n v="3472.51"/>
    <n v="3732"/>
    <s v="New"/>
    <n v="0.06"/>
    <x v="0"/>
    <x v="0"/>
    <s v="West"/>
    <s v="Alice"/>
    <s v="West|Alice"/>
  </r>
  <r>
    <n v="1033"/>
    <d v="2023-01-14T00:00:00"/>
    <s v="Alice"/>
    <s v="West"/>
    <n v="1740.92"/>
    <n v="24"/>
    <s v="Clothing"/>
    <n v="1345.67"/>
    <n v="1367.76"/>
    <s v="New"/>
    <n v="0.06"/>
    <x v="1"/>
    <x v="0"/>
    <s v="West"/>
    <s v="Alice"/>
    <s v="West|Alice"/>
  </r>
  <r>
    <n v="1048"/>
    <d v="2023-10-15T00:00:00"/>
    <s v="Charlie"/>
    <s v="North"/>
    <n v="4510.8599999999997"/>
    <n v="42"/>
    <s v="Electronics"/>
    <n v="3139.99"/>
    <n v="3349.37"/>
    <s v="Returning"/>
    <n v="0.13"/>
    <x v="2"/>
    <x v="1"/>
    <s v="North"/>
    <s v="Charlie"/>
    <s v="North|Charlie"/>
  </r>
  <r>
    <n v="1023"/>
    <d v="2023-06-28T00:00:00"/>
    <s v="Eve"/>
    <s v="East"/>
    <n v="2170.94"/>
    <n v="9"/>
    <s v="Clothing"/>
    <n v="4155.46"/>
    <n v="4273.6000000000004"/>
    <s v="Returning"/>
    <n v="0.25"/>
    <x v="0"/>
    <x v="1"/>
    <s v="East"/>
    <s v="Eve"/>
    <s v="East|Eve"/>
  </r>
  <r>
    <n v="1062"/>
    <d v="2023-05-05T00:00:00"/>
    <s v="Eve"/>
    <s v="South"/>
    <n v="594.79"/>
    <n v="26"/>
    <s v="Clothing"/>
    <n v="992.17"/>
    <n v="1263.49"/>
    <s v="Returning"/>
    <n v="0.25"/>
    <x v="1"/>
    <x v="1"/>
    <s v="South"/>
    <s v="Eve"/>
    <s v="South|Eve"/>
  </r>
  <r>
    <n v="1088"/>
    <d v="2023-12-19T00:00:00"/>
    <s v="Alice"/>
    <s v="East"/>
    <n v="8452.1299999999992"/>
    <n v="20"/>
    <s v="Clothing"/>
    <n v="4590.24"/>
    <n v="5088.28"/>
    <s v="New"/>
    <n v="0.16"/>
    <x v="1"/>
    <x v="1"/>
    <s v="East"/>
    <s v="Alice"/>
    <s v="East|Alice"/>
  </r>
  <r>
    <n v="1037"/>
    <d v="2023-01-23T00:00:00"/>
    <s v="Bob"/>
    <s v="North"/>
    <n v="9813.81"/>
    <n v="40"/>
    <s v="Clothing"/>
    <n v="2790.11"/>
    <n v="3192.37"/>
    <s v="Returning"/>
    <n v="0.26"/>
    <x v="1"/>
    <x v="0"/>
    <s v="North"/>
    <s v="Bob"/>
    <s v="North|Bob"/>
  </r>
  <r>
    <n v="1099"/>
    <d v="2023-03-04T00:00:00"/>
    <s v="David"/>
    <s v="East"/>
    <n v="7952.11"/>
    <n v="10"/>
    <s v="Furniture"/>
    <n v="1531.2"/>
    <n v="1955.56"/>
    <s v="New"/>
    <n v="0"/>
    <x v="2"/>
    <x v="0"/>
    <s v="East"/>
    <s v="David"/>
    <s v="East|David"/>
  </r>
  <r>
    <n v="1044"/>
    <d v="2023-05-23T00:00:00"/>
    <s v="Bob"/>
    <s v="West"/>
    <n v="8552.4699999999993"/>
    <n v="19"/>
    <s v="Food"/>
    <n v="2182.75"/>
    <n v="2504.0299999999902"/>
    <s v="New"/>
    <n v="0.01"/>
    <x v="1"/>
    <x v="0"/>
    <s v="West"/>
    <s v="Bob"/>
    <s v="West|Bob"/>
  </r>
  <r>
    <n v="1086"/>
    <d v="2023-06-02T00:00:00"/>
    <s v="Bob"/>
    <s v="East"/>
    <n v="2495.5700000000002"/>
    <n v="3"/>
    <s v="Electronics"/>
    <n v="1595.35"/>
    <n v="1625.70999999999"/>
    <s v="New"/>
    <n v="0.27"/>
    <x v="0"/>
    <x v="0"/>
    <s v="East"/>
    <s v="Bob"/>
    <s v="East|Bob"/>
  </r>
  <r>
    <n v="1091"/>
    <d v="2023-05-25T00:00:00"/>
    <s v="Alice"/>
    <s v="North"/>
    <n v="9610.2099999999991"/>
    <n v="24"/>
    <s v="Clothing"/>
    <n v="3639.3"/>
    <n v="3750.63"/>
    <s v="New"/>
    <n v="0.23"/>
    <x v="1"/>
    <x v="1"/>
    <s v="North"/>
    <s v="Alice"/>
    <s v="North|Alice"/>
  </r>
  <r>
    <n v="1035"/>
    <d v="2023-08-13T00:00:00"/>
    <s v="Alice"/>
    <s v="West"/>
    <n v="2049.56"/>
    <n v="5"/>
    <s v="Clothing"/>
    <n v="3991.69"/>
    <n v="4454.97"/>
    <s v="New"/>
    <n v="0.14000000000000001"/>
    <x v="2"/>
    <x v="1"/>
    <s v="West"/>
    <s v="Alice"/>
    <s v="West|Alice"/>
  </r>
  <r>
    <n v="1065"/>
    <d v="2023-11-05T00:00:00"/>
    <s v="Alice"/>
    <s v="East"/>
    <n v="9519.16"/>
    <n v="3"/>
    <s v="Furniture"/>
    <n v="4173.04"/>
    <n v="4362.4399999999996"/>
    <s v="New"/>
    <n v="0.23"/>
    <x v="1"/>
    <x v="1"/>
    <s v="East"/>
    <s v="Alice"/>
    <s v="East|Alice"/>
  </r>
  <r>
    <n v="1099"/>
    <d v="2023-04-14T00:00:00"/>
    <s v="Alice"/>
    <s v="East"/>
    <n v="9948.7099999999991"/>
    <n v="27"/>
    <s v="Food"/>
    <n v="4929.55"/>
    <n v="4990.33"/>
    <s v="Returning"/>
    <n v="0.28999999999999998"/>
    <x v="2"/>
    <x v="0"/>
    <s v="East"/>
    <s v="Alice"/>
    <s v="East|Alice"/>
  </r>
  <r>
    <n v="1047"/>
    <d v="2023-04-14T00:00:00"/>
    <s v="Eve"/>
    <s v="West"/>
    <n v="7146.06"/>
    <n v="16"/>
    <s v="Clothing"/>
    <n v="3966.86"/>
    <n v="4321.04"/>
    <s v="Returning"/>
    <n v="0.23"/>
    <x v="2"/>
    <x v="1"/>
    <s v="West"/>
    <s v="Eve"/>
    <s v="West|Eve"/>
  </r>
  <r>
    <n v="1078"/>
    <d v="2023-02-08T00:00:00"/>
    <s v="Alice"/>
    <s v="South"/>
    <n v="9813.32"/>
    <n v="49"/>
    <s v="Furniture"/>
    <n v="3026.85"/>
    <n v="3183.58"/>
    <s v="Returning"/>
    <n v="0.25"/>
    <x v="0"/>
    <x v="1"/>
    <s v="South"/>
    <s v="Alice"/>
    <s v="South|Alice"/>
  </r>
  <r>
    <n v="1003"/>
    <d v="2023-07-17T00:00:00"/>
    <s v="Eve"/>
    <s v="West"/>
    <n v="5738.44"/>
    <n v="15"/>
    <s v="Electronics"/>
    <n v="1729.14"/>
    <n v="1870.88"/>
    <s v="Returning"/>
    <n v="0.23"/>
    <x v="0"/>
    <x v="0"/>
    <s v="West"/>
    <s v="Eve"/>
    <s v="West|Eve"/>
  </r>
  <r>
    <n v="1001"/>
    <d v="2023-05-14T00:00:00"/>
    <s v="Eve"/>
    <s v="South"/>
    <n v="2669.46"/>
    <n v="35"/>
    <s v="Electronics"/>
    <n v="2745.75"/>
    <n v="3244.76"/>
    <s v="New"/>
    <n v="0.05"/>
    <x v="1"/>
    <x v="0"/>
    <s v="South"/>
    <s v="Eve"/>
    <s v="South|Eve"/>
  </r>
  <r>
    <n v="1005"/>
    <d v="2023-03-08T00:00:00"/>
    <s v="Alice"/>
    <s v="North"/>
    <n v="4426.26"/>
    <n v="12"/>
    <s v="Clothing"/>
    <n v="253.29"/>
    <n v="683.78"/>
    <s v="New"/>
    <n v="0.25"/>
    <x v="2"/>
    <x v="0"/>
    <s v="North"/>
    <s v="Alice"/>
    <s v="North|Alice"/>
  </r>
  <r>
    <n v="1090"/>
    <d v="2023-06-28T00:00:00"/>
    <s v="Charlie"/>
    <s v="North"/>
    <n v="5976.25"/>
    <n v="41"/>
    <s v="Clothing"/>
    <n v="3736.88"/>
    <n v="3946.77"/>
    <s v="Returning"/>
    <n v="0.06"/>
    <x v="2"/>
    <x v="0"/>
    <s v="North"/>
    <s v="Charlie"/>
    <s v="North|Charlie"/>
  </r>
  <r>
    <n v="1014"/>
    <d v="2023-02-11T00:00:00"/>
    <s v="David"/>
    <s v="West"/>
    <n v="823.51"/>
    <n v="44"/>
    <s v="Food"/>
    <n v="2257.48"/>
    <n v="2747.81"/>
    <s v="Returning"/>
    <n v="0.27"/>
    <x v="0"/>
    <x v="0"/>
    <s v="West"/>
    <s v="David"/>
    <s v="West|David"/>
  </r>
  <r>
    <n v="1027"/>
    <d v="2023-01-15T00:00:00"/>
    <s v="Bob"/>
    <s v="West"/>
    <n v="6261.2"/>
    <n v="26"/>
    <s v="Food"/>
    <n v="149.11000000000001"/>
    <n v="477.67"/>
    <s v="Returning"/>
    <n v="0.14000000000000001"/>
    <x v="0"/>
    <x v="1"/>
    <s v="West"/>
    <s v="Bob"/>
    <s v="West|Bob"/>
  </r>
  <r>
    <n v="1009"/>
    <d v="2023-04-21T00:00:00"/>
    <s v="Eve"/>
    <s v="North"/>
    <n v="9813.66"/>
    <n v="47"/>
    <s v="Clothing"/>
    <n v="359.41"/>
    <n v="733"/>
    <s v="Returning"/>
    <n v="0.2"/>
    <x v="1"/>
    <x v="1"/>
    <s v="North"/>
    <s v="Eve"/>
    <s v="North|Eve"/>
  </r>
  <r>
    <n v="1079"/>
    <d v="2023-06-06T00:00:00"/>
    <s v="David"/>
    <s v="South"/>
    <n v="1982.07"/>
    <n v="34"/>
    <s v="Furniture"/>
    <n v="1967.96"/>
    <n v="1993.4"/>
    <s v="Returning"/>
    <n v="0.15"/>
    <x v="2"/>
    <x v="0"/>
    <s v="South"/>
    <s v="David"/>
    <s v="South|David"/>
  </r>
  <r>
    <n v="1015"/>
    <d v="2023-10-16T00:00:00"/>
    <s v="Charlie"/>
    <s v="North"/>
    <n v="7946.69"/>
    <n v="23"/>
    <s v="Food"/>
    <n v="2937.94"/>
    <n v="3007.53"/>
    <s v="Returning"/>
    <n v="0.03"/>
    <x v="0"/>
    <x v="1"/>
    <s v="North"/>
    <s v="Charlie"/>
    <s v="North|Charlie"/>
  </r>
  <r>
    <n v="1090"/>
    <d v="2023-08-19T00:00:00"/>
    <s v="Bob"/>
    <s v="West"/>
    <n v="9088.2000000000007"/>
    <n v="31"/>
    <s v="Clothing"/>
    <n v="2347.81"/>
    <n v="2668.02"/>
    <s v="Returning"/>
    <n v="0.09"/>
    <x v="1"/>
    <x v="1"/>
    <s v="West"/>
    <s v="Bob"/>
    <s v="West|Bob"/>
  </r>
  <r>
    <n v="1042"/>
    <d v="2023-06-06T00:00:00"/>
    <s v="Bob"/>
    <s v="North"/>
    <n v="9442.65"/>
    <n v="20"/>
    <s v="Food"/>
    <n v="3115.06"/>
    <n v="3565.58"/>
    <s v="Returning"/>
    <n v="0.3"/>
    <x v="2"/>
    <x v="1"/>
    <s v="North"/>
    <s v="Bob"/>
    <s v="North|Bob"/>
  </r>
  <r>
    <n v="1077"/>
    <d v="2023-02-07T00:00:00"/>
    <s v="Eve"/>
    <s v="West"/>
    <n v="9605.34"/>
    <n v="12"/>
    <s v="Clothing"/>
    <n v="2427.46"/>
    <n v="2743.09"/>
    <s v="New"/>
    <n v="0.28999999999999998"/>
    <x v="2"/>
    <x v="1"/>
    <s v="West"/>
    <s v="Eve"/>
    <s v="West|Eve"/>
  </r>
  <r>
    <n v="1051"/>
    <d v="2023-04-07T00:00:00"/>
    <s v="Alice"/>
    <s v="West"/>
    <n v="5262.45"/>
    <n v="23"/>
    <s v="Electronics"/>
    <n v="3325.43"/>
    <n v="3401.1"/>
    <s v="New"/>
    <n v="0.1"/>
    <x v="0"/>
    <x v="0"/>
    <s v="West"/>
    <s v="Alice"/>
    <s v="West|Alice"/>
  </r>
  <r>
    <n v="1063"/>
    <d v="2023-10-16T00:00:00"/>
    <s v="Charlie"/>
    <s v="North"/>
    <n v="9775.35"/>
    <n v="4"/>
    <s v="Clothing"/>
    <n v="1134.67"/>
    <n v="1201.3900000000001"/>
    <s v="New"/>
    <n v="0.3"/>
    <x v="1"/>
    <x v="1"/>
    <s v="North"/>
    <s v="Charlie"/>
    <s v="North|Charlie"/>
  </r>
  <r>
    <n v="1096"/>
    <d v="2023-09-11T00:00:00"/>
    <s v="Eve"/>
    <s v="South"/>
    <n v="7597.37"/>
    <n v="23"/>
    <s v="Electronics"/>
    <n v="608.57000000000005"/>
    <n v="1032.22"/>
    <s v="New"/>
    <n v="0.25"/>
    <x v="0"/>
    <x v="1"/>
    <s v="South"/>
    <s v="Eve"/>
    <s v="South|Eve"/>
  </r>
  <r>
    <n v="1052"/>
    <d v="2023-07-15T00:00:00"/>
    <s v="Charlie"/>
    <s v="East"/>
    <n v="1700.55"/>
    <n v="48"/>
    <s v="Food"/>
    <n v="3002.35"/>
    <n v="3080.61"/>
    <s v="Returning"/>
    <n v="0.18"/>
    <x v="1"/>
    <x v="1"/>
    <s v="East"/>
    <s v="Charlie"/>
    <s v="East|Charlie"/>
  </r>
  <r>
    <n v="1096"/>
    <d v="2023-03-27T00:00:00"/>
    <s v="Alice"/>
    <s v="North"/>
    <n v="4821.3100000000004"/>
    <n v="48"/>
    <s v="Clothing"/>
    <n v="2449.21"/>
    <n v="2714.12"/>
    <s v="New"/>
    <n v="0.01"/>
    <x v="2"/>
    <x v="0"/>
    <s v="North"/>
    <s v="Alice"/>
    <s v="North|Alice"/>
  </r>
  <r>
    <n v="1004"/>
    <d v="2023-11-18T00:00:00"/>
    <s v="Alice"/>
    <s v="East"/>
    <n v="7211.48"/>
    <n v="1"/>
    <s v="Food"/>
    <n v="182.99"/>
    <n v="211.18"/>
    <s v="Returning"/>
    <n v="0.27"/>
    <x v="1"/>
    <x v="1"/>
    <s v="East"/>
    <s v="Alice"/>
    <s v="East|Alice"/>
  </r>
  <r>
    <n v="1094"/>
    <d v="2023-01-10T00:00:00"/>
    <s v="Eve"/>
    <s v="North"/>
    <n v="2548.67"/>
    <n v="25"/>
    <s v="Electronics"/>
    <n v="1933.39"/>
    <n v="1982.92"/>
    <s v="New"/>
    <n v="0.17"/>
    <x v="1"/>
    <x v="0"/>
    <s v="North"/>
    <s v="Eve"/>
    <s v="North|Eve"/>
  </r>
  <r>
    <n v="1023"/>
    <d v="2023-01-05T00:00:00"/>
    <s v="Alice"/>
    <s v="East"/>
    <n v="6442.09"/>
    <n v="2"/>
    <s v="Clothing"/>
    <n v="575.32000000000005"/>
    <n v="914.77"/>
    <s v="Returning"/>
    <n v="0.26"/>
    <x v="1"/>
    <x v="0"/>
    <s v="East"/>
    <s v="Alice"/>
    <s v="East|Alice"/>
  </r>
  <r>
    <n v="1015"/>
    <d v="2023-05-03T00:00:00"/>
    <s v="David"/>
    <s v="South"/>
    <n v="6699.34"/>
    <n v="30"/>
    <s v="Food"/>
    <n v="2680.22"/>
    <n v="3027.9199999999901"/>
    <s v="Returning"/>
    <n v="0.25"/>
    <x v="1"/>
    <x v="0"/>
    <s v="South"/>
    <s v="David"/>
    <s v="South|David"/>
  </r>
  <r>
    <n v="1043"/>
    <d v="2023-11-26T00:00:00"/>
    <s v="Bob"/>
    <s v="South"/>
    <n v="1710.73"/>
    <n v="3"/>
    <s v="Electronics"/>
    <n v="2009.1"/>
    <n v="2186.42"/>
    <s v="New"/>
    <n v="0.25"/>
    <x v="1"/>
    <x v="0"/>
    <s v="South"/>
    <s v="Bob"/>
    <s v="South|Bob"/>
  </r>
  <r>
    <n v="1029"/>
    <d v="2023-12-19T00:00:00"/>
    <s v="Eve"/>
    <s v="North"/>
    <n v="5694.34"/>
    <n v="21"/>
    <s v="Food"/>
    <n v="3085.1"/>
    <n v="3200.75"/>
    <s v="New"/>
    <n v="0.21"/>
    <x v="0"/>
    <x v="1"/>
    <s v="North"/>
    <s v="Eve"/>
    <s v="North|Eve"/>
  </r>
  <r>
    <n v="1036"/>
    <d v="2023-04-28T00:00:00"/>
    <s v="Charlie"/>
    <s v="West"/>
    <n v="7739.11"/>
    <n v="25"/>
    <s v="Furniture"/>
    <n v="4037.73"/>
    <n v="4446.45"/>
    <s v="Returning"/>
    <n v="0.09"/>
    <x v="1"/>
    <x v="0"/>
    <s v="West"/>
    <s v="Charlie"/>
    <s v="West|Charlie"/>
  </r>
  <r>
    <n v="1013"/>
    <d v="2023-10-21T00:00:00"/>
    <s v="David"/>
    <s v="East"/>
    <n v="5039.07"/>
    <n v="20"/>
    <s v="Electronics"/>
    <n v="1533.36"/>
    <n v="1649.73999999999"/>
    <s v="Returning"/>
    <n v="0.1"/>
    <x v="1"/>
    <x v="0"/>
    <s v="East"/>
    <s v="David"/>
    <s v="East|David"/>
  </r>
  <r>
    <n v="1032"/>
    <d v="2023-06-08T00:00:00"/>
    <s v="Eve"/>
    <s v="West"/>
    <n v="219.82"/>
    <n v="49"/>
    <s v="Electronics"/>
    <n v="4812.41"/>
    <n v="5088"/>
    <s v="Returning"/>
    <n v="0.09"/>
    <x v="2"/>
    <x v="0"/>
    <s v="West"/>
    <s v="Eve"/>
    <s v="West|Eve"/>
  </r>
  <r>
    <n v="1071"/>
    <d v="2023-10-30T00:00:00"/>
    <s v="Alice"/>
    <s v="West"/>
    <n v="189.48"/>
    <n v="22"/>
    <s v="Electronics"/>
    <n v="2701.39"/>
    <n v="3185.81"/>
    <s v="New"/>
    <n v="0.01"/>
    <x v="1"/>
    <x v="0"/>
    <s v="West"/>
    <s v="Alice"/>
    <s v="West|Alice"/>
  </r>
  <r>
    <n v="1059"/>
    <d v="2023-08-16T00:00:00"/>
    <s v="Alice"/>
    <s v="West"/>
    <n v="3634.59"/>
    <n v="21"/>
    <s v="Clothing"/>
    <n v="3110.54"/>
    <n v="3192.99"/>
    <s v="New"/>
    <n v="0.17"/>
    <x v="2"/>
    <x v="0"/>
    <s v="West"/>
    <s v="Alice"/>
    <s v="West|Alice"/>
  </r>
  <r>
    <n v="1086"/>
    <d v="2023-12-31T00:00:00"/>
    <s v="Alice"/>
    <s v="South"/>
    <n v="9269.32"/>
    <n v="33"/>
    <s v="Clothing"/>
    <n v="3419.33"/>
    <n v="3890.3599999999901"/>
    <s v="Returning"/>
    <n v="0.21"/>
    <x v="0"/>
    <x v="1"/>
    <s v="South"/>
    <s v="Alice"/>
    <s v="South|Alice"/>
  </r>
  <r>
    <n v="1028"/>
    <d v="2023-08-04T00:00:00"/>
    <s v="Alice"/>
    <s v="North"/>
    <n v="2363.9"/>
    <n v="38"/>
    <s v="Clothing"/>
    <n v="3350.32"/>
    <n v="3449.94"/>
    <s v="New"/>
    <n v="0.26"/>
    <x v="0"/>
    <x v="0"/>
    <s v="North"/>
    <s v="Alice"/>
    <s v="North|Alice"/>
  </r>
  <r>
    <n v="1066"/>
    <d v="2023-07-03T00:00:00"/>
    <s v="Charlie"/>
    <s v="North"/>
    <n v="6380.2"/>
    <n v="15"/>
    <s v="Furniture"/>
    <n v="2579.31"/>
    <n v="2867.36"/>
    <s v="Returning"/>
    <n v="0.04"/>
    <x v="1"/>
    <x v="1"/>
    <s v="North"/>
    <s v="Charlie"/>
    <s v="North|Charlie"/>
  </r>
  <r>
    <n v="1042"/>
    <d v="2023-01-15T00:00:00"/>
    <s v="David"/>
    <s v="South"/>
    <n v="2298.5500000000002"/>
    <n v="46"/>
    <s v="Furniture"/>
    <n v="2172.38"/>
    <n v="2367.11"/>
    <s v="New"/>
    <n v="0.16"/>
    <x v="0"/>
    <x v="1"/>
    <s v="South"/>
    <s v="David"/>
    <s v="South|David"/>
  </r>
  <r>
    <n v="1045"/>
    <d v="2023-06-06T00:00:00"/>
    <s v="Bob"/>
    <s v="South"/>
    <n v="3284.53"/>
    <n v="15"/>
    <s v="Electronics"/>
    <n v="316.22000000000003"/>
    <n v="799.04"/>
    <s v="New"/>
    <n v="0"/>
    <x v="1"/>
    <x v="0"/>
    <s v="South"/>
    <s v="Bob"/>
    <s v="South|Bob"/>
  </r>
  <r>
    <n v="1062"/>
    <d v="2023-05-16T00:00:00"/>
    <s v="Charlie"/>
    <s v="North"/>
    <n v="8495.6200000000008"/>
    <n v="46"/>
    <s v="Furniture"/>
    <n v="159.32"/>
    <n v="303.36"/>
    <s v="New"/>
    <n v="0.03"/>
    <x v="0"/>
    <x v="1"/>
    <s v="North"/>
    <s v="Charlie"/>
    <s v="North|Charlie"/>
  </r>
  <r>
    <n v="1057"/>
    <d v="2023-09-18T00:00:00"/>
    <s v="Charlie"/>
    <s v="West"/>
    <n v="7315.73"/>
    <n v="25"/>
    <s v="Food"/>
    <n v="1821.91"/>
    <n v="2027.74"/>
    <s v="New"/>
    <n v="0.02"/>
    <x v="1"/>
    <x v="1"/>
    <s v="West"/>
    <s v="Charlie"/>
    <s v="West|Charlie"/>
  </r>
  <r>
    <n v="1006"/>
    <d v="2023-06-06T00:00:00"/>
    <s v="Bob"/>
    <s v="East"/>
    <n v="1044.45"/>
    <n v="21"/>
    <s v="Electronics"/>
    <n v="1701.62"/>
    <n v="2193.2199999999998"/>
    <s v="New"/>
    <n v="0.22"/>
    <x v="1"/>
    <x v="1"/>
    <s v="East"/>
    <s v="Bob"/>
    <s v="East|Bob"/>
  </r>
  <r>
    <n v="1028"/>
    <d v="2023-02-16T00:00:00"/>
    <s v="Bob"/>
    <s v="East"/>
    <n v="4344.1499999999996"/>
    <n v="24"/>
    <s v="Electronics"/>
    <n v="1969.09"/>
    <n v="2241.96"/>
    <s v="Returning"/>
    <n v="0.02"/>
    <x v="2"/>
    <x v="0"/>
    <s v="East"/>
    <s v="Bob"/>
    <s v="East|Bob"/>
  </r>
  <r>
    <n v="1028"/>
    <d v="2023-11-20T00:00:00"/>
    <s v="Alice"/>
    <s v="East"/>
    <n v="388.78"/>
    <n v="5"/>
    <s v="Food"/>
    <n v="734.92"/>
    <n v="991.21"/>
    <s v="Returning"/>
    <n v="0.21"/>
    <x v="2"/>
    <x v="0"/>
    <s v="East"/>
    <s v="Alice"/>
    <s v="East|Alice"/>
  </r>
  <r>
    <n v="1044"/>
    <d v="2023-11-28T00:00:00"/>
    <s v="Charlie"/>
    <s v="West"/>
    <n v="4860.8100000000004"/>
    <n v="6"/>
    <s v="Electronics"/>
    <n v="3703.93"/>
    <n v="3840.24"/>
    <s v="New"/>
    <n v="7.0000000000000007E-2"/>
    <x v="2"/>
    <x v="0"/>
    <s v="West"/>
    <s v="Charlie"/>
    <s v="West|Charlie"/>
  </r>
  <r>
    <n v="1084"/>
    <d v="2023-06-22T00:00:00"/>
    <s v="Eve"/>
    <s v="North"/>
    <n v="6658.1"/>
    <n v="49"/>
    <s v="Furniture"/>
    <n v="4291.97"/>
    <n v="4645.6400000000003"/>
    <s v="Returning"/>
    <n v="0.26"/>
    <x v="2"/>
    <x v="0"/>
    <s v="North"/>
    <s v="Eve"/>
    <s v="North|Eve"/>
  </r>
  <r>
    <n v="1030"/>
    <d v="2023-05-10T00:00:00"/>
    <s v="Bob"/>
    <s v="South"/>
    <n v="1273.18"/>
    <n v="43"/>
    <s v="Clothing"/>
    <n v="4696.6400000000003"/>
    <n v="4713.68"/>
    <s v="Returning"/>
    <n v="0.24"/>
    <x v="1"/>
    <x v="0"/>
    <s v="South"/>
    <s v="Bob"/>
    <s v="South|Bob"/>
  </r>
  <r>
    <n v="1062"/>
    <d v="2023-04-05T00:00:00"/>
    <s v="Bob"/>
    <s v="North"/>
    <n v="2959.96"/>
    <n v="48"/>
    <s v="Food"/>
    <n v="2487.19"/>
    <n v="2521.4499999999998"/>
    <s v="New"/>
    <n v="0.28999999999999998"/>
    <x v="0"/>
    <x v="0"/>
    <s v="North"/>
    <s v="Bob"/>
    <s v="North|Bob"/>
  </r>
  <r>
    <n v="1075"/>
    <d v="2023-04-25T00:00:00"/>
    <s v="David"/>
    <s v="West"/>
    <n v="4038.58"/>
    <n v="44"/>
    <s v="Furniture"/>
    <n v="3519.29"/>
    <n v="3822.98"/>
    <s v="Returning"/>
    <n v="0.27"/>
    <x v="1"/>
    <x v="0"/>
    <s v="West"/>
    <s v="David"/>
    <s v="West|David"/>
  </r>
  <r>
    <n v="1092"/>
    <d v="2023-08-31T00:00:00"/>
    <s v="Eve"/>
    <s v="South"/>
    <n v="9203.36"/>
    <n v="47"/>
    <s v="Food"/>
    <n v="4284.9799999999996"/>
    <n v="4462.3999999999996"/>
    <s v="New"/>
    <n v="0.28000000000000003"/>
    <x v="2"/>
    <x v="1"/>
    <s v="South"/>
    <s v="Eve"/>
    <s v="South|Eve"/>
  </r>
  <r>
    <n v="1089"/>
    <d v="2023-10-19T00:00:00"/>
    <s v="Eve"/>
    <s v="West"/>
    <n v="9933.2199999999993"/>
    <n v="23"/>
    <s v="Food"/>
    <n v="2120.54"/>
    <n v="2597.67"/>
    <s v="Returning"/>
    <n v="0.26"/>
    <x v="2"/>
    <x v="1"/>
    <s v="West"/>
    <s v="Eve"/>
    <s v="West|Eve"/>
  </r>
  <r>
    <n v="1062"/>
    <d v="2023-10-09T00:00:00"/>
    <s v="Bob"/>
    <s v="East"/>
    <n v="544.62"/>
    <n v="4"/>
    <s v="Electronics"/>
    <n v="1581.59"/>
    <n v="2034.1499999999901"/>
    <s v="Returning"/>
    <n v="0.21"/>
    <x v="0"/>
    <x v="0"/>
    <s v="East"/>
    <s v="Bob"/>
    <s v="East|Bob"/>
  </r>
  <r>
    <n v="1097"/>
    <d v="2023-10-26T00:00:00"/>
    <s v="Alice"/>
    <s v="East"/>
    <n v="7633.98"/>
    <n v="27"/>
    <s v="Electronics"/>
    <n v="4686.79"/>
    <n v="5046.51"/>
    <s v="Returning"/>
    <n v="0.05"/>
    <x v="2"/>
    <x v="1"/>
    <s v="East"/>
    <s v="Alice"/>
    <s v="East|Alice"/>
  </r>
  <r>
    <n v="1001"/>
    <d v="2023-10-10T00:00:00"/>
    <s v="David"/>
    <s v="West"/>
    <n v="3780.07"/>
    <n v="18"/>
    <s v="Furniture"/>
    <n v="2602.6"/>
    <n v="3013.49"/>
    <s v="Returning"/>
    <n v="0.08"/>
    <x v="1"/>
    <x v="0"/>
    <s v="West"/>
    <s v="David"/>
    <s v="West|David"/>
  </r>
  <r>
    <n v="1027"/>
    <d v="2023-03-10T00:00:00"/>
    <s v="Eve"/>
    <s v="South"/>
    <n v="3985.34"/>
    <n v="21"/>
    <s v="Food"/>
    <n v="2511.41"/>
    <n v="2848.3999999999901"/>
    <s v="Returning"/>
    <n v="0.06"/>
    <x v="1"/>
    <x v="0"/>
    <s v="South"/>
    <s v="Eve"/>
    <s v="South|Eve"/>
  </r>
  <r>
    <n v="1062"/>
    <d v="2023-05-28T00:00:00"/>
    <s v="Bob"/>
    <s v="South"/>
    <n v="7567.22"/>
    <n v="28"/>
    <s v="Electronics"/>
    <n v="933.16"/>
    <n v="1004.69999999999"/>
    <s v="Returning"/>
    <n v="0.18"/>
    <x v="1"/>
    <x v="0"/>
    <s v="South"/>
    <s v="Bob"/>
    <s v="South|Bob"/>
  </r>
  <r>
    <n v="1077"/>
    <d v="2023-01-11T00:00:00"/>
    <s v="Eve"/>
    <s v="North"/>
    <n v="9192.42"/>
    <n v="35"/>
    <s v="Electronics"/>
    <n v="585.37"/>
    <n v="970.49"/>
    <s v="Returning"/>
    <n v="0.15"/>
    <x v="1"/>
    <x v="1"/>
    <s v="North"/>
    <s v="Eve"/>
    <s v="North|Eve"/>
  </r>
  <r>
    <n v="1003"/>
    <d v="2023-09-11T00:00:00"/>
    <s v="David"/>
    <s v="East"/>
    <n v="9514.19"/>
    <n v="22"/>
    <s v="Food"/>
    <n v="4218.43"/>
    <n v="4331.42"/>
    <s v="New"/>
    <n v="0.26"/>
    <x v="1"/>
    <x v="0"/>
    <s v="East"/>
    <s v="David"/>
    <s v="East|David"/>
  </r>
  <r>
    <n v="1070"/>
    <d v="2023-11-26T00:00:00"/>
    <s v="David"/>
    <s v="North"/>
    <n v="5813.51"/>
    <n v="40"/>
    <s v="Furniture"/>
    <n v="3089.96"/>
    <n v="3258.45"/>
    <s v="New"/>
    <n v="0.28999999999999998"/>
    <x v="0"/>
    <x v="0"/>
    <s v="North"/>
    <s v="David"/>
    <s v="North|David"/>
  </r>
  <r>
    <n v="1072"/>
    <d v="2023-12-26T00:00:00"/>
    <s v="Charlie"/>
    <s v="North"/>
    <n v="3635.5"/>
    <n v="23"/>
    <s v="Furniture"/>
    <n v="1662.83"/>
    <n v="2074.25"/>
    <s v="New"/>
    <n v="0.12"/>
    <x v="1"/>
    <x v="0"/>
    <s v="North"/>
    <s v="Charlie"/>
    <s v="North|Charlie"/>
  </r>
  <r>
    <n v="1027"/>
    <d v="2023-02-07T00:00:00"/>
    <s v="Bob"/>
    <s v="West"/>
    <n v="7896.74"/>
    <n v="3"/>
    <s v="Food"/>
    <n v="999.09"/>
    <n v="1271.99"/>
    <s v="New"/>
    <n v="0.15"/>
    <x v="2"/>
    <x v="0"/>
    <s v="West"/>
    <s v="Bob"/>
    <s v="West|Bob"/>
  </r>
  <r>
    <n v="1009"/>
    <d v="2023-05-14T00:00:00"/>
    <s v="David"/>
    <s v="West"/>
    <n v="2584.91"/>
    <n v="40"/>
    <s v="Furniture"/>
    <n v="2799.71"/>
    <n v="3231.08"/>
    <s v="Returning"/>
    <n v="0.28999999999999998"/>
    <x v="2"/>
    <x v="1"/>
    <s v="West"/>
    <s v="David"/>
    <s v="West|David"/>
  </r>
  <r>
    <n v="1062"/>
    <d v="2023-07-19T00:00:00"/>
    <s v="Charlie"/>
    <s v="North"/>
    <n v="5684.33"/>
    <n v="10"/>
    <s v="Electronics"/>
    <n v="2940.4"/>
    <n v="3054.79"/>
    <s v="Returning"/>
    <n v="0.08"/>
    <x v="2"/>
    <x v="0"/>
    <s v="North"/>
    <s v="Charlie"/>
    <s v="North|Charlie"/>
  </r>
  <r>
    <n v="1037"/>
    <d v="2023-01-23T00:00:00"/>
    <s v="Charlie"/>
    <s v="East"/>
    <n v="3649.93"/>
    <n v="25"/>
    <s v="Food"/>
    <n v="1074.6199999999999"/>
    <n v="1382.4299999999901"/>
    <s v="Returning"/>
    <n v="0.24"/>
    <x v="2"/>
    <x v="1"/>
    <s v="East"/>
    <s v="Charlie"/>
    <s v="East|Charlie"/>
  </r>
  <r>
    <n v="1097"/>
    <d v="2023-10-30T00:00:00"/>
    <s v="Eve"/>
    <s v="West"/>
    <n v="6600.65"/>
    <n v="49"/>
    <s v="Electronics"/>
    <n v="4264.46"/>
    <n v="4315.5200000000004"/>
    <s v="New"/>
    <n v="7.0000000000000007E-2"/>
    <x v="0"/>
    <x v="1"/>
    <s v="West"/>
    <s v="Eve"/>
    <s v="West|Eve"/>
  </r>
  <r>
    <n v="1051"/>
    <d v="2023-12-12T00:00:00"/>
    <s v="Eve"/>
    <s v="North"/>
    <n v="2479.9499999999998"/>
    <n v="8"/>
    <s v="Clothing"/>
    <n v="467.11"/>
    <n v="792.21"/>
    <s v="New"/>
    <n v="0.2"/>
    <x v="2"/>
    <x v="0"/>
    <s v="North"/>
    <s v="Eve"/>
    <s v="North|Eve"/>
  </r>
  <r>
    <n v="1044"/>
    <d v="2023-10-29T00:00:00"/>
    <s v="Charlie"/>
    <s v="North"/>
    <n v="1996.77"/>
    <n v="11"/>
    <s v="Clothing"/>
    <n v="1812.66"/>
    <n v="2196.3000000000002"/>
    <s v="New"/>
    <n v="0.08"/>
    <x v="0"/>
    <x v="0"/>
    <s v="North"/>
    <s v="Charlie"/>
    <s v="North|Charlie"/>
  </r>
  <r>
    <n v="1024"/>
    <d v="2023-12-29T00:00:00"/>
    <s v="Eve"/>
    <s v="North"/>
    <n v="9190.57"/>
    <n v="5"/>
    <s v="Furniture"/>
    <n v="3417.9"/>
    <n v="3714.52"/>
    <s v="Returning"/>
    <n v="0.27"/>
    <x v="2"/>
    <x v="1"/>
    <s v="North"/>
    <s v="Eve"/>
    <s v="North|Eve"/>
  </r>
  <r>
    <n v="1079"/>
    <d v="2023-08-06T00:00:00"/>
    <s v="David"/>
    <s v="North"/>
    <n v="1107.8599999999999"/>
    <n v="45"/>
    <s v="Clothing"/>
    <n v="1406.9"/>
    <n v="1547.35"/>
    <s v="New"/>
    <n v="0.17"/>
    <x v="0"/>
    <x v="1"/>
    <s v="North"/>
    <s v="David"/>
    <s v="North|David"/>
  </r>
  <r>
    <n v="1059"/>
    <d v="2023-05-21T00:00:00"/>
    <s v="Alice"/>
    <s v="North"/>
    <n v="5108.9799999999996"/>
    <n v="37"/>
    <s v="Electronics"/>
    <n v="4146.99"/>
    <n v="4172.3499999999904"/>
    <s v="Returning"/>
    <n v="0.06"/>
    <x v="0"/>
    <x v="1"/>
    <s v="North"/>
    <s v="Alice"/>
    <s v="North|Alice"/>
  </r>
  <r>
    <n v="1032"/>
    <d v="2023-04-14T00:00:00"/>
    <s v="David"/>
    <s v="North"/>
    <n v="2286.44"/>
    <n v="45"/>
    <s v="Clothing"/>
    <n v="3712.35"/>
    <n v="3780.88"/>
    <s v="New"/>
    <n v="7.0000000000000007E-2"/>
    <x v="0"/>
    <x v="1"/>
    <s v="North"/>
    <s v="David"/>
    <s v="North|David"/>
  </r>
  <r>
    <n v="1096"/>
    <d v="2023-07-29T00:00:00"/>
    <s v="Charlie"/>
    <s v="West"/>
    <n v="485.41"/>
    <n v="38"/>
    <s v="Electronics"/>
    <n v="3955.66"/>
    <n v="4270.59"/>
    <s v="Returning"/>
    <n v="0.15"/>
    <x v="2"/>
    <x v="0"/>
    <s v="West"/>
    <s v="Charlie"/>
    <s v="West|Charlie"/>
  </r>
  <r>
    <n v="1088"/>
    <d v="2023-04-21T00:00:00"/>
    <s v="Charlie"/>
    <s v="East"/>
    <n v="456.59"/>
    <n v="29"/>
    <s v="Furniture"/>
    <n v="639.58000000000004"/>
    <n v="1107.45"/>
    <s v="New"/>
    <n v="0.28999999999999998"/>
    <x v="0"/>
    <x v="1"/>
    <s v="East"/>
    <s v="Charlie"/>
    <s v="East|Charlie"/>
  </r>
  <r>
    <n v="1052"/>
    <d v="2023-04-14T00:00:00"/>
    <s v="David"/>
    <s v="North"/>
    <n v="1834.7"/>
    <n v="5"/>
    <s v="Furniture"/>
    <n v="745.71"/>
    <n v="856.91"/>
    <s v="Returning"/>
    <n v="0.23"/>
    <x v="1"/>
    <x v="1"/>
    <s v="North"/>
    <s v="David"/>
    <s v="North|David"/>
  </r>
  <r>
    <n v="1062"/>
    <d v="2023-11-12T00:00:00"/>
    <s v="Eve"/>
    <s v="South"/>
    <n v="8681.0300000000007"/>
    <n v="9"/>
    <s v="Electronics"/>
    <n v="1468.05"/>
    <n v="1838.21"/>
    <s v="New"/>
    <n v="0.15"/>
    <x v="1"/>
    <x v="1"/>
    <s v="South"/>
    <s v="Eve"/>
    <s v="South|Eve"/>
  </r>
  <r>
    <n v="1058"/>
    <d v="2023-06-20T00:00:00"/>
    <s v="Eve"/>
    <s v="West"/>
    <n v="2896.54"/>
    <n v="48"/>
    <s v="Clothing"/>
    <n v="2614.48"/>
    <n v="3049.04"/>
    <s v="New"/>
    <n v="0.1"/>
    <x v="2"/>
    <x v="1"/>
    <s v="West"/>
    <s v="Eve"/>
    <s v="West|Eve"/>
  </r>
  <r>
    <n v="1052"/>
    <d v="2023-12-22T00:00:00"/>
    <s v="Charlie"/>
    <s v="West"/>
    <n v="9509.5499999999993"/>
    <n v="2"/>
    <s v="Furniture"/>
    <n v="3752.68"/>
    <n v="4017.91"/>
    <s v="Returning"/>
    <n v="0.16"/>
    <x v="1"/>
    <x v="0"/>
    <s v="West"/>
    <s v="Charlie"/>
    <s v="West|Charlie"/>
  </r>
  <r>
    <n v="1012"/>
    <d v="2023-11-20T00:00:00"/>
    <s v="Bob"/>
    <s v="North"/>
    <n v="5858.06"/>
    <n v="1"/>
    <s v="Food"/>
    <n v="4190.83"/>
    <n v="4528.7699999999904"/>
    <s v="Returning"/>
    <n v="0.22"/>
    <x v="1"/>
    <x v="0"/>
    <s v="North"/>
    <s v="Bob"/>
    <s v="North|Bob"/>
  </r>
  <r>
    <n v="1039"/>
    <d v="2023-05-13T00:00:00"/>
    <s v="Eve"/>
    <s v="West"/>
    <n v="4422.4799999999996"/>
    <n v="40"/>
    <s v="Furniture"/>
    <n v="3536.46"/>
    <n v="3945.82"/>
    <s v="New"/>
    <n v="0.24"/>
    <x v="1"/>
    <x v="0"/>
    <s v="West"/>
    <s v="Eve"/>
    <s v="West|Eve"/>
  </r>
  <r>
    <n v="1002"/>
    <d v="2023-10-20T00:00:00"/>
    <s v="David"/>
    <s v="North"/>
    <n v="5842.88"/>
    <n v="30"/>
    <s v="Clothing"/>
    <n v="4646.55"/>
    <n v="4784.28"/>
    <s v="Returning"/>
    <n v="0.1"/>
    <x v="2"/>
    <x v="1"/>
    <s v="North"/>
    <s v="David"/>
    <s v="North|David"/>
  </r>
  <r>
    <n v="1003"/>
    <d v="2023-11-24T00:00:00"/>
    <s v="Eve"/>
    <s v="East"/>
    <n v="5215.3100000000004"/>
    <n v="11"/>
    <s v="Food"/>
    <n v="3706.78"/>
    <n v="3862.26"/>
    <s v="New"/>
    <n v="0.22"/>
    <x v="2"/>
    <x v="1"/>
    <s v="East"/>
    <s v="Eve"/>
    <s v="East|Eve"/>
  </r>
  <r>
    <n v="1056"/>
    <d v="2023-05-07T00:00:00"/>
    <s v="David"/>
    <s v="East"/>
    <n v="7611.88"/>
    <n v="28"/>
    <s v="Clothing"/>
    <n v="1566.03"/>
    <n v="1576.34"/>
    <s v="Returning"/>
    <n v="0.2"/>
    <x v="1"/>
    <x v="0"/>
    <s v="East"/>
    <s v="David"/>
    <s v="East|David"/>
  </r>
  <r>
    <n v="1081"/>
    <d v="2023-04-16T00:00:00"/>
    <s v="Charlie"/>
    <s v="West"/>
    <n v="2896.71"/>
    <n v="44"/>
    <s v="Electronics"/>
    <n v="1362.15"/>
    <n v="1844.07"/>
    <s v="New"/>
    <n v="0.28999999999999998"/>
    <x v="2"/>
    <x v="0"/>
    <s v="West"/>
    <s v="Charlie"/>
    <s v="West|Charlie"/>
  </r>
  <r>
    <n v="1059"/>
    <d v="2023-04-02T00:00:00"/>
    <s v="Eve"/>
    <s v="West"/>
    <n v="3595.2"/>
    <n v="12"/>
    <s v="Food"/>
    <n v="3496.15"/>
    <n v="3955.75"/>
    <s v="Returning"/>
    <n v="0.28000000000000003"/>
    <x v="0"/>
    <x v="1"/>
    <s v="West"/>
    <s v="Eve"/>
    <s v="West|Eve"/>
  </r>
  <r>
    <n v="1002"/>
    <d v="2023-10-14T00:00:00"/>
    <s v="David"/>
    <s v="South"/>
    <n v="8951.5300000000007"/>
    <n v="39"/>
    <s v="Clothing"/>
    <n v="1004.71"/>
    <n v="1389.35"/>
    <s v="New"/>
    <n v="0.24"/>
    <x v="1"/>
    <x v="0"/>
    <s v="South"/>
    <s v="David"/>
    <s v="South|David"/>
  </r>
  <r>
    <n v="1002"/>
    <d v="2023-02-20T00:00:00"/>
    <s v="Charlie"/>
    <s v="West"/>
    <n v="9469.92"/>
    <n v="26"/>
    <s v="Food"/>
    <n v="508.94"/>
    <n v="557.69000000000005"/>
    <s v="New"/>
    <n v="0.22"/>
    <x v="2"/>
    <x v="1"/>
    <s v="West"/>
    <s v="Charlie"/>
    <s v="West|Charlie"/>
  </r>
  <r>
    <n v="1092"/>
    <d v="2023-01-29T00:00:00"/>
    <s v="Bob"/>
    <s v="South"/>
    <n v="8936.33"/>
    <n v="13"/>
    <s v="Clothing"/>
    <n v="2684.5"/>
    <n v="2913.78"/>
    <s v="New"/>
    <n v="0.08"/>
    <x v="2"/>
    <x v="1"/>
    <s v="South"/>
    <s v="Bob"/>
    <s v="South|Bob"/>
  </r>
  <r>
    <n v="1054"/>
    <d v="2023-10-23T00:00:00"/>
    <s v="David"/>
    <s v="East"/>
    <n v="4252.54"/>
    <n v="8"/>
    <s v="Food"/>
    <n v="4117.13"/>
    <n v="4177.0600000000004"/>
    <s v="Returning"/>
    <n v="0.25"/>
    <x v="1"/>
    <x v="1"/>
    <s v="East"/>
    <s v="David"/>
    <s v="East|David"/>
  </r>
  <r>
    <n v="1087"/>
    <d v="2023-10-24T00:00:00"/>
    <s v="Bob"/>
    <s v="East"/>
    <n v="7825.62"/>
    <n v="28"/>
    <s v="Clothing"/>
    <n v="551.83000000000004"/>
    <n v="569.63"/>
    <s v="New"/>
    <n v="0.13"/>
    <x v="2"/>
    <x v="1"/>
    <s v="East"/>
    <s v="Bob"/>
    <s v="East|Bob"/>
  </r>
  <r>
    <n v="1096"/>
    <d v="2023-08-02T00:00:00"/>
    <s v="Bob"/>
    <s v="North"/>
    <n v="4815.72"/>
    <n v="30"/>
    <s v="Electronics"/>
    <n v="3969.86"/>
    <n v="4281.79"/>
    <s v="Returning"/>
    <n v="0.08"/>
    <x v="1"/>
    <x v="1"/>
    <s v="North"/>
    <s v="Bob"/>
    <s v="North|Bob"/>
  </r>
  <r>
    <n v="1097"/>
    <d v="2023-09-24T00:00:00"/>
    <s v="Alice"/>
    <s v="East"/>
    <n v="5025.6400000000003"/>
    <n v="9"/>
    <s v="Food"/>
    <n v="4067.28"/>
    <n v="4548.09"/>
    <s v="Returning"/>
    <n v="0.12"/>
    <x v="2"/>
    <x v="1"/>
    <s v="East"/>
    <s v="Alice"/>
    <s v="East|Alice"/>
  </r>
  <r>
    <n v="1001"/>
    <d v="2023-09-14T00:00:00"/>
    <s v="Eve"/>
    <s v="South"/>
    <n v="2126.33"/>
    <n v="39"/>
    <s v="Food"/>
    <n v="2437.2600000000002"/>
    <n v="2889.67"/>
    <s v="Returning"/>
    <n v="0.25"/>
    <x v="0"/>
    <x v="0"/>
    <s v="South"/>
    <s v="Eve"/>
    <s v="South|Eve"/>
  </r>
  <r>
    <n v="1019"/>
    <d v="2023-10-29T00:00:00"/>
    <s v="David"/>
    <s v="West"/>
    <n v="5952.19"/>
    <n v="31"/>
    <s v="Food"/>
    <n v="333.69"/>
    <n v="685.1"/>
    <s v="New"/>
    <n v="0.04"/>
    <x v="1"/>
    <x v="0"/>
    <s v="West"/>
    <s v="David"/>
    <s v="West|David"/>
  </r>
  <r>
    <n v="1002"/>
    <d v="2023-04-11T00:00:00"/>
    <s v="Bob"/>
    <s v="North"/>
    <n v="1942.75"/>
    <n v="21"/>
    <s v="Food"/>
    <n v="914.22"/>
    <n v="971.57"/>
    <s v="Returning"/>
    <n v="0.14000000000000001"/>
    <x v="0"/>
    <x v="0"/>
    <s v="North"/>
    <s v="Bob"/>
    <s v="North|Bob"/>
  </r>
  <r>
    <n v="1053"/>
    <d v="2023-12-12T00:00:00"/>
    <s v="Alice"/>
    <s v="South"/>
    <n v="3382.49"/>
    <n v="47"/>
    <s v="Electronics"/>
    <n v="3551.76"/>
    <n v="3696.1"/>
    <s v="Returning"/>
    <n v="0.15"/>
    <x v="1"/>
    <x v="1"/>
    <s v="South"/>
    <s v="Alice"/>
    <s v="South|Alice"/>
  </r>
  <r>
    <n v="1044"/>
    <d v="2023-04-20T00:00:00"/>
    <s v="Charlie"/>
    <s v="West"/>
    <n v="8564.7999999999993"/>
    <n v="34"/>
    <s v="Food"/>
    <n v="3573.3"/>
    <n v="3740.13"/>
    <s v="Returning"/>
    <n v="0.01"/>
    <x v="2"/>
    <x v="0"/>
    <s v="West"/>
    <s v="Charlie"/>
    <s v="West|Charlie"/>
  </r>
  <r>
    <n v="1090"/>
    <d v="2023-07-01T00:00:00"/>
    <s v="David"/>
    <s v="North"/>
    <n v="2150.0500000000002"/>
    <n v="31"/>
    <s v="Furniture"/>
    <n v="4496.8599999999997"/>
    <n v="4880.7999999999902"/>
    <s v="New"/>
    <n v="0.06"/>
    <x v="0"/>
    <x v="1"/>
    <s v="North"/>
    <s v="David"/>
    <s v="North|David"/>
  </r>
  <r>
    <n v="1032"/>
    <d v="2023-11-09T00:00:00"/>
    <s v="Bob"/>
    <s v="East"/>
    <n v="804.47"/>
    <n v="25"/>
    <s v="Electronics"/>
    <n v="2934.3"/>
    <n v="3337.4"/>
    <s v="Returning"/>
    <n v="0.25"/>
    <x v="2"/>
    <x v="1"/>
    <s v="East"/>
    <s v="Bob"/>
    <s v="East|Bob"/>
  </r>
  <r>
    <n v="1070"/>
    <d v="2023-01-01T00:00:00"/>
    <s v="Eve"/>
    <s v="South"/>
    <n v="783.18"/>
    <n v="12"/>
    <s v="Furniture"/>
    <n v="664.33"/>
    <n v="863.03"/>
    <s v="Returning"/>
    <n v="0.25"/>
    <x v="1"/>
    <x v="1"/>
    <s v="South"/>
    <s v="Eve"/>
    <s v="South|Eve"/>
  </r>
  <r>
    <n v="1032"/>
    <d v="2023-11-15T00:00:00"/>
    <s v="Alice"/>
    <s v="West"/>
    <n v="9413.77"/>
    <n v="1"/>
    <s v="Food"/>
    <n v="651"/>
    <n v="865.76"/>
    <s v="Returning"/>
    <n v="0.09"/>
    <x v="1"/>
    <x v="1"/>
    <s v="West"/>
    <s v="Alice"/>
    <s v="West|Alice"/>
  </r>
  <r>
    <n v="1068"/>
    <d v="2023-02-24T00:00:00"/>
    <s v="Bob"/>
    <s v="North"/>
    <n v="5118.51"/>
    <n v="22"/>
    <s v="Clothing"/>
    <n v="3619.61"/>
    <n v="3651.42"/>
    <s v="Returning"/>
    <n v="0.26"/>
    <x v="1"/>
    <x v="0"/>
    <s v="North"/>
    <s v="Bob"/>
    <s v="North|Bob"/>
  </r>
  <r>
    <n v="1055"/>
    <d v="2023-05-29T00:00:00"/>
    <s v="Eve"/>
    <s v="North"/>
    <n v="4153.18"/>
    <n v="40"/>
    <s v="Furniture"/>
    <n v="959.73"/>
    <n v="1111.4100000000001"/>
    <s v="New"/>
    <n v="0.23"/>
    <x v="1"/>
    <x v="0"/>
    <s v="North"/>
    <s v="Eve"/>
    <s v="North|Eve"/>
  </r>
  <r>
    <n v="1075"/>
    <d v="2023-11-05T00:00:00"/>
    <s v="Bob"/>
    <s v="East"/>
    <n v="8127.7"/>
    <n v="37"/>
    <s v="Food"/>
    <n v="1675.51"/>
    <n v="1906.6399999999901"/>
    <s v="New"/>
    <n v="0.13"/>
    <x v="1"/>
    <x v="0"/>
    <s v="East"/>
    <s v="Bob"/>
    <s v="East|Bob"/>
  </r>
  <r>
    <n v="1056"/>
    <d v="2023-05-17T00:00:00"/>
    <s v="David"/>
    <s v="West"/>
    <n v="8374.68"/>
    <n v="47"/>
    <s v="Furniture"/>
    <n v="2461.6999999999998"/>
    <n v="2529.02"/>
    <s v="Returning"/>
    <n v="0.22"/>
    <x v="0"/>
    <x v="1"/>
    <s v="West"/>
    <s v="David"/>
    <s v="West|David"/>
  </r>
  <r>
    <n v="1017"/>
    <d v="2023-07-21T00:00:00"/>
    <s v="David"/>
    <s v="East"/>
    <n v="3388.69"/>
    <n v="1"/>
    <s v="Food"/>
    <n v="172.59"/>
    <n v="404.69"/>
    <s v="Returning"/>
    <n v="0.28999999999999998"/>
    <x v="1"/>
    <x v="0"/>
    <s v="East"/>
    <s v="David"/>
    <s v="East|David"/>
  </r>
  <r>
    <n v="1038"/>
    <d v="2023-11-09T00:00:00"/>
    <s v="David"/>
    <s v="East"/>
    <n v="6966.82"/>
    <n v="1"/>
    <s v="Food"/>
    <n v="1281.6500000000001"/>
    <n v="1709.71"/>
    <s v="Returning"/>
    <n v="0.14000000000000001"/>
    <x v="2"/>
    <x v="0"/>
    <s v="East"/>
    <s v="David"/>
    <s v="East|David"/>
  </r>
  <r>
    <n v="1024"/>
    <d v="2023-04-27T00:00:00"/>
    <s v="Alice"/>
    <s v="West"/>
    <n v="7734.12"/>
    <n v="42"/>
    <s v="Food"/>
    <n v="2069.0500000000002"/>
    <n v="2363.9"/>
    <s v="Returning"/>
    <n v="7.0000000000000007E-2"/>
    <x v="0"/>
    <x v="0"/>
    <s v="West"/>
    <s v="Alice"/>
    <s v="West|Alice"/>
  </r>
  <r>
    <n v="1069"/>
    <d v="2023-06-03T00:00:00"/>
    <s v="David"/>
    <s v="West"/>
    <n v="6581.04"/>
    <n v="42"/>
    <s v="Clothing"/>
    <n v="1434.2"/>
    <n v="1482.88"/>
    <s v="New"/>
    <n v="0.28000000000000003"/>
    <x v="2"/>
    <x v="1"/>
    <s v="West"/>
    <s v="David"/>
    <s v="West|David"/>
  </r>
  <r>
    <n v="1098"/>
    <d v="2023-10-18T00:00:00"/>
    <s v="Eve"/>
    <s v="West"/>
    <n v="1600.79"/>
    <n v="21"/>
    <s v="Furniture"/>
    <n v="725.03"/>
    <n v="828.94999999999902"/>
    <s v="New"/>
    <n v="0.18"/>
    <x v="1"/>
    <x v="0"/>
    <s v="West"/>
    <s v="Eve"/>
    <s v="West|Eve"/>
  </r>
  <r>
    <n v="1070"/>
    <d v="2023-03-04T00:00:00"/>
    <s v="Bob"/>
    <s v="South"/>
    <n v="8771.24"/>
    <n v="15"/>
    <s v="Electronics"/>
    <n v="3653.66"/>
    <n v="3896.19"/>
    <s v="New"/>
    <n v="0.03"/>
    <x v="2"/>
    <x v="1"/>
    <s v="South"/>
    <s v="Bob"/>
    <s v="South|Bob"/>
  </r>
  <r>
    <n v="1086"/>
    <d v="2023-09-01T00:00:00"/>
    <s v="Charlie"/>
    <s v="West"/>
    <n v="5437.04"/>
    <n v="17"/>
    <s v="Electronics"/>
    <n v="4075.08"/>
    <n v="4262.21"/>
    <s v="New"/>
    <n v="0.17"/>
    <x v="0"/>
    <x v="0"/>
    <s v="West"/>
    <s v="Charlie"/>
    <s v="West|Charlie"/>
  </r>
  <r>
    <n v="1011"/>
    <d v="2023-01-25T00:00:00"/>
    <s v="Eve"/>
    <s v="North"/>
    <n v="2896.48"/>
    <n v="22"/>
    <s v="Electronics"/>
    <n v="1324.52"/>
    <n v="1510.3"/>
    <s v="Returning"/>
    <n v="0.15"/>
    <x v="0"/>
    <x v="1"/>
    <s v="North"/>
    <s v="Eve"/>
    <s v="North|Eve"/>
  </r>
  <r>
    <n v="1016"/>
    <d v="2023-03-31T00:00:00"/>
    <s v="Eve"/>
    <s v="East"/>
    <n v="4309.76"/>
    <n v="38"/>
    <s v="Electronics"/>
    <n v="3883.38"/>
    <n v="4152.72"/>
    <s v="Returning"/>
    <n v="0.26"/>
    <x v="0"/>
    <x v="0"/>
    <s v="East"/>
    <s v="Eve"/>
    <s v="East|Eve"/>
  </r>
  <r>
    <n v="1097"/>
    <d v="2023-03-16T00:00:00"/>
    <s v="David"/>
    <s v="South"/>
    <n v="471.95"/>
    <n v="35"/>
    <s v="Food"/>
    <n v="1958.49"/>
    <n v="2254.84"/>
    <s v="New"/>
    <n v="0.16"/>
    <x v="2"/>
    <x v="0"/>
    <s v="South"/>
    <s v="David"/>
    <s v="South|David"/>
  </r>
  <r>
    <n v="1073"/>
    <d v="2023-10-21T00:00:00"/>
    <s v="Alice"/>
    <s v="West"/>
    <n v="1365.88"/>
    <n v="45"/>
    <s v="Furniture"/>
    <n v="2558.09"/>
    <n v="2958.55"/>
    <s v="New"/>
    <n v="0.08"/>
    <x v="0"/>
    <x v="0"/>
    <s v="West"/>
    <s v="Alice"/>
    <s v="West|Alice"/>
  </r>
  <r>
    <n v="1059"/>
    <d v="2023-07-29T00:00:00"/>
    <s v="Bob"/>
    <s v="South"/>
    <n v="7678.91"/>
    <n v="16"/>
    <s v="Furniture"/>
    <n v="4287.21"/>
    <n v="4464.28"/>
    <s v="Returning"/>
    <n v="0.2"/>
    <x v="2"/>
    <x v="1"/>
    <s v="South"/>
    <s v="Bob"/>
    <s v="South|Bob"/>
  </r>
  <r>
    <n v="1070"/>
    <d v="2023-12-13T00:00:00"/>
    <s v="Alice"/>
    <s v="West"/>
    <n v="100.12"/>
    <n v="8"/>
    <s v="Clothing"/>
    <n v="3762.27"/>
    <n v="4166.95"/>
    <s v="Returning"/>
    <n v="0.16"/>
    <x v="1"/>
    <x v="0"/>
    <s v="West"/>
    <s v="Alice"/>
    <s v="West|Alice"/>
  </r>
  <r>
    <n v="1080"/>
    <d v="2023-01-17T00:00:00"/>
    <s v="Bob"/>
    <s v="South"/>
    <n v="4224"/>
    <n v="47"/>
    <s v="Furniture"/>
    <n v="4035.33"/>
    <n v="4211.25"/>
    <s v="Returning"/>
    <n v="7.0000000000000007E-2"/>
    <x v="1"/>
    <x v="0"/>
    <s v="South"/>
    <s v="Bob"/>
    <s v="South|Bob"/>
  </r>
  <r>
    <n v="1093"/>
    <d v="2023-05-08T00:00:00"/>
    <s v="Bob"/>
    <s v="East"/>
    <n v="5272.85"/>
    <n v="17"/>
    <s v="Furniture"/>
    <n v="727.38"/>
    <n v="764.54"/>
    <s v="Returning"/>
    <n v="0.17"/>
    <x v="2"/>
    <x v="1"/>
    <s v="East"/>
    <s v="Bob"/>
    <s v="East|Bob"/>
  </r>
  <r>
    <n v="1003"/>
    <d v="2023-12-30T00:00:00"/>
    <s v="Alice"/>
    <s v="East"/>
    <n v="640.88"/>
    <n v="17"/>
    <s v="Furniture"/>
    <n v="395.11"/>
    <n v="676.66"/>
    <s v="Returning"/>
    <n v="0.25"/>
    <x v="0"/>
    <x v="1"/>
    <s v="East"/>
    <s v="Alice"/>
    <s v="East|Alice"/>
  </r>
  <r>
    <n v="1020"/>
    <d v="2023-09-08T00:00:00"/>
    <s v="Eve"/>
    <s v="North"/>
    <n v="9733.4699999999993"/>
    <n v="26"/>
    <s v="Clothing"/>
    <n v="4472.3500000000004"/>
    <n v="4770.42"/>
    <s v="New"/>
    <n v="0.01"/>
    <x v="2"/>
    <x v="1"/>
    <s v="North"/>
    <s v="Eve"/>
    <s v="North|Eve"/>
  </r>
  <r>
    <n v="1059"/>
    <d v="2023-06-28T00:00:00"/>
    <s v="Bob"/>
    <s v="North"/>
    <n v="2338.64"/>
    <n v="13"/>
    <s v="Electronics"/>
    <n v="1969.78"/>
    <n v="2437.6999999999998"/>
    <s v="New"/>
    <n v="0.19"/>
    <x v="2"/>
    <x v="1"/>
    <s v="North"/>
    <s v="Bob"/>
    <s v="North|Bob"/>
  </r>
  <r>
    <n v="1036"/>
    <d v="2023-07-01T00:00:00"/>
    <s v="Alice"/>
    <s v="West"/>
    <n v="3111.57"/>
    <n v="17"/>
    <s v="Furniture"/>
    <n v="1475"/>
    <n v="1840.77"/>
    <s v="Returning"/>
    <n v="0.1"/>
    <x v="2"/>
    <x v="0"/>
    <s v="West"/>
    <s v="Alice"/>
    <s v="West|Alice"/>
  </r>
  <r>
    <n v="1019"/>
    <d v="2023-06-01T00:00:00"/>
    <s v="Bob"/>
    <s v="East"/>
    <n v="3109.03"/>
    <n v="38"/>
    <s v="Clothing"/>
    <n v="3637.25"/>
    <n v="4096.96"/>
    <s v="Returning"/>
    <n v="0.09"/>
    <x v="1"/>
    <x v="0"/>
    <s v="East"/>
    <s v="Bob"/>
    <s v="East|Bob"/>
  </r>
  <r>
    <n v="1090"/>
    <d v="2023-01-25T00:00:00"/>
    <s v="Charlie"/>
    <s v="South"/>
    <n v="2381.12"/>
    <n v="17"/>
    <s v="Clothing"/>
    <n v="4190.26"/>
    <n v="4645.3500000000004"/>
    <s v="New"/>
    <n v="0.12"/>
    <x v="2"/>
    <x v="1"/>
    <s v="South"/>
    <s v="Charlie"/>
    <s v="South|Charlie"/>
  </r>
  <r>
    <n v="1067"/>
    <d v="2023-06-29T00:00:00"/>
    <s v="Eve"/>
    <s v="South"/>
    <n v="114.59"/>
    <n v="48"/>
    <s v="Food"/>
    <n v="4319.32"/>
    <n v="4625.5599999999904"/>
    <s v="Returning"/>
    <n v="0.1"/>
    <x v="1"/>
    <x v="0"/>
    <s v="South"/>
    <s v="Eve"/>
    <s v="South|Eve"/>
  </r>
  <r>
    <n v="1019"/>
    <d v="2023-07-17T00:00:00"/>
    <s v="David"/>
    <s v="South"/>
    <n v="7320.51"/>
    <n v="14"/>
    <s v="Clothing"/>
    <n v="1614.19"/>
    <n v="1882.79"/>
    <s v="New"/>
    <n v="0.25"/>
    <x v="2"/>
    <x v="1"/>
    <s v="South"/>
    <s v="David"/>
    <s v="South|David"/>
  </r>
  <r>
    <n v="1020"/>
    <d v="2023-12-10T00:00:00"/>
    <s v="Bob"/>
    <s v="North"/>
    <n v="9671.77"/>
    <n v="45"/>
    <s v="Electronics"/>
    <n v="4268.45"/>
    <n v="4551.5999999999904"/>
    <s v="New"/>
    <n v="0.08"/>
    <x v="1"/>
    <x v="0"/>
    <s v="North"/>
    <s v="Bob"/>
    <s v="North|Bob"/>
  </r>
  <r>
    <n v="1096"/>
    <d v="2023-06-10T00:00:00"/>
    <s v="Charlie"/>
    <s v="South"/>
    <n v="2320.5100000000002"/>
    <n v="6"/>
    <s v="Furniture"/>
    <n v="252.62"/>
    <n v="742"/>
    <s v="New"/>
    <n v="0.22"/>
    <x v="2"/>
    <x v="1"/>
    <s v="South"/>
    <s v="Charlie"/>
    <s v="South|Charlie"/>
  </r>
  <r>
    <n v="1071"/>
    <d v="2023-06-26T00:00:00"/>
    <s v="David"/>
    <s v="North"/>
    <n v="6664.17"/>
    <n v="35"/>
    <s v="Clothing"/>
    <n v="295.82"/>
    <n v="684.67"/>
    <s v="New"/>
    <n v="0.03"/>
    <x v="2"/>
    <x v="0"/>
    <s v="North"/>
    <s v="David"/>
    <s v="North|David"/>
  </r>
  <r>
    <n v="1052"/>
    <d v="2023-10-12T00:00:00"/>
    <s v="David"/>
    <s v="North"/>
    <n v="7444.77"/>
    <n v="46"/>
    <s v="Electronics"/>
    <n v="3136.42"/>
    <n v="3198.49"/>
    <s v="Returning"/>
    <n v="0.28999999999999998"/>
    <x v="0"/>
    <x v="1"/>
    <s v="North"/>
    <s v="David"/>
    <s v="North|David"/>
  </r>
  <r>
    <n v="1033"/>
    <d v="2023-03-04T00:00:00"/>
    <s v="Bob"/>
    <s v="West"/>
    <n v="8499.41"/>
    <n v="14"/>
    <s v="Clothing"/>
    <n v="362.38"/>
    <n v="753.81"/>
    <s v="Returning"/>
    <n v="0.19"/>
    <x v="0"/>
    <x v="1"/>
    <s v="West"/>
    <s v="Bob"/>
    <s v="West|Bob"/>
  </r>
  <r>
    <n v="1040"/>
    <d v="2023-05-30T00:00:00"/>
    <s v="Alice"/>
    <s v="South"/>
    <n v="4284.03"/>
    <n v="47"/>
    <s v="Clothing"/>
    <n v="1656.82"/>
    <n v="1750.3799999999901"/>
    <s v="New"/>
    <n v="0.21"/>
    <x v="2"/>
    <x v="0"/>
    <s v="South"/>
    <s v="Alice"/>
    <s v="South|Alice"/>
  </r>
  <r>
    <n v="1039"/>
    <d v="2023-06-03T00:00:00"/>
    <s v="Bob"/>
    <s v="South"/>
    <n v="3099.02"/>
    <n v="8"/>
    <s v="Clothing"/>
    <n v="3380.14"/>
    <n v="3609.3399999999901"/>
    <s v="Returning"/>
    <n v="0.09"/>
    <x v="2"/>
    <x v="0"/>
    <s v="South"/>
    <s v="Bob"/>
    <s v="South|Bob"/>
  </r>
  <r>
    <n v="1082"/>
    <d v="2023-06-05T00:00:00"/>
    <s v="Charlie"/>
    <s v="East"/>
    <n v="3320.42"/>
    <n v="15"/>
    <s v="Clothing"/>
    <n v="1719.47"/>
    <n v="1832.6"/>
    <s v="Returning"/>
    <n v="0.12"/>
    <x v="2"/>
    <x v="0"/>
    <s v="East"/>
    <s v="Charlie"/>
    <s v="East|Charlie"/>
  </r>
  <r>
    <n v="1001"/>
    <d v="2023-02-18T00:00:00"/>
    <s v="David"/>
    <s v="West"/>
    <n v="7154.95"/>
    <n v="27"/>
    <s v="Clothing"/>
    <n v="939.02"/>
    <n v="1286.92"/>
    <s v="Returning"/>
    <n v="7.0000000000000007E-2"/>
    <x v="2"/>
    <x v="1"/>
    <s v="West"/>
    <s v="David"/>
    <s v="West|David"/>
  </r>
  <r>
    <n v="1011"/>
    <d v="2023-12-03T00:00:00"/>
    <s v="Bob"/>
    <s v="East"/>
    <n v="8186.12"/>
    <n v="13"/>
    <s v="Electronics"/>
    <n v="1442.69"/>
    <n v="1882.57"/>
    <s v="Returning"/>
    <n v="0.28000000000000003"/>
    <x v="0"/>
    <x v="0"/>
    <s v="East"/>
    <s v="Bob"/>
    <s v="East|Bob"/>
  </r>
  <r>
    <n v="1092"/>
    <d v="2023-03-25T00:00:00"/>
    <s v="Alice"/>
    <s v="West"/>
    <n v="1897.98"/>
    <n v="49"/>
    <s v="Furniture"/>
    <n v="2315"/>
    <n v="2467.2800000000002"/>
    <s v="New"/>
    <n v="0.15"/>
    <x v="1"/>
    <x v="1"/>
    <s v="West"/>
    <s v="Alice"/>
    <s v="West|Alice"/>
  </r>
  <r>
    <n v="1057"/>
    <d v="2023-12-27T00:00:00"/>
    <s v="Bob"/>
    <s v="South"/>
    <n v="3772.32"/>
    <n v="31"/>
    <s v="Furniture"/>
    <n v="2403.16"/>
    <n v="2453.35"/>
    <s v="Returning"/>
    <n v="0.19"/>
    <x v="2"/>
    <x v="0"/>
    <s v="South"/>
    <s v="Bob"/>
    <s v="South|Bob"/>
  </r>
  <r>
    <n v="1089"/>
    <d v="2023-06-26T00:00:00"/>
    <s v="Eve"/>
    <s v="North"/>
    <n v="9029.2099999999991"/>
    <n v="35"/>
    <s v="Furniture"/>
    <n v="3925.85"/>
    <n v="4082.1099999999901"/>
    <s v="New"/>
    <n v="0.22"/>
    <x v="0"/>
    <x v="0"/>
    <s v="North"/>
    <s v="Eve"/>
    <s v="North|Eve"/>
  </r>
  <r>
    <n v="1050"/>
    <d v="2023-05-28T00:00:00"/>
    <s v="Alice"/>
    <s v="North"/>
    <n v="8086.27"/>
    <n v="6"/>
    <s v="Furniture"/>
    <n v="3763.26"/>
    <n v="4102.72"/>
    <s v="New"/>
    <n v="0.11"/>
    <x v="2"/>
    <x v="1"/>
    <s v="North"/>
    <s v="Alice"/>
    <s v="North|Alice"/>
  </r>
  <r>
    <n v="1023"/>
    <d v="2023-04-28T00:00:00"/>
    <s v="Charlie"/>
    <s v="North"/>
    <n v="9850.1"/>
    <n v="5"/>
    <s v="Electronics"/>
    <n v="2311.25"/>
    <n v="2482.34"/>
    <s v="Returning"/>
    <n v="0.22"/>
    <x v="2"/>
    <x v="1"/>
    <s v="North"/>
    <s v="Charlie"/>
    <s v="North|Charlie"/>
  </r>
  <r>
    <n v="1031"/>
    <d v="2023-12-08T00:00:00"/>
    <s v="David"/>
    <s v="North"/>
    <n v="7567.06"/>
    <n v="22"/>
    <s v="Food"/>
    <n v="4236.05"/>
    <n v="4382.32"/>
    <s v="New"/>
    <n v="0.2"/>
    <x v="1"/>
    <x v="0"/>
    <s v="North"/>
    <s v="David"/>
    <s v="North|David"/>
  </r>
  <r>
    <n v="1094"/>
    <d v="2023-03-04T00:00:00"/>
    <s v="Bob"/>
    <s v="North"/>
    <n v="3992.63"/>
    <n v="49"/>
    <s v="Food"/>
    <n v="615.47"/>
    <n v="715.84"/>
    <s v="Returning"/>
    <n v="0.21"/>
    <x v="2"/>
    <x v="1"/>
    <s v="North"/>
    <s v="Bob"/>
    <s v="North|Bob"/>
  </r>
  <r>
    <n v="1042"/>
    <d v="2023-07-08T00:00:00"/>
    <s v="Alice"/>
    <s v="East"/>
    <n v="5947.31"/>
    <n v="23"/>
    <s v="Electronics"/>
    <n v="1314"/>
    <n v="1567.78"/>
    <s v="Returning"/>
    <n v="0.15"/>
    <x v="2"/>
    <x v="1"/>
    <s v="East"/>
    <s v="Alice"/>
    <s v="East|Alice"/>
  </r>
  <r>
    <n v="1099"/>
    <d v="2023-12-26T00:00:00"/>
    <s v="Eve"/>
    <s v="West"/>
    <n v="6644.04"/>
    <n v="25"/>
    <s v="Electronics"/>
    <n v="4148.4799999999996"/>
    <n v="4293.6899999999996"/>
    <s v="New"/>
    <n v="0.11"/>
    <x v="1"/>
    <x v="0"/>
    <s v="West"/>
    <s v="Eve"/>
    <s v="West|Eve"/>
  </r>
  <r>
    <n v="1007"/>
    <d v="2023-02-18T00:00:00"/>
    <s v="Alice"/>
    <s v="South"/>
    <n v="876.71"/>
    <n v="34"/>
    <s v="Clothing"/>
    <n v="1921.07"/>
    <n v="2289.27"/>
    <s v="Returning"/>
    <n v="7.0000000000000007E-2"/>
    <x v="1"/>
    <x v="1"/>
    <s v="South"/>
    <s v="Alice"/>
    <s v="South|Alice"/>
  </r>
  <r>
    <n v="1016"/>
    <d v="2023-11-23T00:00:00"/>
    <s v="Eve"/>
    <s v="East"/>
    <n v="5490.52"/>
    <n v="26"/>
    <s v="Clothing"/>
    <n v="4906.8500000000004"/>
    <n v="4954.3900000000003"/>
    <s v="New"/>
    <n v="0.25"/>
    <x v="1"/>
    <x v="0"/>
    <s v="East"/>
    <s v="Eve"/>
    <s v="East|Eve"/>
  </r>
  <r>
    <n v="1090"/>
    <d v="2023-09-14T00:00:00"/>
    <s v="Charlie"/>
    <s v="West"/>
    <n v="7122.28"/>
    <n v="47"/>
    <s v="Clothing"/>
    <n v="2357.9499999999998"/>
    <n v="2693.33"/>
    <s v="New"/>
    <n v="0.18"/>
    <x v="1"/>
    <x v="0"/>
    <s v="West"/>
    <s v="Charlie"/>
    <s v="West|Charlie"/>
  </r>
  <r>
    <n v="1060"/>
    <d v="2023-08-12T00:00:00"/>
    <s v="David"/>
    <s v="North"/>
    <n v="1756.48"/>
    <n v="5"/>
    <s v="Furniture"/>
    <n v="3970.08"/>
    <n v="4096.4799999999996"/>
    <s v="Returning"/>
    <n v="0.13"/>
    <x v="0"/>
    <x v="1"/>
    <s v="North"/>
    <s v="David"/>
    <s v="North|David"/>
  </r>
  <r>
    <n v="1002"/>
    <d v="2023-05-21T00:00:00"/>
    <s v="Charlie"/>
    <s v="West"/>
    <n v="7828.25"/>
    <n v="26"/>
    <s v="Clothing"/>
    <n v="2041.42"/>
    <n v="2291.17"/>
    <s v="Returning"/>
    <n v="0.28000000000000003"/>
    <x v="0"/>
    <x v="0"/>
    <s v="West"/>
    <s v="Charlie"/>
    <s v="West|Charlie"/>
  </r>
  <r>
    <n v="1001"/>
    <d v="2023-08-03T00:00:00"/>
    <s v="Bob"/>
    <s v="West"/>
    <n v="5879.35"/>
    <n v="20"/>
    <s v="Food"/>
    <n v="2153.52"/>
    <n v="2303.6999999999998"/>
    <s v="Returning"/>
    <n v="0.01"/>
    <x v="0"/>
    <x v="1"/>
    <s v="West"/>
    <s v="Bob"/>
    <s v="West|Bob"/>
  </r>
  <r>
    <n v="1048"/>
    <d v="2023-07-30T00:00:00"/>
    <s v="Alice"/>
    <s v="North"/>
    <n v="9527"/>
    <n v="6"/>
    <s v="Furniture"/>
    <n v="1945.27"/>
    <n v="2309.4299999999998"/>
    <s v="New"/>
    <n v="0.26"/>
    <x v="2"/>
    <x v="0"/>
    <s v="North"/>
    <s v="Alice"/>
    <s v="North|Alice"/>
  </r>
  <r>
    <n v="1012"/>
    <d v="2023-11-14T00:00:00"/>
    <s v="Eve"/>
    <s v="North"/>
    <n v="519.98"/>
    <n v="6"/>
    <s v="Clothing"/>
    <n v="3609.42"/>
    <n v="4082.62"/>
    <s v="Returning"/>
    <n v="0.3"/>
    <x v="1"/>
    <x v="1"/>
    <s v="North"/>
    <s v="Eve"/>
    <s v="North|Eve"/>
  </r>
  <r>
    <n v="1069"/>
    <d v="2023-02-01T00:00:00"/>
    <s v="Eve"/>
    <s v="North"/>
    <n v="2726.73"/>
    <n v="18"/>
    <s v="Furniture"/>
    <n v="2760.21"/>
    <n v="3219.58"/>
    <s v="New"/>
    <n v="0.27"/>
    <x v="1"/>
    <x v="1"/>
    <s v="North"/>
    <s v="Eve"/>
    <s v="North|Eve"/>
  </r>
  <r>
    <n v="1037"/>
    <d v="2023-06-07T00:00:00"/>
    <s v="Alice"/>
    <s v="South"/>
    <n v="6055.38"/>
    <n v="4"/>
    <s v="Food"/>
    <n v="4721.7"/>
    <n v="5017.58"/>
    <s v="New"/>
    <n v="0.24"/>
    <x v="0"/>
    <x v="1"/>
    <s v="South"/>
    <s v="Alice"/>
    <s v="South|Alice"/>
  </r>
  <r>
    <n v="1032"/>
    <d v="2023-10-12T00:00:00"/>
    <s v="Alice"/>
    <s v="North"/>
    <n v="3035.94"/>
    <n v="17"/>
    <s v="Clothing"/>
    <n v="1291.9100000000001"/>
    <n v="1528.59"/>
    <s v="Returning"/>
    <n v="0.11"/>
    <x v="2"/>
    <x v="1"/>
    <s v="North"/>
    <s v="Alice"/>
    <s v="North|Alice"/>
  </r>
  <r>
    <n v="1009"/>
    <d v="2023-11-01T00:00:00"/>
    <s v="Bob"/>
    <s v="South"/>
    <n v="7172.8"/>
    <n v="14"/>
    <s v="Food"/>
    <n v="547.79"/>
    <n v="958.76"/>
    <s v="Returning"/>
    <n v="7.0000000000000007E-2"/>
    <x v="2"/>
    <x v="1"/>
    <s v="South"/>
    <s v="Bob"/>
    <s v="South|Bob"/>
  </r>
  <r>
    <n v="1099"/>
    <d v="2023-10-13T00:00:00"/>
    <s v="Charlie"/>
    <s v="North"/>
    <n v="7614.15"/>
    <n v="14"/>
    <s v="Food"/>
    <n v="1996.64"/>
    <n v="2341.4699999999998"/>
    <s v="Returning"/>
    <n v="0.22"/>
    <x v="2"/>
    <x v="0"/>
    <s v="North"/>
    <s v="Charlie"/>
    <s v="North|Charlie"/>
  </r>
  <r>
    <n v="1019"/>
    <d v="2023-05-24T00:00:00"/>
    <s v="Eve"/>
    <s v="South"/>
    <n v="1114.9100000000001"/>
    <n v="13"/>
    <s v="Food"/>
    <n v="3102.73"/>
    <n v="3202.68"/>
    <s v="New"/>
    <n v="0.09"/>
    <x v="0"/>
    <x v="0"/>
    <s v="South"/>
    <s v="Eve"/>
    <s v="South|Eve"/>
  </r>
  <r>
    <n v="1048"/>
    <d v="2023-01-19T00:00:00"/>
    <s v="Bob"/>
    <s v="West"/>
    <n v="5187.16"/>
    <n v="7"/>
    <s v="Clothing"/>
    <n v="4310.95"/>
    <n v="4723.2"/>
    <s v="Returning"/>
    <n v="0.05"/>
    <x v="2"/>
    <x v="1"/>
    <s v="West"/>
    <s v="Bob"/>
    <s v="West|Bob"/>
  </r>
  <r>
    <n v="1080"/>
    <d v="2023-01-18T00:00:00"/>
    <s v="Charlie"/>
    <s v="East"/>
    <n v="5138.0200000000004"/>
    <n v="44"/>
    <s v="Electronics"/>
    <n v="1763.67"/>
    <n v="1983.82"/>
    <s v="New"/>
    <n v="0.24"/>
    <x v="2"/>
    <x v="0"/>
    <s v="East"/>
    <s v="Charlie"/>
    <s v="East|Charlie"/>
  </r>
  <r>
    <n v="1003"/>
    <d v="2023-09-14T00:00:00"/>
    <s v="Bob"/>
    <s v="West"/>
    <n v="3755.88"/>
    <n v="15"/>
    <s v="Clothing"/>
    <n v="3286.24"/>
    <n v="3388.8399999999901"/>
    <s v="Returning"/>
    <n v="0.09"/>
    <x v="2"/>
    <x v="1"/>
    <s v="West"/>
    <s v="Bob"/>
    <s v="West|Bob"/>
  </r>
  <r>
    <n v="1020"/>
    <d v="2023-03-19T00:00:00"/>
    <s v="Eve"/>
    <s v="West"/>
    <n v="9335.9599999999991"/>
    <n v="19"/>
    <s v="Food"/>
    <n v="1783.48"/>
    <n v="1931.56"/>
    <s v="Returning"/>
    <n v="0.27"/>
    <x v="1"/>
    <x v="1"/>
    <s v="West"/>
    <s v="Eve"/>
    <s v="West|Eve"/>
  </r>
  <r>
    <n v="1024"/>
    <d v="2023-06-24T00:00:00"/>
    <s v="Alice"/>
    <s v="North"/>
    <n v="8292.31"/>
    <n v="43"/>
    <s v="Clothing"/>
    <n v="3105.24"/>
    <n v="3246.33"/>
    <s v="New"/>
    <n v="0.25"/>
    <x v="0"/>
    <x v="0"/>
    <s v="North"/>
    <s v="Alice"/>
    <s v="North|Alice"/>
  </r>
  <r>
    <n v="1054"/>
    <d v="2023-07-13T00:00:00"/>
    <s v="Alice"/>
    <s v="South"/>
    <n v="7002.37"/>
    <n v="47"/>
    <s v="Food"/>
    <n v="4429.8"/>
    <n v="4694.21"/>
    <s v="New"/>
    <n v="0.25"/>
    <x v="1"/>
    <x v="0"/>
    <s v="South"/>
    <s v="Alice"/>
    <s v="South|Alice"/>
  </r>
  <r>
    <n v="1033"/>
    <d v="2023-04-23T00:00:00"/>
    <s v="Charlie"/>
    <s v="East"/>
    <n v="7171.83"/>
    <n v="44"/>
    <s v="Electronics"/>
    <n v="1195.22"/>
    <n v="1320.06"/>
    <s v="Returning"/>
    <n v="0.23"/>
    <x v="1"/>
    <x v="1"/>
    <s v="East"/>
    <s v="Charlie"/>
    <s v="East|Charlie"/>
  </r>
  <r>
    <n v="1024"/>
    <d v="2023-04-24T00:00:00"/>
    <s v="David"/>
    <s v="North"/>
    <n v="4670.99"/>
    <n v="35"/>
    <s v="Furniture"/>
    <n v="2051"/>
    <n v="2121.5500000000002"/>
    <s v="Returning"/>
    <n v="0.26"/>
    <x v="0"/>
    <x v="1"/>
    <s v="North"/>
    <s v="David"/>
    <s v="North|David"/>
  </r>
  <r>
    <n v="1075"/>
    <d v="2023-08-10T00:00:00"/>
    <s v="Charlie"/>
    <s v="North"/>
    <n v="9217.85"/>
    <n v="17"/>
    <s v="Electronics"/>
    <n v="4966.66"/>
    <n v="5037.2699999999904"/>
    <s v="Returning"/>
    <n v="0.24"/>
    <x v="1"/>
    <x v="1"/>
    <s v="North"/>
    <s v="Charlie"/>
    <s v="North|Charlie"/>
  </r>
  <r>
    <n v="1072"/>
    <d v="2023-06-15T00:00:00"/>
    <s v="David"/>
    <s v="North"/>
    <n v="6976.49"/>
    <n v="35"/>
    <s v="Electronics"/>
    <n v="4349.3599999999997"/>
    <n v="4645.17"/>
    <s v="Returning"/>
    <n v="0.18"/>
    <x v="2"/>
    <x v="1"/>
    <s v="North"/>
    <s v="David"/>
    <s v="North|David"/>
  </r>
  <r>
    <n v="1036"/>
    <d v="2023-11-15T00:00:00"/>
    <s v="Bob"/>
    <s v="West"/>
    <n v="7316.91"/>
    <n v="19"/>
    <s v="Furniture"/>
    <n v="2844.97"/>
    <n v="3215"/>
    <s v="Returning"/>
    <n v="0.09"/>
    <x v="2"/>
    <x v="1"/>
    <s v="West"/>
    <s v="Bob"/>
    <s v="West|Bob"/>
  </r>
  <r>
    <n v="1038"/>
    <d v="2023-05-12T00:00:00"/>
    <s v="Bob"/>
    <s v="South"/>
    <n v="8630.74"/>
    <n v="20"/>
    <s v="Clothing"/>
    <n v="2607.31"/>
    <n v="2774.86"/>
    <s v="New"/>
    <n v="0.27"/>
    <x v="2"/>
    <x v="1"/>
    <s v="South"/>
    <s v="Bob"/>
    <s v="South|Bob"/>
  </r>
  <r>
    <n v="1084"/>
    <d v="2023-09-21T00:00:00"/>
    <s v="Eve"/>
    <s v="South"/>
    <n v="2813.31"/>
    <n v="36"/>
    <s v="Furniture"/>
    <n v="1458.77"/>
    <n v="1485.75"/>
    <s v="New"/>
    <n v="0.25"/>
    <x v="2"/>
    <x v="0"/>
    <s v="South"/>
    <s v="Eve"/>
    <s v="South|Eve"/>
  </r>
  <r>
    <n v="1099"/>
    <d v="2023-02-24T00:00:00"/>
    <s v="David"/>
    <s v="East"/>
    <n v="8090"/>
    <n v="35"/>
    <s v="Clothing"/>
    <n v="2610.19"/>
    <n v="2682.53"/>
    <s v="New"/>
    <n v="0.14000000000000001"/>
    <x v="0"/>
    <x v="1"/>
    <s v="East"/>
    <s v="David"/>
    <s v="East|David"/>
  </r>
  <r>
    <n v="1089"/>
    <d v="2023-12-25T00:00:00"/>
    <s v="Eve"/>
    <s v="South"/>
    <n v="2032.88"/>
    <n v="32"/>
    <s v="Clothing"/>
    <n v="4248.5"/>
    <n v="4706.7"/>
    <s v="New"/>
    <n v="0.01"/>
    <x v="1"/>
    <x v="1"/>
    <s v="South"/>
    <s v="Eve"/>
    <s v="South|Eve"/>
  </r>
  <r>
    <n v="1099"/>
    <d v="2023-05-11T00:00:00"/>
    <s v="Alice"/>
    <s v="South"/>
    <n v="3518.89"/>
    <n v="48"/>
    <s v="Food"/>
    <n v="3441.61"/>
    <n v="3693.45"/>
    <s v="Returning"/>
    <n v="0.19"/>
    <x v="1"/>
    <x v="0"/>
    <s v="South"/>
    <s v="Alice"/>
    <s v="South|Alice"/>
  </r>
  <r>
    <n v="1025"/>
    <d v="2023-10-15T00:00:00"/>
    <s v="David"/>
    <s v="North"/>
    <n v="3422.54"/>
    <n v="44"/>
    <s v="Food"/>
    <n v="1485.72"/>
    <n v="1717.97"/>
    <s v="New"/>
    <n v="0.02"/>
    <x v="2"/>
    <x v="1"/>
    <s v="North"/>
    <s v="David"/>
    <s v="North|David"/>
  </r>
  <r>
    <n v="1093"/>
    <d v="2023-09-23T00:00:00"/>
    <s v="Charlie"/>
    <s v="North"/>
    <n v="9787.4"/>
    <n v="40"/>
    <s v="Furniture"/>
    <n v="1047.25"/>
    <n v="1075.8900000000001"/>
    <s v="New"/>
    <n v="0.28000000000000003"/>
    <x v="2"/>
    <x v="1"/>
    <s v="North"/>
    <s v="Charlie"/>
    <s v="North|Charlie"/>
  </r>
  <r>
    <n v="1018"/>
    <d v="2024-01-01T00:00:00"/>
    <s v="Alice"/>
    <s v="West"/>
    <n v="8579.7199999999993"/>
    <n v="24"/>
    <s v="Electronics"/>
    <n v="1362.78"/>
    <n v="1729.81"/>
    <s v="New"/>
    <n v="0.28999999999999998"/>
    <x v="1"/>
    <x v="0"/>
    <s v="West"/>
    <s v="Alice"/>
    <s v="West|Alice"/>
  </r>
  <r>
    <n v="1082"/>
    <d v="2023-06-11T00:00:00"/>
    <s v="Alice"/>
    <s v="North"/>
    <n v="7041.58"/>
    <n v="17"/>
    <s v="Furniture"/>
    <n v="890.31"/>
    <n v="1159.06"/>
    <s v="Returning"/>
    <n v="0.06"/>
    <x v="0"/>
    <x v="1"/>
    <s v="North"/>
    <s v="Alice"/>
    <s v="North|Alice"/>
  </r>
  <r>
    <n v="1066"/>
    <d v="2023-03-28T00:00:00"/>
    <s v="Charlie"/>
    <s v="North"/>
    <n v="7297.86"/>
    <n v="7"/>
    <s v="Clothing"/>
    <n v="523.41999999999996"/>
    <n v="632.43999999999903"/>
    <s v="New"/>
    <n v="0.2"/>
    <x v="1"/>
    <x v="0"/>
    <s v="North"/>
    <s v="Charlie"/>
    <s v="North|Charlie"/>
  </r>
  <r>
    <n v="1054"/>
    <d v="2023-02-24T00:00:00"/>
    <s v="Alice"/>
    <s v="North"/>
    <n v="5664.52"/>
    <n v="43"/>
    <s v="Food"/>
    <n v="2124.7199999999998"/>
    <n v="2188.66"/>
    <s v="Returning"/>
    <n v="0.03"/>
    <x v="2"/>
    <x v="1"/>
    <s v="North"/>
    <s v="Alice"/>
    <s v="North|Alice"/>
  </r>
  <r>
    <n v="1035"/>
    <d v="2023-10-15T00:00:00"/>
    <s v="David"/>
    <s v="North"/>
    <n v="9476.2000000000007"/>
    <n v="1"/>
    <s v="Furniture"/>
    <n v="610.83000000000004"/>
    <n v="808.69"/>
    <s v="New"/>
    <n v="0.22"/>
    <x v="2"/>
    <x v="0"/>
    <s v="North"/>
    <s v="David"/>
    <s v="North|David"/>
  </r>
  <r>
    <n v="1080"/>
    <d v="2023-06-27T00:00:00"/>
    <s v="Eve"/>
    <s v="West"/>
    <n v="5012.96"/>
    <n v="35"/>
    <s v="Furniture"/>
    <n v="900.97"/>
    <n v="1321.18"/>
    <s v="Returning"/>
    <n v="0.1"/>
    <x v="0"/>
    <x v="0"/>
    <s v="West"/>
    <s v="Eve"/>
    <s v="West|Eve"/>
  </r>
  <r>
    <n v="1061"/>
    <d v="2023-12-15T00:00:00"/>
    <s v="Alice"/>
    <s v="North"/>
    <n v="3867.13"/>
    <n v="32"/>
    <s v="Food"/>
    <n v="2759.26"/>
    <n v="3193.25"/>
    <s v="New"/>
    <n v="0.2"/>
    <x v="1"/>
    <x v="0"/>
    <s v="North"/>
    <s v="Alice"/>
    <s v="North|Alice"/>
  </r>
  <r>
    <n v="1041"/>
    <d v="2023-01-08T00:00:00"/>
    <s v="David"/>
    <s v="East"/>
    <n v="1714.05"/>
    <n v="36"/>
    <s v="Food"/>
    <n v="864.77"/>
    <n v="1170.1599999999901"/>
    <s v="Returning"/>
    <n v="0.11"/>
    <x v="0"/>
    <x v="1"/>
    <s v="East"/>
    <s v="David"/>
    <s v="East|David"/>
  </r>
  <r>
    <n v="1100"/>
    <d v="2023-11-17T00:00:00"/>
    <s v="Bob"/>
    <s v="East"/>
    <n v="7883.44"/>
    <n v="13"/>
    <s v="Food"/>
    <n v="366.2"/>
    <n v="732.69"/>
    <s v="New"/>
    <n v="0.04"/>
    <x v="0"/>
    <x v="1"/>
    <s v="East"/>
    <s v="Bob"/>
    <s v="East|Bob"/>
  </r>
  <r>
    <n v="1033"/>
    <d v="2023-11-09T00:00:00"/>
    <s v="David"/>
    <s v="East"/>
    <n v="7370.99"/>
    <n v="6"/>
    <s v="Clothing"/>
    <n v="1621.07"/>
    <n v="1687.5"/>
    <s v="Returning"/>
    <n v="0.12"/>
    <x v="2"/>
    <x v="0"/>
    <s v="East"/>
    <s v="David"/>
    <s v="East|David"/>
  </r>
  <r>
    <n v="1068"/>
    <d v="2023-09-04T00:00:00"/>
    <s v="Eve"/>
    <s v="East"/>
    <n v="3905.11"/>
    <n v="14"/>
    <s v="Food"/>
    <n v="1140.58"/>
    <n v="1438.76"/>
    <s v="Returning"/>
    <n v="0.03"/>
    <x v="1"/>
    <x v="0"/>
    <s v="East"/>
    <s v="Eve"/>
    <s v="East|Eve"/>
  </r>
  <r>
    <n v="1033"/>
    <d v="2023-11-19T00:00:00"/>
    <s v="David"/>
    <s v="North"/>
    <n v="349.41"/>
    <n v="37"/>
    <s v="Electronics"/>
    <n v="2600.7600000000002"/>
    <n v="2937.57"/>
    <s v="New"/>
    <n v="0.17"/>
    <x v="2"/>
    <x v="1"/>
    <s v="North"/>
    <s v="David"/>
    <s v="North|David"/>
  </r>
  <r>
    <n v="1014"/>
    <d v="2023-09-12T00:00:00"/>
    <s v="Charlie"/>
    <s v="East"/>
    <n v="8406.07"/>
    <n v="48"/>
    <s v="Furniture"/>
    <n v="556.72"/>
    <n v="665.07"/>
    <s v="Returning"/>
    <n v="0.01"/>
    <x v="1"/>
    <x v="1"/>
    <s v="East"/>
    <s v="Charlie"/>
    <s v="East|Charlie"/>
  </r>
  <r>
    <n v="1021"/>
    <d v="2023-11-24T00:00:00"/>
    <s v="Eve"/>
    <s v="North"/>
    <n v="213.04"/>
    <n v="15"/>
    <s v="Food"/>
    <n v="3771.27"/>
    <n v="4212.55"/>
    <s v="Returning"/>
    <n v="0.16"/>
    <x v="2"/>
    <x v="1"/>
    <s v="North"/>
    <s v="Eve"/>
    <s v="North|Eve"/>
  </r>
  <r>
    <n v="1048"/>
    <d v="2023-02-23T00:00:00"/>
    <s v="Bob"/>
    <s v="West"/>
    <n v="7066.63"/>
    <n v="47"/>
    <s v="Food"/>
    <n v="4535.8599999999997"/>
    <n v="4641.41"/>
    <s v="New"/>
    <n v="0.27"/>
    <x v="2"/>
    <x v="1"/>
    <s v="West"/>
    <s v="Bob"/>
    <s v="West|Bob"/>
  </r>
  <r>
    <n v="1020"/>
    <d v="2023-09-06T00:00:00"/>
    <s v="Charlie"/>
    <s v="East"/>
    <n v="9705.5499999999993"/>
    <n v="4"/>
    <s v="Clothing"/>
    <n v="3730"/>
    <n v="3893.6"/>
    <s v="New"/>
    <n v="0.25"/>
    <x v="1"/>
    <x v="1"/>
    <s v="East"/>
    <s v="Charlie"/>
    <s v="East|Charlie"/>
  </r>
  <r>
    <n v="1008"/>
    <d v="2023-08-27T00:00:00"/>
    <s v="David"/>
    <s v="South"/>
    <n v="4432.8500000000004"/>
    <n v="40"/>
    <s v="Clothing"/>
    <n v="2687.49"/>
    <n v="3001.56"/>
    <s v="Returning"/>
    <n v="0.26"/>
    <x v="1"/>
    <x v="0"/>
    <s v="South"/>
    <s v="David"/>
    <s v="South|David"/>
  </r>
  <r>
    <n v="1007"/>
    <d v="2023-08-17T00:00:00"/>
    <s v="Eve"/>
    <s v="East"/>
    <n v="2426.2399999999998"/>
    <n v="16"/>
    <s v="Furniture"/>
    <n v="4310.3100000000004"/>
    <n v="4633.1000000000004"/>
    <s v="New"/>
    <n v="0.28000000000000003"/>
    <x v="2"/>
    <x v="1"/>
    <s v="East"/>
    <s v="Eve"/>
    <s v="East|Eve"/>
  </r>
  <r>
    <n v="1067"/>
    <d v="2023-03-08T00:00:00"/>
    <s v="Bob"/>
    <s v="East"/>
    <n v="7078.22"/>
    <n v="28"/>
    <s v="Electronics"/>
    <n v="3489.85"/>
    <n v="3842.5499999999902"/>
    <s v="New"/>
    <n v="0.03"/>
    <x v="1"/>
    <x v="0"/>
    <s v="East"/>
    <s v="Bob"/>
    <s v="East|Bob"/>
  </r>
  <r>
    <n v="1017"/>
    <d v="2023-02-20T00:00:00"/>
    <s v="Charlie"/>
    <s v="North"/>
    <n v="8189.57"/>
    <n v="16"/>
    <s v="Furniture"/>
    <n v="102.23"/>
    <n v="167.12"/>
    <s v="New"/>
    <n v="0.04"/>
    <x v="2"/>
    <x v="1"/>
    <s v="North"/>
    <s v="Charlie"/>
    <s v="North|Charlie"/>
  </r>
  <r>
    <n v="1033"/>
    <d v="2023-04-07T00:00:00"/>
    <s v="Bob"/>
    <s v="East"/>
    <n v="5509.66"/>
    <n v="4"/>
    <s v="Food"/>
    <n v="2000.75"/>
    <n v="2426.9899999999998"/>
    <s v="Returning"/>
    <n v="0.17"/>
    <x v="1"/>
    <x v="0"/>
    <s v="East"/>
    <s v="Bob"/>
    <s v="East|Bob"/>
  </r>
  <r>
    <n v="1048"/>
    <d v="2023-04-02T00:00:00"/>
    <s v="David"/>
    <s v="South"/>
    <n v="9673.65"/>
    <n v="45"/>
    <s v="Electronics"/>
    <n v="4262.21"/>
    <n v="4533.3100000000004"/>
    <s v="Returning"/>
    <n v="0.27"/>
    <x v="2"/>
    <x v="0"/>
    <s v="South"/>
    <s v="David"/>
    <s v="South|David"/>
  </r>
  <r>
    <n v="1076"/>
    <d v="2023-09-21T00:00:00"/>
    <s v="Bob"/>
    <s v="North"/>
    <n v="611.52"/>
    <n v="26"/>
    <s v="Electronics"/>
    <n v="1762"/>
    <n v="2002.95"/>
    <s v="Returning"/>
    <n v="0.28999999999999998"/>
    <x v="2"/>
    <x v="1"/>
    <s v="North"/>
    <s v="Bob"/>
    <s v="North|Bob"/>
  </r>
  <r>
    <n v="1059"/>
    <d v="2023-10-18T00:00:00"/>
    <s v="Alice"/>
    <s v="North"/>
    <n v="5097.4799999999996"/>
    <n v="28"/>
    <s v="Electronics"/>
    <n v="224.32"/>
    <n v="715.06"/>
    <s v="Returning"/>
    <n v="0.01"/>
    <x v="2"/>
    <x v="0"/>
    <s v="North"/>
    <s v="Alice"/>
    <s v="North|Alice"/>
  </r>
  <r>
    <n v="1086"/>
    <d v="2023-04-06T00:00:00"/>
    <s v="Charlie"/>
    <s v="West"/>
    <n v="7212.69"/>
    <n v="32"/>
    <s v="Electronics"/>
    <n v="3743.59"/>
    <n v="4116.38"/>
    <s v="Returning"/>
    <n v="0.11"/>
    <x v="0"/>
    <x v="0"/>
    <s v="West"/>
    <s v="Charlie"/>
    <s v="West|Charlie"/>
  </r>
  <r>
    <n v="1022"/>
    <d v="2023-03-29T00:00:00"/>
    <s v="Bob"/>
    <s v="West"/>
    <n v="8640.14"/>
    <n v="45"/>
    <s v="Furniture"/>
    <n v="4020.09"/>
    <n v="4087.91"/>
    <s v="Returning"/>
    <n v="0.06"/>
    <x v="1"/>
    <x v="0"/>
    <s v="West"/>
    <s v="Bob"/>
    <s v="West|Bob"/>
  </r>
  <r>
    <n v="1030"/>
    <d v="2023-03-19T00:00:00"/>
    <s v="David"/>
    <s v="East"/>
    <n v="1874.63"/>
    <n v="2"/>
    <s v="Clothing"/>
    <n v="844.94"/>
    <n v="1225.6400000000001"/>
    <s v="Returning"/>
    <n v="0.23"/>
    <x v="2"/>
    <x v="0"/>
    <s v="East"/>
    <s v="David"/>
    <s v="East|David"/>
  </r>
  <r>
    <n v="1038"/>
    <d v="2023-10-15T00:00:00"/>
    <s v="David"/>
    <s v="West"/>
    <n v="8020.03"/>
    <n v="31"/>
    <s v="Clothing"/>
    <n v="2709.84"/>
    <n v="2766.51"/>
    <s v="New"/>
    <n v="0.19"/>
    <x v="0"/>
    <x v="1"/>
    <s v="West"/>
    <s v="David"/>
    <s v="West|David"/>
  </r>
  <r>
    <n v="1051"/>
    <d v="2023-04-30T00:00:00"/>
    <s v="Bob"/>
    <s v="West"/>
    <n v="5571.8"/>
    <n v="3"/>
    <s v="Food"/>
    <n v="1000.18"/>
    <n v="1023.64"/>
    <s v="Returning"/>
    <n v="0.04"/>
    <x v="2"/>
    <x v="0"/>
    <s v="West"/>
    <s v="Bob"/>
    <s v="West|Bob"/>
  </r>
  <r>
    <n v="1054"/>
    <d v="2023-10-29T00:00:00"/>
    <s v="David"/>
    <s v="West"/>
    <n v="4025.88"/>
    <n v="8"/>
    <s v="Clothing"/>
    <n v="3610.21"/>
    <n v="3817.99"/>
    <s v="Returning"/>
    <n v="0.15"/>
    <x v="0"/>
    <x v="1"/>
    <s v="West"/>
    <s v="David"/>
    <s v="West|David"/>
  </r>
  <r>
    <n v="1008"/>
    <d v="2023-06-14T00:00:00"/>
    <s v="Eve"/>
    <s v="North"/>
    <n v="1403.98"/>
    <n v="24"/>
    <s v="Clothing"/>
    <n v="1394.17"/>
    <n v="1891.02"/>
    <s v="New"/>
    <n v="0.21"/>
    <x v="2"/>
    <x v="0"/>
    <s v="North"/>
    <s v="Eve"/>
    <s v="North|Eve"/>
  </r>
  <r>
    <n v="1027"/>
    <d v="2023-07-01T00:00:00"/>
    <s v="Eve"/>
    <s v="North"/>
    <n v="8666.43"/>
    <n v="15"/>
    <s v="Clothing"/>
    <n v="1615.26"/>
    <n v="1710.95"/>
    <s v="New"/>
    <n v="0.23"/>
    <x v="2"/>
    <x v="1"/>
    <s v="North"/>
    <s v="Eve"/>
    <s v="North|Eve"/>
  </r>
  <r>
    <n v="1027"/>
    <d v="2023-08-11T00:00:00"/>
    <s v="Eve"/>
    <s v="North"/>
    <n v="1657"/>
    <n v="43"/>
    <s v="Clothing"/>
    <n v="4232.6099999999997"/>
    <n v="4572.21"/>
    <s v="New"/>
    <n v="0.01"/>
    <x v="0"/>
    <x v="1"/>
    <s v="North"/>
    <s v="Eve"/>
    <s v="North|Eve"/>
  </r>
  <r>
    <n v="1098"/>
    <d v="2023-11-07T00:00:00"/>
    <s v="Alice"/>
    <s v="West"/>
    <n v="3166.9"/>
    <n v="31"/>
    <s v="Food"/>
    <n v="2407.8000000000002"/>
    <n v="2502.7600000000002"/>
    <s v="Returning"/>
    <n v="0.27"/>
    <x v="0"/>
    <x v="1"/>
    <s v="West"/>
    <s v="Alice"/>
    <s v="West|Alice"/>
  </r>
  <r>
    <n v="1021"/>
    <d v="2023-01-07T00:00:00"/>
    <s v="Bob"/>
    <s v="North"/>
    <n v="2971.45"/>
    <n v="9"/>
    <s v="Furniture"/>
    <n v="3365.28"/>
    <n v="3730.43"/>
    <s v="New"/>
    <n v="0.17"/>
    <x v="1"/>
    <x v="0"/>
    <s v="North"/>
    <s v="Bob"/>
    <s v="North|Bob"/>
  </r>
  <r>
    <n v="1030"/>
    <d v="2023-11-26T00:00:00"/>
    <s v="Alice"/>
    <s v="West"/>
    <n v="8727"/>
    <n v="39"/>
    <s v="Electronics"/>
    <n v="2041.75"/>
    <n v="2299.37"/>
    <s v="Returning"/>
    <n v="0.24"/>
    <x v="1"/>
    <x v="1"/>
    <s v="West"/>
    <s v="Alice"/>
    <s v="West|Alice"/>
  </r>
  <r>
    <n v="1097"/>
    <d v="2023-09-20T00:00:00"/>
    <s v="David"/>
    <s v="North"/>
    <n v="6759.76"/>
    <n v="45"/>
    <s v="Clothing"/>
    <n v="1525.13"/>
    <n v="1868.32"/>
    <s v="Returning"/>
    <n v="0.24"/>
    <x v="0"/>
    <x v="1"/>
    <s v="North"/>
    <s v="David"/>
    <s v="North|David"/>
  </r>
  <r>
    <n v="1028"/>
    <d v="2023-06-10T00:00:00"/>
    <s v="Alice"/>
    <s v="North"/>
    <n v="7987.15"/>
    <n v="2"/>
    <s v="Furniture"/>
    <n v="3146.12"/>
    <n v="3255.5299999999902"/>
    <s v="Returning"/>
    <n v="0.06"/>
    <x v="1"/>
    <x v="0"/>
    <s v="North"/>
    <s v="Alice"/>
    <s v="North|Alice"/>
  </r>
  <r>
    <n v="1064"/>
    <d v="2023-05-31T00:00:00"/>
    <s v="David"/>
    <s v="South"/>
    <n v="2579.63"/>
    <n v="8"/>
    <s v="Clothing"/>
    <n v="816.54"/>
    <n v="1191.9000000000001"/>
    <s v="New"/>
    <n v="0.03"/>
    <x v="0"/>
    <x v="1"/>
    <s v="South"/>
    <s v="David"/>
    <s v="South|David"/>
  </r>
  <r>
    <n v="1097"/>
    <d v="2023-03-26T00:00:00"/>
    <s v="David"/>
    <s v="East"/>
    <n v="6286.25"/>
    <n v="7"/>
    <s v="Clothing"/>
    <n v="1896.35"/>
    <n v="2394.1999999999998"/>
    <s v="New"/>
    <n v="0.22"/>
    <x v="1"/>
    <x v="0"/>
    <s v="East"/>
    <s v="David"/>
    <s v="East|David"/>
  </r>
  <r>
    <n v="1069"/>
    <d v="2023-05-27T00:00:00"/>
    <s v="Charlie"/>
    <s v="West"/>
    <n v="5760.29"/>
    <n v="44"/>
    <s v="Electronics"/>
    <n v="1084.73"/>
    <n v="1420.9"/>
    <s v="Returning"/>
    <n v="0.05"/>
    <x v="2"/>
    <x v="0"/>
    <s v="West"/>
    <s v="Charlie"/>
    <s v="West|Charlie"/>
  </r>
  <r>
    <n v="1061"/>
    <d v="2023-04-22T00:00:00"/>
    <s v="Eve"/>
    <s v="South"/>
    <n v="8345.02"/>
    <n v="39"/>
    <s v="Electronics"/>
    <n v="3494.19"/>
    <n v="3746"/>
    <s v="Returning"/>
    <n v="0.25"/>
    <x v="1"/>
    <x v="1"/>
    <s v="South"/>
    <s v="Eve"/>
    <s v="South|Eve"/>
  </r>
  <r>
    <n v="1048"/>
    <d v="2023-02-05T00:00:00"/>
    <s v="David"/>
    <s v="North"/>
    <n v="9070.26"/>
    <n v="42"/>
    <s v="Electronics"/>
    <n v="4723.83"/>
    <n v="5186.1899999999996"/>
    <s v="Returning"/>
    <n v="0.22"/>
    <x v="2"/>
    <x v="0"/>
    <s v="North"/>
    <s v="David"/>
    <s v="North|David"/>
  </r>
  <r>
    <n v="1019"/>
    <d v="2023-10-12T00:00:00"/>
    <s v="Charlie"/>
    <s v="West"/>
    <n v="220.35"/>
    <n v="16"/>
    <s v="Clothing"/>
    <n v="4977.78"/>
    <n v="4995.55"/>
    <s v="New"/>
    <n v="0.25"/>
    <x v="2"/>
    <x v="0"/>
    <s v="West"/>
    <s v="Charlie"/>
    <s v="West|Charlie"/>
  </r>
  <r>
    <n v="1004"/>
    <d v="2023-07-07T00:00:00"/>
    <s v="Eve"/>
    <s v="North"/>
    <n v="6772.8"/>
    <n v="35"/>
    <s v="Clothing"/>
    <n v="2278.87"/>
    <n v="2646.5299999999902"/>
    <s v="Returning"/>
    <n v="0.09"/>
    <x v="1"/>
    <x v="0"/>
    <s v="North"/>
    <s v="Eve"/>
    <s v="North|Eve"/>
  </r>
  <r>
    <n v="1035"/>
    <d v="2023-03-23T00:00:00"/>
    <s v="David"/>
    <s v="East"/>
    <n v="613.16999999999996"/>
    <n v="30"/>
    <s v="Clothing"/>
    <n v="1300.03"/>
    <n v="1745.52"/>
    <s v="New"/>
    <n v="0.09"/>
    <x v="0"/>
    <x v="1"/>
    <s v="East"/>
    <s v="David"/>
    <s v="East|David"/>
  </r>
  <r>
    <n v="1064"/>
    <d v="2023-01-02T00:00:00"/>
    <s v="David"/>
    <s v="South"/>
    <n v="5533.7"/>
    <n v="10"/>
    <s v="Electronics"/>
    <n v="2242.0100000000002"/>
    <n v="2282.23"/>
    <s v="Returning"/>
    <n v="0.2"/>
    <x v="2"/>
    <x v="0"/>
    <s v="South"/>
    <s v="David"/>
    <s v="South|David"/>
  </r>
  <r>
    <n v="1049"/>
    <d v="2023-10-30T00:00:00"/>
    <s v="Alice"/>
    <s v="East"/>
    <n v="2947.56"/>
    <n v="38"/>
    <s v="Food"/>
    <n v="4243.9799999999996"/>
    <n v="4474.5099999999902"/>
    <s v="New"/>
    <n v="0.01"/>
    <x v="2"/>
    <x v="0"/>
    <s v="East"/>
    <s v="Alice"/>
    <s v="East|Alice"/>
  </r>
  <r>
    <n v="1017"/>
    <d v="2023-07-16T00:00:00"/>
    <s v="Alice"/>
    <s v="South"/>
    <n v="3137.09"/>
    <n v="18"/>
    <s v="Furniture"/>
    <n v="1069.73"/>
    <n v="1180.04"/>
    <s v="Returning"/>
    <n v="0.22"/>
    <x v="1"/>
    <x v="0"/>
    <s v="South"/>
    <s v="Alice"/>
    <s v="South|Alice"/>
  </r>
  <r>
    <n v="1044"/>
    <d v="2023-01-11T00:00:00"/>
    <s v="Eve"/>
    <s v="North"/>
    <n v="3594.29"/>
    <n v="5"/>
    <s v="Food"/>
    <n v="4762.87"/>
    <n v="5050.46"/>
    <s v="New"/>
    <n v="0.25"/>
    <x v="0"/>
    <x v="1"/>
    <s v="North"/>
    <s v="Eve"/>
    <s v="North|Eve"/>
  </r>
  <r>
    <n v="1092"/>
    <d v="2023-08-22T00:00:00"/>
    <s v="David"/>
    <s v="East"/>
    <n v="6250.8"/>
    <n v="29"/>
    <s v="Clothing"/>
    <n v="1742.24"/>
    <n v="2070.52"/>
    <s v="New"/>
    <n v="0.12"/>
    <x v="0"/>
    <x v="0"/>
    <s v="East"/>
    <s v="David"/>
    <s v="East|David"/>
  </r>
  <r>
    <n v="1030"/>
    <d v="2023-07-14T00:00:00"/>
    <s v="Bob"/>
    <s v="East"/>
    <n v="3407.09"/>
    <n v="39"/>
    <s v="Clothing"/>
    <n v="4929.7299999999996"/>
    <n v="5088.0199999999904"/>
    <s v="New"/>
    <n v="0.23"/>
    <x v="1"/>
    <x v="1"/>
    <s v="East"/>
    <s v="Bob"/>
    <s v="East|Bob"/>
  </r>
  <r>
    <n v="1093"/>
    <d v="2023-04-29T00:00:00"/>
    <s v="Alice"/>
    <s v="North"/>
    <n v="7353.72"/>
    <n v="34"/>
    <s v="Food"/>
    <n v="4201.1099999999997"/>
    <n v="4436.5"/>
    <s v="New"/>
    <n v="0.05"/>
    <x v="0"/>
    <x v="0"/>
    <s v="North"/>
    <s v="Alice"/>
    <s v="North|Alice"/>
  </r>
  <r>
    <n v="1046"/>
    <d v="2023-01-20T00:00:00"/>
    <s v="Eve"/>
    <s v="East"/>
    <n v="4104.82"/>
    <n v="43"/>
    <s v="Clothing"/>
    <n v="4052.42"/>
    <n v="4199.3"/>
    <s v="New"/>
    <n v="0.1"/>
    <x v="1"/>
    <x v="1"/>
    <s v="East"/>
    <s v="Eve"/>
    <s v="East|Eve"/>
  </r>
  <r>
    <n v="1006"/>
    <d v="2023-09-18T00:00:00"/>
    <s v="David"/>
    <s v="West"/>
    <n v="776.7"/>
    <n v="45"/>
    <s v="Furniture"/>
    <n v="1623.63"/>
    <n v="1814.63"/>
    <s v="New"/>
    <n v="0.28999999999999998"/>
    <x v="1"/>
    <x v="1"/>
    <s v="West"/>
    <s v="David"/>
    <s v="West|David"/>
  </r>
  <r>
    <n v="1099"/>
    <d v="2023-10-20T00:00:00"/>
    <s v="David"/>
    <s v="South"/>
    <n v="7859.22"/>
    <n v="23"/>
    <s v="Clothing"/>
    <n v="93.45"/>
    <n v="181.62"/>
    <s v="Returning"/>
    <n v="0.3"/>
    <x v="1"/>
    <x v="1"/>
    <s v="South"/>
    <s v="David"/>
    <s v="South|David"/>
  </r>
  <r>
    <n v="1037"/>
    <d v="2023-09-13T00:00:00"/>
    <s v="Bob"/>
    <s v="South"/>
    <n v="2929.01"/>
    <n v="5"/>
    <s v="Furniture"/>
    <n v="1941.56"/>
    <n v="2385.48"/>
    <s v="Returning"/>
    <n v="0.15"/>
    <x v="2"/>
    <x v="0"/>
    <s v="South"/>
    <s v="Bob"/>
    <s v="South|Bob"/>
  </r>
  <r>
    <n v="1024"/>
    <d v="2023-08-10T00:00:00"/>
    <s v="Eve"/>
    <s v="South"/>
    <n v="4384.3900000000003"/>
    <n v="30"/>
    <s v="Food"/>
    <n v="1543.96"/>
    <n v="1558.87"/>
    <s v="Returning"/>
    <n v="0.28000000000000003"/>
    <x v="2"/>
    <x v="0"/>
    <s v="South"/>
    <s v="Eve"/>
    <s v="South|Eve"/>
  </r>
  <r>
    <n v="1093"/>
    <d v="2023-08-14T00:00:00"/>
    <s v="David"/>
    <s v="West"/>
    <n v="6885.89"/>
    <n v="6"/>
    <s v="Food"/>
    <n v="235.12"/>
    <n v="677.5"/>
    <s v="Returning"/>
    <n v="0.16"/>
    <x v="2"/>
    <x v="0"/>
    <s v="West"/>
    <s v="David"/>
    <s v="West|David"/>
  </r>
  <r>
    <n v="1046"/>
    <d v="2023-02-22T00:00:00"/>
    <s v="Alice"/>
    <s v="South"/>
    <n v="3391.32"/>
    <n v="46"/>
    <s v="Clothing"/>
    <n v="2551.56"/>
    <n v="2841.68"/>
    <s v="New"/>
    <n v="0.09"/>
    <x v="1"/>
    <x v="1"/>
    <s v="South"/>
    <s v="Alice"/>
    <s v="South|Alice"/>
  </r>
  <r>
    <n v="1053"/>
    <d v="2023-12-21T00:00:00"/>
    <s v="Bob"/>
    <s v="North"/>
    <n v="660.2"/>
    <n v="44"/>
    <s v="Furniture"/>
    <n v="2045"/>
    <n v="2217.5100000000002"/>
    <s v="Returning"/>
    <n v="0.08"/>
    <x v="2"/>
    <x v="0"/>
    <s v="North"/>
    <s v="Bob"/>
    <s v="North|Bob"/>
  </r>
  <r>
    <n v="1095"/>
    <d v="2023-12-08T00:00:00"/>
    <s v="Eve"/>
    <s v="East"/>
    <n v="3801.82"/>
    <n v="4"/>
    <s v="Clothing"/>
    <n v="3191.05"/>
    <n v="3555.35"/>
    <s v="New"/>
    <n v="0.28000000000000003"/>
    <x v="2"/>
    <x v="0"/>
    <s v="East"/>
    <s v="Eve"/>
    <s v="East|Eve"/>
  </r>
  <r>
    <n v="1099"/>
    <d v="2023-12-30T00:00:00"/>
    <s v="Bob"/>
    <s v="West"/>
    <n v="9450.0400000000009"/>
    <n v="29"/>
    <s v="Electronics"/>
    <n v="3124.87"/>
    <n v="3383.67"/>
    <s v="New"/>
    <n v="0.05"/>
    <x v="2"/>
    <x v="1"/>
    <s v="West"/>
    <s v="Bob"/>
    <s v="West|Bob"/>
  </r>
  <r>
    <n v="1060"/>
    <d v="2023-10-07T00:00:00"/>
    <s v="Alice"/>
    <s v="South"/>
    <n v="6453.17"/>
    <n v="23"/>
    <s v="Electronics"/>
    <n v="647.70000000000005"/>
    <n v="902.26"/>
    <s v="New"/>
    <n v="0.17"/>
    <x v="1"/>
    <x v="0"/>
    <s v="South"/>
    <s v="Alice"/>
    <s v="South|Alice"/>
  </r>
  <r>
    <n v="1097"/>
    <d v="2023-03-22T00:00:00"/>
    <s v="Eve"/>
    <s v="North"/>
    <n v="6747.64"/>
    <n v="6"/>
    <s v="Electronics"/>
    <n v="4885.9799999999996"/>
    <n v="4949.95"/>
    <s v="Returning"/>
    <n v="0.17"/>
    <x v="1"/>
    <x v="0"/>
    <s v="North"/>
    <s v="Eve"/>
    <s v="North|Eve"/>
  </r>
  <r>
    <n v="1063"/>
    <d v="2023-07-21T00:00:00"/>
    <s v="Bob"/>
    <s v="East"/>
    <n v="6359.59"/>
    <n v="32"/>
    <s v="Electronics"/>
    <n v="975.31"/>
    <n v="1176.17"/>
    <s v="New"/>
    <n v="0.22"/>
    <x v="1"/>
    <x v="1"/>
    <s v="East"/>
    <s v="Bob"/>
    <s v="East|Bob"/>
  </r>
  <r>
    <n v="1085"/>
    <d v="2023-06-07T00:00:00"/>
    <s v="Charlie"/>
    <s v="East"/>
    <n v="2070.02"/>
    <n v="42"/>
    <s v="Clothing"/>
    <n v="2254.11"/>
    <n v="2382.23"/>
    <s v="Returning"/>
    <n v="0.15"/>
    <x v="2"/>
    <x v="1"/>
    <s v="East"/>
    <s v="Charlie"/>
    <s v="East|Charlie"/>
  </r>
  <r>
    <n v="1032"/>
    <d v="2023-04-30T00:00:00"/>
    <s v="Alice"/>
    <s v="West"/>
    <n v="4241.51"/>
    <n v="18"/>
    <s v="Electronics"/>
    <n v="2466.1799999999998"/>
    <n v="2483.87"/>
    <s v="Returning"/>
    <n v="0.08"/>
    <x v="0"/>
    <x v="0"/>
    <s v="West"/>
    <s v="Alice"/>
    <s v="West|Alice"/>
  </r>
  <r>
    <n v="1087"/>
    <d v="2023-02-28T00:00:00"/>
    <s v="Alice"/>
    <s v="West"/>
    <n v="7534.3"/>
    <n v="15"/>
    <s v="Furniture"/>
    <n v="4074.66"/>
    <n v="4261.1099999999997"/>
    <s v="Returning"/>
    <n v="0.05"/>
    <x v="2"/>
    <x v="1"/>
    <s v="West"/>
    <s v="Alice"/>
    <s v="West|Alice"/>
  </r>
  <r>
    <n v="1033"/>
    <d v="2023-08-03T00:00:00"/>
    <s v="Alice"/>
    <s v="West"/>
    <n v="1103.5899999999999"/>
    <n v="40"/>
    <s v="Food"/>
    <n v="541.19000000000005"/>
    <n v="595.20000000000005"/>
    <s v="Returning"/>
    <n v="0.19"/>
    <x v="2"/>
    <x v="0"/>
    <s v="West"/>
    <s v="Alice"/>
    <s v="West|Alice"/>
  </r>
  <r>
    <n v="1067"/>
    <d v="2023-05-08T00:00:00"/>
    <s v="Charlie"/>
    <s v="North"/>
    <n v="2850.74"/>
    <n v="32"/>
    <s v="Food"/>
    <n v="2171.79"/>
    <n v="2307.64"/>
    <s v="Returning"/>
    <n v="0.22"/>
    <x v="1"/>
    <x v="0"/>
    <s v="North"/>
    <s v="Charlie"/>
    <s v="North|Charlie"/>
  </r>
  <r>
    <n v="1018"/>
    <d v="2023-08-12T00:00:00"/>
    <s v="Charlie"/>
    <s v="North"/>
    <n v="2835.56"/>
    <n v="9"/>
    <s v="Electronics"/>
    <n v="3161.09"/>
    <n v="3216.42"/>
    <s v="New"/>
    <n v="0.17"/>
    <x v="1"/>
    <x v="0"/>
    <s v="North"/>
    <s v="Charlie"/>
    <s v="North|Charlie"/>
  </r>
  <r>
    <n v="1025"/>
    <d v="2023-07-28T00:00:00"/>
    <s v="David"/>
    <s v="West"/>
    <n v="4376.99"/>
    <n v="37"/>
    <s v="Electronics"/>
    <n v="1115.02"/>
    <n v="1174.48"/>
    <s v="New"/>
    <n v="0.22"/>
    <x v="2"/>
    <x v="0"/>
    <s v="West"/>
    <s v="David"/>
    <s v="West|David"/>
  </r>
  <r>
    <n v="1095"/>
    <d v="2023-04-25T00:00:00"/>
    <s v="Bob"/>
    <s v="South"/>
    <n v="9805.65"/>
    <n v="10"/>
    <s v="Electronics"/>
    <n v="3155.97"/>
    <n v="3263.49"/>
    <s v="Returning"/>
    <n v="0.04"/>
    <x v="2"/>
    <x v="0"/>
    <s v="South"/>
    <s v="Bob"/>
    <s v="South|Bob"/>
  </r>
  <r>
    <n v="1054"/>
    <d v="2023-07-28T00:00:00"/>
    <s v="David"/>
    <s v="East"/>
    <n v="768.28"/>
    <n v="20"/>
    <s v="Clothing"/>
    <n v="4622.1400000000003"/>
    <n v="5122.07"/>
    <s v="New"/>
    <n v="0.26"/>
    <x v="0"/>
    <x v="1"/>
    <s v="East"/>
    <s v="David"/>
    <s v="East|David"/>
  </r>
  <r>
    <n v="1058"/>
    <d v="2023-01-14T00:00:00"/>
    <s v="Bob"/>
    <s v="East"/>
    <n v="5235.1400000000003"/>
    <n v="6"/>
    <s v="Food"/>
    <n v="4987.71"/>
    <n v="4998.78"/>
    <s v="Returning"/>
    <n v="0.17"/>
    <x v="0"/>
    <x v="1"/>
    <s v="East"/>
    <s v="Bob"/>
    <s v="East|Bob"/>
  </r>
  <r>
    <n v="1067"/>
    <d v="2023-01-09T00:00:00"/>
    <s v="Charlie"/>
    <s v="North"/>
    <n v="1875.71"/>
    <n v="48"/>
    <s v="Electronics"/>
    <n v="210.63"/>
    <n v="533.57999999999902"/>
    <s v="New"/>
    <n v="0.04"/>
    <x v="1"/>
    <x v="0"/>
    <s v="North"/>
    <s v="Charlie"/>
    <s v="North|Charlie"/>
  </r>
  <r>
    <n v="1046"/>
    <d v="2023-02-09T00:00:00"/>
    <s v="Charlie"/>
    <s v="East"/>
    <n v="9709.7000000000007"/>
    <n v="3"/>
    <s v="Furniture"/>
    <n v="1216.1600000000001"/>
    <n v="1295.3699999999999"/>
    <s v="New"/>
    <n v="0.14000000000000001"/>
    <x v="0"/>
    <x v="1"/>
    <s v="East"/>
    <s v="Charlie"/>
    <s v="East|Charlie"/>
  </r>
  <r>
    <n v="1024"/>
    <d v="2023-08-25T00:00:00"/>
    <s v="David"/>
    <s v="South"/>
    <n v="1221.7"/>
    <n v="42"/>
    <s v="Electronics"/>
    <n v="1586.02"/>
    <n v="2047.13"/>
    <s v="New"/>
    <n v="0.25"/>
    <x v="0"/>
    <x v="1"/>
    <s v="South"/>
    <s v="David"/>
    <s v="South|David"/>
  </r>
  <r>
    <n v="1032"/>
    <d v="2023-10-08T00:00:00"/>
    <s v="Eve"/>
    <s v="East"/>
    <n v="4095.65"/>
    <n v="11"/>
    <s v="Food"/>
    <n v="2025.67"/>
    <n v="2081.5500000000002"/>
    <s v="New"/>
    <n v="0.27"/>
    <x v="1"/>
    <x v="0"/>
    <s v="East"/>
    <s v="Eve"/>
    <s v="East|Eve"/>
  </r>
  <r>
    <n v="1047"/>
    <d v="2023-12-25T00:00:00"/>
    <s v="David"/>
    <s v="North"/>
    <n v="7405.06"/>
    <n v="43"/>
    <s v="Electronics"/>
    <n v="1249.17"/>
    <n v="1727.15"/>
    <s v="New"/>
    <n v="0.08"/>
    <x v="0"/>
    <x v="1"/>
    <s v="North"/>
    <s v="David"/>
    <s v="North|David"/>
  </r>
  <r>
    <n v="1086"/>
    <d v="2023-07-20T00:00:00"/>
    <s v="Bob"/>
    <s v="North"/>
    <n v="7075.09"/>
    <n v="17"/>
    <s v="Food"/>
    <n v="1057.27"/>
    <n v="1366.62"/>
    <s v="New"/>
    <n v="0.21"/>
    <x v="2"/>
    <x v="1"/>
    <s v="North"/>
    <s v="Bob"/>
    <s v="North|Bob"/>
  </r>
  <r>
    <n v="1023"/>
    <d v="2023-09-03T00:00:00"/>
    <s v="David"/>
    <s v="South"/>
    <n v="4285.01"/>
    <n v="32"/>
    <s v="Electronics"/>
    <n v="4775.04"/>
    <n v="4785.66"/>
    <s v="New"/>
    <n v="0.03"/>
    <x v="0"/>
    <x v="0"/>
    <s v="South"/>
    <s v="David"/>
    <s v="South|David"/>
  </r>
  <r>
    <n v="1066"/>
    <d v="2023-10-05T00:00:00"/>
    <s v="Alice"/>
    <s v="South"/>
    <n v="3530.59"/>
    <n v="4"/>
    <s v="Furniture"/>
    <n v="4596.68"/>
    <n v="5044.74"/>
    <s v="New"/>
    <n v="0.01"/>
    <x v="1"/>
    <x v="0"/>
    <s v="South"/>
    <s v="Alice"/>
    <s v="South|Alice"/>
  </r>
  <r>
    <n v="1027"/>
    <d v="2023-08-23T00:00:00"/>
    <s v="Bob"/>
    <s v="East"/>
    <n v="4036.36"/>
    <n v="4"/>
    <s v="Electronics"/>
    <n v="282.61"/>
    <n v="548.25"/>
    <s v="New"/>
    <n v="0.17"/>
    <x v="2"/>
    <x v="0"/>
    <s v="East"/>
    <s v="Bob"/>
    <s v="East|Bob"/>
  </r>
  <r>
    <n v="1002"/>
    <d v="2023-01-04T00:00:00"/>
    <s v="Bob"/>
    <s v="East"/>
    <n v="2716.34"/>
    <n v="17"/>
    <s v="Furniture"/>
    <n v="1727.12"/>
    <n v="1865.83"/>
    <s v="New"/>
    <n v="0.21"/>
    <x v="0"/>
    <x v="0"/>
    <s v="East"/>
    <s v="Bob"/>
    <s v="East|Bob"/>
  </r>
  <r>
    <n v="1090"/>
    <d v="2023-06-03T00:00:00"/>
    <s v="Eve"/>
    <s v="North"/>
    <n v="2132.8000000000002"/>
    <n v="41"/>
    <s v="Furniture"/>
    <n v="2055.4899999999998"/>
    <n v="2441.46"/>
    <s v="New"/>
    <n v="0.24"/>
    <x v="2"/>
    <x v="0"/>
    <s v="North"/>
    <s v="Eve"/>
    <s v="North|Eve"/>
  </r>
  <r>
    <n v="1017"/>
    <d v="2023-01-29T00:00:00"/>
    <s v="Charlie"/>
    <s v="South"/>
    <n v="4882.09"/>
    <n v="19"/>
    <s v="Electronics"/>
    <n v="1233.1199999999999"/>
    <n v="1697.1899999999901"/>
    <s v="New"/>
    <n v="0.1"/>
    <x v="2"/>
    <x v="0"/>
    <s v="South"/>
    <s v="Charlie"/>
    <s v="South|Charlie"/>
  </r>
  <r>
    <n v="1033"/>
    <d v="2023-04-19T00:00:00"/>
    <s v="Bob"/>
    <s v="South"/>
    <n v="2758.48"/>
    <n v="5"/>
    <s v="Furniture"/>
    <n v="3162.92"/>
    <n v="3409.93"/>
    <s v="New"/>
    <n v="0"/>
    <x v="0"/>
    <x v="0"/>
    <s v="South"/>
    <s v="Bob"/>
    <s v="South|Bob"/>
  </r>
  <r>
    <n v="1009"/>
    <d v="2023-04-08T00:00:00"/>
    <s v="Charlie"/>
    <s v="South"/>
    <n v="2945.87"/>
    <n v="32"/>
    <s v="Clothing"/>
    <n v="3219.88"/>
    <n v="3384.5"/>
    <s v="Returning"/>
    <n v="0.14000000000000001"/>
    <x v="0"/>
    <x v="1"/>
    <s v="South"/>
    <s v="Charlie"/>
    <s v="South|Charlie"/>
  </r>
  <r>
    <n v="1043"/>
    <d v="2023-08-03T00:00:00"/>
    <s v="David"/>
    <s v="East"/>
    <n v="6601.89"/>
    <n v="22"/>
    <s v="Electronics"/>
    <n v="4260"/>
    <n v="4656.58"/>
    <s v="New"/>
    <n v="0"/>
    <x v="1"/>
    <x v="0"/>
    <s v="East"/>
    <s v="David"/>
    <s v="East|David"/>
  </r>
  <r>
    <n v="1048"/>
    <d v="2023-10-20T00:00:00"/>
    <s v="Alice"/>
    <s v="South"/>
    <n v="9688.52"/>
    <n v="6"/>
    <s v="Electronics"/>
    <n v="3717.3"/>
    <n v="4061.37"/>
    <s v="New"/>
    <n v="0.03"/>
    <x v="1"/>
    <x v="1"/>
    <s v="South"/>
    <s v="Alice"/>
    <s v="South|Alice"/>
  </r>
  <r>
    <n v="1039"/>
    <d v="2023-03-16T00:00:00"/>
    <s v="Eve"/>
    <s v="North"/>
    <n v="6076.01"/>
    <n v="35"/>
    <s v="Furniture"/>
    <n v="2735.74"/>
    <n v="3181.22999999999"/>
    <s v="New"/>
    <n v="0.1"/>
    <x v="2"/>
    <x v="1"/>
    <s v="North"/>
    <s v="Eve"/>
    <s v="North|Eve"/>
  </r>
  <r>
    <n v="1093"/>
    <d v="2023-11-22T00:00:00"/>
    <s v="Charlie"/>
    <s v="North"/>
    <n v="862.1"/>
    <n v="22"/>
    <s v="Furniture"/>
    <n v="3285.25"/>
    <n v="3634.58"/>
    <s v="New"/>
    <n v="0.13"/>
    <x v="1"/>
    <x v="0"/>
    <s v="North"/>
    <s v="Charlie"/>
    <s v="North|Charlie"/>
  </r>
  <r>
    <n v="1042"/>
    <d v="2023-05-26T00:00:00"/>
    <s v="Bob"/>
    <s v="East"/>
    <n v="848.28"/>
    <n v="1"/>
    <s v="Electronics"/>
    <n v="1406.24"/>
    <n v="1535.57"/>
    <s v="New"/>
    <n v="0.08"/>
    <x v="2"/>
    <x v="1"/>
    <s v="East"/>
    <s v="Bob"/>
    <s v="East|Bob"/>
  </r>
  <r>
    <n v="1026"/>
    <d v="2023-05-08T00:00:00"/>
    <s v="Charlie"/>
    <s v="West"/>
    <n v="9519.09"/>
    <n v="20"/>
    <s v="Clothing"/>
    <n v="2985.63"/>
    <n v="3452.14"/>
    <s v="New"/>
    <n v="0.17"/>
    <x v="2"/>
    <x v="1"/>
    <s v="West"/>
    <s v="Charlie"/>
    <s v="West|Charlie"/>
  </r>
  <r>
    <n v="1099"/>
    <d v="2023-12-07T00:00:00"/>
    <s v="Bob"/>
    <s v="East"/>
    <n v="3043.18"/>
    <n v="22"/>
    <s v="Furniture"/>
    <n v="2471.67"/>
    <n v="2533.04"/>
    <s v="Returning"/>
    <n v="0.02"/>
    <x v="1"/>
    <x v="1"/>
    <s v="East"/>
    <s v="Bob"/>
    <s v="East|Bob"/>
  </r>
  <r>
    <n v="1050"/>
    <d v="2023-02-11T00:00:00"/>
    <s v="Charlie"/>
    <s v="West"/>
    <n v="1011.46"/>
    <n v="48"/>
    <s v="Furniture"/>
    <n v="710.06"/>
    <n v="851.349999999999"/>
    <s v="Returning"/>
    <n v="0.04"/>
    <x v="1"/>
    <x v="0"/>
    <s v="West"/>
    <s v="Charlie"/>
    <s v="West|Charlie"/>
  </r>
  <r>
    <n v="1025"/>
    <d v="2023-12-22T00:00:00"/>
    <s v="Bob"/>
    <s v="South"/>
    <n v="6030.54"/>
    <n v="11"/>
    <s v="Food"/>
    <n v="1250.5899999999999"/>
    <n v="1515.48999999999"/>
    <s v="Returning"/>
    <n v="0.21"/>
    <x v="1"/>
    <x v="1"/>
    <s v="South"/>
    <s v="Bob"/>
    <s v="South|Bob"/>
  </r>
  <r>
    <n v="1024"/>
    <d v="2023-02-10T00:00:00"/>
    <s v="David"/>
    <s v="East"/>
    <n v="6274.12"/>
    <n v="13"/>
    <s v="Clothing"/>
    <n v="1493.88"/>
    <n v="1781.09"/>
    <s v="New"/>
    <n v="0.04"/>
    <x v="0"/>
    <x v="1"/>
    <s v="East"/>
    <s v="David"/>
    <s v="East|David"/>
  </r>
  <r>
    <n v="1013"/>
    <d v="2023-02-03T00:00:00"/>
    <s v="Bob"/>
    <s v="North"/>
    <n v="6520.2"/>
    <n v="42"/>
    <s v="Clothing"/>
    <n v="4625.33"/>
    <n v="4642.83"/>
    <s v="New"/>
    <n v="0.19"/>
    <x v="2"/>
    <x v="0"/>
    <s v="North"/>
    <s v="Bob"/>
    <s v="North|Bob"/>
  </r>
  <r>
    <n v="1060"/>
    <d v="2023-01-17T00:00:00"/>
    <s v="Bob"/>
    <s v="South"/>
    <n v="2747.28"/>
    <n v="3"/>
    <s v="Electronics"/>
    <n v="1190.4100000000001"/>
    <n v="1582.89"/>
    <s v="New"/>
    <n v="0.02"/>
    <x v="2"/>
    <x v="1"/>
    <s v="South"/>
    <s v="Bob"/>
    <s v="South|Bob"/>
  </r>
  <r>
    <n v="1007"/>
    <d v="2023-06-14T00:00:00"/>
    <s v="Alice"/>
    <s v="North"/>
    <n v="249.6"/>
    <n v="9"/>
    <s v="Clothing"/>
    <n v="1481.76"/>
    <n v="1668.95"/>
    <s v="Returning"/>
    <n v="0.12"/>
    <x v="2"/>
    <x v="1"/>
    <s v="North"/>
    <s v="Alice"/>
    <s v="North|Alice"/>
  </r>
  <r>
    <n v="1057"/>
    <d v="2023-06-02T00:00:00"/>
    <s v="Bob"/>
    <s v="South"/>
    <n v="9653.65"/>
    <n v="12"/>
    <s v="Electronics"/>
    <n v="1878.3"/>
    <n v="2087.4499999999998"/>
    <s v="New"/>
    <n v="0.05"/>
    <x v="1"/>
    <x v="1"/>
    <s v="South"/>
    <s v="Bob"/>
    <s v="South|Bob"/>
  </r>
  <r>
    <n v="1036"/>
    <d v="2023-03-17T00:00:00"/>
    <s v="Alice"/>
    <s v="East"/>
    <n v="2583.84"/>
    <n v="23"/>
    <s v="Food"/>
    <n v="3335.53"/>
    <n v="3742.12"/>
    <s v="New"/>
    <n v="0.03"/>
    <x v="1"/>
    <x v="1"/>
    <s v="East"/>
    <s v="Alice"/>
    <s v="East|Alice"/>
  </r>
  <r>
    <n v="1045"/>
    <d v="2023-03-28T00:00:00"/>
    <s v="Eve"/>
    <s v="West"/>
    <n v="6792.66"/>
    <n v="14"/>
    <s v="Clothing"/>
    <n v="635.28"/>
    <n v="831.13"/>
    <s v="Returning"/>
    <n v="0.17"/>
    <x v="1"/>
    <x v="1"/>
    <s v="West"/>
    <s v="Eve"/>
    <s v="West|Eve"/>
  </r>
  <r>
    <n v="1020"/>
    <d v="2023-04-27T00:00:00"/>
    <s v="Alice"/>
    <s v="South"/>
    <n v="7095.64"/>
    <n v="33"/>
    <s v="Furniture"/>
    <n v="4772.03"/>
    <n v="4805.17"/>
    <s v="Returning"/>
    <n v="0.28000000000000003"/>
    <x v="1"/>
    <x v="0"/>
    <s v="South"/>
    <s v="Alice"/>
    <s v="South|Alice"/>
  </r>
  <r>
    <n v="1065"/>
    <d v="2023-12-28T00:00:00"/>
    <s v="David"/>
    <s v="West"/>
    <n v="6139.07"/>
    <n v="18"/>
    <s v="Food"/>
    <n v="4334.58"/>
    <n v="4431.04"/>
    <s v="New"/>
    <n v="0.02"/>
    <x v="1"/>
    <x v="1"/>
    <s v="West"/>
    <s v="David"/>
    <s v="West|David"/>
  </r>
  <r>
    <n v="1008"/>
    <d v="2023-12-08T00:00:00"/>
    <s v="Alice"/>
    <s v="South"/>
    <n v="3197.78"/>
    <n v="49"/>
    <s v="Electronics"/>
    <n v="2907.22"/>
    <n v="3385.6099999999901"/>
    <s v="New"/>
    <n v="0.13"/>
    <x v="0"/>
    <x v="0"/>
    <s v="South"/>
    <s v="Alice"/>
    <s v="South|Alice"/>
  </r>
  <r>
    <n v="1016"/>
    <d v="2023-01-27T00:00:00"/>
    <s v="Eve"/>
    <s v="North"/>
    <n v="2783.85"/>
    <n v="41"/>
    <s v="Food"/>
    <n v="3386.49"/>
    <n v="3430.99"/>
    <s v="New"/>
    <n v="0.21"/>
    <x v="1"/>
    <x v="1"/>
    <s v="North"/>
    <s v="Eve"/>
    <s v="North|Eve"/>
  </r>
  <r>
    <n v="1014"/>
    <d v="2023-11-09T00:00:00"/>
    <s v="David"/>
    <s v="North"/>
    <n v="6016.92"/>
    <n v="9"/>
    <s v="Electronics"/>
    <n v="132.47"/>
    <n v="316.39"/>
    <s v="New"/>
    <n v="0.14000000000000001"/>
    <x v="2"/>
    <x v="0"/>
    <s v="North"/>
    <s v="David"/>
    <s v="North|David"/>
  </r>
  <r>
    <n v="1076"/>
    <d v="2023-10-14T00:00:00"/>
    <s v="Charlie"/>
    <s v="South"/>
    <n v="8674.35"/>
    <n v="23"/>
    <s v="Food"/>
    <n v="1727.78"/>
    <n v="1984.34"/>
    <s v="Returning"/>
    <n v="0.24"/>
    <x v="1"/>
    <x v="0"/>
    <s v="South"/>
    <s v="Charlie"/>
    <s v="South|Charlie"/>
  </r>
  <r>
    <n v="1087"/>
    <d v="2023-05-14T00:00:00"/>
    <s v="Charlie"/>
    <s v="West"/>
    <n v="9472.66"/>
    <n v="10"/>
    <s v="Electronics"/>
    <n v="3988.52"/>
    <n v="4240.2299999999996"/>
    <s v="New"/>
    <n v="0.05"/>
    <x v="2"/>
    <x v="0"/>
    <s v="West"/>
    <s v="Charlie"/>
    <s v="West|Charlie"/>
  </r>
  <r>
    <n v="1015"/>
    <d v="2023-08-07T00:00:00"/>
    <s v="Alice"/>
    <s v="East"/>
    <n v="1148.47"/>
    <n v="19"/>
    <s v="Clothing"/>
    <n v="433.54"/>
    <n v="445.48"/>
    <s v="New"/>
    <n v="0.28999999999999998"/>
    <x v="1"/>
    <x v="1"/>
    <s v="East"/>
    <s v="Alice"/>
    <s v="East|Alice"/>
  </r>
  <r>
    <n v="1092"/>
    <d v="2023-06-17T00:00:00"/>
    <s v="Alice"/>
    <s v="East"/>
    <n v="1632.8"/>
    <n v="47"/>
    <s v="Furniture"/>
    <n v="1447.45"/>
    <n v="1703.02"/>
    <s v="Returning"/>
    <n v="0.12"/>
    <x v="1"/>
    <x v="1"/>
    <s v="East"/>
    <s v="Alice"/>
    <s v="East|Alice"/>
  </r>
  <r>
    <n v="1098"/>
    <d v="2023-04-08T00:00:00"/>
    <s v="Eve"/>
    <s v="North"/>
    <n v="9452.89"/>
    <n v="5"/>
    <s v="Electronics"/>
    <n v="2947.22"/>
    <n v="3145.27"/>
    <s v="New"/>
    <n v="0.1"/>
    <x v="2"/>
    <x v="1"/>
    <s v="North"/>
    <s v="Eve"/>
    <s v="North|Eve"/>
  </r>
  <r>
    <n v="1066"/>
    <d v="2023-09-25T00:00:00"/>
    <s v="Eve"/>
    <s v="East"/>
    <n v="7391.7"/>
    <n v="47"/>
    <s v="Food"/>
    <n v="1319.24"/>
    <n v="1805.56"/>
    <s v="New"/>
    <n v="0.26"/>
    <x v="2"/>
    <x v="1"/>
    <s v="East"/>
    <s v="Eve"/>
    <s v="East|Eve"/>
  </r>
  <r>
    <n v="1032"/>
    <d v="2023-08-25T00:00:00"/>
    <s v="Bob"/>
    <s v="North"/>
    <n v="8841.64"/>
    <n v="23"/>
    <s v="Electronics"/>
    <n v="4673.1899999999996"/>
    <n v="4761.1799999999903"/>
    <s v="Returning"/>
    <n v="0.17"/>
    <x v="2"/>
    <x v="1"/>
    <s v="North"/>
    <s v="Bob"/>
    <s v="North|Bob"/>
  </r>
  <r>
    <n v="1087"/>
    <d v="2023-11-05T00:00:00"/>
    <s v="Eve"/>
    <s v="East"/>
    <n v="2106.06"/>
    <n v="30"/>
    <s v="Electronics"/>
    <n v="698.74"/>
    <n v="882.28"/>
    <s v="Returning"/>
    <n v="0.15"/>
    <x v="2"/>
    <x v="0"/>
    <s v="East"/>
    <s v="Eve"/>
    <s v="East|Eve"/>
  </r>
  <r>
    <n v="1063"/>
    <d v="2023-06-22T00:00:00"/>
    <s v="Bob"/>
    <s v="South"/>
    <n v="5917.1"/>
    <n v="25"/>
    <s v="Electronics"/>
    <n v="3997.1"/>
    <n v="4212.6499999999996"/>
    <s v="New"/>
    <n v="0.22"/>
    <x v="0"/>
    <x v="0"/>
    <s v="South"/>
    <s v="Bob"/>
    <s v="South|Bob"/>
  </r>
  <r>
    <n v="1086"/>
    <d v="2023-07-09T00:00:00"/>
    <s v="David"/>
    <s v="North"/>
    <n v="7041.28"/>
    <n v="28"/>
    <s v="Food"/>
    <n v="2564.35"/>
    <n v="2765.79"/>
    <s v="Returning"/>
    <n v="0.17"/>
    <x v="2"/>
    <x v="0"/>
    <s v="North"/>
    <s v="David"/>
    <s v="North|David"/>
  </r>
  <r>
    <n v="1051"/>
    <d v="2023-05-02T00:00:00"/>
    <s v="Alice"/>
    <s v="North"/>
    <n v="6833.11"/>
    <n v="34"/>
    <s v="Furniture"/>
    <n v="3764.14"/>
    <n v="4100.3999999999996"/>
    <s v="Returning"/>
    <n v="0.05"/>
    <x v="1"/>
    <x v="1"/>
    <s v="North"/>
    <s v="Alice"/>
    <s v="North|Alice"/>
  </r>
  <r>
    <n v="1025"/>
    <d v="2023-02-15T00:00:00"/>
    <s v="David"/>
    <s v="South"/>
    <n v="4140.7"/>
    <n v="45"/>
    <s v="Clothing"/>
    <n v="1588.04"/>
    <n v="1703.6399999999901"/>
    <s v="New"/>
    <n v="0.2"/>
    <x v="1"/>
    <x v="1"/>
    <s v="South"/>
    <s v="David"/>
    <s v="South|David"/>
  </r>
  <r>
    <n v="1058"/>
    <d v="2023-03-05T00:00:00"/>
    <s v="Eve"/>
    <s v="North"/>
    <n v="252.41"/>
    <n v="48"/>
    <s v="Furniture"/>
    <n v="2596.7199999999998"/>
    <n v="2715.0499999999902"/>
    <s v="Returning"/>
    <n v="0.04"/>
    <x v="0"/>
    <x v="0"/>
    <s v="North"/>
    <s v="Eve"/>
    <s v="North|Eve"/>
  </r>
  <r>
    <n v="1063"/>
    <d v="2023-05-10T00:00:00"/>
    <s v="David"/>
    <s v="East"/>
    <n v="5870.97"/>
    <n v="47"/>
    <s v="Electronics"/>
    <n v="4291.33"/>
    <n v="4658.6400000000003"/>
    <s v="New"/>
    <n v="0.24"/>
    <x v="2"/>
    <x v="1"/>
    <s v="East"/>
    <s v="David"/>
    <s v="East|David"/>
  </r>
  <r>
    <n v="1062"/>
    <d v="2023-11-06T00:00:00"/>
    <s v="David"/>
    <s v="East"/>
    <n v="2605.71"/>
    <n v="25"/>
    <s v="Food"/>
    <n v="2361.0500000000002"/>
    <n v="2616.19"/>
    <s v="New"/>
    <n v="0.3"/>
    <x v="1"/>
    <x v="1"/>
    <s v="East"/>
    <s v="David"/>
    <s v="East|David"/>
  </r>
  <r>
    <n v="1022"/>
    <d v="2023-12-29T00:00:00"/>
    <s v="David"/>
    <s v="North"/>
    <n v="4557.5200000000004"/>
    <n v="10"/>
    <s v="Furniture"/>
    <n v="1830.61"/>
    <n v="2044.04"/>
    <s v="New"/>
    <n v="0.11"/>
    <x v="0"/>
    <x v="0"/>
    <s v="North"/>
    <s v="David"/>
    <s v="North|David"/>
  </r>
  <r>
    <n v="1058"/>
    <d v="2023-07-12T00:00:00"/>
    <s v="Eve"/>
    <s v="East"/>
    <n v="9580.0499999999993"/>
    <n v="14"/>
    <s v="Electronics"/>
    <n v="2703.97"/>
    <n v="2796.8799999999901"/>
    <s v="New"/>
    <n v="0.13"/>
    <x v="1"/>
    <x v="0"/>
    <s v="East"/>
    <s v="Eve"/>
    <s v="East|Eve"/>
  </r>
  <r>
    <n v="1058"/>
    <d v="2023-11-03T00:00:00"/>
    <s v="David"/>
    <s v="West"/>
    <n v="4050.45"/>
    <n v="42"/>
    <s v="Clothing"/>
    <n v="3600.95"/>
    <n v="3702.8399999999901"/>
    <s v="Returning"/>
    <n v="0.01"/>
    <x v="0"/>
    <x v="1"/>
    <s v="West"/>
    <s v="David"/>
    <s v="West|David"/>
  </r>
  <r>
    <n v="1086"/>
    <d v="2023-06-30T00:00:00"/>
    <s v="Bob"/>
    <s v="North"/>
    <n v="8414.0400000000009"/>
    <n v="46"/>
    <s v="Clothing"/>
    <n v="2245.64"/>
    <n v="2260.81"/>
    <s v="New"/>
    <n v="0"/>
    <x v="0"/>
    <x v="1"/>
    <s v="North"/>
    <s v="Bob"/>
    <s v="North|Bob"/>
  </r>
  <r>
    <n v="1049"/>
    <d v="2023-10-19T00:00:00"/>
    <s v="Eve"/>
    <s v="South"/>
    <n v="1966.55"/>
    <n v="30"/>
    <s v="Clothing"/>
    <n v="4697.4399999999996"/>
    <n v="4752.24"/>
    <s v="New"/>
    <n v="0.28000000000000003"/>
    <x v="2"/>
    <x v="0"/>
    <s v="South"/>
    <s v="Eve"/>
    <s v="South|Eve"/>
  </r>
  <r>
    <n v="1052"/>
    <d v="2023-10-09T00:00:00"/>
    <s v="David"/>
    <s v="West"/>
    <n v="6757.36"/>
    <n v="41"/>
    <s v="Electronics"/>
    <n v="1509.98"/>
    <n v="1792.83"/>
    <s v="New"/>
    <n v="0.04"/>
    <x v="0"/>
    <x v="1"/>
    <s v="West"/>
    <s v="David"/>
    <s v="West|David"/>
  </r>
  <r>
    <n v="1042"/>
    <d v="2023-01-29T00:00:00"/>
    <s v="Eve"/>
    <s v="North"/>
    <n v="9772.3700000000008"/>
    <n v="25"/>
    <s v="Food"/>
    <n v="2403.54"/>
    <n v="2850.56"/>
    <s v="New"/>
    <n v="0.13"/>
    <x v="1"/>
    <x v="0"/>
    <s v="North"/>
    <s v="Eve"/>
    <s v="North|Eve"/>
  </r>
  <r>
    <n v="1070"/>
    <d v="2023-05-29T00:00:00"/>
    <s v="Charlie"/>
    <s v="South"/>
    <n v="1108.74"/>
    <n v="14"/>
    <s v="Furniture"/>
    <n v="3796.79"/>
    <n v="3947.5"/>
    <s v="Returning"/>
    <n v="0.24"/>
    <x v="1"/>
    <x v="0"/>
    <s v="South"/>
    <s v="Charlie"/>
    <s v="South|Charlie"/>
  </r>
  <r>
    <n v="1015"/>
    <d v="2023-09-24T00:00:00"/>
    <s v="Bob"/>
    <s v="East"/>
    <n v="182.37"/>
    <n v="35"/>
    <s v="Clothing"/>
    <n v="3461.15"/>
    <n v="3631.75"/>
    <s v="Returning"/>
    <n v="0.27"/>
    <x v="2"/>
    <x v="0"/>
    <s v="East"/>
    <s v="Bob"/>
    <s v="East|Bob"/>
  </r>
  <r>
    <n v="1054"/>
    <d v="2023-10-23T00:00:00"/>
    <s v="David"/>
    <s v="South"/>
    <n v="4392.47"/>
    <n v="48"/>
    <s v="Electronics"/>
    <n v="4325.0200000000004"/>
    <n v="4391.67"/>
    <s v="Returning"/>
    <n v="0.16"/>
    <x v="2"/>
    <x v="1"/>
    <s v="South"/>
    <s v="David"/>
    <s v="South|David"/>
  </r>
  <r>
    <n v="1060"/>
    <d v="2023-01-11T00:00:00"/>
    <s v="Charlie"/>
    <s v="West"/>
    <n v="1016.99"/>
    <n v="34"/>
    <s v="Electronics"/>
    <n v="4984.21"/>
    <n v="5184.6400000000003"/>
    <s v="New"/>
    <n v="0.17"/>
    <x v="0"/>
    <x v="0"/>
    <s v="West"/>
    <s v="Charlie"/>
    <s v="West|Charlie"/>
  </r>
  <r>
    <n v="1097"/>
    <d v="2023-06-13T00:00:00"/>
    <s v="Charlie"/>
    <s v="East"/>
    <n v="7509.01"/>
    <n v="10"/>
    <s v="Furniture"/>
    <n v="2162.9499999999998"/>
    <n v="2191.1899999999901"/>
    <s v="Returning"/>
    <n v="0.2"/>
    <x v="2"/>
    <x v="0"/>
    <s v="East"/>
    <s v="Charlie"/>
    <s v="East|Charlie"/>
  </r>
  <r>
    <n v="1008"/>
    <d v="2023-04-23T00:00:00"/>
    <s v="Eve"/>
    <s v="North"/>
    <n v="9154.0300000000007"/>
    <n v="35"/>
    <s v="Clothing"/>
    <n v="600.20000000000005"/>
    <n v="1059.82"/>
    <s v="Returning"/>
    <n v="0.28999999999999998"/>
    <x v="1"/>
    <x v="1"/>
    <s v="North"/>
    <s v="Eve"/>
    <s v="North|Eve"/>
  </r>
  <r>
    <n v="1053"/>
    <d v="2023-07-06T00:00:00"/>
    <s v="Charlie"/>
    <s v="East"/>
    <n v="4396.8100000000004"/>
    <n v="11"/>
    <s v="Electronics"/>
    <n v="200.56"/>
    <n v="540.38"/>
    <s v="New"/>
    <n v="0.18"/>
    <x v="1"/>
    <x v="0"/>
    <s v="East"/>
    <s v="Charlie"/>
    <s v="East|Charlie"/>
  </r>
  <r>
    <n v="1060"/>
    <d v="2023-10-22T00:00:00"/>
    <s v="Bob"/>
    <s v="North"/>
    <n v="2661.25"/>
    <n v="11"/>
    <s v="Furniture"/>
    <n v="3648.04"/>
    <n v="4143.51"/>
    <s v="Returning"/>
    <n v="0.17"/>
    <x v="2"/>
    <x v="1"/>
    <s v="North"/>
    <s v="Bob"/>
    <s v="North|Bob"/>
  </r>
  <r>
    <n v="1005"/>
    <d v="2023-08-20T00:00:00"/>
    <s v="Bob"/>
    <s v="North"/>
    <n v="4400.59"/>
    <n v="21"/>
    <s v="Food"/>
    <n v="4376.37"/>
    <n v="4818.95"/>
    <s v="New"/>
    <n v="0"/>
    <x v="2"/>
    <x v="1"/>
    <s v="North"/>
    <s v="Bob"/>
    <s v="North|Bob"/>
  </r>
  <r>
    <n v="1068"/>
    <d v="2023-08-15T00:00:00"/>
    <s v="Alice"/>
    <s v="South"/>
    <n v="7262.13"/>
    <n v="21"/>
    <s v="Food"/>
    <n v="1142.53"/>
    <n v="1384.3"/>
    <s v="Returning"/>
    <n v="0.02"/>
    <x v="2"/>
    <x v="1"/>
    <s v="South"/>
    <s v="Alice"/>
    <s v="South|Alice"/>
  </r>
  <r>
    <n v="1006"/>
    <d v="2023-11-06T00:00:00"/>
    <s v="Bob"/>
    <s v="South"/>
    <n v="189.64"/>
    <n v="22"/>
    <s v="Food"/>
    <n v="834.32"/>
    <n v="1098.97"/>
    <s v="Returning"/>
    <n v="0.17"/>
    <x v="0"/>
    <x v="0"/>
    <s v="South"/>
    <s v="Bob"/>
    <s v="South|Bob"/>
  </r>
  <r>
    <n v="1096"/>
    <d v="2023-04-08T00:00:00"/>
    <s v="Charlie"/>
    <s v="South"/>
    <n v="5935.59"/>
    <n v="45"/>
    <s v="Clothing"/>
    <n v="357.92"/>
    <n v="461.3"/>
    <s v="Returning"/>
    <n v="0.28000000000000003"/>
    <x v="0"/>
    <x v="0"/>
    <s v="South"/>
    <s v="Charlie"/>
    <s v="South|Charlie"/>
  </r>
  <r>
    <n v="1094"/>
    <d v="2023-02-24T00:00:00"/>
    <s v="Bob"/>
    <s v="West"/>
    <n v="6171.59"/>
    <n v="7"/>
    <s v="Furniture"/>
    <n v="4122.38"/>
    <n v="4358.78"/>
    <s v="Returning"/>
    <n v="0.26"/>
    <x v="1"/>
    <x v="1"/>
    <s v="West"/>
    <s v="Bob"/>
    <s v="West|Bob"/>
  </r>
  <r>
    <n v="1047"/>
    <d v="2023-04-21T00:00:00"/>
    <s v="Eve"/>
    <s v="West"/>
    <n v="6413.11"/>
    <n v="17"/>
    <s v="Furniture"/>
    <n v="1591.34"/>
    <n v="2043.82"/>
    <s v="New"/>
    <n v="0.28999999999999998"/>
    <x v="0"/>
    <x v="1"/>
    <s v="West"/>
    <s v="Eve"/>
    <s v="West|Eve"/>
  </r>
  <r>
    <n v="1099"/>
    <d v="2023-06-01T00:00:00"/>
    <s v="Alice"/>
    <s v="South"/>
    <n v="2496.02"/>
    <n v="2"/>
    <s v="Electronics"/>
    <n v="2038.4"/>
    <n v="2073.3200000000002"/>
    <s v="New"/>
    <n v="0.16"/>
    <x v="0"/>
    <x v="1"/>
    <s v="South"/>
    <s v="Alice"/>
    <s v="South|Alice"/>
  </r>
  <r>
    <n v="1055"/>
    <d v="2023-09-03T00:00:00"/>
    <s v="Charlie"/>
    <s v="West"/>
    <n v="7169.12"/>
    <n v="12"/>
    <s v="Electronics"/>
    <n v="2538.61"/>
    <n v="2971.75"/>
    <s v="Returning"/>
    <n v="0.24"/>
    <x v="0"/>
    <x v="0"/>
    <s v="West"/>
    <s v="Charlie"/>
    <s v="West|Charlie"/>
  </r>
  <r>
    <n v="1040"/>
    <d v="2023-03-10T00:00:00"/>
    <s v="Alice"/>
    <s v="East"/>
    <n v="1004.78"/>
    <n v="42"/>
    <s v="Electronics"/>
    <n v="4205.29"/>
    <n v="4382.3500000000004"/>
    <s v="New"/>
    <n v="0.25"/>
    <x v="0"/>
    <x v="1"/>
    <s v="East"/>
    <s v="Alice"/>
    <s v="East|Alice"/>
  </r>
  <r>
    <n v="1052"/>
    <d v="2023-11-08T00:00:00"/>
    <s v="Charlie"/>
    <s v="East"/>
    <n v="2072.7800000000002"/>
    <n v="18"/>
    <s v="Furniture"/>
    <n v="3271.62"/>
    <n v="3722.38"/>
    <s v="Returning"/>
    <n v="0.19"/>
    <x v="1"/>
    <x v="1"/>
    <s v="East"/>
    <s v="Charlie"/>
    <s v="East|Charlie"/>
  </r>
  <r>
    <n v="1016"/>
    <d v="2023-10-16T00:00:00"/>
    <s v="Eve"/>
    <s v="West"/>
    <n v="8786.9500000000007"/>
    <n v="11"/>
    <s v="Electronics"/>
    <n v="3094.57"/>
    <n v="3565.6"/>
    <s v="Returning"/>
    <n v="0.1"/>
    <x v="2"/>
    <x v="1"/>
    <s v="West"/>
    <s v="Eve"/>
    <s v="West|Eve"/>
  </r>
  <r>
    <n v="1013"/>
    <d v="2023-09-07T00:00:00"/>
    <s v="Alice"/>
    <s v="West"/>
    <n v="7413.36"/>
    <n v="16"/>
    <s v="Furniture"/>
    <n v="919.58"/>
    <n v="1258.3"/>
    <s v="Returning"/>
    <n v="0.14000000000000001"/>
    <x v="1"/>
    <x v="0"/>
    <s v="West"/>
    <s v="Alice"/>
    <s v="West|Alice"/>
  </r>
  <r>
    <n v="1030"/>
    <d v="2023-02-05T00:00:00"/>
    <s v="David"/>
    <s v="East"/>
    <n v="236.08"/>
    <n v="49"/>
    <s v="Furniture"/>
    <n v="2590.29"/>
    <n v="2925.86"/>
    <s v="Returning"/>
    <n v="0.26"/>
    <x v="0"/>
    <x v="1"/>
    <s v="East"/>
    <s v="David"/>
    <s v="East|David"/>
  </r>
  <r>
    <n v="1019"/>
    <d v="2023-08-27T00:00:00"/>
    <s v="Charlie"/>
    <s v="North"/>
    <n v="2558.92"/>
    <n v="18"/>
    <s v="Food"/>
    <n v="3591.14"/>
    <n v="3822.99"/>
    <s v="Returning"/>
    <n v="0.09"/>
    <x v="2"/>
    <x v="0"/>
    <s v="North"/>
    <s v="Charlie"/>
    <s v="North|Charlie"/>
  </r>
  <r>
    <n v="1017"/>
    <d v="2023-05-28T00:00:00"/>
    <s v="David"/>
    <s v="East"/>
    <n v="2222.62"/>
    <n v="35"/>
    <s v="Electronics"/>
    <n v="4867.6400000000003"/>
    <n v="5287.05"/>
    <s v="Returning"/>
    <n v="0.28000000000000003"/>
    <x v="2"/>
    <x v="0"/>
    <s v="East"/>
    <s v="David"/>
    <s v="East|David"/>
  </r>
  <r>
    <n v="1063"/>
    <d v="2023-08-15T00:00:00"/>
    <s v="Alice"/>
    <s v="East"/>
    <n v="2780.98"/>
    <n v="26"/>
    <s v="Food"/>
    <n v="1046.96"/>
    <n v="1528.15"/>
    <s v="New"/>
    <n v="7.0000000000000007E-2"/>
    <x v="2"/>
    <x v="1"/>
    <s v="East"/>
    <s v="Alice"/>
    <s v="East|Alice"/>
  </r>
  <r>
    <n v="1019"/>
    <d v="2023-09-01T00:00:00"/>
    <s v="David"/>
    <s v="West"/>
    <n v="2550.84"/>
    <n v="16"/>
    <s v="Clothing"/>
    <n v="97.24"/>
    <n v="487.03"/>
    <s v="New"/>
    <n v="0.22"/>
    <x v="1"/>
    <x v="1"/>
    <s v="West"/>
    <s v="David"/>
    <s v="West|David"/>
  </r>
  <r>
    <n v="1092"/>
    <d v="2023-12-03T00:00:00"/>
    <s v="David"/>
    <s v="East"/>
    <n v="719.01"/>
    <n v="6"/>
    <s v="Clothing"/>
    <n v="422.74"/>
    <n v="737.49"/>
    <s v="Returning"/>
    <n v="0.19"/>
    <x v="2"/>
    <x v="1"/>
    <s v="East"/>
    <s v="David"/>
    <s v="East|David"/>
  </r>
  <r>
    <n v="1058"/>
    <d v="2023-12-31T00:00:00"/>
    <s v="Alice"/>
    <s v="West"/>
    <n v="4643.51"/>
    <n v="44"/>
    <s v="Clothing"/>
    <n v="1910.47"/>
    <n v="2217.8000000000002"/>
    <s v="New"/>
    <n v="0.22"/>
    <x v="1"/>
    <x v="0"/>
    <s v="West"/>
    <s v="Alice"/>
    <s v="West|Alice"/>
  </r>
  <r>
    <n v="1055"/>
    <d v="2023-07-20T00:00:00"/>
    <s v="Eve"/>
    <s v="West"/>
    <n v="7354.06"/>
    <n v="43"/>
    <s v="Furniture"/>
    <n v="4111.7"/>
    <n v="4537.9399999999996"/>
    <s v="Returning"/>
    <n v="0.13"/>
    <x v="1"/>
    <x v="0"/>
    <s v="West"/>
    <s v="Eve"/>
    <s v="West|Eve"/>
  </r>
  <r>
    <n v="1090"/>
    <d v="2023-06-03T00:00:00"/>
    <s v="David"/>
    <s v="South"/>
    <n v="6106.64"/>
    <n v="47"/>
    <s v="Furniture"/>
    <n v="85.35"/>
    <n v="360.539999999999"/>
    <s v="New"/>
    <n v="0.28000000000000003"/>
    <x v="0"/>
    <x v="0"/>
    <s v="South"/>
    <s v="David"/>
    <s v="South|David"/>
  </r>
  <r>
    <n v="1090"/>
    <d v="2023-03-14T00:00:00"/>
    <s v="David"/>
    <s v="East"/>
    <n v="6761.43"/>
    <n v="47"/>
    <s v="Furniture"/>
    <n v="2310.8200000000002"/>
    <n v="2714.71"/>
    <s v="New"/>
    <n v="0.19"/>
    <x v="0"/>
    <x v="1"/>
    <s v="East"/>
    <s v="David"/>
    <s v="East|David"/>
  </r>
  <r>
    <n v="1062"/>
    <d v="2023-07-20T00:00:00"/>
    <s v="Eve"/>
    <s v="North"/>
    <n v="903.38"/>
    <n v="48"/>
    <s v="Electronics"/>
    <n v="1679.69"/>
    <n v="1939.04"/>
    <s v="New"/>
    <n v="0.09"/>
    <x v="2"/>
    <x v="0"/>
    <s v="North"/>
    <s v="Eve"/>
    <s v="North|Eve"/>
  </r>
  <r>
    <n v="1023"/>
    <d v="2023-10-23T00:00:00"/>
    <s v="David"/>
    <s v="South"/>
    <n v="9519.76"/>
    <n v="42"/>
    <s v="Food"/>
    <n v="309.77999999999997"/>
    <n v="350.38"/>
    <s v="Returning"/>
    <n v="0.19"/>
    <x v="2"/>
    <x v="1"/>
    <s v="South"/>
    <s v="David"/>
    <s v="South|David"/>
  </r>
  <r>
    <n v="1009"/>
    <d v="2023-01-17T00:00:00"/>
    <s v="David"/>
    <s v="West"/>
    <n v="8401.07"/>
    <n v="12"/>
    <s v="Furniture"/>
    <n v="2278.67"/>
    <n v="2476.8000000000002"/>
    <s v="New"/>
    <n v="0.09"/>
    <x v="0"/>
    <x v="1"/>
    <s v="West"/>
    <s v="David"/>
    <s v="West|David"/>
  </r>
  <r>
    <n v="1012"/>
    <d v="2023-05-09T00:00:00"/>
    <s v="David"/>
    <s v="West"/>
    <n v="8070.39"/>
    <n v="13"/>
    <s v="Food"/>
    <n v="1311.01"/>
    <n v="1538.79"/>
    <s v="Returning"/>
    <n v="0.09"/>
    <x v="1"/>
    <x v="1"/>
    <s v="West"/>
    <s v="David"/>
    <s v="West|David"/>
  </r>
  <r>
    <n v="1001"/>
    <d v="2023-08-05T00:00:00"/>
    <s v="Bob"/>
    <s v="North"/>
    <n v="8247.5400000000009"/>
    <n v="4"/>
    <s v="Food"/>
    <n v="1791.83"/>
    <n v="1871.22"/>
    <s v="Returning"/>
    <n v="0.12"/>
    <x v="1"/>
    <x v="0"/>
    <s v="North"/>
    <s v="Bob"/>
    <s v="North|Bob"/>
  </r>
  <r>
    <n v="1058"/>
    <d v="2023-03-02T00:00:00"/>
    <s v="Eve"/>
    <s v="West"/>
    <n v="9333.83"/>
    <n v="39"/>
    <s v="Food"/>
    <n v="3542.8"/>
    <n v="3603.02"/>
    <s v="Returning"/>
    <n v="0.26"/>
    <x v="0"/>
    <x v="0"/>
    <s v="West"/>
    <s v="Eve"/>
    <s v="West|Eve"/>
  </r>
  <r>
    <n v="1001"/>
    <d v="2023-04-14T00:00:00"/>
    <s v="David"/>
    <s v="East"/>
    <n v="5488.11"/>
    <n v="2"/>
    <s v="Electronics"/>
    <n v="2631.68"/>
    <n v="2904.06"/>
    <s v="New"/>
    <n v="0.15"/>
    <x v="1"/>
    <x v="0"/>
    <s v="East"/>
    <s v="David"/>
    <s v="East|David"/>
  </r>
  <r>
    <n v="1034"/>
    <d v="2023-02-11T00:00:00"/>
    <s v="Eve"/>
    <s v="South"/>
    <n v="2082.79"/>
    <n v="26"/>
    <s v="Electronics"/>
    <n v="667"/>
    <n v="718.72"/>
    <s v="New"/>
    <n v="0.2"/>
    <x v="0"/>
    <x v="1"/>
    <s v="South"/>
    <s v="Eve"/>
    <s v="South|Eve"/>
  </r>
  <r>
    <n v="1096"/>
    <d v="2023-01-25T00:00:00"/>
    <s v="Charlie"/>
    <s v="West"/>
    <n v="6206.16"/>
    <n v="27"/>
    <s v="Clothing"/>
    <n v="4809"/>
    <n v="4967.4399999999996"/>
    <s v="New"/>
    <n v="0.12"/>
    <x v="0"/>
    <x v="0"/>
    <s v="West"/>
    <s v="Charlie"/>
    <s v="West|Charlie"/>
  </r>
  <r>
    <n v="1048"/>
    <d v="2023-02-08T00:00:00"/>
    <s v="Charlie"/>
    <s v="West"/>
    <n v="7454.53"/>
    <n v="27"/>
    <s v="Clothing"/>
    <n v="3197.76"/>
    <n v="3572.61"/>
    <s v="Returning"/>
    <n v="0.08"/>
    <x v="2"/>
    <x v="0"/>
    <s v="West"/>
    <s v="Charlie"/>
    <s v="West|Charlie"/>
  </r>
  <r>
    <n v="1089"/>
    <d v="2023-10-18T00:00:00"/>
    <s v="David"/>
    <s v="North"/>
    <n v="7405.38"/>
    <n v="15"/>
    <s v="Food"/>
    <n v="3841.05"/>
    <n v="4323.62"/>
    <s v="Returning"/>
    <n v="0.28999999999999998"/>
    <x v="2"/>
    <x v="1"/>
    <s v="North"/>
    <s v="David"/>
    <s v="North|David"/>
  </r>
  <r>
    <n v="1001"/>
    <d v="2023-05-11T00:00:00"/>
    <s v="Eve"/>
    <s v="East"/>
    <n v="5262.35"/>
    <n v="8"/>
    <s v="Clothing"/>
    <n v="442.11"/>
    <n v="803.87"/>
    <s v="New"/>
    <n v="0.18"/>
    <x v="0"/>
    <x v="1"/>
    <s v="East"/>
    <s v="Eve"/>
    <s v="East|Eve"/>
  </r>
  <r>
    <n v="1016"/>
    <d v="2023-08-17T00:00:00"/>
    <s v="Eve"/>
    <s v="West"/>
    <n v="777.74"/>
    <n v="7"/>
    <s v="Food"/>
    <n v="282.94"/>
    <n v="779.32999999999902"/>
    <s v="Returning"/>
    <n v="0.28000000000000003"/>
    <x v="2"/>
    <x v="0"/>
    <s v="West"/>
    <s v="Eve"/>
    <s v="West|Eve"/>
  </r>
  <r>
    <n v="1061"/>
    <d v="2023-04-18T00:00:00"/>
    <s v="Eve"/>
    <s v="North"/>
    <n v="3774.02"/>
    <n v="47"/>
    <s v="Electronics"/>
    <n v="146.27000000000001"/>
    <n v="498.46"/>
    <s v="New"/>
    <n v="0.06"/>
    <x v="0"/>
    <x v="1"/>
    <s v="North"/>
    <s v="Eve"/>
    <s v="North|Eve"/>
  </r>
  <r>
    <n v="1064"/>
    <d v="2023-06-21T00:00:00"/>
    <s v="Bob"/>
    <s v="West"/>
    <n v="9215.59"/>
    <n v="46"/>
    <s v="Electronics"/>
    <n v="984.53"/>
    <n v="1138.49"/>
    <s v="New"/>
    <n v="0.04"/>
    <x v="1"/>
    <x v="0"/>
    <s v="West"/>
    <s v="Bob"/>
    <s v="West|Bob"/>
  </r>
  <r>
    <n v="1063"/>
    <d v="2023-04-12T00:00:00"/>
    <s v="Charlie"/>
    <s v="North"/>
    <n v="5886.04"/>
    <n v="40"/>
    <s v="Electronics"/>
    <n v="2101.3200000000002"/>
    <n v="2440.63"/>
    <s v="New"/>
    <n v="0.26"/>
    <x v="1"/>
    <x v="1"/>
    <s v="North"/>
    <s v="Charlie"/>
    <s v="North|Charlie"/>
  </r>
  <r>
    <n v="1069"/>
    <d v="2023-12-20T00:00:00"/>
    <s v="Eve"/>
    <s v="North"/>
    <n v="5429.49"/>
    <n v="12"/>
    <s v="Furniture"/>
    <n v="4682.34"/>
    <n v="5036.3999999999996"/>
    <s v="New"/>
    <n v="0.2"/>
    <x v="1"/>
    <x v="1"/>
    <s v="North"/>
    <s v="Eve"/>
    <s v="North|Eve"/>
  </r>
  <r>
    <n v="1022"/>
    <d v="2023-01-12T00:00:00"/>
    <s v="Eve"/>
    <s v="East"/>
    <n v="2761.65"/>
    <n v="13"/>
    <s v="Food"/>
    <n v="2312.4499999999998"/>
    <n v="2504.6"/>
    <s v="Returning"/>
    <n v="0.06"/>
    <x v="1"/>
    <x v="0"/>
    <s v="East"/>
    <s v="Eve"/>
    <s v="East|Eve"/>
  </r>
  <r>
    <n v="1093"/>
    <d v="2023-10-02T00:00:00"/>
    <s v="Bob"/>
    <s v="West"/>
    <n v="3747.64"/>
    <n v="43"/>
    <s v="Electronics"/>
    <n v="1486.76"/>
    <n v="1505.44"/>
    <s v="New"/>
    <n v="0.08"/>
    <x v="0"/>
    <x v="1"/>
    <s v="West"/>
    <s v="Bob"/>
    <s v="West|Bob"/>
  </r>
  <r>
    <n v="1067"/>
    <d v="2023-04-11T00:00:00"/>
    <s v="Bob"/>
    <s v="East"/>
    <n v="8963.93"/>
    <n v="17"/>
    <s v="Food"/>
    <n v="2831.58"/>
    <n v="3186.15"/>
    <s v="New"/>
    <n v="0.24"/>
    <x v="1"/>
    <x v="1"/>
    <s v="East"/>
    <s v="Bob"/>
    <s v="East|Bob"/>
  </r>
  <r>
    <n v="1076"/>
    <d v="2023-02-13T00:00:00"/>
    <s v="Eve"/>
    <s v="North"/>
    <n v="6697.98"/>
    <n v="17"/>
    <s v="Clothing"/>
    <n v="604.08000000000004"/>
    <n v="624.71"/>
    <s v="New"/>
    <n v="0.14000000000000001"/>
    <x v="1"/>
    <x v="1"/>
    <s v="North"/>
    <s v="Eve"/>
    <s v="North|Eve"/>
  </r>
  <r>
    <n v="1026"/>
    <d v="2023-11-01T00:00:00"/>
    <s v="Alice"/>
    <s v="South"/>
    <n v="7895.13"/>
    <n v="36"/>
    <s v="Clothing"/>
    <n v="3067.05"/>
    <n v="3386.33"/>
    <s v="New"/>
    <n v="0.2"/>
    <x v="1"/>
    <x v="0"/>
    <s v="South"/>
    <s v="Alice"/>
    <s v="South|Alice"/>
  </r>
  <r>
    <n v="1016"/>
    <d v="2023-01-17T00:00:00"/>
    <s v="Eve"/>
    <s v="West"/>
    <n v="4598.0200000000004"/>
    <n v="21"/>
    <s v="Electronics"/>
    <n v="2863.74"/>
    <n v="2953.91"/>
    <s v="New"/>
    <n v="0.1"/>
    <x v="1"/>
    <x v="1"/>
    <s v="West"/>
    <s v="Eve"/>
    <s v="West|Eve"/>
  </r>
  <r>
    <n v="1051"/>
    <d v="2023-11-26T00:00:00"/>
    <s v="Eve"/>
    <s v="South"/>
    <n v="6339.45"/>
    <n v="8"/>
    <s v="Food"/>
    <n v="3970.37"/>
    <n v="4257.5199999999904"/>
    <s v="New"/>
    <n v="0.11"/>
    <x v="0"/>
    <x v="1"/>
    <s v="South"/>
    <s v="Eve"/>
    <s v="South|Eve"/>
  </r>
  <r>
    <n v="1086"/>
    <d v="2023-02-26T00:00:00"/>
    <s v="Bob"/>
    <s v="West"/>
    <n v="2559"/>
    <n v="5"/>
    <s v="Electronics"/>
    <n v="4934.1000000000004"/>
    <n v="5191.0200000000004"/>
    <s v="New"/>
    <n v="0.3"/>
    <x v="1"/>
    <x v="0"/>
    <s v="West"/>
    <s v="Bob"/>
    <s v="West|Bob"/>
  </r>
  <r>
    <n v="1057"/>
    <d v="2023-11-07T00:00:00"/>
    <s v="Bob"/>
    <s v="East"/>
    <n v="7084.06"/>
    <n v="26"/>
    <s v="Clothing"/>
    <n v="1291.82"/>
    <n v="1308.4399999999901"/>
    <s v="Returning"/>
    <n v="7.0000000000000007E-2"/>
    <x v="2"/>
    <x v="0"/>
    <s v="East"/>
    <s v="Bob"/>
    <s v="East|Bob"/>
  </r>
  <r>
    <n v="1029"/>
    <d v="2023-10-30T00:00:00"/>
    <s v="Eve"/>
    <s v="East"/>
    <n v="4333.25"/>
    <n v="16"/>
    <s v="Electronics"/>
    <n v="2572.8000000000002"/>
    <n v="2760.6"/>
    <s v="Returning"/>
    <n v="0.15"/>
    <x v="2"/>
    <x v="1"/>
    <s v="East"/>
    <s v="Eve"/>
    <s v="East|Eve"/>
  </r>
  <r>
    <n v="1078"/>
    <d v="2023-01-12T00:00:00"/>
    <s v="Eve"/>
    <s v="East"/>
    <n v="4481.2"/>
    <n v="36"/>
    <s v="Food"/>
    <n v="4548.88"/>
    <n v="4853.41"/>
    <s v="Returning"/>
    <n v="0.25"/>
    <x v="2"/>
    <x v="1"/>
    <s v="East"/>
    <s v="Eve"/>
    <s v="East|Eve"/>
  </r>
  <r>
    <n v="1092"/>
    <d v="2023-11-14T00:00:00"/>
    <s v="Eve"/>
    <s v="East"/>
    <n v="6528.29"/>
    <n v="28"/>
    <s v="Clothing"/>
    <n v="3936.69"/>
    <n v="4362.51"/>
    <s v="Returning"/>
    <n v="7.0000000000000007E-2"/>
    <x v="2"/>
    <x v="1"/>
    <s v="East"/>
    <s v="Eve"/>
    <s v="East|Eve"/>
  </r>
  <r>
    <n v="1069"/>
    <d v="2023-03-21T00:00:00"/>
    <s v="Bob"/>
    <s v="East"/>
    <n v="9369.18"/>
    <n v="29"/>
    <s v="Furniture"/>
    <n v="2462.66"/>
    <n v="2908.0899999999901"/>
    <s v="New"/>
    <n v="0.12"/>
    <x v="2"/>
    <x v="0"/>
    <s v="East"/>
    <s v="Bob"/>
    <s v="East|Bob"/>
  </r>
  <r>
    <n v="1047"/>
    <d v="2023-08-04T00:00:00"/>
    <s v="Eve"/>
    <s v="South"/>
    <n v="733.66"/>
    <n v="47"/>
    <s v="Clothing"/>
    <n v="4729.59"/>
    <n v="4976.68"/>
    <s v="Returning"/>
    <n v="0.18"/>
    <x v="2"/>
    <x v="1"/>
    <s v="South"/>
    <s v="Eve"/>
    <s v="South|Eve"/>
  </r>
  <r>
    <n v="1094"/>
    <d v="2023-12-05T00:00:00"/>
    <s v="Eve"/>
    <s v="East"/>
    <n v="8264.9599999999991"/>
    <n v="12"/>
    <s v="Furniture"/>
    <n v="333.32"/>
    <n v="700.25"/>
    <s v="Returning"/>
    <n v="0.14000000000000001"/>
    <x v="0"/>
    <x v="0"/>
    <s v="East"/>
    <s v="Eve"/>
    <s v="East|Eve"/>
  </r>
  <r>
    <n v="1062"/>
    <d v="2023-09-21T00:00:00"/>
    <s v="David"/>
    <s v="North"/>
    <n v="2994.59"/>
    <n v="37"/>
    <s v="Electronics"/>
    <n v="4658.4399999999996"/>
    <n v="4823.5"/>
    <s v="Returning"/>
    <n v="0.14000000000000001"/>
    <x v="2"/>
    <x v="0"/>
    <s v="North"/>
    <s v="David"/>
    <s v="North|David"/>
  </r>
  <r>
    <n v="1069"/>
    <d v="2023-05-29T00:00:00"/>
    <s v="Alice"/>
    <s v="North"/>
    <n v="4494.8"/>
    <n v="30"/>
    <s v="Electronics"/>
    <n v="300.01"/>
    <n v="477.67999999999898"/>
    <s v="New"/>
    <n v="0.11"/>
    <x v="1"/>
    <x v="1"/>
    <s v="North"/>
    <s v="Alice"/>
    <s v="North|Alice"/>
  </r>
  <r>
    <n v="1076"/>
    <d v="2023-03-22T00:00:00"/>
    <s v="Charlie"/>
    <s v="South"/>
    <n v="316.94"/>
    <n v="23"/>
    <s v="Food"/>
    <n v="2759.16"/>
    <n v="2864.45"/>
    <s v="Returning"/>
    <n v="0.18"/>
    <x v="2"/>
    <x v="1"/>
    <s v="South"/>
    <s v="Charlie"/>
    <s v="South|Charlie"/>
  </r>
  <r>
    <n v="1016"/>
    <d v="2023-08-03T00:00:00"/>
    <s v="Alice"/>
    <s v="West"/>
    <n v="3080.36"/>
    <n v="16"/>
    <s v="Furniture"/>
    <n v="4457.68"/>
    <n v="4743.03"/>
    <s v="Returning"/>
    <n v="0.19"/>
    <x v="0"/>
    <x v="0"/>
    <s v="West"/>
    <s v="Alice"/>
    <s v="West|Alice"/>
  </r>
  <r>
    <n v="1090"/>
    <d v="2023-07-17T00:00:00"/>
    <s v="David"/>
    <s v="North"/>
    <n v="5076.05"/>
    <n v="14"/>
    <s v="Electronics"/>
    <n v="1350.47"/>
    <n v="1514.61"/>
    <s v="New"/>
    <n v="0.2"/>
    <x v="2"/>
    <x v="1"/>
    <s v="North"/>
    <s v="David"/>
    <s v="North|David"/>
  </r>
  <r>
    <n v="1090"/>
    <d v="2023-07-19T00:00:00"/>
    <s v="Charlie"/>
    <s v="West"/>
    <n v="656.14"/>
    <n v="10"/>
    <s v="Furniture"/>
    <n v="2387.63"/>
    <n v="2438.9699999999998"/>
    <s v="Returning"/>
    <n v="0.02"/>
    <x v="1"/>
    <x v="1"/>
    <s v="West"/>
    <s v="Charlie"/>
    <s v="West|Charlie"/>
  </r>
  <r>
    <n v="1048"/>
    <d v="2023-01-25T00:00:00"/>
    <s v="Eve"/>
    <s v="South"/>
    <n v="4961.8500000000004"/>
    <n v="7"/>
    <s v="Electronics"/>
    <n v="1655.43"/>
    <n v="2001.08"/>
    <s v="New"/>
    <n v="0.19"/>
    <x v="1"/>
    <x v="0"/>
    <s v="South"/>
    <s v="Eve"/>
    <s v="South|Eve"/>
  </r>
  <r>
    <n v="1085"/>
    <d v="2023-03-30T00:00:00"/>
    <s v="David"/>
    <s v="West"/>
    <n v="9278.4"/>
    <n v="45"/>
    <s v="Clothing"/>
    <n v="4763.1099999999997"/>
    <n v="5119.91"/>
    <s v="Returning"/>
    <n v="0.28999999999999998"/>
    <x v="0"/>
    <x v="1"/>
    <s v="West"/>
    <s v="David"/>
    <s v="West|David"/>
  </r>
  <r>
    <n v="1039"/>
    <d v="2023-09-25T00:00:00"/>
    <s v="Eve"/>
    <s v="West"/>
    <n v="1143.3900000000001"/>
    <n v="37"/>
    <s v="Electronics"/>
    <n v="4127.05"/>
    <n v="4313.45"/>
    <s v="New"/>
    <n v="0.16"/>
    <x v="0"/>
    <x v="0"/>
    <s v="West"/>
    <s v="Eve"/>
    <s v="West|Eve"/>
  </r>
  <r>
    <n v="1100"/>
    <d v="2023-05-23T00:00:00"/>
    <s v="Bob"/>
    <s v="West"/>
    <n v="7667.96"/>
    <n v="29"/>
    <s v="Food"/>
    <n v="3559.56"/>
    <n v="3607.15"/>
    <s v="Returning"/>
    <n v="0.21"/>
    <x v="0"/>
    <x v="1"/>
    <s v="West"/>
    <s v="Bob"/>
    <s v="West|Bob"/>
  </r>
  <r>
    <n v="1033"/>
    <d v="2023-02-28T00:00:00"/>
    <s v="David"/>
    <s v="West"/>
    <n v="4155.74"/>
    <n v="3"/>
    <s v="Clothing"/>
    <n v="2958.75"/>
    <n v="3177.64"/>
    <s v="Returning"/>
    <n v="0.17"/>
    <x v="0"/>
    <x v="0"/>
    <s v="West"/>
    <s v="David"/>
    <s v="West|David"/>
  </r>
  <r>
    <n v="1094"/>
    <d v="2023-12-31T00:00:00"/>
    <s v="Bob"/>
    <s v="South"/>
    <n v="6586.22"/>
    <n v="15"/>
    <s v="Food"/>
    <n v="4111.93"/>
    <n v="4338.67"/>
    <s v="Returning"/>
    <n v="0.26"/>
    <x v="2"/>
    <x v="0"/>
    <s v="South"/>
    <s v="Bob"/>
    <s v="South|Bob"/>
  </r>
  <r>
    <n v="1023"/>
    <d v="2023-01-26T00:00:00"/>
    <s v="David"/>
    <s v="North"/>
    <n v="2676.34"/>
    <n v="36"/>
    <s v="Clothing"/>
    <n v="1991.72"/>
    <n v="2329.37"/>
    <s v="New"/>
    <n v="0.28000000000000003"/>
    <x v="2"/>
    <x v="1"/>
    <s v="North"/>
    <s v="David"/>
    <s v="North|David"/>
  </r>
  <r>
    <n v="1010"/>
    <d v="2023-02-16T00:00:00"/>
    <s v="David"/>
    <s v="East"/>
    <n v="1678.97"/>
    <n v="47"/>
    <s v="Furniture"/>
    <n v="2265.38"/>
    <n v="2429.9299999999998"/>
    <s v="Returning"/>
    <n v="0.06"/>
    <x v="1"/>
    <x v="0"/>
    <s v="East"/>
    <s v="David"/>
    <s v="East|David"/>
  </r>
  <r>
    <n v="1069"/>
    <d v="2023-10-15T00:00:00"/>
    <s v="Bob"/>
    <s v="West"/>
    <n v="1688.58"/>
    <n v="46"/>
    <s v="Food"/>
    <n v="3663.51"/>
    <n v="4007.98"/>
    <s v="New"/>
    <n v="0.13"/>
    <x v="0"/>
    <x v="0"/>
    <s v="West"/>
    <s v="Bob"/>
    <s v="West|Bob"/>
  </r>
  <r>
    <n v="1100"/>
    <d v="2023-09-23T00:00:00"/>
    <s v="Charlie"/>
    <s v="North"/>
    <n v="797.87"/>
    <n v="19"/>
    <s v="Electronics"/>
    <n v="1820.89"/>
    <n v="2257.92"/>
    <s v="New"/>
    <n v="0.12"/>
    <x v="0"/>
    <x v="1"/>
    <s v="North"/>
    <s v="Charlie"/>
    <s v="North|Charlie"/>
  </r>
  <r>
    <n v="1034"/>
    <d v="2023-01-16T00:00:00"/>
    <s v="Alice"/>
    <s v="North"/>
    <n v="1937.9"/>
    <n v="13"/>
    <s v="Furniture"/>
    <n v="366.31"/>
    <n v="492.68"/>
    <s v="New"/>
    <n v="0.12"/>
    <x v="2"/>
    <x v="1"/>
    <s v="North"/>
    <s v="Alice"/>
    <s v="North|Alice"/>
  </r>
  <r>
    <n v="1052"/>
    <d v="2023-07-18T00:00:00"/>
    <s v="Eve"/>
    <s v="South"/>
    <n v="6675.77"/>
    <n v="42"/>
    <s v="Electronics"/>
    <n v="417.96"/>
    <n v="907.63"/>
    <s v="New"/>
    <n v="0.04"/>
    <x v="0"/>
    <x v="1"/>
    <s v="South"/>
    <s v="Eve"/>
    <s v="South|Eve"/>
  </r>
  <r>
    <n v="1095"/>
    <d v="2023-10-09T00:00:00"/>
    <s v="David"/>
    <s v="North"/>
    <n v="8828.74"/>
    <n v="21"/>
    <s v="Clothing"/>
    <n v="621.04999999999995"/>
    <n v="820.36999999999898"/>
    <s v="Returning"/>
    <n v="0.24"/>
    <x v="1"/>
    <x v="0"/>
    <s v="North"/>
    <s v="David"/>
    <s v="North|David"/>
  </r>
  <r>
    <n v="1010"/>
    <d v="2023-03-27T00:00:00"/>
    <s v="Eve"/>
    <s v="South"/>
    <n v="8159.84"/>
    <n v="37"/>
    <s v="Clothing"/>
    <n v="4354.92"/>
    <n v="4495.88"/>
    <s v="Returning"/>
    <n v="0.01"/>
    <x v="1"/>
    <x v="0"/>
    <s v="South"/>
    <s v="Eve"/>
    <s v="South|Eve"/>
  </r>
  <r>
    <n v="1019"/>
    <d v="2023-09-07T00:00:00"/>
    <s v="Bob"/>
    <s v="West"/>
    <n v="6882.83"/>
    <n v="27"/>
    <s v="Electronics"/>
    <n v="2387.52"/>
    <n v="2604.06"/>
    <s v="Returning"/>
    <n v="0.16"/>
    <x v="0"/>
    <x v="0"/>
    <s v="West"/>
    <s v="Bob"/>
    <s v="West|Bob"/>
  </r>
  <r>
    <n v="1058"/>
    <d v="2023-09-27T00:00:00"/>
    <s v="Eve"/>
    <s v="West"/>
    <n v="1193.28"/>
    <n v="29"/>
    <s v="Electronics"/>
    <n v="3578.77"/>
    <n v="3635.02"/>
    <s v="New"/>
    <n v="0.2"/>
    <x v="1"/>
    <x v="1"/>
    <s v="West"/>
    <s v="Eve"/>
    <s v="West|Eve"/>
  </r>
  <r>
    <n v="1096"/>
    <d v="2023-12-01T00:00:00"/>
    <s v="Bob"/>
    <s v="East"/>
    <n v="2962.96"/>
    <n v="20"/>
    <s v="Furniture"/>
    <n v="1994.9"/>
    <n v="2066.5"/>
    <s v="Returning"/>
    <n v="0.06"/>
    <x v="1"/>
    <x v="0"/>
    <s v="East"/>
    <s v="Bob"/>
    <s v="East|Bob"/>
  </r>
  <r>
    <n v="1001"/>
    <d v="2023-04-27T00:00:00"/>
    <s v="Eve"/>
    <s v="East"/>
    <n v="3167.09"/>
    <n v="25"/>
    <s v="Electronics"/>
    <n v="1330.62"/>
    <n v="1543.6899999999901"/>
    <s v="New"/>
    <n v="0.27"/>
    <x v="2"/>
    <x v="0"/>
    <s v="East"/>
    <s v="Eve"/>
    <s v="East|Eve"/>
  </r>
  <r>
    <n v="1069"/>
    <d v="2023-01-07T00:00:00"/>
    <s v="Alice"/>
    <s v="East"/>
    <n v="2574.5700000000002"/>
    <n v="6"/>
    <s v="Food"/>
    <n v="1768.6"/>
    <n v="2152.1999999999998"/>
    <s v="New"/>
    <n v="0.25"/>
    <x v="1"/>
    <x v="1"/>
    <s v="East"/>
    <s v="Alice"/>
    <s v="East|Alice"/>
  </r>
  <r>
    <n v="1004"/>
    <d v="2023-05-17T00:00:00"/>
    <s v="Alice"/>
    <s v="North"/>
    <n v="5198.5600000000004"/>
    <n v="36"/>
    <s v="Food"/>
    <n v="3981.2"/>
    <n v="4432.3499999999904"/>
    <s v="New"/>
    <n v="0.14000000000000001"/>
    <x v="0"/>
    <x v="0"/>
    <s v="North"/>
    <s v="Alice"/>
    <s v="North|Alice"/>
  </r>
  <r>
    <n v="1016"/>
    <d v="2023-06-25T00:00:00"/>
    <s v="Alice"/>
    <s v="West"/>
    <n v="5401.98"/>
    <n v="2"/>
    <s v="Electronics"/>
    <n v="3144.82"/>
    <n v="3480.58"/>
    <s v="Returning"/>
    <n v="0.12"/>
    <x v="0"/>
    <x v="1"/>
    <s v="West"/>
    <s v="Alice"/>
    <s v="West|Alice"/>
  </r>
  <r>
    <n v="1024"/>
    <d v="2023-11-24T00:00:00"/>
    <s v="Alice"/>
    <s v="South"/>
    <n v="3633.17"/>
    <n v="22"/>
    <s v="Food"/>
    <n v="4691.32"/>
    <n v="4752.88"/>
    <s v="Returning"/>
    <n v="7.0000000000000007E-2"/>
    <x v="1"/>
    <x v="1"/>
    <s v="South"/>
    <s v="Alice"/>
    <s v="South|Alice"/>
  </r>
  <r>
    <n v="1080"/>
    <d v="2023-11-11T00:00:00"/>
    <s v="Alice"/>
    <s v="East"/>
    <n v="3602.51"/>
    <n v="32"/>
    <s v="Electronics"/>
    <n v="3414.54"/>
    <n v="3753.83"/>
    <s v="New"/>
    <n v="0.22"/>
    <x v="0"/>
    <x v="1"/>
    <s v="East"/>
    <s v="Alice"/>
    <s v="East|Alice"/>
  </r>
  <r>
    <n v="1002"/>
    <d v="2023-08-03T00:00:00"/>
    <s v="Alice"/>
    <s v="South"/>
    <n v="8302.7000000000007"/>
    <n v="16"/>
    <s v="Furniture"/>
    <n v="2872.4"/>
    <n v="3193.76"/>
    <s v="Returning"/>
    <n v="0.04"/>
    <x v="2"/>
    <x v="0"/>
    <s v="South"/>
    <s v="Alice"/>
    <s v="South|Alice"/>
  </r>
  <r>
    <n v="1092"/>
    <d v="2023-03-23T00:00:00"/>
    <s v="Bob"/>
    <s v="South"/>
    <n v="7914"/>
    <n v="18"/>
    <s v="Food"/>
    <n v="3070.47"/>
    <n v="3475.29"/>
    <s v="Returning"/>
    <n v="0.2"/>
    <x v="1"/>
    <x v="0"/>
    <s v="South"/>
    <s v="Bob"/>
    <s v="South|Bob"/>
  </r>
  <r>
    <n v="1032"/>
    <d v="2023-08-11T00:00:00"/>
    <s v="David"/>
    <s v="East"/>
    <n v="3147.18"/>
    <n v="5"/>
    <s v="Food"/>
    <n v="4714.74"/>
    <n v="5129.1099999999997"/>
    <s v="New"/>
    <n v="0.25"/>
    <x v="1"/>
    <x v="0"/>
    <s v="East"/>
    <s v="David"/>
    <s v="East|David"/>
  </r>
  <r>
    <n v="1091"/>
    <d v="2023-04-13T00:00:00"/>
    <s v="Eve"/>
    <s v="West"/>
    <n v="9146.51"/>
    <n v="36"/>
    <s v="Electronics"/>
    <n v="3951.59"/>
    <n v="4387.01"/>
    <s v="New"/>
    <n v="7.0000000000000007E-2"/>
    <x v="1"/>
    <x v="1"/>
    <s v="West"/>
    <s v="Eve"/>
    <s v="West|Eve"/>
  </r>
  <r>
    <n v="1084"/>
    <d v="2023-09-30T00:00:00"/>
    <s v="Alice"/>
    <s v="East"/>
    <n v="9532.8700000000008"/>
    <n v="30"/>
    <s v="Food"/>
    <n v="169"/>
    <n v="381.91999999999899"/>
    <s v="Returning"/>
    <n v="0.26"/>
    <x v="0"/>
    <x v="1"/>
    <s v="East"/>
    <s v="Alice"/>
    <s v="East|Alice"/>
  </r>
  <r>
    <n v="1024"/>
    <d v="2023-01-14T00:00:00"/>
    <s v="Bob"/>
    <s v="South"/>
    <n v="3334.75"/>
    <n v="45"/>
    <s v="Clothing"/>
    <n v="2693.99"/>
    <n v="3045.9399999999901"/>
    <s v="New"/>
    <n v="0.01"/>
    <x v="0"/>
    <x v="1"/>
    <s v="South"/>
    <s v="Bob"/>
    <s v="South|Bob"/>
  </r>
  <r>
    <n v="1012"/>
    <d v="2023-06-08T00:00:00"/>
    <s v="Bob"/>
    <s v="East"/>
    <n v="3608.81"/>
    <n v="19"/>
    <s v="Furniture"/>
    <n v="3457.28"/>
    <n v="3598.72"/>
    <s v="New"/>
    <n v="0.27"/>
    <x v="1"/>
    <x v="0"/>
    <s v="East"/>
    <s v="Bob"/>
    <s v="East|Bob"/>
  </r>
  <r>
    <n v="1050"/>
    <d v="2023-06-01T00:00:00"/>
    <s v="Bob"/>
    <s v="South"/>
    <n v="5105.78"/>
    <n v="23"/>
    <s v="Furniture"/>
    <n v="3756.06"/>
    <n v="4255.7299999999996"/>
    <s v="Returning"/>
    <n v="0.04"/>
    <x v="0"/>
    <x v="0"/>
    <s v="South"/>
    <s v="Bob"/>
    <s v="South|Bob"/>
  </r>
  <r>
    <n v="1035"/>
    <d v="2023-04-18T00:00:00"/>
    <s v="David"/>
    <s v="South"/>
    <n v="9417.1"/>
    <n v="34"/>
    <s v="Food"/>
    <n v="1105.05"/>
    <n v="1200.96"/>
    <s v="Returning"/>
    <n v="0.19"/>
    <x v="0"/>
    <x v="0"/>
    <s v="South"/>
    <s v="David"/>
    <s v="South|David"/>
  </r>
  <r>
    <n v="1033"/>
    <d v="2023-07-07T00:00:00"/>
    <s v="Eve"/>
    <s v="East"/>
    <n v="8775.56"/>
    <n v="13"/>
    <s v="Food"/>
    <n v="4342.53"/>
    <n v="4357.49"/>
    <s v="New"/>
    <n v="0.08"/>
    <x v="1"/>
    <x v="0"/>
    <s v="East"/>
    <s v="Eve"/>
    <s v="East|Eve"/>
  </r>
  <r>
    <n v="1033"/>
    <d v="2023-10-28T00:00:00"/>
    <s v="David"/>
    <s v="North"/>
    <n v="1115.42"/>
    <n v="43"/>
    <s v="Clothing"/>
    <n v="4781.42"/>
    <n v="4864.34"/>
    <s v="Returning"/>
    <n v="0.25"/>
    <x v="1"/>
    <x v="0"/>
    <s v="North"/>
    <s v="David"/>
    <s v="North|David"/>
  </r>
  <r>
    <n v="1061"/>
    <d v="2023-04-08T00:00:00"/>
    <s v="Charlie"/>
    <s v="East"/>
    <n v="3988.03"/>
    <n v="29"/>
    <s v="Clothing"/>
    <n v="1221.74"/>
    <n v="1611.92"/>
    <s v="New"/>
    <n v="0.15"/>
    <x v="0"/>
    <x v="1"/>
    <s v="East"/>
    <s v="Charlie"/>
    <s v="East|Charlie"/>
  </r>
  <r>
    <n v="1051"/>
    <d v="2023-05-11T00:00:00"/>
    <s v="Bob"/>
    <s v="North"/>
    <n v="5578.37"/>
    <n v="36"/>
    <s v="Food"/>
    <n v="4418.95"/>
    <n v="4647.87"/>
    <s v="New"/>
    <n v="0.04"/>
    <x v="1"/>
    <x v="0"/>
    <s v="North"/>
    <s v="Bob"/>
    <s v="North|Bob"/>
  </r>
  <r>
    <n v="1043"/>
    <d v="2023-10-20T00:00:00"/>
    <s v="Charlie"/>
    <s v="South"/>
    <n v="5081.01"/>
    <n v="22"/>
    <s v="Food"/>
    <n v="530.04"/>
    <n v="759.31999999999903"/>
    <s v="Returning"/>
    <n v="0.17"/>
    <x v="1"/>
    <x v="1"/>
    <s v="South"/>
    <s v="Charlie"/>
    <s v="South|Charlie"/>
  </r>
  <r>
    <n v="1012"/>
    <d v="2023-06-20T00:00:00"/>
    <s v="Alice"/>
    <s v="South"/>
    <n v="2019.24"/>
    <n v="47"/>
    <s v="Clothing"/>
    <n v="325.75"/>
    <n v="803.71"/>
    <s v="New"/>
    <n v="0.12"/>
    <x v="1"/>
    <x v="1"/>
    <s v="South"/>
    <s v="Alice"/>
    <s v="South|Alice"/>
  </r>
  <r>
    <n v="1067"/>
    <d v="2023-07-02T00:00:00"/>
    <s v="Alice"/>
    <s v="North"/>
    <n v="8602.2900000000009"/>
    <n v="36"/>
    <s v="Electronics"/>
    <n v="689.66"/>
    <n v="1150.28"/>
    <s v="New"/>
    <n v="0.2"/>
    <x v="1"/>
    <x v="0"/>
    <s v="North"/>
    <s v="Alice"/>
    <s v="North|Alice"/>
  </r>
  <r>
    <n v="1065"/>
    <d v="2023-12-30T00:00:00"/>
    <s v="David"/>
    <s v="South"/>
    <n v="6801.71"/>
    <n v="9"/>
    <s v="Clothing"/>
    <n v="335.82"/>
    <n v="498.31"/>
    <s v="New"/>
    <n v="0.26"/>
    <x v="0"/>
    <x v="1"/>
    <s v="South"/>
    <s v="David"/>
    <s v="South|David"/>
  </r>
  <r>
    <n v="1033"/>
    <d v="2023-02-08T00:00:00"/>
    <s v="Eve"/>
    <s v="North"/>
    <n v="8395.2900000000009"/>
    <n v="39"/>
    <s v="Electronics"/>
    <n v="4232.8100000000004"/>
    <n v="4345.25"/>
    <s v="Returning"/>
    <n v="0.12"/>
    <x v="1"/>
    <x v="0"/>
    <s v="North"/>
    <s v="Eve"/>
    <s v="North|Eve"/>
  </r>
  <r>
    <n v="1040"/>
    <d v="2023-01-15T00:00:00"/>
    <s v="Charlie"/>
    <s v="North"/>
    <n v="8601.77"/>
    <n v="19"/>
    <s v="Furniture"/>
    <n v="342.3"/>
    <n v="768.06"/>
    <s v="Returning"/>
    <n v="0.09"/>
    <x v="2"/>
    <x v="0"/>
    <s v="North"/>
    <s v="Charlie"/>
    <s v="North|Charlie"/>
  </r>
  <r>
    <n v="1074"/>
    <d v="2023-01-04T00:00:00"/>
    <s v="Eve"/>
    <s v="South"/>
    <n v="7508.72"/>
    <n v="38"/>
    <s v="Furniture"/>
    <n v="1394.74"/>
    <n v="1848.69"/>
    <s v="Returning"/>
    <n v="0"/>
    <x v="1"/>
    <x v="1"/>
    <s v="South"/>
    <s v="Eve"/>
    <s v="South|Eve"/>
  </r>
  <r>
    <n v="1043"/>
    <d v="2023-12-15T00:00:00"/>
    <s v="David"/>
    <s v="West"/>
    <n v="4448.18"/>
    <n v="6"/>
    <s v="Clothing"/>
    <n v="563.59"/>
    <n v="838.97"/>
    <s v="New"/>
    <n v="0.17"/>
    <x v="2"/>
    <x v="0"/>
    <s v="West"/>
    <s v="David"/>
    <s v="West|David"/>
  </r>
  <r>
    <n v="1044"/>
    <d v="2023-07-29T00:00:00"/>
    <s v="Alice"/>
    <s v="North"/>
    <n v="6144.41"/>
    <n v="47"/>
    <s v="Electronics"/>
    <n v="1512.34"/>
    <n v="1830.76"/>
    <s v="New"/>
    <n v="0.12"/>
    <x v="1"/>
    <x v="0"/>
    <s v="North"/>
    <s v="Alice"/>
    <s v="North|Alice"/>
  </r>
  <r>
    <n v="1029"/>
    <d v="2023-06-10T00:00:00"/>
    <s v="Eve"/>
    <s v="East"/>
    <n v="1687.62"/>
    <n v="15"/>
    <s v="Clothing"/>
    <n v="498.27"/>
    <n v="634.16"/>
    <s v="Returning"/>
    <n v="0.11"/>
    <x v="2"/>
    <x v="1"/>
    <s v="East"/>
    <s v="Eve"/>
    <s v="East|Eve"/>
  </r>
  <r>
    <n v="1013"/>
    <d v="2023-01-16T00:00:00"/>
    <s v="Eve"/>
    <s v="East"/>
    <n v="6769.09"/>
    <n v="20"/>
    <s v="Clothing"/>
    <n v="3356.62"/>
    <n v="3759.0099999999902"/>
    <s v="Returning"/>
    <n v="0.05"/>
    <x v="2"/>
    <x v="1"/>
    <s v="East"/>
    <s v="Eve"/>
    <s v="East|Eve"/>
  </r>
  <r>
    <n v="1012"/>
    <d v="2023-04-18T00:00:00"/>
    <s v="Alice"/>
    <s v="South"/>
    <n v="1874.61"/>
    <n v="9"/>
    <s v="Electronics"/>
    <n v="709.97"/>
    <n v="1029.71"/>
    <s v="Returning"/>
    <n v="0.13"/>
    <x v="1"/>
    <x v="1"/>
    <s v="South"/>
    <s v="Alice"/>
    <s v="South|Alice"/>
  </r>
  <r>
    <n v="1095"/>
    <d v="2023-11-07T00:00:00"/>
    <s v="Charlie"/>
    <s v="West"/>
    <n v="6970.1"/>
    <n v="32"/>
    <s v="Clothing"/>
    <n v="4266.6400000000003"/>
    <n v="4523.3599999999997"/>
    <s v="New"/>
    <n v="0.3"/>
    <x v="1"/>
    <x v="1"/>
    <s v="West"/>
    <s v="Charlie"/>
    <s v="West|Charlie"/>
  </r>
  <r>
    <n v="1046"/>
    <d v="2023-08-15T00:00:00"/>
    <s v="Alice"/>
    <s v="South"/>
    <n v="2373.02"/>
    <n v="4"/>
    <s v="Furniture"/>
    <n v="4095.1"/>
    <n v="4134.55"/>
    <s v="Returning"/>
    <n v="0.09"/>
    <x v="1"/>
    <x v="1"/>
    <s v="South"/>
    <s v="Alice"/>
    <s v="South|Alice"/>
  </r>
  <r>
    <n v="1002"/>
    <d v="2023-06-19T00:00:00"/>
    <s v="Eve"/>
    <s v="West"/>
    <n v="1263.76"/>
    <n v="18"/>
    <s v="Food"/>
    <n v="117.63"/>
    <n v="576.44000000000005"/>
    <s v="New"/>
    <n v="0.18"/>
    <x v="2"/>
    <x v="1"/>
    <s v="West"/>
    <s v="Eve"/>
    <s v="West|Eve"/>
  </r>
  <r>
    <n v="1035"/>
    <d v="2023-02-03T00:00:00"/>
    <s v="Charlie"/>
    <s v="North"/>
    <n v="1736.32"/>
    <n v="5"/>
    <s v="Food"/>
    <n v="4483.8500000000004"/>
    <n v="4795.42"/>
    <s v="Returning"/>
    <n v="0.23"/>
    <x v="0"/>
    <x v="0"/>
    <s v="North"/>
    <s v="Charlie"/>
    <s v="North|Charlie"/>
  </r>
  <r>
    <n v="1087"/>
    <d v="2023-09-08T00:00:00"/>
    <s v="Charlie"/>
    <s v="North"/>
    <n v="119.72"/>
    <n v="20"/>
    <s v="Clothing"/>
    <n v="193.27"/>
    <n v="297.69"/>
    <s v="New"/>
    <n v="0.22"/>
    <x v="0"/>
    <x v="0"/>
    <s v="North"/>
    <s v="Charlie"/>
    <s v="North|Charlie"/>
  </r>
  <r>
    <n v="1081"/>
    <d v="2023-09-04T00:00:00"/>
    <s v="Alice"/>
    <s v="North"/>
    <n v="7215.52"/>
    <n v="23"/>
    <s v="Electronics"/>
    <n v="1236.25"/>
    <n v="1543.38"/>
    <s v="New"/>
    <n v="0.1"/>
    <x v="1"/>
    <x v="0"/>
    <s v="North"/>
    <s v="Alice"/>
    <s v="North|Alice"/>
  </r>
  <r>
    <n v="1090"/>
    <d v="2023-09-26T00:00:00"/>
    <s v="Eve"/>
    <s v="North"/>
    <n v="7350.77"/>
    <n v="11"/>
    <s v="Electronics"/>
    <n v="210.33"/>
    <n v="552.29"/>
    <s v="Returning"/>
    <n v="0.18"/>
    <x v="0"/>
    <x v="1"/>
    <s v="North"/>
    <s v="Eve"/>
    <s v="North|Eve"/>
  </r>
  <r>
    <n v="1008"/>
    <d v="2023-05-21T00:00:00"/>
    <s v="David"/>
    <s v="East"/>
    <n v="5197.84"/>
    <n v="37"/>
    <s v="Furniture"/>
    <n v="1712.43"/>
    <n v="1980.06"/>
    <s v="New"/>
    <n v="0.26"/>
    <x v="0"/>
    <x v="0"/>
    <s v="East"/>
    <s v="David"/>
    <s v="East|David"/>
  </r>
  <r>
    <n v="1093"/>
    <d v="2023-10-01T00:00:00"/>
    <s v="Eve"/>
    <s v="East"/>
    <n v="1697.49"/>
    <n v="22"/>
    <s v="Electronics"/>
    <n v="2593.64"/>
    <n v="2955.5099999999902"/>
    <s v="Returning"/>
    <n v="0"/>
    <x v="1"/>
    <x v="1"/>
    <s v="East"/>
    <s v="Eve"/>
    <s v="East|Eve"/>
  </r>
  <r>
    <n v="1026"/>
    <d v="2023-04-06T00:00:00"/>
    <s v="Bob"/>
    <s v="South"/>
    <n v="927.19"/>
    <n v="4"/>
    <s v="Electronics"/>
    <n v="3993.39"/>
    <n v="4288.3"/>
    <s v="New"/>
    <n v="0.13"/>
    <x v="2"/>
    <x v="0"/>
    <s v="South"/>
    <s v="Bob"/>
    <s v="South|Bob"/>
  </r>
  <r>
    <n v="1074"/>
    <d v="2023-08-15T00:00:00"/>
    <s v="David"/>
    <s v="West"/>
    <n v="289.38"/>
    <n v="29"/>
    <s v="Furniture"/>
    <n v="1723.01"/>
    <n v="2197.42"/>
    <s v="New"/>
    <n v="7.0000000000000007E-2"/>
    <x v="1"/>
    <x v="1"/>
    <s v="West"/>
    <s v="David"/>
    <s v="West|David"/>
  </r>
  <r>
    <n v="1090"/>
    <d v="2023-02-08T00:00:00"/>
    <s v="Charlie"/>
    <s v="North"/>
    <n v="1740.91"/>
    <n v="44"/>
    <s v="Clothing"/>
    <n v="3542.18"/>
    <n v="3578.49"/>
    <s v="Returning"/>
    <n v="0.12"/>
    <x v="0"/>
    <x v="0"/>
    <s v="North"/>
    <s v="Charlie"/>
    <s v="North|Charlie"/>
  </r>
  <r>
    <n v="1034"/>
    <d v="2023-10-29T00:00:00"/>
    <s v="David"/>
    <s v="North"/>
    <n v="8919.4699999999993"/>
    <n v="34"/>
    <s v="Food"/>
    <n v="978.15"/>
    <n v="1040.21"/>
    <s v="New"/>
    <n v="0.12"/>
    <x v="2"/>
    <x v="1"/>
    <s v="North"/>
    <s v="David"/>
    <s v="North|David"/>
  </r>
  <r>
    <n v="1007"/>
    <d v="2023-01-29T00:00:00"/>
    <s v="Charlie"/>
    <s v="West"/>
    <n v="2491.21"/>
    <n v="13"/>
    <s v="Furniture"/>
    <n v="3765.46"/>
    <n v="3860.56"/>
    <s v="Returning"/>
    <n v="0.22"/>
    <x v="0"/>
    <x v="1"/>
    <s v="West"/>
    <s v="Charlie"/>
    <s v="West|Charlie"/>
  </r>
  <r>
    <n v="1068"/>
    <d v="2023-11-14T00:00:00"/>
    <s v="Charlie"/>
    <s v="West"/>
    <n v="3607.29"/>
    <n v="42"/>
    <s v="Clothing"/>
    <n v="1218.18"/>
    <n v="1566.36"/>
    <s v="Returning"/>
    <n v="0.03"/>
    <x v="2"/>
    <x v="1"/>
    <s v="West"/>
    <s v="Charlie"/>
    <s v="West|Charlie"/>
  </r>
  <r>
    <n v="1058"/>
    <d v="2023-09-02T00:00:00"/>
    <s v="David"/>
    <s v="South"/>
    <n v="1142.92"/>
    <n v="9"/>
    <s v="Furniture"/>
    <n v="760.55"/>
    <n v="1086.8899999999901"/>
    <s v="Returning"/>
    <n v="0.15"/>
    <x v="0"/>
    <x v="1"/>
    <s v="South"/>
    <s v="David"/>
    <s v="South|David"/>
  </r>
  <r>
    <n v="1075"/>
    <d v="2023-08-24T00:00:00"/>
    <s v="Charlie"/>
    <s v="West"/>
    <n v="2301.38"/>
    <n v="42"/>
    <s v="Clothing"/>
    <n v="967.77"/>
    <n v="1414.88"/>
    <s v="New"/>
    <n v="0.17"/>
    <x v="1"/>
    <x v="0"/>
    <s v="West"/>
    <s v="Charlie"/>
    <s v="West|Charlie"/>
  </r>
  <r>
    <n v="1029"/>
    <d v="2023-07-04T00:00:00"/>
    <s v="Charlie"/>
    <s v="North"/>
    <n v="5240.32"/>
    <n v="31"/>
    <s v="Furniture"/>
    <n v="951.21"/>
    <n v="1320.32"/>
    <s v="New"/>
    <n v="0.15"/>
    <x v="0"/>
    <x v="0"/>
    <s v="North"/>
    <s v="Charlie"/>
    <s v="North|Charlie"/>
  </r>
  <r>
    <n v="1036"/>
    <d v="2023-09-29T00:00:00"/>
    <s v="Bob"/>
    <s v="North"/>
    <n v="6116.75"/>
    <n v="7"/>
    <s v="Clothing"/>
    <n v="2588.67"/>
    <n v="2847.76"/>
    <s v="New"/>
    <n v="0.22"/>
    <x v="0"/>
    <x v="1"/>
    <s v="North"/>
    <s v="Bob"/>
    <s v="North|Bob"/>
  </r>
  <r>
    <n v="1089"/>
    <d v="2023-08-24T00:00:00"/>
    <s v="Eve"/>
    <s v="North"/>
    <n v="2528.9899999999998"/>
    <n v="4"/>
    <s v="Furniture"/>
    <n v="4231.75"/>
    <n v="4727.75"/>
    <s v="Returning"/>
    <n v="0.12"/>
    <x v="2"/>
    <x v="1"/>
    <s v="North"/>
    <s v="Eve"/>
    <s v="North|Eve"/>
  </r>
  <r>
    <n v="1021"/>
    <d v="2023-08-27T00:00:00"/>
    <s v="Eve"/>
    <s v="North"/>
    <n v="671.55"/>
    <n v="19"/>
    <s v="Clothing"/>
    <n v="444.05"/>
    <n v="584.44000000000005"/>
    <s v="Returning"/>
    <n v="0.28000000000000003"/>
    <x v="0"/>
    <x v="1"/>
    <s v="North"/>
    <s v="Eve"/>
    <s v="North|Eve"/>
  </r>
  <r>
    <n v="1036"/>
    <d v="2023-09-23T00:00:00"/>
    <s v="Bob"/>
    <s v="North"/>
    <n v="3971.23"/>
    <n v="42"/>
    <s v="Furniture"/>
    <n v="3549.43"/>
    <n v="3967.6899999999901"/>
    <s v="New"/>
    <n v="0.14000000000000001"/>
    <x v="1"/>
    <x v="0"/>
    <s v="North"/>
    <s v="Bob"/>
    <s v="North|Bob"/>
  </r>
  <r>
    <n v="1010"/>
    <d v="2023-12-25T00:00:00"/>
    <s v="David"/>
    <s v="South"/>
    <n v="2418.61"/>
    <n v="30"/>
    <s v="Food"/>
    <n v="3289.01"/>
    <n v="3508.14"/>
    <s v="New"/>
    <n v="0.17"/>
    <x v="1"/>
    <x v="1"/>
    <s v="South"/>
    <s v="David"/>
    <s v="South|David"/>
  </r>
  <r>
    <n v="1073"/>
    <d v="2023-12-06T00:00:00"/>
    <s v="Alice"/>
    <s v="North"/>
    <n v="2273.58"/>
    <n v="31"/>
    <s v="Food"/>
    <n v="4368.97"/>
    <n v="4696.8500000000004"/>
    <s v="Returning"/>
    <n v="0.25"/>
    <x v="1"/>
    <x v="1"/>
    <s v="North"/>
    <s v="Alice"/>
    <s v="North|Alice"/>
  </r>
  <r>
    <n v="1024"/>
    <d v="2023-03-06T00:00:00"/>
    <s v="Alice"/>
    <s v="South"/>
    <n v="9602.64"/>
    <n v="35"/>
    <s v="Electronics"/>
    <n v="1258.53"/>
    <n v="1624.8899999999901"/>
    <s v="New"/>
    <n v="0.08"/>
    <x v="2"/>
    <x v="0"/>
    <s v="South"/>
    <s v="Alice"/>
    <s v="South|Alice"/>
  </r>
  <r>
    <n v="1064"/>
    <d v="2023-06-26T00:00:00"/>
    <s v="Alice"/>
    <s v="North"/>
    <n v="6201.37"/>
    <n v="21"/>
    <s v="Clothing"/>
    <n v="2278.04"/>
    <n v="2598.58"/>
    <s v="Returning"/>
    <n v="0.02"/>
    <x v="2"/>
    <x v="1"/>
    <s v="North"/>
    <s v="Alice"/>
    <s v="North|Alice"/>
  </r>
  <r>
    <n v="1099"/>
    <d v="2023-01-03T00:00:00"/>
    <s v="Bob"/>
    <s v="East"/>
    <n v="5613.1"/>
    <n v="31"/>
    <s v="Furniture"/>
    <n v="4632.8500000000004"/>
    <n v="4711.7"/>
    <s v="New"/>
    <n v="0.21"/>
    <x v="0"/>
    <x v="1"/>
    <s v="East"/>
    <s v="Bob"/>
    <s v="East|Bob"/>
  </r>
  <r>
    <n v="1049"/>
    <d v="2023-05-22T00:00:00"/>
    <s v="Bob"/>
    <s v="East"/>
    <n v="4216.17"/>
    <n v="19"/>
    <s v="Clothing"/>
    <n v="3316.97"/>
    <n v="3544.02"/>
    <s v="Returning"/>
    <n v="0.14000000000000001"/>
    <x v="0"/>
    <x v="0"/>
    <s v="East"/>
    <s v="Bob"/>
    <s v="East|Bob"/>
  </r>
  <r>
    <n v="1099"/>
    <d v="2023-06-07T00:00:00"/>
    <s v="Charlie"/>
    <s v="East"/>
    <n v="4346.55"/>
    <n v="31"/>
    <s v="Food"/>
    <n v="1974.4"/>
    <n v="2259.5"/>
    <s v="New"/>
    <n v="0.27"/>
    <x v="0"/>
    <x v="1"/>
    <s v="East"/>
    <s v="Charlie"/>
    <s v="East|Charlie"/>
  </r>
  <r>
    <n v="1036"/>
    <d v="2023-11-20T00:00:00"/>
    <s v="Alice"/>
    <s v="East"/>
    <n v="5454.96"/>
    <n v="32"/>
    <s v="Clothing"/>
    <n v="700.49"/>
    <n v="1126.52"/>
    <s v="New"/>
    <n v="0.28999999999999998"/>
    <x v="2"/>
    <x v="1"/>
    <s v="East"/>
    <s v="Alice"/>
    <s v="East|Alice"/>
  </r>
  <r>
    <n v="1082"/>
    <d v="2023-05-26T00:00:00"/>
    <s v="David"/>
    <s v="South"/>
    <n v="6994.66"/>
    <n v="2"/>
    <s v="Furniture"/>
    <n v="1349.3"/>
    <n v="1576.69"/>
    <s v="Returning"/>
    <n v="0.12"/>
    <x v="2"/>
    <x v="0"/>
    <s v="South"/>
    <s v="David"/>
    <s v="South|David"/>
  </r>
  <r>
    <n v="1096"/>
    <d v="2023-10-20T00:00:00"/>
    <s v="David"/>
    <s v="South"/>
    <n v="7051.25"/>
    <n v="10"/>
    <s v="Clothing"/>
    <n v="2927.02"/>
    <n v="3387.21"/>
    <s v="Returning"/>
    <n v="0.12"/>
    <x v="0"/>
    <x v="1"/>
    <s v="South"/>
    <s v="David"/>
    <s v="South|David"/>
  </r>
  <r>
    <n v="1024"/>
    <d v="2023-06-02T00:00:00"/>
    <s v="Alice"/>
    <s v="West"/>
    <n v="1799.77"/>
    <n v="2"/>
    <s v="Furniture"/>
    <n v="3604.93"/>
    <n v="3830.71"/>
    <s v="Returning"/>
    <n v="0.12"/>
    <x v="2"/>
    <x v="0"/>
    <s v="West"/>
    <s v="Alice"/>
    <s v="West|Alice"/>
  </r>
  <r>
    <n v="1023"/>
    <d v="2023-07-12T00:00:00"/>
    <s v="Alice"/>
    <s v="North"/>
    <n v="5051.12"/>
    <n v="2"/>
    <s v="Food"/>
    <n v="665.89"/>
    <n v="944.79"/>
    <s v="New"/>
    <n v="0.1"/>
    <x v="2"/>
    <x v="1"/>
    <s v="North"/>
    <s v="Alice"/>
    <s v="North|Alice"/>
  </r>
  <r>
    <n v="1062"/>
    <d v="2023-03-14T00:00:00"/>
    <s v="Alice"/>
    <s v="East"/>
    <n v="4178.3900000000003"/>
    <n v="24"/>
    <s v="Food"/>
    <n v="3018.01"/>
    <n v="3418.19"/>
    <s v="Returning"/>
    <n v="0.23"/>
    <x v="1"/>
    <x v="1"/>
    <s v="East"/>
    <s v="Alice"/>
    <s v="East|Alice"/>
  </r>
  <r>
    <n v="1096"/>
    <d v="2023-11-01T00:00:00"/>
    <s v="Bob"/>
    <s v="South"/>
    <n v="8718.2199999999993"/>
    <n v="17"/>
    <s v="Food"/>
    <n v="2774.24"/>
    <n v="3069.9399999999901"/>
    <s v="Returning"/>
    <n v="0.23"/>
    <x v="1"/>
    <x v="1"/>
    <s v="South"/>
    <s v="Bob"/>
    <s v="South|Bob"/>
  </r>
  <r>
    <n v="1037"/>
    <d v="2023-12-10T00:00:00"/>
    <s v="Bob"/>
    <s v="North"/>
    <n v="6351.05"/>
    <n v="32"/>
    <s v="Electronics"/>
    <n v="2594.08"/>
    <n v="3074.59"/>
    <s v="New"/>
    <n v="0.14000000000000001"/>
    <x v="0"/>
    <x v="1"/>
    <s v="North"/>
    <s v="Bob"/>
    <s v="North|Bob"/>
  </r>
  <r>
    <n v="1012"/>
    <d v="2023-05-20T00:00:00"/>
    <s v="Bob"/>
    <s v="North"/>
    <n v="5371.79"/>
    <n v="16"/>
    <s v="Food"/>
    <n v="3466.11"/>
    <n v="3799.67"/>
    <s v="Returning"/>
    <n v="0.01"/>
    <x v="0"/>
    <x v="1"/>
    <s v="North"/>
    <s v="Bob"/>
    <s v="North|Bob"/>
  </r>
  <r>
    <n v="1055"/>
    <d v="2023-07-06T00:00:00"/>
    <s v="Eve"/>
    <s v="South"/>
    <n v="1242.4100000000001"/>
    <n v="16"/>
    <s v="Clothing"/>
    <n v="4195.38"/>
    <n v="4461.51"/>
    <s v="Returning"/>
    <n v="0.09"/>
    <x v="1"/>
    <x v="0"/>
    <s v="South"/>
    <s v="Eve"/>
    <s v="South|Eve"/>
  </r>
  <r>
    <n v="1013"/>
    <d v="2023-10-20T00:00:00"/>
    <s v="David"/>
    <s v="East"/>
    <n v="6095.82"/>
    <n v="46"/>
    <s v="Electronics"/>
    <n v="1648.8"/>
    <n v="1670.36"/>
    <s v="Returning"/>
    <n v="0.09"/>
    <x v="2"/>
    <x v="1"/>
    <s v="East"/>
    <s v="David"/>
    <s v="East|David"/>
  </r>
  <r>
    <n v="1023"/>
    <d v="2023-03-02T00:00:00"/>
    <s v="David"/>
    <s v="West"/>
    <n v="1260.32"/>
    <n v="39"/>
    <s v="Food"/>
    <n v="4450.6099999999997"/>
    <n v="4663.3399999999901"/>
    <s v="New"/>
    <n v="0.24"/>
    <x v="0"/>
    <x v="1"/>
    <s v="West"/>
    <s v="David"/>
    <s v="West|David"/>
  </r>
  <r>
    <n v="1089"/>
    <d v="2023-07-17T00:00:00"/>
    <s v="Charlie"/>
    <s v="North"/>
    <n v="3438.35"/>
    <n v="31"/>
    <s v="Clothing"/>
    <n v="845.14"/>
    <n v="1001.77"/>
    <s v="New"/>
    <n v="0.03"/>
    <x v="0"/>
    <x v="0"/>
    <s v="North"/>
    <s v="Charlie"/>
    <s v="North|Charlie"/>
  </r>
  <r>
    <n v="1099"/>
    <d v="2023-10-22T00:00:00"/>
    <s v="Bob"/>
    <s v="West"/>
    <n v="1514.14"/>
    <n v="43"/>
    <s v="Clothing"/>
    <n v="906.47"/>
    <n v="1283.04"/>
    <s v="New"/>
    <n v="0.24"/>
    <x v="0"/>
    <x v="0"/>
    <s v="West"/>
    <s v="Bob"/>
    <s v="West|Bob"/>
  </r>
  <r>
    <n v="1030"/>
    <d v="2023-11-15T00:00:00"/>
    <s v="Eve"/>
    <s v="East"/>
    <n v="6951.53"/>
    <n v="24"/>
    <s v="Clothing"/>
    <n v="1370.52"/>
    <n v="1482.58"/>
    <s v="Returning"/>
    <n v="0.2"/>
    <x v="2"/>
    <x v="1"/>
    <s v="East"/>
    <s v="Eve"/>
    <s v="East|Eve"/>
  </r>
  <r>
    <n v="1017"/>
    <d v="2023-10-29T00:00:00"/>
    <s v="Eve"/>
    <s v="East"/>
    <n v="2141.9"/>
    <n v="1"/>
    <s v="Furniture"/>
    <n v="641.67999999999995"/>
    <n v="752.24"/>
    <s v="New"/>
    <n v="0.22"/>
    <x v="1"/>
    <x v="0"/>
    <s v="East"/>
    <s v="Eve"/>
    <s v="East|Eve"/>
  </r>
  <r>
    <n v="1062"/>
    <d v="2023-12-10T00:00:00"/>
    <s v="David"/>
    <s v="West"/>
    <n v="3979.41"/>
    <n v="11"/>
    <s v="Electronics"/>
    <n v="1190.08"/>
    <n v="1292.9399999999901"/>
    <s v="Returning"/>
    <n v="0.13"/>
    <x v="0"/>
    <x v="1"/>
    <s v="West"/>
    <s v="David"/>
    <s v="West|David"/>
  </r>
  <r>
    <n v="1084"/>
    <d v="2023-01-11T00:00:00"/>
    <s v="Bob"/>
    <s v="East"/>
    <n v="8967.18"/>
    <n v="21"/>
    <s v="Clothing"/>
    <n v="576.74"/>
    <n v="648.29"/>
    <s v="Returning"/>
    <n v="0.2"/>
    <x v="1"/>
    <x v="0"/>
    <s v="East"/>
    <s v="Bob"/>
    <s v="East|Bob"/>
  </r>
  <r>
    <n v="1089"/>
    <d v="2023-03-03T00:00:00"/>
    <s v="Charlie"/>
    <s v="North"/>
    <n v="2122.73"/>
    <n v="4"/>
    <s v="Furniture"/>
    <n v="4117.67"/>
    <n v="4280.0600000000004"/>
    <s v="Returning"/>
    <n v="0.18"/>
    <x v="1"/>
    <x v="0"/>
    <s v="North"/>
    <s v="Charlie"/>
    <s v="North|Charlie"/>
  </r>
  <r>
    <n v="1086"/>
    <d v="2023-11-29T00:00:00"/>
    <s v="Bob"/>
    <s v="West"/>
    <n v="5127.2700000000004"/>
    <n v="7"/>
    <s v="Food"/>
    <n v="737.9"/>
    <n v="1182"/>
    <s v="New"/>
    <n v="0.23"/>
    <x v="2"/>
    <x v="1"/>
    <s v="West"/>
    <s v="Bob"/>
    <s v="West|Bob"/>
  </r>
  <r>
    <n v="1013"/>
    <d v="2023-08-14T00:00:00"/>
    <s v="Alice"/>
    <s v="East"/>
    <n v="4250.79"/>
    <n v="26"/>
    <s v="Clothing"/>
    <n v="3749.12"/>
    <n v="4138.83"/>
    <s v="New"/>
    <n v="0.13"/>
    <x v="2"/>
    <x v="0"/>
    <s v="East"/>
    <s v="Alice"/>
    <s v="East|Alice"/>
  </r>
  <r>
    <n v="1059"/>
    <d v="2023-06-02T00:00:00"/>
    <s v="Bob"/>
    <s v="West"/>
    <n v="279.43"/>
    <n v="47"/>
    <s v="Furniture"/>
    <n v="287.17"/>
    <n v="657.44"/>
    <s v="Returning"/>
    <n v="0.14000000000000001"/>
    <x v="2"/>
    <x v="1"/>
    <s v="West"/>
    <s v="Bob"/>
    <s v="West|Bob"/>
  </r>
  <r>
    <n v="1019"/>
    <d v="2023-07-18T00:00:00"/>
    <s v="Alice"/>
    <s v="North"/>
    <n v="7948.31"/>
    <n v="12"/>
    <s v="Clothing"/>
    <n v="4745.18"/>
    <n v="5145.88"/>
    <s v="Returning"/>
    <n v="0.19"/>
    <x v="2"/>
    <x v="0"/>
    <s v="North"/>
    <s v="Alice"/>
    <s v="North|Alice"/>
  </r>
  <r>
    <n v="1049"/>
    <d v="2023-02-21T00:00:00"/>
    <s v="Alice"/>
    <s v="East"/>
    <n v="783.55"/>
    <n v="31"/>
    <s v="Electronics"/>
    <n v="3570.24"/>
    <n v="3712.25"/>
    <s v="New"/>
    <n v="0.03"/>
    <x v="2"/>
    <x v="0"/>
    <s v="East"/>
    <s v="Alice"/>
    <s v="East|Alice"/>
  </r>
  <r>
    <n v="1100"/>
    <d v="2023-09-17T00:00:00"/>
    <s v="Charlie"/>
    <s v="North"/>
    <n v="4795.12"/>
    <n v="17"/>
    <s v="Electronics"/>
    <n v="83.64"/>
    <n v="528.49"/>
    <s v="New"/>
    <n v="0.13"/>
    <x v="2"/>
    <x v="0"/>
    <s v="North"/>
    <s v="Charlie"/>
    <s v="North|Charlie"/>
  </r>
  <r>
    <n v="1012"/>
    <d v="2023-02-28T00:00:00"/>
    <s v="David"/>
    <s v="East"/>
    <n v="5650.72"/>
    <n v="33"/>
    <s v="Food"/>
    <n v="3831.09"/>
    <n v="3908.37"/>
    <s v="New"/>
    <n v="0.28999999999999998"/>
    <x v="0"/>
    <x v="1"/>
    <s v="East"/>
    <s v="David"/>
    <s v="East|David"/>
  </r>
  <r>
    <n v="1061"/>
    <d v="2023-03-13T00:00:00"/>
    <s v="Bob"/>
    <s v="South"/>
    <n v="6321.42"/>
    <n v="11"/>
    <s v="Clothing"/>
    <n v="2594.71"/>
    <n v="2769.52"/>
    <s v="Returning"/>
    <n v="0.01"/>
    <x v="1"/>
    <x v="1"/>
    <s v="South"/>
    <s v="Bob"/>
    <s v="South|Bob"/>
  </r>
  <r>
    <n v="1019"/>
    <d v="2023-05-28T00:00:00"/>
    <s v="Alice"/>
    <s v="East"/>
    <n v="6917.45"/>
    <n v="28"/>
    <s v="Furniture"/>
    <n v="3907.86"/>
    <n v="4205.37"/>
    <s v="New"/>
    <n v="0.09"/>
    <x v="2"/>
    <x v="0"/>
    <s v="East"/>
    <s v="Alice"/>
    <s v="East|Alice"/>
  </r>
  <r>
    <n v="1076"/>
    <d v="2023-12-15T00:00:00"/>
    <s v="Bob"/>
    <s v="West"/>
    <n v="2607.4"/>
    <n v="32"/>
    <s v="Food"/>
    <n v="2636.36"/>
    <n v="2696.78"/>
    <s v="New"/>
    <n v="0.09"/>
    <x v="0"/>
    <x v="1"/>
    <s v="West"/>
    <s v="Bob"/>
    <s v="West|Bob"/>
  </r>
  <r>
    <n v="1009"/>
    <d v="2023-03-04T00:00:00"/>
    <s v="David"/>
    <s v="East"/>
    <n v="198.79"/>
    <n v="1"/>
    <s v="Clothing"/>
    <n v="3223.07"/>
    <n v="3590.83"/>
    <s v="New"/>
    <n v="0.19"/>
    <x v="1"/>
    <x v="1"/>
    <s v="East"/>
    <s v="David"/>
    <s v="East|David"/>
  </r>
  <r>
    <n v="1071"/>
    <d v="2023-11-06T00:00:00"/>
    <s v="David"/>
    <s v="North"/>
    <n v="7262.09"/>
    <n v="47"/>
    <s v="Food"/>
    <n v="3942.34"/>
    <n v="4142.09"/>
    <s v="Returning"/>
    <n v="0.03"/>
    <x v="2"/>
    <x v="1"/>
    <s v="North"/>
    <s v="David"/>
    <s v="North|David"/>
  </r>
  <r>
    <n v="1028"/>
    <d v="2023-08-31T00:00:00"/>
    <s v="Eve"/>
    <s v="North"/>
    <n v="5403"/>
    <n v="28"/>
    <s v="Furniture"/>
    <n v="2055.2800000000002"/>
    <n v="2449.64"/>
    <s v="New"/>
    <n v="0.19"/>
    <x v="2"/>
    <x v="0"/>
    <s v="North"/>
    <s v="Eve"/>
    <s v="North|Eve"/>
  </r>
  <r>
    <n v="1078"/>
    <d v="2024-01-01T00:00:00"/>
    <s v="David"/>
    <s v="East"/>
    <n v="8377.57"/>
    <n v="42"/>
    <s v="Food"/>
    <n v="63.41"/>
    <n v="314.93"/>
    <s v="Returning"/>
    <n v="0.03"/>
    <x v="0"/>
    <x v="1"/>
    <s v="East"/>
    <s v="David"/>
    <s v="East|David"/>
  </r>
  <r>
    <n v="1095"/>
    <d v="2023-11-26T00:00:00"/>
    <s v="Charlie"/>
    <s v="West"/>
    <n v="8231.74"/>
    <n v="7"/>
    <s v="Food"/>
    <n v="4257.24"/>
    <n v="4355.87"/>
    <s v="Returning"/>
    <n v="0.03"/>
    <x v="1"/>
    <x v="0"/>
    <s v="West"/>
    <s v="Charlie"/>
    <s v="West|Charlie"/>
  </r>
  <r>
    <n v="1052"/>
    <d v="2023-04-17T00:00:00"/>
    <s v="Alice"/>
    <s v="South"/>
    <n v="8448.93"/>
    <n v="2"/>
    <s v="Food"/>
    <n v="1935.41"/>
    <n v="2305.44"/>
    <s v="Returning"/>
    <n v="0.22"/>
    <x v="2"/>
    <x v="0"/>
    <s v="South"/>
    <s v="Alice"/>
    <s v="South|Alice"/>
  </r>
  <r>
    <n v="1083"/>
    <d v="2023-08-14T00:00:00"/>
    <s v="Eve"/>
    <s v="West"/>
    <n v="4902.4399999999996"/>
    <n v="42"/>
    <s v="Clothing"/>
    <n v="2505.41"/>
    <n v="2638.96"/>
    <s v="New"/>
    <n v="0.1"/>
    <x v="1"/>
    <x v="0"/>
    <s v="West"/>
    <s v="Eve"/>
    <s v="West|Eve"/>
  </r>
  <r>
    <n v="1016"/>
    <d v="2023-11-09T00:00:00"/>
    <s v="Charlie"/>
    <s v="South"/>
    <n v="3402.92"/>
    <n v="24"/>
    <s v="Furniture"/>
    <n v="88.44"/>
    <n v="338.94"/>
    <s v="New"/>
    <n v="0.28999999999999998"/>
    <x v="0"/>
    <x v="0"/>
    <s v="South"/>
    <s v="Charlie"/>
    <s v="South|Charlie"/>
  </r>
  <r>
    <n v="1069"/>
    <d v="2023-08-06T00:00:00"/>
    <s v="Bob"/>
    <s v="North"/>
    <n v="7936.43"/>
    <n v="4"/>
    <s v="Electronics"/>
    <n v="2485.86"/>
    <n v="2532.87"/>
    <s v="New"/>
    <n v="0.01"/>
    <x v="2"/>
    <x v="0"/>
    <s v="North"/>
    <s v="Bob"/>
    <s v="North|Bob"/>
  </r>
  <r>
    <n v="1099"/>
    <d v="2023-08-29T00:00:00"/>
    <s v="Alice"/>
    <s v="West"/>
    <n v="4567.8100000000004"/>
    <n v="44"/>
    <s v="Clothing"/>
    <n v="4933.1099999999997"/>
    <n v="5245.86"/>
    <s v="Returning"/>
    <n v="0.13"/>
    <x v="1"/>
    <x v="1"/>
    <s v="West"/>
    <s v="Alice"/>
    <s v="West|Alice"/>
  </r>
  <r>
    <n v="1012"/>
    <d v="2023-09-16T00:00:00"/>
    <s v="David"/>
    <s v="South"/>
    <n v="1916.08"/>
    <n v="19"/>
    <s v="Electronics"/>
    <n v="1427.42"/>
    <n v="1763.69"/>
    <s v="New"/>
    <n v="0.03"/>
    <x v="0"/>
    <x v="1"/>
    <s v="South"/>
    <s v="David"/>
    <s v="South|David"/>
  </r>
  <r>
    <n v="1025"/>
    <d v="2023-09-19T00:00:00"/>
    <s v="Alice"/>
    <s v="East"/>
    <n v="8564.24"/>
    <n v="26"/>
    <s v="Electronics"/>
    <n v="2007.32"/>
    <n v="2202.87"/>
    <s v="Returning"/>
    <n v="0.11"/>
    <x v="0"/>
    <x v="0"/>
    <s v="East"/>
    <s v="Alice"/>
    <s v="East|Alice"/>
  </r>
  <r>
    <n v="1052"/>
    <d v="2023-01-05T00:00:00"/>
    <s v="Bob"/>
    <s v="North"/>
    <n v="8837.34"/>
    <n v="11"/>
    <s v="Clothing"/>
    <n v="3451.59"/>
    <n v="3929.26"/>
    <s v="New"/>
    <n v="0.3"/>
    <x v="2"/>
    <x v="1"/>
    <s v="North"/>
    <s v="Bob"/>
    <s v="North|Bob"/>
  </r>
  <r>
    <n v="1085"/>
    <d v="2023-09-18T00:00:00"/>
    <s v="Eve"/>
    <s v="East"/>
    <n v="4716.47"/>
    <n v="40"/>
    <s v="Clothing"/>
    <n v="4083.23"/>
    <n v="4521.57"/>
    <s v="New"/>
    <n v="0.27"/>
    <x v="1"/>
    <x v="1"/>
    <s v="East"/>
    <s v="Eve"/>
    <s v="East|Eve"/>
  </r>
  <r>
    <n v="1100"/>
    <d v="2023-02-23T00:00:00"/>
    <s v="Eve"/>
    <s v="North"/>
    <n v="849.43"/>
    <n v="43"/>
    <s v="Furniture"/>
    <n v="2116.09"/>
    <n v="2472.98"/>
    <s v="New"/>
    <n v="0.01"/>
    <x v="2"/>
    <x v="1"/>
    <s v="North"/>
    <s v="Eve"/>
    <s v="North|Eve"/>
  </r>
  <r>
    <n v="1053"/>
    <d v="2023-02-16T00:00:00"/>
    <s v="Eve"/>
    <s v="West"/>
    <n v="3939.48"/>
    <n v="11"/>
    <s v="Furniture"/>
    <n v="1582.86"/>
    <n v="1942.55"/>
    <s v="New"/>
    <n v="0.17"/>
    <x v="2"/>
    <x v="1"/>
    <s v="West"/>
    <s v="Eve"/>
    <s v="West|Eve"/>
  </r>
  <r>
    <n v="1023"/>
    <d v="2023-08-03T00:00:00"/>
    <s v="David"/>
    <s v="West"/>
    <n v="8055.02"/>
    <n v="45"/>
    <s v="Food"/>
    <n v="4692.24"/>
    <n v="4825.92"/>
    <s v="Returning"/>
    <n v="0.19"/>
    <x v="1"/>
    <x v="1"/>
    <s v="West"/>
    <s v="David"/>
    <s v="West|David"/>
  </r>
  <r>
    <n v="1016"/>
    <d v="2023-06-26T00:00:00"/>
    <s v="Charlie"/>
    <s v="North"/>
    <n v="9027.56"/>
    <n v="3"/>
    <s v="Electronics"/>
    <n v="3401.87"/>
    <n v="3733.71"/>
    <s v="Returning"/>
    <n v="0.06"/>
    <x v="1"/>
    <x v="1"/>
    <s v="North"/>
    <s v="Charlie"/>
    <s v="North|Charlie"/>
  </r>
  <r>
    <n v="1057"/>
    <d v="2023-01-09T00:00:00"/>
    <s v="Charlie"/>
    <s v="North"/>
    <n v="2114.38"/>
    <n v="12"/>
    <s v="Furniture"/>
    <n v="639.16"/>
    <n v="746.28"/>
    <s v="Returning"/>
    <n v="0.04"/>
    <x v="1"/>
    <x v="1"/>
    <s v="North"/>
    <s v="Charlie"/>
    <s v="North|Charlie"/>
  </r>
  <r>
    <n v="1039"/>
    <d v="2023-04-09T00:00:00"/>
    <s v="Alice"/>
    <s v="North"/>
    <n v="763.04"/>
    <n v="3"/>
    <s v="Food"/>
    <n v="391.19"/>
    <n v="471.75"/>
    <s v="Returning"/>
    <n v="0.27"/>
    <x v="0"/>
    <x v="0"/>
    <s v="North"/>
    <s v="Alice"/>
    <s v="North|Alice"/>
  </r>
  <r>
    <n v="1053"/>
    <d v="2023-01-20T00:00:00"/>
    <s v="David"/>
    <s v="West"/>
    <n v="8785.77"/>
    <n v="42"/>
    <s v="Furniture"/>
    <n v="2443.5700000000002"/>
    <n v="2943.31"/>
    <s v="New"/>
    <n v="0.28999999999999998"/>
    <x v="0"/>
    <x v="0"/>
    <s v="West"/>
    <s v="David"/>
    <s v="West|David"/>
  </r>
  <r>
    <n v="1042"/>
    <d v="2023-08-29T00:00:00"/>
    <s v="Eve"/>
    <s v="South"/>
    <n v="3955.11"/>
    <n v="27"/>
    <s v="Clothing"/>
    <n v="1139.45"/>
    <n v="1454.41"/>
    <s v="Returning"/>
    <n v="0.3"/>
    <x v="1"/>
    <x v="0"/>
    <s v="South"/>
    <s v="Eve"/>
    <s v="South|Eve"/>
  </r>
  <r>
    <n v="1058"/>
    <d v="2023-03-02T00:00:00"/>
    <s v="Eve"/>
    <s v="East"/>
    <n v="5463.43"/>
    <n v="49"/>
    <s v="Furniture"/>
    <n v="1307.22"/>
    <n v="1528.4"/>
    <s v="Returning"/>
    <n v="0.24"/>
    <x v="0"/>
    <x v="1"/>
    <s v="East"/>
    <s v="Eve"/>
    <s v="East|Eve"/>
  </r>
  <r>
    <n v="1039"/>
    <d v="2023-06-27T00:00:00"/>
    <s v="Bob"/>
    <s v="East"/>
    <n v="9683.85"/>
    <n v="2"/>
    <s v="Electronics"/>
    <n v="4394.58"/>
    <n v="4545.78"/>
    <s v="Returning"/>
    <n v="0.2"/>
    <x v="2"/>
    <x v="1"/>
    <s v="East"/>
    <s v="Bob"/>
    <s v="East|Bob"/>
  </r>
  <r>
    <n v="1014"/>
    <d v="2023-12-04T00:00:00"/>
    <s v="Bob"/>
    <s v="West"/>
    <n v="758.99"/>
    <n v="49"/>
    <s v="Furniture"/>
    <n v="493.35"/>
    <n v="799.27"/>
    <s v="New"/>
    <n v="0.1"/>
    <x v="1"/>
    <x v="0"/>
    <s v="West"/>
    <s v="Bob"/>
    <s v="West|Bob"/>
  </r>
  <r>
    <n v="1095"/>
    <d v="2023-03-03T00:00:00"/>
    <s v="Eve"/>
    <s v="East"/>
    <n v="6518.35"/>
    <n v="16"/>
    <s v="Electronics"/>
    <n v="3591.05"/>
    <n v="3625.35"/>
    <s v="Returning"/>
    <n v="0.05"/>
    <x v="2"/>
    <x v="1"/>
    <s v="East"/>
    <s v="Eve"/>
    <s v="East|Eve"/>
  </r>
  <r>
    <n v="1005"/>
    <d v="2023-05-25T00:00:00"/>
    <s v="Eve"/>
    <s v="North"/>
    <n v="833.64"/>
    <n v="2"/>
    <s v="Clothing"/>
    <n v="1392.15"/>
    <n v="1448.54"/>
    <s v="Returning"/>
    <n v="0.02"/>
    <x v="1"/>
    <x v="1"/>
    <s v="North"/>
    <s v="Eve"/>
    <s v="North|Eve"/>
  </r>
  <r>
    <n v="1035"/>
    <d v="2023-08-04T00:00:00"/>
    <s v="David"/>
    <s v="South"/>
    <n v="3817.14"/>
    <n v="30"/>
    <s v="Electronics"/>
    <n v="3813.62"/>
    <n v="3839.72"/>
    <s v="New"/>
    <n v="0.21"/>
    <x v="2"/>
    <x v="0"/>
    <s v="South"/>
    <s v="David"/>
    <s v="South|David"/>
  </r>
  <r>
    <n v="1087"/>
    <d v="2023-01-03T00:00:00"/>
    <s v="Charlie"/>
    <s v="East"/>
    <n v="8057.76"/>
    <n v="20"/>
    <s v="Furniture"/>
    <n v="3625.94"/>
    <n v="3880.53"/>
    <s v="New"/>
    <n v="0.24"/>
    <x v="1"/>
    <x v="0"/>
    <s v="East"/>
    <s v="Charlie"/>
    <s v="East|Charlie"/>
  </r>
  <r>
    <n v="1093"/>
    <d v="2023-06-09T00:00:00"/>
    <s v="Bob"/>
    <s v="South"/>
    <n v="4391.38"/>
    <n v="38"/>
    <s v="Food"/>
    <n v="86.59"/>
    <n v="390.89"/>
    <s v="Returning"/>
    <n v="0.25"/>
    <x v="2"/>
    <x v="0"/>
    <s v="South"/>
    <s v="Bob"/>
    <s v="South|Bob"/>
  </r>
  <r>
    <n v="1075"/>
    <d v="2023-08-15T00:00:00"/>
    <s v="Charlie"/>
    <s v="North"/>
    <n v="9972.11"/>
    <n v="28"/>
    <s v="Clothing"/>
    <n v="2570.2199999999998"/>
    <n v="2610.8399999999901"/>
    <s v="Returning"/>
    <n v="0.27"/>
    <x v="1"/>
    <x v="1"/>
    <s v="North"/>
    <s v="Charlie"/>
    <s v="North|Charlie"/>
  </r>
  <r>
    <n v="1018"/>
    <d v="2023-09-26T00:00:00"/>
    <s v="David"/>
    <s v="East"/>
    <n v="5634.69"/>
    <n v="25"/>
    <s v="Furniture"/>
    <n v="739.63"/>
    <n v="1103.03"/>
    <s v="New"/>
    <n v="0.26"/>
    <x v="1"/>
    <x v="1"/>
    <s v="East"/>
    <s v="David"/>
    <s v="East|David"/>
  </r>
  <r>
    <n v="1076"/>
    <d v="2023-04-30T00:00:00"/>
    <s v="Eve"/>
    <s v="West"/>
    <n v="3279.51"/>
    <n v="32"/>
    <s v="Clothing"/>
    <n v="4337.82"/>
    <n v="4460.71"/>
    <s v="Returning"/>
    <n v="0.3"/>
    <x v="0"/>
    <x v="1"/>
    <s v="West"/>
    <s v="Eve"/>
    <s v="West|Eve"/>
  </r>
  <r>
    <n v="1009"/>
    <d v="2023-03-30T00:00:00"/>
    <s v="Charlie"/>
    <s v="South"/>
    <n v="2279.1"/>
    <n v="10"/>
    <s v="Clothing"/>
    <n v="4364.3500000000004"/>
    <n v="4710.1000000000004"/>
    <s v="New"/>
    <n v="7.0000000000000007E-2"/>
    <x v="2"/>
    <x v="0"/>
    <s v="South"/>
    <s v="Charlie"/>
    <s v="South|Charlie"/>
  </r>
  <r>
    <n v="1074"/>
    <d v="2023-11-25T00:00:00"/>
    <s v="Eve"/>
    <s v="North"/>
    <n v="3570.15"/>
    <n v="42"/>
    <s v="Furniture"/>
    <n v="2120.81"/>
    <n v="2611.94"/>
    <s v="Returning"/>
    <n v="0.23"/>
    <x v="0"/>
    <x v="0"/>
    <s v="North"/>
    <s v="Eve"/>
    <s v="North|Eve"/>
  </r>
  <r>
    <n v="1058"/>
    <d v="2023-03-09T00:00:00"/>
    <s v="Eve"/>
    <s v="South"/>
    <n v="3788.08"/>
    <n v="40"/>
    <s v="Furniture"/>
    <n v="2249.7600000000002"/>
    <n v="2598.4"/>
    <s v="Returning"/>
    <n v="0.18"/>
    <x v="2"/>
    <x v="1"/>
    <s v="South"/>
    <s v="Eve"/>
    <s v="South|Eve"/>
  </r>
  <r>
    <n v="1017"/>
    <d v="2023-12-23T00:00:00"/>
    <s v="Alice"/>
    <s v="East"/>
    <n v="780.27"/>
    <n v="33"/>
    <s v="Food"/>
    <n v="1551.25"/>
    <n v="1994.01"/>
    <s v="Returning"/>
    <n v="0.08"/>
    <x v="0"/>
    <x v="0"/>
    <s v="East"/>
    <s v="Alice"/>
    <s v="East|Alice"/>
  </r>
  <r>
    <n v="1007"/>
    <d v="2023-04-08T00:00:00"/>
    <s v="Charlie"/>
    <s v="East"/>
    <n v="3758.78"/>
    <n v="13"/>
    <s v="Clothing"/>
    <n v="3597.2"/>
    <n v="4071.8199999999902"/>
    <s v="Returning"/>
    <n v="0.28999999999999998"/>
    <x v="1"/>
    <x v="0"/>
    <s v="East"/>
    <s v="Charlie"/>
    <s v="East|Charlie"/>
  </r>
  <r>
    <n v="1046"/>
    <d v="2023-09-24T00:00:00"/>
    <s v="Charlie"/>
    <s v="West"/>
    <n v="4695.96"/>
    <n v="41"/>
    <s v="Clothing"/>
    <n v="1825.37"/>
    <n v="2073.88"/>
    <s v="Returning"/>
    <n v="0.27"/>
    <x v="0"/>
    <x v="1"/>
    <s v="West"/>
    <s v="Charlie"/>
    <s v="West|Charlie"/>
  </r>
  <r>
    <n v="1013"/>
    <d v="2023-04-15T00:00:00"/>
    <s v="Eve"/>
    <s v="North"/>
    <n v="7255.1"/>
    <n v="42"/>
    <s v="Furniture"/>
    <n v="1375.57"/>
    <n v="1729.71"/>
    <s v="New"/>
    <n v="0.04"/>
    <x v="0"/>
    <x v="0"/>
    <s v="North"/>
    <s v="Eve"/>
    <s v="North|Eve"/>
  </r>
  <r>
    <n v="1040"/>
    <d v="2023-11-19T00:00:00"/>
    <s v="David"/>
    <s v="North"/>
    <n v="6601.62"/>
    <n v="47"/>
    <s v="Electronics"/>
    <n v="2189.54"/>
    <n v="2617"/>
    <s v="New"/>
    <n v="0.01"/>
    <x v="1"/>
    <x v="0"/>
    <s v="North"/>
    <s v="David"/>
    <s v="North|David"/>
  </r>
  <r>
    <n v="1042"/>
    <d v="2023-05-03T00:00:00"/>
    <s v="Alice"/>
    <s v="West"/>
    <n v="7116.78"/>
    <n v="37"/>
    <s v="Furniture"/>
    <n v="502.86"/>
    <n v="687.6"/>
    <s v="Returning"/>
    <n v="0.21"/>
    <x v="0"/>
    <x v="0"/>
    <s v="West"/>
    <s v="Alice"/>
    <s v="West|Alice"/>
  </r>
  <r>
    <n v="1009"/>
    <d v="2023-01-29T00:00:00"/>
    <s v="Eve"/>
    <s v="West"/>
    <n v="182.8"/>
    <n v="16"/>
    <s v="Clothing"/>
    <n v="3745.69"/>
    <n v="3883.77"/>
    <s v="Returning"/>
    <n v="0.18"/>
    <x v="1"/>
    <x v="1"/>
    <s v="West"/>
    <s v="Eve"/>
    <s v="West|Eve"/>
  </r>
  <r>
    <n v="1050"/>
    <d v="2023-05-17T00:00:00"/>
    <s v="Bob"/>
    <s v="North"/>
    <n v="2254.91"/>
    <n v="45"/>
    <s v="Furniture"/>
    <n v="112.35"/>
    <n v="586.17999999999995"/>
    <s v="Returning"/>
    <n v="0.28000000000000003"/>
    <x v="2"/>
    <x v="1"/>
    <s v="North"/>
    <s v="Bob"/>
    <s v="North|Bob"/>
  </r>
  <r>
    <n v="1027"/>
    <d v="2023-07-14T00:00:00"/>
    <s v="Bob"/>
    <s v="South"/>
    <n v="6650.67"/>
    <n v="22"/>
    <s v="Food"/>
    <n v="3240.2"/>
    <n v="3606.0899999999901"/>
    <s v="New"/>
    <n v="7.0000000000000007E-2"/>
    <x v="0"/>
    <x v="0"/>
    <s v="South"/>
    <s v="Bob"/>
    <s v="South|Bob"/>
  </r>
  <r>
    <n v="1066"/>
    <d v="2023-08-14T00:00:00"/>
    <s v="Alice"/>
    <s v="South"/>
    <n v="4891.49"/>
    <n v="20"/>
    <s v="Electronics"/>
    <n v="955.18"/>
    <n v="1072.82"/>
    <s v="New"/>
    <n v="0.03"/>
    <x v="1"/>
    <x v="1"/>
    <s v="South"/>
    <s v="Alice"/>
    <s v="South|Alice"/>
  </r>
  <r>
    <n v="1005"/>
    <d v="2023-11-28T00:00:00"/>
    <s v="David"/>
    <s v="West"/>
    <n v="152.6"/>
    <n v="43"/>
    <s v="Furniture"/>
    <n v="1200.4000000000001"/>
    <n v="1430.45"/>
    <s v="New"/>
    <n v="0.08"/>
    <x v="1"/>
    <x v="1"/>
    <s v="West"/>
    <s v="David"/>
    <s v="West|David"/>
  </r>
  <r>
    <n v="1029"/>
    <d v="2023-06-19T00:00:00"/>
    <s v="Eve"/>
    <s v="South"/>
    <n v="8064.5"/>
    <n v="27"/>
    <s v="Food"/>
    <n v="3196.38"/>
    <n v="3596.64"/>
    <s v="New"/>
    <n v="0.01"/>
    <x v="0"/>
    <x v="1"/>
    <s v="South"/>
    <s v="Eve"/>
    <s v="South|Eve"/>
  </r>
  <r>
    <n v="1037"/>
    <d v="2023-01-09T00:00:00"/>
    <s v="Charlie"/>
    <s v="North"/>
    <n v="7750.81"/>
    <n v="41"/>
    <s v="Clothing"/>
    <n v="4965.07"/>
    <n v="5243.13"/>
    <s v="New"/>
    <n v="0.01"/>
    <x v="2"/>
    <x v="0"/>
    <s v="North"/>
    <s v="Charlie"/>
    <s v="North|Charlie"/>
  </r>
  <r>
    <n v="1038"/>
    <d v="2023-02-09T00:00:00"/>
    <s v="Alice"/>
    <s v="East"/>
    <n v="5529.35"/>
    <n v="16"/>
    <s v="Furniture"/>
    <n v="3899.7"/>
    <n v="4228.18"/>
    <s v="New"/>
    <n v="0.27"/>
    <x v="0"/>
    <x v="1"/>
    <s v="East"/>
    <s v="Alice"/>
    <s v="East|Alice"/>
  </r>
  <r>
    <n v="1083"/>
    <d v="2023-01-25T00:00:00"/>
    <s v="David"/>
    <s v="East"/>
    <n v="757.99"/>
    <n v="34"/>
    <s v="Clothing"/>
    <n v="1167.9100000000001"/>
    <n v="1547.26"/>
    <s v="New"/>
    <n v="0.11"/>
    <x v="1"/>
    <x v="0"/>
    <s v="East"/>
    <s v="David"/>
    <s v="East|David"/>
  </r>
  <r>
    <n v="1008"/>
    <d v="2023-09-18T00:00:00"/>
    <s v="Charlie"/>
    <s v="South"/>
    <n v="7688.5"/>
    <n v="32"/>
    <s v="Food"/>
    <n v="921.32"/>
    <n v="1236.0999999999999"/>
    <s v="New"/>
    <n v="0.12"/>
    <x v="2"/>
    <x v="0"/>
    <s v="South"/>
    <s v="Charlie"/>
    <s v="South|Charlie"/>
  </r>
  <r>
    <n v="1065"/>
    <d v="2023-08-14T00:00:00"/>
    <s v="Bob"/>
    <s v="West"/>
    <n v="5878.76"/>
    <n v="26"/>
    <s v="Clothing"/>
    <n v="4337.8500000000004"/>
    <n v="4612.49"/>
    <s v="Returning"/>
    <n v="0.01"/>
    <x v="0"/>
    <x v="1"/>
    <s v="West"/>
    <s v="Bob"/>
    <s v="West|Bob"/>
  </r>
  <r>
    <n v="1086"/>
    <d v="2023-05-04T00:00:00"/>
    <s v="Bob"/>
    <s v="West"/>
    <n v="7841.4"/>
    <n v="25"/>
    <s v="Food"/>
    <n v="2248.71"/>
    <n v="2626.02"/>
    <s v="New"/>
    <n v="0.08"/>
    <x v="1"/>
    <x v="0"/>
    <s v="West"/>
    <s v="Bob"/>
    <s v="West|Bob"/>
  </r>
  <r>
    <n v="1017"/>
    <d v="2023-02-07T00:00:00"/>
    <s v="Charlie"/>
    <s v="West"/>
    <n v="7542.3"/>
    <n v="2"/>
    <s v="Food"/>
    <n v="728.41"/>
    <n v="1094.92"/>
    <s v="New"/>
    <n v="0.24"/>
    <x v="0"/>
    <x v="1"/>
    <s v="West"/>
    <s v="Charlie"/>
    <s v="West|Charlie"/>
  </r>
  <r>
    <n v="1071"/>
    <d v="2023-11-24T00:00:00"/>
    <s v="Alice"/>
    <s v="West"/>
    <n v="8049.72"/>
    <n v="12"/>
    <s v="Food"/>
    <n v="4317.95"/>
    <n v="4636.59"/>
    <s v="New"/>
    <n v="0.18"/>
    <x v="2"/>
    <x v="1"/>
    <s v="West"/>
    <s v="Alice"/>
    <s v="West|Alice"/>
  </r>
  <r>
    <n v="1089"/>
    <d v="2023-09-08T00:00:00"/>
    <s v="Bob"/>
    <s v="West"/>
    <n v="5228.28"/>
    <n v="40"/>
    <s v="Furniture"/>
    <n v="4089.66"/>
    <n v="4275.96"/>
    <s v="New"/>
    <n v="0.23"/>
    <x v="2"/>
    <x v="0"/>
    <s v="West"/>
    <s v="Bob"/>
    <s v="West|Bob"/>
  </r>
  <r>
    <n v="1045"/>
    <d v="2023-06-25T00:00:00"/>
    <s v="Eve"/>
    <s v="South"/>
    <n v="1489.21"/>
    <n v="9"/>
    <s v="Clothing"/>
    <n v="4920.34"/>
    <n v="5129.1899999999996"/>
    <s v="Returning"/>
    <n v="0.13"/>
    <x v="2"/>
    <x v="0"/>
    <s v="South"/>
    <s v="Eve"/>
    <s v="South|Eve"/>
  </r>
  <r>
    <n v="1004"/>
    <d v="2023-03-31T00:00:00"/>
    <s v="Charlie"/>
    <s v="East"/>
    <n v="6744.46"/>
    <n v="12"/>
    <s v="Clothing"/>
    <n v="4553.2299999999996"/>
    <n v="5038.74"/>
    <s v="New"/>
    <n v="0.09"/>
    <x v="2"/>
    <x v="1"/>
    <s v="East"/>
    <s v="Charlie"/>
    <s v="East|Charlie"/>
  </r>
  <r>
    <n v="1036"/>
    <d v="2023-02-06T00:00:00"/>
    <s v="Charlie"/>
    <s v="East"/>
    <n v="6242.69"/>
    <n v="26"/>
    <s v="Electronics"/>
    <n v="4266.3599999999997"/>
    <n v="4331.4299999999903"/>
    <s v="Returning"/>
    <n v="0.14000000000000001"/>
    <x v="2"/>
    <x v="1"/>
    <s v="East"/>
    <s v="Charlie"/>
    <s v="East|Charlie"/>
  </r>
  <r>
    <n v="1070"/>
    <d v="2023-11-12T00:00:00"/>
    <s v="Bob"/>
    <s v="South"/>
    <n v="7448.31"/>
    <n v="9"/>
    <s v="Electronics"/>
    <n v="310.24"/>
    <n v="451.81"/>
    <s v="Returning"/>
    <n v="0.1"/>
    <x v="0"/>
    <x v="1"/>
    <s v="South"/>
    <s v="Bob"/>
    <s v="South|Bob"/>
  </r>
  <r>
    <n v="1031"/>
    <d v="2023-06-25T00:00:00"/>
    <s v="Alice"/>
    <s v="West"/>
    <n v="1781.82"/>
    <n v="10"/>
    <s v="Electronics"/>
    <n v="566.86"/>
    <n v="818.14"/>
    <s v="Returning"/>
    <n v="0.25"/>
    <x v="2"/>
    <x v="1"/>
    <s v="West"/>
    <s v="Alice"/>
    <s v="West|Alice"/>
  </r>
  <r>
    <n v="1019"/>
    <d v="2023-10-11T00:00:00"/>
    <s v="Eve"/>
    <s v="South"/>
    <n v="2030.25"/>
    <n v="32"/>
    <s v="Electronics"/>
    <n v="2866.47"/>
    <n v="3286.47"/>
    <s v="New"/>
    <n v="0.09"/>
    <x v="2"/>
    <x v="0"/>
    <s v="South"/>
    <s v="Eve"/>
    <s v="South|Eve"/>
  </r>
  <r>
    <n v="1061"/>
    <d v="2023-03-22T00:00:00"/>
    <s v="Alice"/>
    <s v="East"/>
    <n v="8915.0499999999993"/>
    <n v="34"/>
    <s v="Clothing"/>
    <n v="2680.82"/>
    <n v="2771.02"/>
    <s v="New"/>
    <n v="0.2"/>
    <x v="1"/>
    <x v="0"/>
    <s v="East"/>
    <s v="Alice"/>
    <s v="East|Alice"/>
  </r>
  <r>
    <n v="1054"/>
    <d v="2023-04-24T00:00:00"/>
    <s v="David"/>
    <s v="North"/>
    <n v="7524.78"/>
    <n v="48"/>
    <s v="Food"/>
    <n v="2316.92"/>
    <n v="2462.63"/>
    <s v="New"/>
    <n v="0.04"/>
    <x v="2"/>
    <x v="0"/>
    <s v="North"/>
    <s v="David"/>
    <s v="North|David"/>
  </r>
  <r>
    <n v="1039"/>
    <d v="2023-02-09T00:00:00"/>
    <s v="David"/>
    <s v="South"/>
    <n v="9091.4599999999991"/>
    <n v="20"/>
    <s v="Food"/>
    <n v="2014.11"/>
    <n v="2056.35"/>
    <s v="Returning"/>
    <n v="0.21"/>
    <x v="1"/>
    <x v="1"/>
    <s v="South"/>
    <s v="David"/>
    <s v="South|David"/>
  </r>
  <r>
    <n v="1091"/>
    <d v="2023-10-28T00:00:00"/>
    <s v="Bob"/>
    <s v="West"/>
    <n v="7611.28"/>
    <n v="39"/>
    <s v="Furniture"/>
    <n v="2184.4899999999998"/>
    <n v="2540.4199999999901"/>
    <s v="Returning"/>
    <n v="0.27"/>
    <x v="1"/>
    <x v="0"/>
    <s v="West"/>
    <s v="Bob"/>
    <s v="West|Bob"/>
  </r>
  <r>
    <n v="1074"/>
    <d v="2023-08-12T00:00:00"/>
    <s v="Bob"/>
    <s v="East"/>
    <n v="6011.84"/>
    <n v="2"/>
    <s v="Food"/>
    <n v="2868.02"/>
    <n v="2994.74"/>
    <s v="Returning"/>
    <n v="0.18"/>
    <x v="1"/>
    <x v="0"/>
    <s v="East"/>
    <s v="Bob"/>
    <s v="East|Bob"/>
  </r>
  <r>
    <n v="1090"/>
    <d v="2023-11-14T00:00:00"/>
    <s v="Bob"/>
    <s v="East"/>
    <n v="6575.91"/>
    <n v="1"/>
    <s v="Clothing"/>
    <n v="60.28"/>
    <n v="260.73"/>
    <s v="Returning"/>
    <n v="0.17"/>
    <x v="0"/>
    <x v="0"/>
    <s v="East"/>
    <s v="Bob"/>
    <s v="East|Bob"/>
  </r>
  <r>
    <n v="1019"/>
    <d v="2023-12-15T00:00:00"/>
    <s v="David"/>
    <s v="East"/>
    <n v="8902.3700000000008"/>
    <n v="36"/>
    <s v="Clothing"/>
    <n v="1340.51"/>
    <n v="1567.92"/>
    <s v="New"/>
    <n v="0.28999999999999998"/>
    <x v="0"/>
    <x v="0"/>
    <s v="East"/>
    <s v="David"/>
    <s v="East|David"/>
  </r>
  <r>
    <n v="1039"/>
    <d v="2023-04-25T00:00:00"/>
    <s v="Alice"/>
    <s v="East"/>
    <n v="5830.19"/>
    <n v="24"/>
    <s v="Clothing"/>
    <n v="2615.48"/>
    <n v="3062.22"/>
    <s v="New"/>
    <n v="0.19"/>
    <x v="1"/>
    <x v="1"/>
    <s v="East"/>
    <s v="Alice"/>
    <s v="East|Alice"/>
  </r>
  <r>
    <n v="1067"/>
    <d v="2023-07-05T00:00:00"/>
    <s v="Alice"/>
    <s v="West"/>
    <n v="6360.67"/>
    <n v="27"/>
    <s v="Furniture"/>
    <n v="3624.97"/>
    <n v="3836.52"/>
    <s v="New"/>
    <n v="0.08"/>
    <x v="0"/>
    <x v="0"/>
    <s v="West"/>
    <s v="Alice"/>
    <s v="West|Alice"/>
  </r>
  <r>
    <n v="1045"/>
    <d v="2023-11-19T00:00:00"/>
    <s v="Bob"/>
    <s v="North"/>
    <n v="1649.12"/>
    <n v="2"/>
    <s v="Electronics"/>
    <n v="912.08"/>
    <n v="993.24"/>
    <s v="Returning"/>
    <n v="0.09"/>
    <x v="2"/>
    <x v="0"/>
    <s v="North"/>
    <s v="Bob"/>
    <s v="North|Bob"/>
  </r>
  <r>
    <n v="1013"/>
    <d v="2023-02-25T00:00:00"/>
    <s v="Eve"/>
    <s v="East"/>
    <n v="4791.82"/>
    <n v="31"/>
    <s v="Food"/>
    <n v="2757.06"/>
    <n v="3023.97"/>
    <s v="Returning"/>
    <n v="0.21"/>
    <x v="0"/>
    <x v="0"/>
    <s v="East"/>
    <s v="Eve"/>
    <s v="East|Eve"/>
  </r>
  <r>
    <n v="1092"/>
    <d v="2023-02-09T00:00:00"/>
    <s v="Alice"/>
    <s v="South"/>
    <n v="7192.33"/>
    <n v="14"/>
    <s v="Clothing"/>
    <n v="3586.58"/>
    <n v="4068.43"/>
    <s v="New"/>
    <n v="0.22"/>
    <x v="2"/>
    <x v="0"/>
    <s v="South"/>
    <s v="Alice"/>
    <s v="South|Alice"/>
  </r>
  <r>
    <n v="1058"/>
    <d v="2023-12-20T00:00:00"/>
    <s v="David"/>
    <s v="North"/>
    <n v="2782.33"/>
    <n v="2"/>
    <s v="Clothing"/>
    <n v="2250.91"/>
    <n v="2558.6799999999998"/>
    <s v="New"/>
    <n v="0.09"/>
    <x v="2"/>
    <x v="1"/>
    <s v="North"/>
    <s v="David"/>
    <s v="North|David"/>
  </r>
  <r>
    <n v="1020"/>
    <d v="2023-02-09T00:00:00"/>
    <s v="Charlie"/>
    <s v="East"/>
    <n v="2102.3200000000002"/>
    <n v="29"/>
    <s v="Electronics"/>
    <n v="184.05"/>
    <n v="675.91"/>
    <s v="Returning"/>
    <n v="0.1"/>
    <x v="0"/>
    <x v="1"/>
    <s v="East"/>
    <s v="Charlie"/>
    <s v="East|Charlie"/>
  </r>
  <r>
    <n v="1092"/>
    <d v="2023-12-13T00:00:00"/>
    <s v="Charlie"/>
    <s v="North"/>
    <n v="3206.89"/>
    <n v="15"/>
    <s v="Clothing"/>
    <n v="2273.88"/>
    <n v="2696.02"/>
    <s v="New"/>
    <n v="0.3"/>
    <x v="0"/>
    <x v="0"/>
    <s v="North"/>
    <s v="Charlie"/>
    <s v="North|Charlie"/>
  </r>
  <r>
    <n v="1072"/>
    <d v="2023-08-25T00:00:00"/>
    <s v="Charlie"/>
    <s v="South"/>
    <n v="2490.86"/>
    <n v="12"/>
    <s v="Food"/>
    <n v="1517.4"/>
    <n v="1545.02"/>
    <s v="New"/>
    <n v="0.03"/>
    <x v="1"/>
    <x v="1"/>
    <s v="South"/>
    <s v="Charlie"/>
    <s v="South|Charlie"/>
  </r>
  <r>
    <n v="1061"/>
    <d v="2023-10-16T00:00:00"/>
    <s v="Eve"/>
    <s v="East"/>
    <n v="2227.64"/>
    <n v="37"/>
    <s v="Furniture"/>
    <n v="4651.7700000000004"/>
    <n v="4984.3900000000003"/>
    <s v="Returning"/>
    <n v="0.12"/>
    <x v="0"/>
    <x v="1"/>
    <s v="East"/>
    <s v="Eve"/>
    <s v="East|Eve"/>
  </r>
  <r>
    <n v="1039"/>
    <d v="2023-09-19T00:00:00"/>
    <s v="Bob"/>
    <s v="South"/>
    <n v="4306.0200000000004"/>
    <n v="28"/>
    <s v="Clothing"/>
    <n v="666.84"/>
    <n v="817.36"/>
    <s v="Returning"/>
    <n v="0.02"/>
    <x v="0"/>
    <x v="1"/>
    <s v="South"/>
    <s v="Bob"/>
    <s v="South|Bob"/>
  </r>
  <r>
    <n v="1001"/>
    <d v="2023-08-04T00:00:00"/>
    <s v="David"/>
    <s v="West"/>
    <n v="9087.6"/>
    <n v="20"/>
    <s v="Food"/>
    <n v="3279.76"/>
    <n v="3563.97"/>
    <s v="Returning"/>
    <n v="0.25"/>
    <x v="0"/>
    <x v="1"/>
    <s v="West"/>
    <s v="David"/>
    <s v="West|David"/>
  </r>
  <r>
    <n v="1003"/>
    <d v="2023-05-27T00:00:00"/>
    <s v="Eve"/>
    <s v="East"/>
    <n v="5119.8900000000003"/>
    <n v="39"/>
    <s v="Clothing"/>
    <n v="310.95999999999998"/>
    <n v="457.84"/>
    <s v="New"/>
    <n v="0.03"/>
    <x v="2"/>
    <x v="0"/>
    <s v="East"/>
    <s v="Eve"/>
    <s v="East|Eve"/>
  </r>
  <r>
    <n v="1077"/>
    <d v="2023-12-02T00:00:00"/>
    <s v="David"/>
    <s v="East"/>
    <n v="1960.41"/>
    <n v="24"/>
    <s v="Electronics"/>
    <n v="2258.54"/>
    <n v="2439.4899999999998"/>
    <s v="Returning"/>
    <n v="0.2"/>
    <x v="2"/>
    <x v="1"/>
    <s v="East"/>
    <s v="David"/>
    <s v="East|David"/>
  </r>
  <r>
    <n v="1092"/>
    <d v="2023-06-17T00:00:00"/>
    <s v="David"/>
    <s v="East"/>
    <n v="862.02"/>
    <n v="21"/>
    <s v="Clothing"/>
    <n v="2792.2"/>
    <n v="3254.5499999999902"/>
    <s v="New"/>
    <n v="0.02"/>
    <x v="2"/>
    <x v="1"/>
    <s v="East"/>
    <s v="David"/>
    <s v="East|David"/>
  </r>
  <r>
    <n v="1062"/>
    <d v="2023-04-02T00:00:00"/>
    <s v="Bob"/>
    <s v="East"/>
    <n v="6991.95"/>
    <n v="10"/>
    <s v="Clothing"/>
    <n v="1524.88"/>
    <n v="1636.14"/>
    <s v="New"/>
    <n v="0.2"/>
    <x v="1"/>
    <x v="0"/>
    <s v="East"/>
    <s v="Bob"/>
    <s v="East|Bob"/>
  </r>
  <r>
    <n v="1063"/>
    <d v="2023-12-19T00:00:00"/>
    <s v="Charlie"/>
    <s v="West"/>
    <n v="3889.71"/>
    <n v="46"/>
    <s v="Furniture"/>
    <n v="2302.62"/>
    <n v="2740.93"/>
    <s v="Returning"/>
    <n v="0.25"/>
    <x v="1"/>
    <x v="0"/>
    <s v="West"/>
    <s v="Charlie"/>
    <s v="West|Charlie"/>
  </r>
  <r>
    <n v="1025"/>
    <d v="2023-02-28T00:00:00"/>
    <s v="Bob"/>
    <s v="East"/>
    <n v="8236.1299999999992"/>
    <n v="14"/>
    <s v="Electronics"/>
    <n v="859.59"/>
    <n v="884.51"/>
    <s v="New"/>
    <n v="0.12"/>
    <x v="1"/>
    <x v="0"/>
    <s v="East"/>
    <s v="Bob"/>
    <s v="East|Bob"/>
  </r>
  <r>
    <n v="1056"/>
    <d v="2023-02-28T00:00:00"/>
    <s v="Eve"/>
    <s v="North"/>
    <n v="6629.16"/>
    <n v="37"/>
    <s v="Electronics"/>
    <n v="1555.41"/>
    <n v="1609.94"/>
    <s v="Returning"/>
    <n v="0.16"/>
    <x v="2"/>
    <x v="0"/>
    <s v="North"/>
    <s v="Eve"/>
    <s v="North|Eve"/>
  </r>
  <r>
    <n v="1033"/>
    <d v="2023-10-31T00:00:00"/>
    <s v="Eve"/>
    <s v="East"/>
    <n v="7982.79"/>
    <n v="18"/>
    <s v="Furniture"/>
    <n v="3124.48"/>
    <n v="3553.27"/>
    <s v="Returning"/>
    <n v="0.12"/>
    <x v="0"/>
    <x v="1"/>
    <s v="East"/>
    <s v="Eve"/>
    <s v="East|Eve"/>
  </r>
  <r>
    <n v="1038"/>
    <d v="2023-06-18T00:00:00"/>
    <s v="Eve"/>
    <s v="West"/>
    <n v="2792.27"/>
    <n v="24"/>
    <s v="Clothing"/>
    <n v="1543.91"/>
    <n v="1862.88"/>
    <s v="New"/>
    <n v="0.09"/>
    <x v="1"/>
    <x v="0"/>
    <s v="West"/>
    <s v="Eve"/>
    <s v="West|Eve"/>
  </r>
  <r>
    <n v="1006"/>
    <d v="2023-09-26T00:00:00"/>
    <s v="Bob"/>
    <s v="East"/>
    <n v="6954.35"/>
    <n v="14"/>
    <s v="Food"/>
    <n v="4503.7299999999996"/>
    <n v="4879.8799999999901"/>
    <s v="New"/>
    <n v="0.24"/>
    <x v="1"/>
    <x v="1"/>
    <s v="East"/>
    <s v="Bob"/>
    <s v="East|Bob"/>
  </r>
  <r>
    <n v="1058"/>
    <d v="2023-12-29T00:00:00"/>
    <s v="David"/>
    <s v="North"/>
    <n v="2714.21"/>
    <n v="34"/>
    <s v="Electronics"/>
    <n v="3160.61"/>
    <n v="3273.22"/>
    <s v="Returning"/>
    <n v="0.08"/>
    <x v="2"/>
    <x v="1"/>
    <s v="North"/>
    <s v="David"/>
    <s v="North|David"/>
  </r>
  <r>
    <n v="1044"/>
    <d v="2023-02-14T00:00:00"/>
    <s v="David"/>
    <s v="West"/>
    <n v="9396.7800000000007"/>
    <n v="12"/>
    <s v="Electronics"/>
    <n v="2221.31"/>
    <n v="2494.48"/>
    <s v="Returning"/>
    <n v="0.22"/>
    <x v="1"/>
    <x v="0"/>
    <s v="West"/>
    <s v="David"/>
    <s v="West|David"/>
  </r>
  <r>
    <n v="1045"/>
    <d v="2023-12-11T00:00:00"/>
    <s v="Alice"/>
    <s v="West"/>
    <n v="6400.11"/>
    <n v="22"/>
    <s v="Clothing"/>
    <n v="241.85"/>
    <n v="613.09"/>
    <s v="Returning"/>
    <n v="0.06"/>
    <x v="0"/>
    <x v="0"/>
    <s v="West"/>
    <s v="Alice"/>
    <s v="West|Alice"/>
  </r>
  <r>
    <n v="1032"/>
    <d v="2023-06-30T00:00:00"/>
    <s v="Eve"/>
    <s v="North"/>
    <n v="3312.67"/>
    <n v="6"/>
    <s v="Clothing"/>
    <n v="2522.7600000000002"/>
    <n v="2840.14"/>
    <s v="Returning"/>
    <n v="7.0000000000000007E-2"/>
    <x v="2"/>
    <x v="1"/>
    <s v="North"/>
    <s v="Eve"/>
    <s v="North|Eve"/>
  </r>
  <r>
    <n v="1045"/>
    <d v="2023-06-19T00:00:00"/>
    <s v="David"/>
    <s v="North"/>
    <n v="2768.17"/>
    <n v="36"/>
    <s v="Electronics"/>
    <n v="3835.64"/>
    <n v="4076.77"/>
    <s v="Returning"/>
    <n v="0.1"/>
    <x v="2"/>
    <x v="1"/>
    <s v="North"/>
    <s v="David"/>
    <s v="North|David"/>
  </r>
  <r>
    <n v="1061"/>
    <d v="2023-12-22T00:00:00"/>
    <s v="Alice"/>
    <s v="North"/>
    <n v="1990.17"/>
    <n v="45"/>
    <s v="Clothing"/>
    <n v="1364.51"/>
    <n v="1844.8"/>
    <s v="Returning"/>
    <n v="0.18"/>
    <x v="0"/>
    <x v="0"/>
    <s v="North"/>
    <s v="Alice"/>
    <s v="North|Alice"/>
  </r>
  <r>
    <n v="1047"/>
    <d v="2023-07-10T00:00:00"/>
    <s v="David"/>
    <s v="North"/>
    <n v="6976.95"/>
    <n v="36"/>
    <s v="Food"/>
    <n v="4043.53"/>
    <n v="4384.8500000000004"/>
    <s v="New"/>
    <n v="0.14000000000000001"/>
    <x v="0"/>
    <x v="0"/>
    <s v="North"/>
    <s v="David"/>
    <s v="North|David"/>
  </r>
  <r>
    <n v="1021"/>
    <d v="2023-06-04T00:00:00"/>
    <s v="Eve"/>
    <s v="North"/>
    <n v="2265.2800000000002"/>
    <n v="22"/>
    <s v="Electronics"/>
    <n v="1296.44"/>
    <n v="1751.24"/>
    <s v="New"/>
    <n v="0.22"/>
    <x v="0"/>
    <x v="0"/>
    <s v="North"/>
    <s v="Eve"/>
    <s v="North|Eve"/>
  </r>
  <r>
    <n v="1080"/>
    <d v="2023-07-07T00:00:00"/>
    <s v="Charlie"/>
    <s v="West"/>
    <n v="5993.5"/>
    <n v="14"/>
    <s v="Food"/>
    <n v="4127.54"/>
    <n v="4495.13"/>
    <s v="New"/>
    <n v="0.06"/>
    <x v="1"/>
    <x v="1"/>
    <s v="West"/>
    <s v="Charlie"/>
    <s v="West|Charlie"/>
  </r>
  <r>
    <n v="1085"/>
    <d v="2023-01-07T00:00:00"/>
    <s v="Eve"/>
    <s v="West"/>
    <n v="2719.89"/>
    <n v="16"/>
    <s v="Food"/>
    <n v="472.08"/>
    <n v="842.46"/>
    <s v="New"/>
    <n v="0"/>
    <x v="0"/>
    <x v="1"/>
    <s v="West"/>
    <s v="Eve"/>
    <s v="West|Eve"/>
  </r>
  <r>
    <n v="1075"/>
    <d v="2023-05-13T00:00:00"/>
    <s v="Bob"/>
    <s v="East"/>
    <n v="6653.49"/>
    <n v="36"/>
    <s v="Clothing"/>
    <n v="4337.6099999999997"/>
    <n v="4386.82"/>
    <s v="Returning"/>
    <n v="0.23"/>
    <x v="2"/>
    <x v="0"/>
    <s v="East"/>
    <s v="Bob"/>
    <s v="East|Bob"/>
  </r>
  <r>
    <n v="1036"/>
    <d v="2023-08-23T00:00:00"/>
    <s v="David"/>
    <s v="East"/>
    <n v="8167.9"/>
    <n v="25"/>
    <s v="Food"/>
    <n v="2520.9699999999998"/>
    <n v="2707.1099999999901"/>
    <s v="New"/>
    <n v="0.25"/>
    <x v="0"/>
    <x v="1"/>
    <s v="East"/>
    <s v="David"/>
    <s v="East|David"/>
  </r>
  <r>
    <n v="1099"/>
    <d v="2023-02-14T00:00:00"/>
    <s v="David"/>
    <s v="South"/>
    <n v="7802.45"/>
    <n v="32"/>
    <s v="Clothing"/>
    <n v="1517.86"/>
    <n v="1948.46"/>
    <s v="New"/>
    <n v="0.02"/>
    <x v="2"/>
    <x v="0"/>
    <s v="South"/>
    <s v="David"/>
    <s v="South|David"/>
  </r>
  <r>
    <n v="1019"/>
    <d v="2023-11-10T00:00:00"/>
    <s v="Bob"/>
    <s v="East"/>
    <n v="7632.43"/>
    <n v="33"/>
    <s v="Furniture"/>
    <n v="1362.31"/>
    <n v="1486.29"/>
    <s v="Returning"/>
    <n v="0.18"/>
    <x v="2"/>
    <x v="1"/>
    <s v="East"/>
    <s v="Bob"/>
    <s v="East|Bob"/>
  </r>
  <r>
    <n v="1020"/>
    <d v="2023-09-06T00:00:00"/>
    <s v="Bob"/>
    <s v="East"/>
    <n v="1958.45"/>
    <n v="45"/>
    <s v="Clothing"/>
    <n v="2188.4499999999998"/>
    <n v="2255.0499999999902"/>
    <s v="New"/>
    <n v="0.11"/>
    <x v="1"/>
    <x v="1"/>
    <s v="East"/>
    <s v="Bob"/>
    <s v="East|Bob"/>
  </r>
  <r>
    <n v="1057"/>
    <d v="2023-01-31T00:00:00"/>
    <s v="Charlie"/>
    <s v="North"/>
    <n v="975.01"/>
    <n v="36"/>
    <s v="Food"/>
    <n v="4995.3"/>
    <n v="5165.09"/>
    <s v="Returning"/>
    <n v="0.24"/>
    <x v="0"/>
    <x v="0"/>
    <s v="North"/>
    <s v="Charlie"/>
    <s v="North|Charlie"/>
  </r>
  <r>
    <n v="1018"/>
    <d v="2023-01-23T00:00:00"/>
    <s v="David"/>
    <s v="North"/>
    <n v="7019.59"/>
    <n v="20"/>
    <s v="Furniture"/>
    <n v="1140.6199999999999"/>
    <n v="1258.6299999999901"/>
    <s v="Returning"/>
    <n v="0.26"/>
    <x v="1"/>
    <x v="0"/>
    <s v="North"/>
    <s v="David"/>
    <s v="North|David"/>
  </r>
  <r>
    <n v="1047"/>
    <d v="2023-06-09T00:00:00"/>
    <s v="David"/>
    <s v="East"/>
    <n v="3746.64"/>
    <n v="18"/>
    <s v="Clothing"/>
    <n v="560.91999999999996"/>
    <n v="1024.31"/>
    <s v="Returning"/>
    <n v="0.26"/>
    <x v="0"/>
    <x v="0"/>
    <s v="East"/>
    <s v="David"/>
    <s v="East|David"/>
  </r>
  <r>
    <n v="1049"/>
    <d v="2023-12-29T00:00:00"/>
    <s v="Charlie"/>
    <s v="South"/>
    <n v="4380.2299999999996"/>
    <n v="38"/>
    <s v="Food"/>
    <n v="2945.92"/>
    <n v="3381.22"/>
    <s v="Returning"/>
    <n v="0.23"/>
    <x v="0"/>
    <x v="1"/>
    <s v="South"/>
    <s v="Charlie"/>
    <s v="South|Charlie"/>
  </r>
  <r>
    <n v="1014"/>
    <d v="2023-06-07T00:00:00"/>
    <s v="Alice"/>
    <s v="North"/>
    <n v="408.38"/>
    <n v="3"/>
    <s v="Electronics"/>
    <n v="2468.29"/>
    <n v="2723.13"/>
    <s v="Returning"/>
    <n v="0.08"/>
    <x v="0"/>
    <x v="1"/>
    <s v="North"/>
    <s v="Alice"/>
    <s v="North|Alice"/>
  </r>
  <r>
    <n v="1015"/>
    <d v="2023-02-08T00:00:00"/>
    <s v="Charlie"/>
    <s v="East"/>
    <n v="2669.81"/>
    <n v="23"/>
    <s v="Electronics"/>
    <n v="2644.77"/>
    <n v="2684.83"/>
    <s v="New"/>
    <n v="0.24"/>
    <x v="0"/>
    <x v="0"/>
    <s v="East"/>
    <s v="Charlie"/>
    <s v="East|Charlie"/>
  </r>
  <r>
    <n v="1031"/>
    <d v="2023-03-23T00:00:00"/>
    <s v="Eve"/>
    <s v="East"/>
    <n v="433.4"/>
    <n v="32"/>
    <s v="Clothing"/>
    <n v="3351.33"/>
    <n v="3711.47"/>
    <s v="New"/>
    <n v="0.16"/>
    <x v="0"/>
    <x v="1"/>
    <s v="East"/>
    <s v="Eve"/>
    <s v="East|Eve"/>
  </r>
  <r>
    <n v="1001"/>
    <d v="2023-12-22T00:00:00"/>
    <s v="David"/>
    <s v="West"/>
    <n v="8803.94"/>
    <n v="45"/>
    <s v="Clothing"/>
    <n v="1372.36"/>
    <n v="1687.83"/>
    <s v="New"/>
    <n v="0.02"/>
    <x v="2"/>
    <x v="0"/>
    <s v="West"/>
    <s v="David"/>
    <s v="West|David"/>
  </r>
  <r>
    <n v="1054"/>
    <d v="2023-09-15T00:00:00"/>
    <s v="Bob"/>
    <s v="South"/>
    <n v="2509.63"/>
    <n v="16"/>
    <s v="Electronics"/>
    <n v="4557.79"/>
    <n v="5043.3599999999997"/>
    <s v="Returning"/>
    <n v="0.14000000000000001"/>
    <x v="2"/>
    <x v="1"/>
    <s v="South"/>
    <s v="Bob"/>
    <s v="South|Bob"/>
  </r>
  <r>
    <n v="1003"/>
    <d v="2023-07-25T00:00:00"/>
    <s v="Eve"/>
    <s v="West"/>
    <n v="5617.64"/>
    <n v="5"/>
    <s v="Food"/>
    <n v="2206.58"/>
    <n v="2490.4699999999998"/>
    <s v="New"/>
    <n v="0.28000000000000003"/>
    <x v="0"/>
    <x v="0"/>
    <s v="West"/>
    <s v="Eve"/>
    <s v="West|Eve"/>
  </r>
  <r>
    <n v="1016"/>
    <d v="2023-03-18T00:00:00"/>
    <s v="David"/>
    <s v="South"/>
    <n v="485.9"/>
    <n v="4"/>
    <s v="Food"/>
    <n v="688.98"/>
    <n v="863.81"/>
    <s v="New"/>
    <n v="0.27"/>
    <x v="2"/>
    <x v="1"/>
    <s v="South"/>
    <s v="David"/>
    <s v="South|David"/>
  </r>
  <r>
    <n v="1087"/>
    <d v="2023-01-12T00:00:00"/>
    <s v="Charlie"/>
    <s v="North"/>
    <n v="6701.79"/>
    <n v="21"/>
    <s v="Food"/>
    <n v="3724.38"/>
    <n v="3988.7"/>
    <s v="New"/>
    <n v="0.03"/>
    <x v="1"/>
    <x v="1"/>
    <s v="North"/>
    <s v="Charlie"/>
    <s v="North|Charlie"/>
  </r>
  <r>
    <n v="1057"/>
    <d v="2023-10-22T00:00:00"/>
    <s v="Eve"/>
    <s v="South"/>
    <n v="3297.97"/>
    <n v="40"/>
    <s v="Clothing"/>
    <n v="3233.37"/>
    <n v="3723.21"/>
    <s v="New"/>
    <n v="0.22"/>
    <x v="1"/>
    <x v="1"/>
    <s v="South"/>
    <s v="Eve"/>
    <s v="South|Eve"/>
  </r>
  <r>
    <n v="1075"/>
    <d v="2023-08-12T00:00:00"/>
    <s v="David"/>
    <s v="East"/>
    <n v="8989.4"/>
    <n v="14"/>
    <s v="Furniture"/>
    <n v="1612.93"/>
    <n v="1964.15"/>
    <s v="Returning"/>
    <n v="0.24"/>
    <x v="1"/>
    <x v="1"/>
    <s v="East"/>
    <s v="David"/>
    <s v="East|David"/>
  </r>
  <r>
    <n v="1012"/>
    <d v="2023-01-13T00:00:00"/>
    <s v="Alice"/>
    <s v="East"/>
    <n v="8892.3700000000008"/>
    <n v="39"/>
    <s v="Furniture"/>
    <n v="3126.52"/>
    <n v="3465.79"/>
    <s v="New"/>
    <n v="0.08"/>
    <x v="0"/>
    <x v="0"/>
    <s v="East"/>
    <s v="Alice"/>
    <s v="East|Alice"/>
  </r>
  <r>
    <n v="1074"/>
    <d v="2023-02-15T00:00:00"/>
    <s v="Alice"/>
    <s v="South"/>
    <n v="3320.38"/>
    <n v="31"/>
    <s v="Furniture"/>
    <n v="1138.32"/>
    <n v="1266.25"/>
    <s v="Returning"/>
    <n v="0.14000000000000001"/>
    <x v="0"/>
    <x v="1"/>
    <s v="South"/>
    <s v="Alice"/>
    <s v="South|Alice"/>
  </r>
  <r>
    <n v="1096"/>
    <d v="2023-06-04T00:00:00"/>
    <s v="Bob"/>
    <s v="South"/>
    <n v="9019.51"/>
    <n v="14"/>
    <s v="Furniture"/>
    <n v="2251.9499999999998"/>
    <n v="2626.3199999999902"/>
    <s v="Returning"/>
    <n v="0.21"/>
    <x v="2"/>
    <x v="0"/>
    <s v="South"/>
    <s v="Bob"/>
    <s v="South|Bob"/>
  </r>
  <r>
    <n v="1016"/>
    <d v="2023-04-23T00:00:00"/>
    <s v="David"/>
    <s v="South"/>
    <n v="9961.9599999999991"/>
    <n v="6"/>
    <s v="Furniture"/>
    <n v="4502.09"/>
    <n v="4879.72"/>
    <s v="New"/>
    <n v="0.13"/>
    <x v="2"/>
    <x v="0"/>
    <s v="South"/>
    <s v="David"/>
    <s v="South|David"/>
  </r>
  <r>
    <n v="1072"/>
    <d v="2023-08-21T00:00:00"/>
    <s v="Alice"/>
    <s v="West"/>
    <n v="8271.6200000000008"/>
    <n v="12"/>
    <s v="Clothing"/>
    <n v="710.99"/>
    <n v="876.46"/>
    <s v="Returning"/>
    <n v="0.03"/>
    <x v="2"/>
    <x v="0"/>
    <s v="West"/>
    <s v="Alice"/>
    <s v="West|Alice"/>
  </r>
  <r>
    <n v="1076"/>
    <d v="2023-01-17T00:00:00"/>
    <s v="Charlie"/>
    <s v="South"/>
    <n v="8464.23"/>
    <n v="16"/>
    <s v="Clothing"/>
    <n v="1964.15"/>
    <n v="2211.17"/>
    <s v="Returning"/>
    <n v="0.21"/>
    <x v="1"/>
    <x v="0"/>
    <s v="South"/>
    <s v="Charlie"/>
    <s v="South|Charlie"/>
  </r>
  <r>
    <n v="1024"/>
    <d v="2023-12-26T00:00:00"/>
    <s v="David"/>
    <s v="North"/>
    <n v="2565.19"/>
    <n v="17"/>
    <s v="Furniture"/>
    <n v="4114.66"/>
    <n v="4269.0199999999904"/>
    <s v="Returning"/>
    <n v="0.27"/>
    <x v="1"/>
    <x v="1"/>
    <s v="North"/>
    <s v="David"/>
    <s v="North|David"/>
  </r>
  <r>
    <n v="1028"/>
    <d v="2023-08-11T00:00:00"/>
    <s v="Charlie"/>
    <s v="West"/>
    <n v="5809.35"/>
    <n v="45"/>
    <s v="Clothing"/>
    <n v="4848.9799999999996"/>
    <n v="4985.75"/>
    <s v="Returning"/>
    <n v="0.2"/>
    <x v="1"/>
    <x v="0"/>
    <s v="West"/>
    <s v="Charlie"/>
    <s v="West|Charlie"/>
  </r>
  <r>
    <n v="1008"/>
    <d v="2023-12-20T00:00:00"/>
    <s v="Charlie"/>
    <s v="West"/>
    <n v="765.83"/>
    <n v="23"/>
    <s v="Clothing"/>
    <n v="2296.9299999999998"/>
    <n v="2319.62"/>
    <s v="Returning"/>
    <n v="0.23"/>
    <x v="1"/>
    <x v="1"/>
    <s v="West"/>
    <s v="Charlie"/>
    <s v="West|Charlie"/>
  </r>
  <r>
    <n v="1092"/>
    <d v="2023-07-07T00:00:00"/>
    <s v="Alice"/>
    <s v="South"/>
    <n v="1039.69"/>
    <n v="14"/>
    <s v="Furniture"/>
    <n v="2559.65"/>
    <n v="2709.4"/>
    <s v="Returning"/>
    <n v="0.11"/>
    <x v="2"/>
    <x v="1"/>
    <s v="South"/>
    <s v="Alice"/>
    <s v="South|Alice"/>
  </r>
  <r>
    <n v="1036"/>
    <d v="2023-12-10T00:00:00"/>
    <s v="David"/>
    <s v="North"/>
    <n v="9989.0400000000009"/>
    <n v="7"/>
    <s v="Food"/>
    <n v="2882.25"/>
    <n v="3163.7"/>
    <s v="Returning"/>
    <n v="0.05"/>
    <x v="0"/>
    <x v="1"/>
    <s v="North"/>
    <s v="David"/>
    <s v="North|David"/>
  </r>
  <r>
    <n v="1090"/>
    <d v="2023-12-31T00:00:00"/>
    <s v="Eve"/>
    <s v="West"/>
    <n v="3333.73"/>
    <n v="46"/>
    <s v="Clothing"/>
    <n v="4665.12"/>
    <n v="4675.8999999999996"/>
    <s v="New"/>
    <n v="0.19"/>
    <x v="0"/>
    <x v="1"/>
    <s v="West"/>
    <s v="Eve"/>
    <s v="West|Eve"/>
  </r>
  <r>
    <n v="1008"/>
    <d v="2023-06-12T00:00:00"/>
    <s v="Alice"/>
    <s v="East"/>
    <n v="7507.02"/>
    <n v="32"/>
    <s v="Food"/>
    <n v="4298.12"/>
    <n v="4446.8999999999996"/>
    <s v="New"/>
    <n v="0.1"/>
    <x v="1"/>
    <x v="0"/>
    <s v="East"/>
    <s v="Alice"/>
    <s v="East|Alice"/>
  </r>
  <r>
    <n v="1058"/>
    <d v="2023-11-22T00:00:00"/>
    <s v="Alice"/>
    <s v="West"/>
    <n v="8085.98"/>
    <n v="15"/>
    <s v="Clothing"/>
    <n v="894.48"/>
    <n v="1336.37"/>
    <s v="Returning"/>
    <n v="0.26"/>
    <x v="0"/>
    <x v="1"/>
    <s v="West"/>
    <s v="Alice"/>
    <s v="West|Alice"/>
  </r>
  <r>
    <n v="1060"/>
    <d v="2023-03-15T00:00:00"/>
    <s v="David"/>
    <s v="South"/>
    <n v="8594.43"/>
    <n v="44"/>
    <s v="Clothing"/>
    <n v="2211.9499999999998"/>
    <n v="2512.8399999999901"/>
    <s v="Returning"/>
    <n v="0.04"/>
    <x v="0"/>
    <x v="0"/>
    <s v="South"/>
    <s v="David"/>
    <s v="South|David"/>
  </r>
  <r>
    <n v="1050"/>
    <d v="2023-08-21T00:00:00"/>
    <s v="David"/>
    <s v="North"/>
    <n v="9976.52"/>
    <n v="17"/>
    <s v="Furniture"/>
    <n v="2346.8000000000002"/>
    <n v="2654.65"/>
    <s v="New"/>
    <n v="0.13"/>
    <x v="0"/>
    <x v="1"/>
    <s v="North"/>
    <s v="David"/>
    <s v="North|David"/>
  </r>
  <r>
    <n v="1028"/>
    <d v="2023-08-12T00:00:00"/>
    <s v="Charlie"/>
    <s v="South"/>
    <n v="2490.8200000000002"/>
    <n v="41"/>
    <s v="Clothing"/>
    <n v="3956.03"/>
    <n v="4163.68"/>
    <s v="New"/>
    <n v="0.12"/>
    <x v="1"/>
    <x v="1"/>
    <s v="South"/>
    <s v="Charlie"/>
    <s v="South|Charlie"/>
  </r>
  <r>
    <n v="1092"/>
    <d v="2023-11-15T00:00:00"/>
    <s v="David"/>
    <s v="East"/>
    <n v="499.47"/>
    <n v="47"/>
    <s v="Electronics"/>
    <n v="3034.32"/>
    <n v="3375.79"/>
    <s v="New"/>
    <n v="0.28000000000000003"/>
    <x v="2"/>
    <x v="0"/>
    <s v="East"/>
    <s v="David"/>
    <s v="East|David"/>
  </r>
  <r>
    <n v="1041"/>
    <d v="2023-03-01T00:00:00"/>
    <s v="Charlie"/>
    <s v="East"/>
    <n v="4170.8"/>
    <n v="44"/>
    <s v="Electronics"/>
    <n v="3288.39"/>
    <n v="3391.46"/>
    <s v="New"/>
    <n v="0.05"/>
    <x v="2"/>
    <x v="1"/>
    <s v="East"/>
    <s v="Charlie"/>
    <s v="East|Charlie"/>
  </r>
  <r>
    <n v="1100"/>
    <d v="2023-12-01T00:00:00"/>
    <s v="Alice"/>
    <s v="East"/>
    <n v="1387.8"/>
    <n v="34"/>
    <s v="Furniture"/>
    <n v="4991.09"/>
    <n v="5402.28"/>
    <s v="Returning"/>
    <n v="0"/>
    <x v="0"/>
    <x v="1"/>
    <s v="East"/>
    <s v="Alice"/>
    <s v="East|Alice"/>
  </r>
  <r>
    <n v="1064"/>
    <d v="2023-08-10T00:00:00"/>
    <s v="Bob"/>
    <s v="South"/>
    <n v="322.02"/>
    <n v="5"/>
    <s v="Food"/>
    <n v="421.05"/>
    <n v="488.23"/>
    <s v="Returning"/>
    <n v="7.0000000000000007E-2"/>
    <x v="2"/>
    <x v="1"/>
    <s v="South"/>
    <s v="Bob"/>
    <s v="South|Bob"/>
  </r>
  <r>
    <n v="1027"/>
    <d v="2023-02-06T00:00:00"/>
    <s v="Eve"/>
    <s v="West"/>
    <n v="3668.23"/>
    <n v="45"/>
    <s v="Food"/>
    <n v="1153.9000000000001"/>
    <n v="1485.34"/>
    <s v="New"/>
    <n v="0.25"/>
    <x v="2"/>
    <x v="1"/>
    <s v="West"/>
    <s v="Eve"/>
    <s v="West|Eve"/>
  </r>
  <r>
    <n v="1063"/>
    <d v="2023-10-05T00:00:00"/>
    <s v="Alice"/>
    <s v="South"/>
    <n v="7859.01"/>
    <n v="27"/>
    <s v="Food"/>
    <n v="2069.08"/>
    <n v="2246.2399999999998"/>
    <s v="New"/>
    <n v="0.06"/>
    <x v="1"/>
    <x v="1"/>
    <s v="South"/>
    <s v="Alice"/>
    <s v="South|Alice"/>
  </r>
  <r>
    <n v="1017"/>
    <d v="2023-07-15T00:00:00"/>
    <s v="David"/>
    <s v="North"/>
    <n v="5705.19"/>
    <n v="23"/>
    <s v="Electronics"/>
    <n v="1771.52"/>
    <n v="2147.8000000000002"/>
    <s v="New"/>
    <n v="7.0000000000000007E-2"/>
    <x v="1"/>
    <x v="0"/>
    <s v="North"/>
    <s v="David"/>
    <s v="North|David"/>
  </r>
  <r>
    <n v="1073"/>
    <d v="2023-12-18T00:00:00"/>
    <s v="Eve"/>
    <s v="West"/>
    <n v="3196.5"/>
    <n v="40"/>
    <s v="Food"/>
    <n v="157.15"/>
    <n v="436.53"/>
    <s v="New"/>
    <n v="0.04"/>
    <x v="0"/>
    <x v="1"/>
    <s v="West"/>
    <s v="Eve"/>
    <s v="West|Eve"/>
  </r>
  <r>
    <n v="1033"/>
    <d v="2023-08-30T00:00:00"/>
    <s v="Bob"/>
    <s v="East"/>
    <n v="6577.99"/>
    <n v="14"/>
    <s v="Food"/>
    <n v="504.3"/>
    <n v="735.95"/>
    <s v="Returning"/>
    <n v="0.21"/>
    <x v="0"/>
    <x v="1"/>
    <s v="East"/>
    <s v="Bob"/>
    <s v="East|Bob"/>
  </r>
  <r>
    <n v="1084"/>
    <d v="2023-11-20T00:00:00"/>
    <s v="Bob"/>
    <s v="South"/>
    <n v="2396.98"/>
    <n v="15"/>
    <s v="Furniture"/>
    <n v="3420.72"/>
    <n v="3513.74"/>
    <s v="New"/>
    <n v="0.02"/>
    <x v="0"/>
    <x v="0"/>
    <s v="South"/>
    <s v="Bob"/>
    <s v="South|Bob"/>
  </r>
  <r>
    <n v="1077"/>
    <d v="2023-08-07T00:00:00"/>
    <s v="Charlie"/>
    <s v="East"/>
    <n v="242.38"/>
    <n v="43"/>
    <s v="Food"/>
    <n v="4402.66"/>
    <n v="4724.7"/>
    <s v="New"/>
    <n v="0.1"/>
    <x v="1"/>
    <x v="1"/>
    <s v="East"/>
    <s v="Charlie"/>
    <s v="East|Charlie"/>
  </r>
  <r>
    <n v="1092"/>
    <d v="2023-07-11T00:00:00"/>
    <s v="Eve"/>
    <s v="East"/>
    <n v="7667.1"/>
    <n v="33"/>
    <s v="Electronics"/>
    <n v="2595.42"/>
    <n v="3083.06"/>
    <s v="New"/>
    <n v="0.08"/>
    <x v="2"/>
    <x v="0"/>
    <s v="East"/>
    <s v="Eve"/>
    <s v="East|Eve"/>
  </r>
  <r>
    <n v="1029"/>
    <d v="2023-01-17T00:00:00"/>
    <s v="Charlie"/>
    <s v="North"/>
    <n v="6275.06"/>
    <n v="31"/>
    <s v="Electronics"/>
    <n v="2719"/>
    <n v="3133.55"/>
    <s v="Returning"/>
    <n v="0.17"/>
    <x v="1"/>
    <x v="1"/>
    <s v="North"/>
    <s v="Charlie"/>
    <s v="North|Charlie"/>
  </r>
  <r>
    <n v="1013"/>
    <d v="2023-01-12T00:00:00"/>
    <s v="Alice"/>
    <s v="West"/>
    <n v="7646.8"/>
    <n v="35"/>
    <s v="Electronics"/>
    <n v="1312.71"/>
    <n v="1352.11"/>
    <s v="Returning"/>
    <n v="0.22"/>
    <x v="1"/>
    <x v="1"/>
    <s v="West"/>
    <s v="Alice"/>
    <s v="West|Alice"/>
  </r>
  <r>
    <n v="1046"/>
    <d v="2023-07-12T00:00:00"/>
    <s v="Eve"/>
    <s v="North"/>
    <n v="485.49"/>
    <n v="17"/>
    <s v="Furniture"/>
    <n v="3850.99"/>
    <n v="4045.3399999999901"/>
    <s v="Returning"/>
    <n v="0.16"/>
    <x v="2"/>
    <x v="0"/>
    <s v="North"/>
    <s v="Eve"/>
    <s v="North|Eve"/>
  </r>
  <r>
    <n v="1035"/>
    <d v="2023-01-22T00:00:00"/>
    <s v="Alice"/>
    <s v="North"/>
    <n v="8387.48"/>
    <n v="28"/>
    <s v="Furniture"/>
    <n v="3771.38"/>
    <n v="4234.92"/>
    <s v="New"/>
    <n v="0.28000000000000003"/>
    <x v="2"/>
    <x v="1"/>
    <s v="North"/>
    <s v="Alice"/>
    <s v="North|Alice"/>
  </r>
  <r>
    <n v="1006"/>
    <d v="2023-04-30T00:00:00"/>
    <s v="Charlie"/>
    <s v="North"/>
    <n v="6233.31"/>
    <n v="19"/>
    <s v="Clothing"/>
    <n v="2962.41"/>
    <n v="3218.8999999999901"/>
    <s v="New"/>
    <n v="0.28999999999999998"/>
    <x v="0"/>
    <x v="1"/>
    <s v="North"/>
    <s v="Charlie"/>
    <s v="North|Charlie"/>
  </r>
  <r>
    <n v="1082"/>
    <d v="2023-07-29T00:00:00"/>
    <s v="Eve"/>
    <s v="East"/>
    <n v="5677.61"/>
    <n v="46"/>
    <s v="Food"/>
    <n v="1102.69"/>
    <n v="1437.12"/>
    <s v="New"/>
    <n v="0.11"/>
    <x v="2"/>
    <x v="0"/>
    <s v="East"/>
    <s v="Eve"/>
    <s v="East|Eve"/>
  </r>
  <r>
    <n v="1069"/>
    <d v="2023-11-02T00:00:00"/>
    <s v="Charlie"/>
    <s v="North"/>
    <n v="6283.68"/>
    <n v="23"/>
    <s v="Furniture"/>
    <n v="530.24"/>
    <n v="987.41"/>
    <s v="Returning"/>
    <n v="0.23"/>
    <x v="2"/>
    <x v="0"/>
    <s v="North"/>
    <s v="Charlie"/>
    <s v="North|Charlie"/>
  </r>
  <r>
    <n v="1047"/>
    <d v="2023-09-27T00:00:00"/>
    <s v="Eve"/>
    <s v="North"/>
    <n v="8657.89"/>
    <n v="32"/>
    <s v="Electronics"/>
    <n v="367.98"/>
    <n v="806.14"/>
    <s v="Returning"/>
    <n v="0.22"/>
    <x v="2"/>
    <x v="1"/>
    <s v="North"/>
    <s v="Eve"/>
    <s v="North|Eve"/>
  </r>
  <r>
    <n v="1025"/>
    <d v="2023-07-11T00:00:00"/>
    <s v="Charlie"/>
    <s v="West"/>
    <n v="5910.67"/>
    <n v="40"/>
    <s v="Electronics"/>
    <n v="2983.85"/>
    <n v="3239.74"/>
    <s v="New"/>
    <n v="0.27"/>
    <x v="2"/>
    <x v="0"/>
    <s v="West"/>
    <s v="Charlie"/>
    <s v="West|Charlie"/>
  </r>
  <r>
    <n v="1066"/>
    <d v="2023-06-24T00:00:00"/>
    <s v="Bob"/>
    <s v="West"/>
    <n v="5851.41"/>
    <n v="13"/>
    <s v="Furniture"/>
    <n v="4133.92"/>
    <n v="4358.37"/>
    <s v="New"/>
    <n v="0.13"/>
    <x v="0"/>
    <x v="1"/>
    <s v="West"/>
    <s v="Bob"/>
    <s v="West|Bob"/>
  </r>
  <r>
    <n v="1010"/>
    <d v="2023-10-12T00:00:00"/>
    <s v="Charlie"/>
    <s v="North"/>
    <n v="9907.7199999999993"/>
    <n v="20"/>
    <s v="Furniture"/>
    <n v="4298.74"/>
    <n v="4475.1899999999996"/>
    <s v="Returning"/>
    <n v="0.16"/>
    <x v="0"/>
    <x v="0"/>
    <s v="North"/>
    <s v="Charlie"/>
    <s v="North|Charlie"/>
  </r>
  <r>
    <n v="1056"/>
    <d v="2023-07-23T00:00:00"/>
    <s v="Bob"/>
    <s v="West"/>
    <n v="7591.63"/>
    <n v="35"/>
    <s v="Furniture"/>
    <n v="2344.9299999999998"/>
    <n v="2707.25"/>
    <s v="New"/>
    <n v="0.12"/>
    <x v="2"/>
    <x v="1"/>
    <s v="West"/>
    <s v="Bob"/>
    <s v="West|Bob"/>
  </r>
  <r>
    <n v="1030"/>
    <d v="2023-06-13T00:00:00"/>
    <s v="Charlie"/>
    <s v="West"/>
    <n v="4478.71"/>
    <n v="5"/>
    <s v="Clothing"/>
    <n v="3932.14"/>
    <n v="4082.7599999999902"/>
    <s v="New"/>
    <n v="0.26"/>
    <x v="2"/>
    <x v="0"/>
    <s v="West"/>
    <s v="Charlie"/>
    <s v="West|Charlie"/>
  </r>
  <r>
    <n v="1005"/>
    <d v="2023-09-08T00:00:00"/>
    <s v="Eve"/>
    <s v="North"/>
    <n v="7103.23"/>
    <n v="9"/>
    <s v="Electronics"/>
    <n v="4737.0600000000004"/>
    <n v="4869.5"/>
    <s v="New"/>
    <n v="7.0000000000000007E-2"/>
    <x v="0"/>
    <x v="0"/>
    <s v="North"/>
    <s v="Eve"/>
    <s v="North|Eve"/>
  </r>
  <r>
    <n v="1033"/>
    <d v="2023-08-15T00:00:00"/>
    <s v="Eve"/>
    <s v="East"/>
    <n v="3953.38"/>
    <n v="29"/>
    <s v="Clothing"/>
    <n v="1412.09"/>
    <n v="1596.6499999999901"/>
    <s v="Returning"/>
    <n v="7.0000000000000007E-2"/>
    <x v="0"/>
    <x v="0"/>
    <s v="East"/>
    <s v="Eve"/>
    <s v="East|Eve"/>
  </r>
  <r>
    <n v="1065"/>
    <d v="2023-01-07T00:00:00"/>
    <s v="Eve"/>
    <s v="North"/>
    <n v="2365.87"/>
    <n v="6"/>
    <s v="Clothing"/>
    <n v="2019.9"/>
    <n v="2116.7399999999998"/>
    <s v="New"/>
    <n v="0.11"/>
    <x v="2"/>
    <x v="0"/>
    <s v="North"/>
    <s v="Eve"/>
    <s v="North|Eve"/>
  </r>
  <r>
    <n v="1018"/>
    <d v="2023-01-29T00:00:00"/>
    <s v="David"/>
    <s v="West"/>
    <n v="6008.83"/>
    <n v="25"/>
    <s v="Food"/>
    <n v="4660.82"/>
    <n v="5011.4299999999903"/>
    <s v="New"/>
    <n v="7.0000000000000007E-2"/>
    <x v="1"/>
    <x v="0"/>
    <s v="West"/>
    <s v="David"/>
    <s v="West|David"/>
  </r>
  <r>
    <n v="1096"/>
    <d v="2023-02-02T00:00:00"/>
    <s v="Alice"/>
    <s v="East"/>
    <n v="9289"/>
    <n v="31"/>
    <s v="Electronics"/>
    <n v="1724.24"/>
    <n v="2036.2"/>
    <s v="New"/>
    <n v="0.17"/>
    <x v="0"/>
    <x v="0"/>
    <s v="East"/>
    <s v="Alice"/>
    <s v="East|Alice"/>
  </r>
  <r>
    <n v="1049"/>
    <d v="2023-05-14T00:00:00"/>
    <s v="Eve"/>
    <s v="South"/>
    <n v="9298.48"/>
    <n v="22"/>
    <s v="Electronics"/>
    <n v="4573.6899999999996"/>
    <n v="4820.2999999999902"/>
    <s v="New"/>
    <n v="0.04"/>
    <x v="0"/>
    <x v="0"/>
    <s v="South"/>
    <s v="Eve"/>
    <s v="South|Eve"/>
  </r>
  <r>
    <n v="1011"/>
    <d v="2023-03-20T00:00:00"/>
    <s v="Bob"/>
    <s v="East"/>
    <n v="3484.86"/>
    <n v="2"/>
    <s v="Furniture"/>
    <n v="4906.17"/>
    <n v="5107.43"/>
    <s v="Returning"/>
    <n v="0.1"/>
    <x v="0"/>
    <x v="0"/>
    <s v="East"/>
    <s v="Bob"/>
    <s v="East|Bob"/>
  </r>
  <r>
    <n v="1085"/>
    <d v="2023-02-27T00:00:00"/>
    <s v="Eve"/>
    <s v="West"/>
    <n v="5324.01"/>
    <n v="45"/>
    <s v="Furniture"/>
    <n v="3325.96"/>
    <n v="3781.4"/>
    <s v="Returning"/>
    <n v="0.27"/>
    <x v="2"/>
    <x v="0"/>
    <s v="West"/>
    <s v="Eve"/>
    <s v="West|Eve"/>
  </r>
  <r>
    <n v="1026"/>
    <d v="2023-01-26T00:00:00"/>
    <s v="David"/>
    <s v="East"/>
    <n v="2195.1999999999998"/>
    <n v="5"/>
    <s v="Food"/>
    <n v="4093.61"/>
    <n v="4117.88"/>
    <s v="Returning"/>
    <n v="0.12"/>
    <x v="2"/>
    <x v="1"/>
    <s v="East"/>
    <s v="David"/>
    <s v="East|David"/>
  </r>
  <r>
    <n v="1063"/>
    <d v="2023-08-14T00:00:00"/>
    <s v="Bob"/>
    <s v="North"/>
    <n v="9956.75"/>
    <n v="27"/>
    <s v="Clothing"/>
    <n v="3760.25"/>
    <n v="4147.1099999999997"/>
    <s v="New"/>
    <n v="0.22"/>
    <x v="0"/>
    <x v="0"/>
    <s v="North"/>
    <s v="Bob"/>
    <s v="North|Bob"/>
  </r>
  <r>
    <n v="1089"/>
    <d v="2023-10-12T00:00:00"/>
    <s v="David"/>
    <s v="South"/>
    <n v="9813.07"/>
    <n v="25"/>
    <s v="Furniture"/>
    <n v="3512.69"/>
    <n v="3964.63"/>
    <s v="Returning"/>
    <n v="0.03"/>
    <x v="2"/>
    <x v="1"/>
    <s v="South"/>
    <s v="David"/>
    <s v="South|David"/>
  </r>
  <r>
    <n v="1086"/>
    <d v="2023-01-04T00:00:00"/>
    <s v="Bob"/>
    <s v="South"/>
    <n v="6530.14"/>
    <n v="8"/>
    <s v="Furniture"/>
    <n v="1569.31"/>
    <n v="1798.02"/>
    <s v="New"/>
    <n v="7.0000000000000007E-2"/>
    <x v="2"/>
    <x v="0"/>
    <s v="South"/>
    <s v="Bob"/>
    <s v="South|Bob"/>
  </r>
  <r>
    <n v="1059"/>
    <d v="2023-04-09T00:00:00"/>
    <s v="Charlie"/>
    <s v="South"/>
    <n v="8063.7"/>
    <n v="1"/>
    <s v="Electronics"/>
    <n v="332.62"/>
    <n v="612.46"/>
    <s v="Returning"/>
    <n v="0.24"/>
    <x v="0"/>
    <x v="1"/>
    <s v="South"/>
    <s v="Charlie"/>
    <s v="South|Charlie"/>
  </r>
  <r>
    <n v="1027"/>
    <d v="2023-02-08T00:00:00"/>
    <s v="Alice"/>
    <s v="West"/>
    <n v="7179.49"/>
    <n v="20"/>
    <s v="Electronics"/>
    <n v="1748.11"/>
    <n v="2220.9"/>
    <s v="New"/>
    <n v="0.23"/>
    <x v="2"/>
    <x v="1"/>
    <s v="West"/>
    <s v="Alice"/>
    <s v="West|Alice"/>
  </r>
  <r>
    <n v="1049"/>
    <d v="2023-09-28T00:00:00"/>
    <s v="Alice"/>
    <s v="West"/>
    <n v="5972.27"/>
    <n v="44"/>
    <s v="Furniture"/>
    <n v="3351.33"/>
    <n v="3465.35"/>
    <s v="Returning"/>
    <n v="0.12"/>
    <x v="1"/>
    <x v="0"/>
    <s v="West"/>
    <s v="Alice"/>
    <s v="West|Alice"/>
  </r>
  <r>
    <n v="1077"/>
    <d v="2023-10-12T00:00:00"/>
    <s v="David"/>
    <s v="South"/>
    <n v="628.15"/>
    <n v="23"/>
    <s v="Electronics"/>
    <n v="557.52"/>
    <n v="822.39"/>
    <s v="Returning"/>
    <n v="0.28999999999999998"/>
    <x v="2"/>
    <x v="0"/>
    <s v="South"/>
    <s v="David"/>
    <s v="South|David"/>
  </r>
  <r>
    <n v="1033"/>
    <d v="2023-06-06T00:00:00"/>
    <s v="Alice"/>
    <s v="East"/>
    <n v="4602.17"/>
    <n v="32"/>
    <s v="Food"/>
    <n v="108.99"/>
    <n v="351.6"/>
    <s v="Returning"/>
    <n v="0.27"/>
    <x v="2"/>
    <x v="1"/>
    <s v="East"/>
    <s v="Alice"/>
    <s v="East|Alice"/>
  </r>
  <r>
    <n v="1098"/>
    <d v="2023-03-16T00:00:00"/>
    <s v="David"/>
    <s v="South"/>
    <n v="6780.38"/>
    <n v="11"/>
    <s v="Furniture"/>
    <n v="741.48"/>
    <n v="878.09"/>
    <s v="New"/>
    <n v="0.28999999999999998"/>
    <x v="0"/>
    <x v="1"/>
    <s v="South"/>
    <s v="David"/>
    <s v="South|David"/>
  </r>
  <r>
    <n v="1099"/>
    <d v="2023-10-15T00:00:00"/>
    <s v="David"/>
    <s v="East"/>
    <n v="6807.56"/>
    <n v="39"/>
    <s v="Electronics"/>
    <n v="3592.89"/>
    <n v="4004"/>
    <s v="New"/>
    <n v="0.13"/>
    <x v="0"/>
    <x v="0"/>
    <s v="East"/>
    <s v="David"/>
    <s v="East|David"/>
  </r>
  <r>
    <n v="1001"/>
    <d v="2023-05-10T00:00:00"/>
    <s v="David"/>
    <s v="East"/>
    <n v="3793.91"/>
    <n v="47"/>
    <s v="Food"/>
    <n v="4865.33"/>
    <n v="5316.13"/>
    <s v="New"/>
    <n v="0.06"/>
    <x v="1"/>
    <x v="0"/>
    <s v="East"/>
    <s v="David"/>
    <s v="East|David"/>
  </r>
  <r>
    <n v="1021"/>
    <d v="2023-06-24T00:00:00"/>
    <s v="Alice"/>
    <s v="West"/>
    <n v="9422.75"/>
    <n v="24"/>
    <s v="Electronics"/>
    <n v="4916.17"/>
    <n v="5309.32"/>
    <s v="Returning"/>
    <n v="0.19"/>
    <x v="2"/>
    <x v="0"/>
    <s v="West"/>
    <s v="Alice"/>
    <s v="West|Alice"/>
  </r>
  <r>
    <n v="1055"/>
    <d v="2023-03-25T00:00:00"/>
    <s v="David"/>
    <s v="East"/>
    <n v="1756.83"/>
    <n v="11"/>
    <s v="Electronics"/>
    <n v="2495.1999999999998"/>
    <n v="2600.9299999999998"/>
    <s v="New"/>
    <n v="0.21"/>
    <x v="1"/>
    <x v="1"/>
    <s v="East"/>
    <s v="David"/>
    <s v="East|David"/>
  </r>
  <r>
    <n v="1006"/>
    <d v="2023-01-22T00:00:00"/>
    <s v="Alice"/>
    <s v="South"/>
    <n v="5053.5600000000004"/>
    <n v="29"/>
    <s v="Electronics"/>
    <n v="4353.29"/>
    <n v="4405.8"/>
    <s v="New"/>
    <n v="0.04"/>
    <x v="1"/>
    <x v="0"/>
    <s v="South"/>
    <s v="Alice"/>
    <s v="South|Alice"/>
  </r>
  <r>
    <n v="1092"/>
    <d v="2023-01-27T00:00:00"/>
    <s v="David"/>
    <s v="West"/>
    <n v="6939.75"/>
    <n v="26"/>
    <s v="Furniture"/>
    <n v="3697.29"/>
    <n v="4003.96"/>
    <s v="New"/>
    <n v="0.24"/>
    <x v="0"/>
    <x v="0"/>
    <s v="West"/>
    <s v="David"/>
    <s v="West|David"/>
  </r>
  <r>
    <n v="1081"/>
    <d v="2023-07-14T00:00:00"/>
    <s v="Eve"/>
    <s v="North"/>
    <n v="7001.64"/>
    <n v="16"/>
    <s v="Clothing"/>
    <n v="2530.15"/>
    <n v="2568.13"/>
    <s v="New"/>
    <n v="0.01"/>
    <x v="2"/>
    <x v="0"/>
    <s v="North"/>
    <s v="Eve"/>
    <s v="North|Eve"/>
  </r>
  <r>
    <n v="1069"/>
    <d v="2023-12-03T00:00:00"/>
    <s v="David"/>
    <s v="North"/>
    <n v="6521.53"/>
    <n v="35"/>
    <s v="Electronics"/>
    <n v="2885.16"/>
    <n v="3224.8399999999901"/>
    <s v="New"/>
    <n v="0.14000000000000001"/>
    <x v="0"/>
    <x v="0"/>
    <s v="North"/>
    <s v="David"/>
    <s v="North|David"/>
  </r>
  <r>
    <n v="1095"/>
    <d v="2023-08-24T00:00:00"/>
    <s v="Bob"/>
    <s v="West"/>
    <n v="2825.35"/>
    <n v="20"/>
    <s v="Food"/>
    <n v="729.27"/>
    <n v="999.18"/>
    <s v="New"/>
    <n v="0.1"/>
    <x v="1"/>
    <x v="0"/>
    <s v="West"/>
    <s v="Bob"/>
    <s v="West|Bob"/>
  </r>
  <r>
    <n v="1005"/>
    <d v="2023-04-02T00:00:00"/>
    <s v="David"/>
    <s v="South"/>
    <n v="1646.45"/>
    <n v="46"/>
    <s v="Furniture"/>
    <n v="4691.42"/>
    <n v="5026.1899999999996"/>
    <s v="Returning"/>
    <n v="0.22"/>
    <x v="1"/>
    <x v="1"/>
    <s v="South"/>
    <s v="David"/>
    <s v="South|David"/>
  </r>
  <r>
    <n v="1003"/>
    <d v="2023-01-21T00:00:00"/>
    <s v="Charlie"/>
    <s v="North"/>
    <n v="6395.81"/>
    <n v="3"/>
    <s v="Furniture"/>
    <n v="1792.05"/>
    <n v="2091.23"/>
    <s v="Returning"/>
    <n v="0.09"/>
    <x v="0"/>
    <x v="1"/>
    <s v="North"/>
    <s v="Charlie"/>
    <s v="North|Charlie"/>
  </r>
  <r>
    <n v="1053"/>
    <d v="2023-10-30T00:00:00"/>
    <s v="David"/>
    <s v="North"/>
    <n v="6033.09"/>
    <n v="1"/>
    <s v="Food"/>
    <n v="2258.44"/>
    <n v="2475.56"/>
    <s v="New"/>
    <n v="0.25"/>
    <x v="0"/>
    <x v="0"/>
    <s v="North"/>
    <s v="David"/>
    <s v="North|David"/>
  </r>
  <r>
    <n v="1023"/>
    <d v="2023-12-23T00:00:00"/>
    <s v="Bob"/>
    <s v="East"/>
    <n v="1875.62"/>
    <n v="47"/>
    <s v="Electronics"/>
    <n v="3374.72"/>
    <n v="3483.1499999999901"/>
    <s v="Returning"/>
    <n v="0.18"/>
    <x v="0"/>
    <x v="0"/>
    <s v="East"/>
    <s v="Bob"/>
    <s v="East|Bob"/>
  </r>
  <r>
    <n v="1053"/>
    <d v="2023-03-25T00:00:00"/>
    <s v="Bob"/>
    <s v="East"/>
    <n v="7080.88"/>
    <n v="1"/>
    <s v="Clothing"/>
    <n v="1702.82"/>
    <n v="1862.61"/>
    <s v="Returning"/>
    <n v="0.24"/>
    <x v="0"/>
    <x v="1"/>
    <s v="East"/>
    <s v="Bob"/>
    <s v="East|Bob"/>
  </r>
  <r>
    <n v="1037"/>
    <d v="2023-09-19T00:00:00"/>
    <s v="Alice"/>
    <s v="South"/>
    <n v="4606.2"/>
    <n v="17"/>
    <s v="Electronics"/>
    <n v="1308.58"/>
    <n v="1575.59"/>
    <s v="New"/>
    <n v="0.3"/>
    <x v="0"/>
    <x v="0"/>
    <s v="South"/>
    <s v="Alice"/>
    <s v="South|Alice"/>
  </r>
  <r>
    <n v="1074"/>
    <d v="2023-05-27T00:00:00"/>
    <s v="Eve"/>
    <s v="West"/>
    <n v="6710.83"/>
    <n v="2"/>
    <s v="Food"/>
    <n v="3173.69"/>
    <n v="3503.11"/>
    <s v="New"/>
    <n v="0.2"/>
    <x v="1"/>
    <x v="1"/>
    <s v="West"/>
    <s v="Eve"/>
    <s v="West|Eve"/>
  </r>
  <r>
    <n v="1074"/>
    <d v="2023-09-14T00:00:00"/>
    <s v="David"/>
    <s v="South"/>
    <n v="8389.93"/>
    <n v="29"/>
    <s v="Furniture"/>
    <n v="173.67"/>
    <n v="565.62"/>
    <s v="Returning"/>
    <n v="0.3"/>
    <x v="0"/>
    <x v="0"/>
    <s v="South"/>
    <s v="David"/>
    <s v="South|David"/>
  </r>
  <r>
    <n v="1083"/>
    <d v="2023-02-27T00:00:00"/>
    <s v="Alice"/>
    <s v="West"/>
    <n v="1780.31"/>
    <n v="20"/>
    <s v="Clothing"/>
    <n v="3617.59"/>
    <n v="4003.5"/>
    <s v="New"/>
    <n v="0.01"/>
    <x v="2"/>
    <x v="1"/>
    <s v="West"/>
    <s v="Alice"/>
    <s v="West|Alice"/>
  </r>
  <r>
    <n v="1017"/>
    <d v="2023-01-15T00:00:00"/>
    <s v="Eve"/>
    <s v="North"/>
    <n v="289.52999999999997"/>
    <n v="6"/>
    <s v="Furniture"/>
    <n v="2594.42"/>
    <n v="3081.04"/>
    <s v="Returning"/>
    <n v="0.1"/>
    <x v="1"/>
    <x v="1"/>
    <s v="North"/>
    <s v="Eve"/>
    <s v="North|Eve"/>
  </r>
  <r>
    <n v="1085"/>
    <d v="2023-06-11T00:00:00"/>
    <s v="David"/>
    <s v="East"/>
    <n v="7813.12"/>
    <n v="8"/>
    <s v="Food"/>
    <n v="3048.48"/>
    <n v="3198.54"/>
    <s v="Returning"/>
    <n v="0.03"/>
    <x v="1"/>
    <x v="0"/>
    <s v="East"/>
    <s v="David"/>
    <s v="East|David"/>
  </r>
  <r>
    <n v="1078"/>
    <d v="2023-06-12T00:00:00"/>
    <s v="Charlie"/>
    <s v="South"/>
    <n v="6136"/>
    <n v="29"/>
    <s v="Electronics"/>
    <n v="3177.81"/>
    <n v="3222.65"/>
    <s v="Returning"/>
    <n v="0.08"/>
    <x v="2"/>
    <x v="1"/>
    <s v="South"/>
    <s v="Charlie"/>
    <s v="South|Charlie"/>
  </r>
  <r>
    <n v="1073"/>
    <d v="2023-11-16T00:00:00"/>
    <s v="David"/>
    <s v="South"/>
    <n v="7026.43"/>
    <n v="48"/>
    <s v="Clothing"/>
    <n v="2658.9"/>
    <n v="2838.27"/>
    <s v="New"/>
    <n v="0.25"/>
    <x v="2"/>
    <x v="0"/>
    <s v="South"/>
    <s v="David"/>
    <s v="South|David"/>
  </r>
  <r>
    <n v="1001"/>
    <d v="2023-10-08T00:00:00"/>
    <s v="Bob"/>
    <s v="West"/>
    <n v="8397.73"/>
    <n v="33"/>
    <s v="Furniture"/>
    <n v="2933.54"/>
    <n v="3307.75"/>
    <s v="Returning"/>
    <n v="0.01"/>
    <x v="1"/>
    <x v="1"/>
    <s v="West"/>
    <s v="Bob"/>
    <s v="West|Bob"/>
  </r>
  <r>
    <n v="1051"/>
    <d v="2023-10-07T00:00:00"/>
    <s v="Bob"/>
    <s v="West"/>
    <n v="8047.83"/>
    <n v="3"/>
    <s v="Furniture"/>
    <n v="3434.75"/>
    <n v="3659.42"/>
    <s v="New"/>
    <n v="0.16"/>
    <x v="0"/>
    <x v="0"/>
    <s v="West"/>
    <s v="Bob"/>
    <s v="West|Bob"/>
  </r>
  <r>
    <n v="1045"/>
    <d v="2023-01-12T00:00:00"/>
    <s v="Charlie"/>
    <s v="South"/>
    <n v="9613.11"/>
    <n v="35"/>
    <s v="Furniture"/>
    <n v="3777.94"/>
    <n v="4188.66"/>
    <s v="New"/>
    <n v="0.17"/>
    <x v="1"/>
    <x v="0"/>
    <s v="South"/>
    <s v="Charlie"/>
    <s v="South|Charlie"/>
  </r>
  <r>
    <n v="1077"/>
    <d v="2023-10-01T00:00:00"/>
    <s v="Alice"/>
    <s v="West"/>
    <n v="5405.76"/>
    <n v="5"/>
    <s v="Electronics"/>
    <n v="3650.89"/>
    <n v="3930.06"/>
    <s v="New"/>
    <n v="0.17"/>
    <x v="1"/>
    <x v="0"/>
    <s v="West"/>
    <s v="Alice"/>
    <s v="West|Alice"/>
  </r>
  <r>
    <n v="1004"/>
    <d v="2023-09-28T00:00:00"/>
    <s v="Eve"/>
    <s v="South"/>
    <n v="4936.1099999999997"/>
    <n v="27"/>
    <s v="Clothing"/>
    <n v="4354.6000000000004"/>
    <n v="4820.2"/>
    <s v="New"/>
    <n v="0.14000000000000001"/>
    <x v="2"/>
    <x v="1"/>
    <s v="South"/>
    <s v="Eve"/>
    <s v="South|Eve"/>
  </r>
  <r>
    <n v="1062"/>
    <d v="2023-07-27T00:00:00"/>
    <s v="David"/>
    <s v="South"/>
    <n v="4078.68"/>
    <n v="44"/>
    <s v="Electronics"/>
    <n v="987.74"/>
    <n v="1462.19"/>
    <s v="New"/>
    <n v="0.24"/>
    <x v="1"/>
    <x v="0"/>
    <s v="South"/>
    <s v="David"/>
    <s v="South|David"/>
  </r>
  <r>
    <n v="1065"/>
    <d v="2023-01-27T00:00:00"/>
    <s v="Bob"/>
    <s v="South"/>
    <n v="1621.54"/>
    <n v="12"/>
    <s v="Electronics"/>
    <n v="2035.68"/>
    <n v="2079.64"/>
    <s v="Returning"/>
    <n v="0.04"/>
    <x v="0"/>
    <x v="0"/>
    <s v="South"/>
    <s v="Bob"/>
    <s v="South|Bob"/>
  </r>
  <r>
    <n v="1032"/>
    <d v="2023-03-13T00:00:00"/>
    <s v="Alice"/>
    <s v="North"/>
    <n v="5768.81"/>
    <n v="20"/>
    <s v="Electronics"/>
    <n v="4741.59"/>
    <n v="4975.2299999999996"/>
    <s v="New"/>
    <n v="0.09"/>
    <x v="2"/>
    <x v="0"/>
    <s v="North"/>
    <s v="Alice"/>
    <s v="North|Alice"/>
  </r>
  <r>
    <n v="1034"/>
    <d v="2023-03-01T00:00:00"/>
    <s v="Charlie"/>
    <s v="West"/>
    <n v="2842.42"/>
    <n v="45"/>
    <s v="Food"/>
    <n v="2013.12"/>
    <n v="2321.87"/>
    <s v="New"/>
    <n v="0.18"/>
    <x v="1"/>
    <x v="1"/>
    <s v="West"/>
    <s v="Charlie"/>
    <s v="West|Charlie"/>
  </r>
  <r>
    <n v="1092"/>
    <d v="2023-05-25T00:00:00"/>
    <s v="Bob"/>
    <s v="East"/>
    <n v="9220.94"/>
    <n v="20"/>
    <s v="Food"/>
    <n v="668.11"/>
    <n v="803.49"/>
    <s v="New"/>
    <n v="0.21"/>
    <x v="1"/>
    <x v="0"/>
    <s v="East"/>
    <s v="Bob"/>
    <s v="East|Bob"/>
  </r>
  <r>
    <n v="1095"/>
    <d v="2023-04-03T00:00:00"/>
    <s v="Charlie"/>
    <s v="East"/>
    <n v="5873.59"/>
    <n v="9"/>
    <s v="Food"/>
    <n v="2650.95"/>
    <n v="2860.4199999999901"/>
    <s v="New"/>
    <n v="0.12"/>
    <x v="0"/>
    <x v="1"/>
    <s v="East"/>
    <s v="Charlie"/>
    <s v="East|Charlie"/>
  </r>
  <r>
    <n v="1072"/>
    <d v="2023-11-05T00:00:00"/>
    <s v="David"/>
    <s v="West"/>
    <n v="5969.12"/>
    <n v="39"/>
    <s v="Clothing"/>
    <n v="591.98"/>
    <n v="934.04"/>
    <s v="New"/>
    <n v="0.26"/>
    <x v="1"/>
    <x v="1"/>
    <s v="West"/>
    <s v="David"/>
    <s v="West|David"/>
  </r>
  <r>
    <n v="1039"/>
    <d v="2023-01-08T00:00:00"/>
    <s v="Eve"/>
    <s v="South"/>
    <n v="3613.75"/>
    <n v="4"/>
    <s v="Electronics"/>
    <n v="1054.1199999999999"/>
    <n v="1175.21999999999"/>
    <s v="Returning"/>
    <n v="0.12"/>
    <x v="1"/>
    <x v="1"/>
    <s v="South"/>
    <s v="Eve"/>
    <s v="South|Eve"/>
  </r>
  <r>
    <n v="1026"/>
    <d v="2023-03-20T00:00:00"/>
    <s v="Bob"/>
    <s v="East"/>
    <n v="614.69000000000005"/>
    <n v="19"/>
    <s v="Electronics"/>
    <n v="4991.68"/>
    <n v="5296.65"/>
    <s v="New"/>
    <n v="0.12"/>
    <x v="1"/>
    <x v="0"/>
    <s v="East"/>
    <s v="Bob"/>
    <s v="East|Bob"/>
  </r>
  <r>
    <n v="1034"/>
    <d v="2023-01-27T00:00:00"/>
    <s v="Bob"/>
    <s v="East"/>
    <n v="414.26"/>
    <n v="38"/>
    <s v="Food"/>
    <n v="2729.75"/>
    <n v="3081.5"/>
    <s v="New"/>
    <n v="0.01"/>
    <x v="1"/>
    <x v="0"/>
    <s v="East"/>
    <s v="Bob"/>
    <s v="East|Bob"/>
  </r>
  <r>
    <n v="1054"/>
    <d v="2023-06-23T00:00:00"/>
    <s v="David"/>
    <s v="West"/>
    <n v="4291.0200000000004"/>
    <n v="27"/>
    <s v="Electronics"/>
    <n v="1456.09"/>
    <n v="1510.4299999999901"/>
    <s v="Returning"/>
    <n v="0.17"/>
    <x v="0"/>
    <x v="1"/>
    <s v="West"/>
    <s v="David"/>
    <s v="West|David"/>
  </r>
  <r>
    <n v="1003"/>
    <d v="2023-02-19T00:00:00"/>
    <s v="Alice"/>
    <s v="East"/>
    <n v="937.2"/>
    <n v="45"/>
    <s v="Electronics"/>
    <n v="4974.1400000000003"/>
    <n v="5227.93"/>
    <s v="New"/>
    <n v="0.21"/>
    <x v="1"/>
    <x v="0"/>
    <s v="East"/>
    <s v="Alice"/>
    <s v="East|Alice"/>
  </r>
  <r>
    <n v="1050"/>
    <d v="2023-07-18T00:00:00"/>
    <s v="Eve"/>
    <s v="South"/>
    <n v="6107.78"/>
    <n v="43"/>
    <s v="Furniture"/>
    <n v="4834.47"/>
    <n v="4973.38"/>
    <s v="Returning"/>
    <n v="0.03"/>
    <x v="1"/>
    <x v="0"/>
    <s v="South"/>
    <s v="Eve"/>
    <s v="South|Eve"/>
  </r>
  <r>
    <n v="1012"/>
    <d v="2023-12-15T00:00:00"/>
    <s v="Bob"/>
    <s v="West"/>
    <n v="8821.6299999999992"/>
    <n v="13"/>
    <s v="Electronics"/>
    <n v="2231.66"/>
    <n v="2596.6099999999901"/>
    <s v="Returning"/>
    <n v="0.09"/>
    <x v="1"/>
    <x v="1"/>
    <s v="West"/>
    <s v="Bob"/>
    <s v="West|Bob"/>
  </r>
  <r>
    <n v="1065"/>
    <d v="2023-06-30T00:00:00"/>
    <s v="Eve"/>
    <s v="South"/>
    <n v="8840.86"/>
    <n v="13"/>
    <s v="Furniture"/>
    <n v="1339"/>
    <n v="1441.88"/>
    <s v="Returning"/>
    <n v="0.23"/>
    <x v="2"/>
    <x v="1"/>
    <s v="South"/>
    <s v="Eve"/>
    <s v="South|Eve"/>
  </r>
  <r>
    <n v="1054"/>
    <d v="2023-01-24T00:00:00"/>
    <s v="Bob"/>
    <s v="East"/>
    <n v="6624.55"/>
    <n v="22"/>
    <s v="Electronics"/>
    <n v="4200.08"/>
    <n v="4647.28"/>
    <s v="Returning"/>
    <n v="0.11"/>
    <x v="0"/>
    <x v="0"/>
    <s v="East"/>
    <s v="Bob"/>
    <s v="East|Bob"/>
  </r>
  <r>
    <n v="1005"/>
    <d v="2023-11-12T00:00:00"/>
    <s v="Eve"/>
    <s v="East"/>
    <n v="2191.1999999999998"/>
    <n v="28"/>
    <s v="Clothing"/>
    <n v="3592.32"/>
    <n v="3813.48"/>
    <s v="New"/>
    <n v="7.0000000000000007E-2"/>
    <x v="2"/>
    <x v="1"/>
    <s v="East"/>
    <s v="Eve"/>
    <s v="East|Eve"/>
  </r>
  <r>
    <n v="1094"/>
    <d v="2023-02-15T00:00:00"/>
    <s v="Charlie"/>
    <s v="South"/>
    <n v="8643.67"/>
    <n v="47"/>
    <s v="Food"/>
    <n v="3450.36"/>
    <n v="3557.38"/>
    <s v="New"/>
    <n v="0.2"/>
    <x v="2"/>
    <x v="0"/>
    <s v="South"/>
    <s v="Charlie"/>
    <s v="South|Charlie"/>
  </r>
  <r>
    <n v="1094"/>
    <d v="2023-01-15T00:00:00"/>
    <s v="Bob"/>
    <s v="North"/>
    <n v="8872.33"/>
    <n v="45"/>
    <s v="Furniture"/>
    <n v="4470.91"/>
    <n v="4695.54"/>
    <s v="Returning"/>
    <n v="0.06"/>
    <x v="0"/>
    <x v="1"/>
    <s v="North"/>
    <s v="Bob"/>
    <s v="North|Bob"/>
  </r>
  <r>
    <n v="1057"/>
    <d v="2023-06-02T00:00:00"/>
    <s v="Eve"/>
    <s v="East"/>
    <n v="2046.87"/>
    <n v="22"/>
    <s v="Food"/>
    <n v="3462.61"/>
    <n v="3672.89"/>
    <s v="Returning"/>
    <n v="0.27"/>
    <x v="2"/>
    <x v="0"/>
    <s v="East"/>
    <s v="Eve"/>
    <s v="East|Eve"/>
  </r>
  <r>
    <n v="1017"/>
    <d v="2023-08-10T00:00:00"/>
    <s v="Alice"/>
    <s v="North"/>
    <n v="7400.52"/>
    <n v="43"/>
    <s v="Furniture"/>
    <n v="1454.8"/>
    <n v="1674.97"/>
    <s v="New"/>
    <n v="0.03"/>
    <x v="2"/>
    <x v="0"/>
    <s v="North"/>
    <s v="Alice"/>
    <s v="North|Alice"/>
  </r>
  <r>
    <n v="1047"/>
    <d v="2023-07-25T00:00:00"/>
    <s v="Charlie"/>
    <s v="East"/>
    <n v="2936.54"/>
    <n v="19"/>
    <s v="Furniture"/>
    <n v="3484.62"/>
    <n v="3781.5499999999902"/>
    <s v="Returning"/>
    <n v="0.21"/>
    <x v="2"/>
    <x v="1"/>
    <s v="East"/>
    <s v="Charlie"/>
    <s v="East|Charlie"/>
  </r>
  <r>
    <n v="1023"/>
    <d v="2023-09-30T00:00:00"/>
    <s v="Charlie"/>
    <s v="North"/>
    <n v="8046.14"/>
    <n v="8"/>
    <s v="Furniture"/>
    <n v="1563.78"/>
    <n v="1829.1599999999901"/>
    <s v="Returning"/>
    <n v="0.15"/>
    <x v="0"/>
    <x v="0"/>
    <s v="North"/>
    <s v="Charlie"/>
    <s v="North|Charlie"/>
  </r>
  <r>
    <n v="1079"/>
    <d v="2023-08-24T00:00:00"/>
    <s v="Alice"/>
    <s v="North"/>
    <n v="9972.66"/>
    <n v="8"/>
    <s v="Clothing"/>
    <n v="3808.23"/>
    <n v="3891.62"/>
    <s v="Returning"/>
    <n v="0.26"/>
    <x v="1"/>
    <x v="0"/>
    <s v="North"/>
    <s v="Alice"/>
    <s v="North|Alice"/>
  </r>
  <r>
    <n v="1085"/>
    <d v="2023-12-06T00:00:00"/>
    <s v="Eve"/>
    <s v="North"/>
    <n v="397.26"/>
    <n v="42"/>
    <s v="Electronics"/>
    <n v="3117.75"/>
    <n v="3159.88"/>
    <s v="New"/>
    <n v="0.04"/>
    <x v="0"/>
    <x v="1"/>
    <s v="North"/>
    <s v="Eve"/>
    <s v="North|Eve"/>
  </r>
  <r>
    <n v="1014"/>
    <d v="2023-08-16T00:00:00"/>
    <s v="David"/>
    <s v="South"/>
    <n v="8983.92"/>
    <n v="26"/>
    <s v="Furniture"/>
    <n v="433.19"/>
    <n v="800.6"/>
    <s v="Returning"/>
    <n v="0.2"/>
    <x v="0"/>
    <x v="0"/>
    <s v="South"/>
    <s v="David"/>
    <s v="South|David"/>
  </r>
  <r>
    <n v="1066"/>
    <d v="2023-01-09T00:00:00"/>
    <s v="Alice"/>
    <s v="North"/>
    <n v="6264.04"/>
    <n v="48"/>
    <s v="Clothing"/>
    <n v="2588.54"/>
    <n v="2872.8"/>
    <s v="New"/>
    <n v="0.17"/>
    <x v="0"/>
    <x v="0"/>
    <s v="North"/>
    <s v="Alice"/>
    <s v="North|Alice"/>
  </r>
  <r>
    <n v="1075"/>
    <d v="2023-06-15T00:00:00"/>
    <s v="Eve"/>
    <s v="North"/>
    <n v="9736.49"/>
    <n v="26"/>
    <s v="Furniture"/>
    <n v="1749.34"/>
    <n v="1935.25"/>
    <s v="New"/>
    <n v="0.14000000000000001"/>
    <x v="2"/>
    <x v="0"/>
    <s v="North"/>
    <s v="Eve"/>
    <s v="North|Eve"/>
  </r>
  <r>
    <n v="1051"/>
    <d v="2023-11-15T00:00:00"/>
    <s v="Alice"/>
    <s v="North"/>
    <n v="4703.59"/>
    <n v="23"/>
    <s v="Electronics"/>
    <n v="1676.42"/>
    <n v="2082.52"/>
    <s v="New"/>
    <n v="0.15"/>
    <x v="1"/>
    <x v="1"/>
    <s v="North"/>
    <s v="Alice"/>
    <s v="North|Alice"/>
  </r>
  <r>
    <n v="1038"/>
    <d v="2023-08-02T00:00:00"/>
    <s v="Alice"/>
    <s v="East"/>
    <n v="8489.14"/>
    <n v="43"/>
    <s v="Furniture"/>
    <n v="3031.17"/>
    <n v="3231.32"/>
    <s v="Returning"/>
    <n v="0.22"/>
    <x v="0"/>
    <x v="1"/>
    <s v="East"/>
    <s v="Alice"/>
    <s v="East|Alice"/>
  </r>
  <r>
    <n v="1064"/>
    <d v="2023-04-27T00:00:00"/>
    <s v="Bob"/>
    <s v="North"/>
    <n v="717.7"/>
    <n v="13"/>
    <s v="Clothing"/>
    <n v="1645.51"/>
    <n v="2045.53"/>
    <s v="Returning"/>
    <n v="0.28000000000000003"/>
    <x v="0"/>
    <x v="1"/>
    <s v="North"/>
    <s v="Bob"/>
    <s v="North|Bob"/>
  </r>
  <r>
    <n v="1098"/>
    <d v="2023-12-10T00:00:00"/>
    <s v="Eve"/>
    <s v="East"/>
    <n v="3419.26"/>
    <n v="28"/>
    <s v="Electronics"/>
    <n v="3895.62"/>
    <n v="4055.44"/>
    <s v="New"/>
    <n v="0.03"/>
    <x v="1"/>
    <x v="1"/>
    <s v="East"/>
    <s v="Eve"/>
    <s v="East|Eve"/>
  </r>
  <r>
    <n v="1038"/>
    <d v="2023-03-13T00:00:00"/>
    <s v="David"/>
    <s v="North"/>
    <n v="763.46"/>
    <n v="9"/>
    <s v="Clothing"/>
    <n v="400.42"/>
    <n v="446.11"/>
    <s v="New"/>
    <n v="0.01"/>
    <x v="1"/>
    <x v="1"/>
    <s v="North"/>
    <s v="David"/>
    <s v="North|David"/>
  </r>
  <r>
    <n v="1050"/>
    <d v="2023-03-05T00:00:00"/>
    <s v="Bob"/>
    <s v="North"/>
    <n v="9755.9"/>
    <n v="20"/>
    <s v="Electronics"/>
    <n v="3318.92"/>
    <n v="3785.91"/>
    <s v="New"/>
    <n v="0.24"/>
    <x v="1"/>
    <x v="0"/>
    <s v="North"/>
    <s v="Bob"/>
    <s v="North|Bob"/>
  </r>
  <r>
    <n v="1098"/>
    <d v="2023-07-24T00:00:00"/>
    <s v="Alice"/>
    <s v="South"/>
    <n v="8188.04"/>
    <n v="19"/>
    <s v="Electronics"/>
    <n v="4055.51"/>
    <n v="4258.84"/>
    <s v="Returning"/>
    <n v="0.03"/>
    <x v="2"/>
    <x v="0"/>
    <s v="South"/>
    <s v="Alice"/>
    <s v="South|Alice"/>
  </r>
  <r>
    <n v="1082"/>
    <d v="2023-07-28T00:00:00"/>
    <s v="Alice"/>
    <s v="East"/>
    <n v="8540.2199999999993"/>
    <n v="48"/>
    <s v="Food"/>
    <n v="3380.52"/>
    <n v="3778.94"/>
    <s v="Returning"/>
    <n v="0.3"/>
    <x v="1"/>
    <x v="0"/>
    <s v="East"/>
    <s v="Alice"/>
    <s v="East|Alice"/>
  </r>
  <r>
    <n v="1030"/>
    <d v="2023-03-13T00:00:00"/>
    <s v="Alice"/>
    <s v="North"/>
    <n v="9385.86"/>
    <n v="39"/>
    <s v="Food"/>
    <n v="2511.2800000000002"/>
    <n v="2658.06"/>
    <s v="New"/>
    <n v="0.19"/>
    <x v="2"/>
    <x v="1"/>
    <s v="North"/>
    <s v="Alice"/>
    <s v="North|Alice"/>
  </r>
  <r>
    <n v="1079"/>
    <d v="2023-10-04T00:00:00"/>
    <s v="Eve"/>
    <s v="East"/>
    <n v="942.52"/>
    <n v="12"/>
    <s v="Food"/>
    <n v="4754.0200000000004"/>
    <n v="5080.74"/>
    <s v="New"/>
    <n v="0.2"/>
    <x v="0"/>
    <x v="0"/>
    <s v="East"/>
    <s v="Eve"/>
    <s v="East|Eve"/>
  </r>
  <r>
    <n v="1091"/>
    <d v="2023-10-01T00:00:00"/>
    <s v="Eve"/>
    <s v="East"/>
    <n v="3917.42"/>
    <n v="15"/>
    <s v="Electronics"/>
    <n v="1534.7"/>
    <n v="1972.62"/>
    <s v="Returning"/>
    <n v="0.06"/>
    <x v="2"/>
    <x v="1"/>
    <s v="East"/>
    <s v="Eve"/>
    <s v="East|Eve"/>
  </r>
  <r>
    <n v="1051"/>
    <d v="2023-11-16T00:00:00"/>
    <s v="Bob"/>
    <s v="West"/>
    <n v="803.25"/>
    <n v="31"/>
    <s v="Furniture"/>
    <n v="144.88"/>
    <n v="175.29"/>
    <s v="New"/>
    <n v="7.0000000000000007E-2"/>
    <x v="1"/>
    <x v="0"/>
    <s v="West"/>
    <s v="Bob"/>
    <s v="West|Bob"/>
  </r>
  <r>
    <n v="1063"/>
    <d v="2023-12-04T00:00:00"/>
    <s v="David"/>
    <s v="South"/>
    <n v="2186.85"/>
    <n v="14"/>
    <s v="Clothing"/>
    <n v="2188.35"/>
    <n v="2605.3599999999901"/>
    <s v="Returning"/>
    <n v="0.2"/>
    <x v="2"/>
    <x v="1"/>
    <s v="South"/>
    <s v="David"/>
    <s v="South|David"/>
  </r>
  <r>
    <n v="1098"/>
    <d v="2024-01-01T00:00:00"/>
    <s v="Bob"/>
    <s v="South"/>
    <n v="2370.7199999999998"/>
    <n v="11"/>
    <s v="Clothing"/>
    <n v="213.41"/>
    <n v="503.36"/>
    <s v="Returning"/>
    <n v="0.27"/>
    <x v="1"/>
    <x v="0"/>
    <s v="South"/>
    <s v="Bob"/>
    <s v="South|Bob"/>
  </r>
  <r>
    <n v="1052"/>
    <d v="2023-04-05T00:00:00"/>
    <s v="Charlie"/>
    <s v="South"/>
    <n v="4744.16"/>
    <n v="26"/>
    <s v="Clothing"/>
    <n v="4771.99"/>
    <n v="5079.6499999999996"/>
    <s v="New"/>
    <n v="0.28999999999999998"/>
    <x v="2"/>
    <x v="0"/>
    <s v="South"/>
    <s v="Charlie"/>
    <s v="South|Charlie"/>
  </r>
  <r>
    <n v="1038"/>
    <d v="2023-06-15T00:00:00"/>
    <s v="Alice"/>
    <s v="West"/>
    <n v="2758.77"/>
    <n v="42"/>
    <s v="Food"/>
    <n v="1089.0899999999999"/>
    <n v="1355.44"/>
    <s v="New"/>
    <n v="0.06"/>
    <x v="0"/>
    <x v="1"/>
    <s v="West"/>
    <s v="Alice"/>
    <s v="West|Alice"/>
  </r>
  <r>
    <n v="1097"/>
    <d v="2023-02-01T00:00:00"/>
    <s v="Alice"/>
    <s v="West"/>
    <n v="1099.68"/>
    <n v="27"/>
    <s v="Electronics"/>
    <n v="3955.19"/>
    <n v="4393.68"/>
    <s v="Returning"/>
    <n v="0.04"/>
    <x v="2"/>
    <x v="0"/>
    <s v="West"/>
    <s v="Alice"/>
    <s v="West|Alice"/>
  </r>
  <r>
    <n v="1088"/>
    <d v="2023-01-11T00:00:00"/>
    <s v="Alice"/>
    <s v="South"/>
    <n v="1758.16"/>
    <n v="11"/>
    <s v="Food"/>
    <n v="3884.13"/>
    <n v="3915.41"/>
    <s v="Returning"/>
    <n v="0.02"/>
    <x v="0"/>
    <x v="0"/>
    <s v="South"/>
    <s v="Alice"/>
    <s v="South|Alice"/>
  </r>
  <r>
    <n v="1079"/>
    <d v="2023-10-28T00:00:00"/>
    <s v="Bob"/>
    <s v="West"/>
    <n v="1558.03"/>
    <n v="38"/>
    <s v="Furniture"/>
    <n v="1127.76"/>
    <n v="1265.6600000000001"/>
    <s v="Returning"/>
    <n v="0.26"/>
    <x v="1"/>
    <x v="1"/>
    <s v="West"/>
    <s v="Bob"/>
    <s v="West|Bob"/>
  </r>
  <r>
    <n v="1030"/>
    <d v="2023-08-05T00:00:00"/>
    <s v="Bob"/>
    <s v="West"/>
    <n v="9733.4599999999991"/>
    <n v="34"/>
    <s v="Electronics"/>
    <n v="3125.07"/>
    <n v="3564.19"/>
    <s v="Returning"/>
    <n v="0.09"/>
    <x v="0"/>
    <x v="0"/>
    <s v="West"/>
    <s v="Bob"/>
    <s v="West|Bob"/>
  </r>
  <r>
    <n v="1051"/>
    <d v="2023-10-16T00:00:00"/>
    <s v="Alice"/>
    <s v="West"/>
    <n v="7617"/>
    <n v="43"/>
    <s v="Clothing"/>
    <n v="287.99"/>
    <n v="666.64"/>
    <s v="Returning"/>
    <n v="0"/>
    <x v="1"/>
    <x v="0"/>
    <s v="West"/>
    <s v="Alice"/>
    <s v="West|Alice"/>
  </r>
  <r>
    <n v="1081"/>
    <d v="2023-04-12T00:00:00"/>
    <s v="Bob"/>
    <s v="South"/>
    <n v="9680.84"/>
    <n v="19"/>
    <s v="Food"/>
    <n v="2443.69"/>
    <n v="2462.34"/>
    <s v="New"/>
    <n v="7.0000000000000007E-2"/>
    <x v="1"/>
    <x v="1"/>
    <s v="South"/>
    <s v="Bob"/>
    <s v="South|Bob"/>
  </r>
  <r>
    <n v="1005"/>
    <d v="2023-09-24T00:00:00"/>
    <s v="Eve"/>
    <s v="South"/>
    <n v="4453.43"/>
    <n v="6"/>
    <s v="Food"/>
    <n v="122.5"/>
    <n v="385.83"/>
    <s v="Returning"/>
    <n v="0.1"/>
    <x v="0"/>
    <x v="1"/>
    <s v="South"/>
    <s v="Eve"/>
    <s v="South|Eve"/>
  </r>
  <r>
    <n v="1029"/>
    <d v="2023-08-02T00:00:00"/>
    <s v="Eve"/>
    <s v="South"/>
    <n v="2855.85"/>
    <n v="46"/>
    <s v="Furniture"/>
    <n v="4609.66"/>
    <n v="4879.1499999999996"/>
    <s v="Returning"/>
    <n v="0.3"/>
    <x v="0"/>
    <x v="1"/>
    <s v="South"/>
    <s v="Eve"/>
    <s v="South|Eve"/>
  </r>
  <r>
    <n v="1004"/>
    <d v="2023-06-28T00:00:00"/>
    <s v="Bob"/>
    <s v="West"/>
    <n v="8003.1"/>
    <n v="38"/>
    <s v="Furniture"/>
    <n v="4881.63"/>
    <n v="5088.0600000000004"/>
    <s v="Returning"/>
    <n v="0.16"/>
    <x v="2"/>
    <x v="1"/>
    <s v="West"/>
    <s v="Bob"/>
    <s v="West|Bob"/>
  </r>
  <r>
    <n v="1010"/>
    <d v="2023-03-29T00:00:00"/>
    <s v="Alice"/>
    <s v="South"/>
    <n v="3329.91"/>
    <n v="49"/>
    <s v="Food"/>
    <n v="1150.3"/>
    <n v="1306.02"/>
    <s v="New"/>
    <n v="0.06"/>
    <x v="2"/>
    <x v="1"/>
    <s v="South"/>
    <s v="Alice"/>
    <s v="South|Alice"/>
  </r>
  <r>
    <n v="1056"/>
    <d v="2023-02-10T00:00:00"/>
    <s v="Bob"/>
    <s v="West"/>
    <n v="3063.9"/>
    <n v="42"/>
    <s v="Furniture"/>
    <n v="1080.1199999999999"/>
    <n v="1424.1699999999901"/>
    <s v="New"/>
    <n v="0.1"/>
    <x v="0"/>
    <x v="0"/>
    <s v="West"/>
    <s v="Bob"/>
    <s v="West|Bob"/>
  </r>
  <r>
    <n v="1017"/>
    <d v="2023-03-17T00:00:00"/>
    <s v="Bob"/>
    <s v="North"/>
    <n v="2401.81"/>
    <n v="28"/>
    <s v="Clothing"/>
    <n v="3780.91"/>
    <n v="3892.73"/>
    <s v="Returning"/>
    <n v="0.1"/>
    <x v="0"/>
    <x v="1"/>
    <s v="North"/>
    <s v="Bob"/>
    <s v="North|Bob"/>
  </r>
  <r>
    <n v="1074"/>
    <d v="2023-02-15T00:00:00"/>
    <s v="Bob"/>
    <s v="West"/>
    <n v="1383.82"/>
    <n v="1"/>
    <s v="Furniture"/>
    <n v="1304.23"/>
    <n v="1705.71"/>
    <s v="Returning"/>
    <n v="0.01"/>
    <x v="0"/>
    <x v="1"/>
    <s v="West"/>
    <s v="Bob"/>
    <s v="West|Bob"/>
  </r>
  <r>
    <n v="1017"/>
    <d v="2023-06-09T00:00:00"/>
    <s v="Charlie"/>
    <s v="East"/>
    <n v="2638.98"/>
    <n v="35"/>
    <s v="Furniture"/>
    <n v="4480.63"/>
    <n v="4884.12"/>
    <s v="New"/>
    <n v="0.04"/>
    <x v="0"/>
    <x v="0"/>
    <s v="East"/>
    <s v="Charlie"/>
    <s v="East|Charlie"/>
  </r>
  <r>
    <n v="1084"/>
    <d v="2023-03-21T00:00:00"/>
    <s v="Eve"/>
    <s v="South"/>
    <n v="3617.67"/>
    <n v="40"/>
    <s v="Food"/>
    <n v="2890.95"/>
    <n v="3104.43"/>
    <s v="New"/>
    <n v="0.21"/>
    <x v="1"/>
    <x v="0"/>
    <s v="South"/>
    <s v="Eve"/>
    <s v="South|Eve"/>
  </r>
  <r>
    <n v="1088"/>
    <d v="2023-11-06T00:00:00"/>
    <s v="David"/>
    <s v="South"/>
    <n v="6772.54"/>
    <n v="8"/>
    <s v="Food"/>
    <n v="1786.35"/>
    <n v="1935.29"/>
    <s v="New"/>
    <n v="0.04"/>
    <x v="0"/>
    <x v="0"/>
    <s v="South"/>
    <s v="David"/>
    <s v="South|David"/>
  </r>
  <r>
    <n v="1069"/>
    <d v="2023-03-27T00:00:00"/>
    <s v="David"/>
    <s v="East"/>
    <n v="719.39"/>
    <n v="47"/>
    <s v="Electronics"/>
    <n v="4171.83"/>
    <n v="4320.93"/>
    <s v="New"/>
    <n v="7.0000000000000007E-2"/>
    <x v="0"/>
    <x v="0"/>
    <s v="East"/>
    <s v="David"/>
    <s v="East|David"/>
  </r>
  <r>
    <n v="1034"/>
    <d v="2023-04-02T00:00:00"/>
    <s v="Charlie"/>
    <s v="West"/>
    <n v="2184.02"/>
    <n v="7"/>
    <s v="Electronics"/>
    <n v="2492.36"/>
    <n v="2738.68"/>
    <s v="Returning"/>
    <n v="0.11"/>
    <x v="0"/>
    <x v="0"/>
    <s v="West"/>
    <s v="Charlie"/>
    <s v="West|Charlie"/>
  </r>
  <r>
    <n v="1006"/>
    <d v="2023-05-28T00:00:00"/>
    <s v="Bob"/>
    <s v="North"/>
    <n v="8109.33"/>
    <n v="11"/>
    <s v="Food"/>
    <n v="4562.58"/>
    <n v="4925.17"/>
    <s v="New"/>
    <n v="0.23"/>
    <x v="0"/>
    <x v="1"/>
    <s v="North"/>
    <s v="Bob"/>
    <s v="North|Bob"/>
  </r>
  <r>
    <n v="1053"/>
    <d v="2023-06-10T00:00:00"/>
    <s v="Charlie"/>
    <s v="East"/>
    <n v="1554.53"/>
    <n v="39"/>
    <s v="Furniture"/>
    <n v="4643.67"/>
    <n v="4829.5200000000004"/>
    <s v="Returning"/>
    <n v="0.17"/>
    <x v="1"/>
    <x v="0"/>
    <s v="East"/>
    <s v="Charlie"/>
    <s v="East|Charlie"/>
  </r>
  <r>
    <n v="1066"/>
    <d v="2023-07-21T00:00:00"/>
    <s v="Charlie"/>
    <s v="East"/>
    <n v="3492.19"/>
    <n v="4"/>
    <s v="Furniture"/>
    <n v="868.83"/>
    <n v="1177.75"/>
    <s v="Returning"/>
    <n v="0.21"/>
    <x v="2"/>
    <x v="1"/>
    <s v="East"/>
    <s v="Charlie"/>
    <s v="East|Charlie"/>
  </r>
  <r>
    <n v="1077"/>
    <d v="2023-08-30T00:00:00"/>
    <s v="Alice"/>
    <s v="West"/>
    <n v="8660.1200000000008"/>
    <n v="25"/>
    <s v="Electronics"/>
    <n v="61.5"/>
    <n v="258.91999999999899"/>
    <s v="New"/>
    <n v="0.17"/>
    <x v="2"/>
    <x v="0"/>
    <s v="West"/>
    <s v="Alice"/>
    <s v="West|Alice"/>
  </r>
  <r>
    <n v="1043"/>
    <d v="2023-12-19T00:00:00"/>
    <s v="Eve"/>
    <s v="South"/>
    <n v="1633.76"/>
    <n v="12"/>
    <s v="Electronics"/>
    <n v="4920.46"/>
    <n v="5079.68"/>
    <s v="New"/>
    <n v="0.21"/>
    <x v="2"/>
    <x v="1"/>
    <s v="South"/>
    <s v="Eve"/>
    <s v="South|Eve"/>
  </r>
  <r>
    <n v="1075"/>
    <d v="2023-01-02T00:00:00"/>
    <s v="David"/>
    <s v="West"/>
    <n v="919.09"/>
    <n v="26"/>
    <s v="Electronics"/>
    <n v="4535.38"/>
    <n v="4557.5600000000004"/>
    <s v="New"/>
    <n v="0"/>
    <x v="2"/>
    <x v="0"/>
    <s v="West"/>
    <s v="David"/>
    <s v="West|David"/>
  </r>
  <r>
    <n v="1023"/>
    <d v="2023-08-13T00:00:00"/>
    <s v="Bob"/>
    <s v="East"/>
    <n v="4896.93"/>
    <n v="38"/>
    <s v="Clothing"/>
    <n v="324.45"/>
    <n v="336.37"/>
    <s v="New"/>
    <n v="0.28000000000000003"/>
    <x v="2"/>
    <x v="1"/>
    <s v="East"/>
    <s v="Bob"/>
    <s v="East|Bob"/>
  </r>
  <r>
    <n v="1055"/>
    <d v="2023-10-16T00:00:00"/>
    <s v="David"/>
    <s v="East"/>
    <n v="3093.95"/>
    <n v="46"/>
    <s v="Clothing"/>
    <n v="4173.5200000000004"/>
    <n v="4294.8500000000004"/>
    <s v="Returning"/>
    <n v="0.03"/>
    <x v="1"/>
    <x v="1"/>
    <s v="East"/>
    <s v="David"/>
    <s v="East|David"/>
  </r>
  <r>
    <n v="1080"/>
    <d v="2023-08-21T00:00:00"/>
    <s v="David"/>
    <s v="South"/>
    <n v="5677.74"/>
    <n v="12"/>
    <s v="Electronics"/>
    <n v="2316.13"/>
    <n v="2525.27"/>
    <s v="Returning"/>
    <n v="0.12"/>
    <x v="2"/>
    <x v="1"/>
    <s v="South"/>
    <s v="David"/>
    <s v="South|David"/>
  </r>
  <r>
    <n v="1095"/>
    <d v="2023-03-18T00:00:00"/>
    <s v="Eve"/>
    <s v="South"/>
    <n v="8057.67"/>
    <n v="43"/>
    <s v="Furniture"/>
    <n v="1331.86"/>
    <n v="1758.98"/>
    <s v="Returning"/>
    <n v="0.23"/>
    <x v="1"/>
    <x v="1"/>
    <s v="South"/>
    <s v="Eve"/>
    <s v="South|Eve"/>
  </r>
  <r>
    <n v="1075"/>
    <d v="2023-04-26T00:00:00"/>
    <s v="David"/>
    <s v="South"/>
    <n v="1457.77"/>
    <n v="37"/>
    <s v="Electronics"/>
    <n v="4399.8"/>
    <n v="4801.0600000000004"/>
    <s v="New"/>
    <n v="0.13"/>
    <x v="1"/>
    <x v="1"/>
    <s v="South"/>
    <s v="David"/>
    <s v="South|David"/>
  </r>
  <r>
    <n v="1016"/>
    <d v="2023-06-03T00:00:00"/>
    <s v="David"/>
    <s v="West"/>
    <n v="5848.92"/>
    <n v="46"/>
    <s v="Clothing"/>
    <n v="1023.5"/>
    <n v="1164.4100000000001"/>
    <s v="Returning"/>
    <n v="0.28000000000000003"/>
    <x v="2"/>
    <x v="1"/>
    <s v="West"/>
    <s v="David"/>
    <s v="West|David"/>
  </r>
  <r>
    <n v="1008"/>
    <d v="2023-04-13T00:00:00"/>
    <s v="Charlie"/>
    <s v="South"/>
    <n v="5104.54"/>
    <n v="24"/>
    <s v="Furniture"/>
    <n v="4739.13"/>
    <n v="4868.95"/>
    <s v="New"/>
    <n v="0.14000000000000001"/>
    <x v="2"/>
    <x v="1"/>
    <s v="South"/>
    <s v="Charlie"/>
    <s v="South|Charlie"/>
  </r>
  <r>
    <n v="1004"/>
    <d v="2023-07-13T00:00:00"/>
    <s v="Eve"/>
    <s v="East"/>
    <n v="1526.38"/>
    <n v="16"/>
    <s v="Clothing"/>
    <n v="1067.83"/>
    <n v="1189.22"/>
    <s v="Returning"/>
    <n v="0.26"/>
    <x v="2"/>
    <x v="1"/>
    <s v="East"/>
    <s v="Eve"/>
    <s v="East|Eve"/>
  </r>
  <r>
    <n v="1004"/>
    <d v="2023-06-15T00:00:00"/>
    <s v="Alice"/>
    <s v="East"/>
    <n v="6277.59"/>
    <n v="13"/>
    <s v="Furniture"/>
    <n v="3087.73"/>
    <n v="3263.96"/>
    <s v="New"/>
    <n v="0.24"/>
    <x v="0"/>
    <x v="1"/>
    <s v="East"/>
    <s v="Alice"/>
    <s v="East|Alice"/>
  </r>
  <r>
    <n v="1056"/>
    <d v="2023-12-25T00:00:00"/>
    <s v="Bob"/>
    <s v="North"/>
    <n v="2809.04"/>
    <n v="25"/>
    <s v="Clothing"/>
    <n v="1154.28"/>
    <n v="1408.4"/>
    <s v="Returning"/>
    <n v="0.28999999999999998"/>
    <x v="1"/>
    <x v="1"/>
    <s v="North"/>
    <s v="Bob"/>
    <s v="North|Bob"/>
  </r>
  <r>
    <n v="1025"/>
    <d v="2023-03-31T00:00:00"/>
    <s v="David"/>
    <s v="West"/>
    <n v="4929.5600000000004"/>
    <n v="4"/>
    <s v="Furniture"/>
    <n v="2751.06"/>
    <n v="2976.0099999999902"/>
    <s v="Returning"/>
    <n v="0.28000000000000003"/>
    <x v="2"/>
    <x v="0"/>
    <s v="West"/>
    <s v="David"/>
    <s v="West|David"/>
  </r>
  <r>
    <n v="1067"/>
    <d v="2023-06-23T00:00:00"/>
    <s v="Bob"/>
    <s v="North"/>
    <n v="914.5"/>
    <n v="11"/>
    <s v="Furniture"/>
    <n v="3435.68"/>
    <n v="3552.6299999999901"/>
    <s v="New"/>
    <n v="0.27"/>
    <x v="0"/>
    <x v="1"/>
    <s v="North"/>
    <s v="Bob"/>
    <s v="North|Bob"/>
  </r>
  <r>
    <n v="1096"/>
    <d v="2023-05-02T00:00:00"/>
    <s v="Alice"/>
    <s v="East"/>
    <n v="4649.88"/>
    <n v="32"/>
    <s v="Furniture"/>
    <n v="991.63"/>
    <n v="1065.55"/>
    <s v="Returning"/>
    <n v="0.22"/>
    <x v="1"/>
    <x v="1"/>
    <s v="East"/>
    <s v="Alice"/>
    <s v="East|Alice"/>
  </r>
  <r>
    <n v="1067"/>
    <d v="2023-05-23T00:00:00"/>
    <s v="Bob"/>
    <s v="North"/>
    <n v="3133.99"/>
    <n v="49"/>
    <s v="Furniture"/>
    <n v="2628.38"/>
    <n v="2644.54"/>
    <s v="Returning"/>
    <n v="0.11"/>
    <x v="0"/>
    <x v="0"/>
    <s v="North"/>
    <s v="Bob"/>
    <s v="North|Bob"/>
  </r>
  <r>
    <n v="1027"/>
    <d v="2023-04-16T00:00:00"/>
    <s v="Alice"/>
    <s v="East"/>
    <n v="8241.57"/>
    <n v="7"/>
    <s v="Food"/>
    <n v="2371.85"/>
    <n v="2457.29"/>
    <s v="New"/>
    <n v="0.03"/>
    <x v="0"/>
    <x v="1"/>
    <s v="East"/>
    <s v="Alice"/>
    <s v="East|Alice"/>
  </r>
  <r>
    <n v="1093"/>
    <d v="2023-11-01T00:00:00"/>
    <s v="Charlie"/>
    <s v="North"/>
    <n v="664.09"/>
    <n v="46"/>
    <s v="Clothing"/>
    <n v="401.64"/>
    <n v="757.26"/>
    <s v="New"/>
    <n v="0.21"/>
    <x v="2"/>
    <x v="1"/>
    <s v="North"/>
    <s v="Charlie"/>
    <s v="North|Charlie"/>
  </r>
  <r>
    <n v="1032"/>
    <d v="2023-12-26T00:00:00"/>
    <s v="David"/>
    <s v="South"/>
    <n v="4244.21"/>
    <n v="11"/>
    <s v="Clothing"/>
    <n v="4100.62"/>
    <n v="4230"/>
    <s v="New"/>
    <n v="0.28999999999999998"/>
    <x v="1"/>
    <x v="0"/>
    <s v="South"/>
    <s v="David"/>
    <s v="South|David"/>
  </r>
  <r>
    <n v="1050"/>
    <d v="2023-11-13T00:00:00"/>
    <s v="Alice"/>
    <s v="North"/>
    <n v="4638.47"/>
    <n v="28"/>
    <s v="Food"/>
    <n v="1711.63"/>
    <n v="1951.24"/>
    <s v="New"/>
    <n v="0.22"/>
    <x v="0"/>
    <x v="0"/>
    <s v="North"/>
    <s v="Alice"/>
    <s v="North|Alice"/>
  </r>
  <r>
    <n v="1061"/>
    <d v="2023-05-03T00:00:00"/>
    <s v="Bob"/>
    <s v="South"/>
    <n v="7277.56"/>
    <n v="41"/>
    <s v="Furniture"/>
    <n v="2894.18"/>
    <n v="3193.92"/>
    <s v="New"/>
    <n v="0.28000000000000003"/>
    <x v="1"/>
    <x v="1"/>
    <s v="South"/>
    <s v="Bob"/>
    <s v="South|Bob"/>
  </r>
  <r>
    <n v="1051"/>
    <d v="2023-01-09T00:00:00"/>
    <s v="David"/>
    <s v="South"/>
    <n v="5785.45"/>
    <n v="23"/>
    <s v="Furniture"/>
    <n v="2598.1799999999998"/>
    <n v="3042.73"/>
    <s v="Returning"/>
    <n v="0.24"/>
    <x v="2"/>
    <x v="0"/>
    <s v="South"/>
    <s v="David"/>
    <s v="South|David"/>
  </r>
  <r>
    <n v="1019"/>
    <d v="2023-09-19T00:00:00"/>
    <s v="Charlie"/>
    <s v="West"/>
    <n v="6705.4"/>
    <n v="45"/>
    <s v="Clothing"/>
    <n v="2590.64"/>
    <n v="3036.18"/>
    <s v="New"/>
    <n v="0.05"/>
    <x v="1"/>
    <x v="1"/>
    <s v="West"/>
    <s v="Charlie"/>
    <s v="West|Charlie"/>
  </r>
  <r>
    <n v="1021"/>
    <d v="2023-03-14T00:00:00"/>
    <s v="David"/>
    <s v="South"/>
    <n v="7792.79"/>
    <n v="23"/>
    <s v="Food"/>
    <n v="580.75"/>
    <n v="956.16"/>
    <s v="Returning"/>
    <n v="7.0000000000000007E-2"/>
    <x v="0"/>
    <x v="1"/>
    <s v="South"/>
    <s v="David"/>
    <s v="South|David"/>
  </r>
  <r>
    <n v="1005"/>
    <d v="2023-12-25T00:00:00"/>
    <s v="Alice"/>
    <s v="South"/>
    <n v="8635.81"/>
    <n v="28"/>
    <s v="Furniture"/>
    <n v="2146.2399999999998"/>
    <n v="2173.4699999999998"/>
    <s v="Returning"/>
    <n v="0.1"/>
    <x v="0"/>
    <x v="1"/>
    <s v="South"/>
    <s v="Alice"/>
    <s v="South|Alice"/>
  </r>
  <r>
    <n v="1082"/>
    <d v="2023-08-11T00:00:00"/>
    <s v="Charlie"/>
    <s v="North"/>
    <n v="3207.37"/>
    <n v="43"/>
    <s v="Furniture"/>
    <n v="2289.2199999999998"/>
    <n v="2581"/>
    <s v="New"/>
    <n v="0.05"/>
    <x v="1"/>
    <x v="0"/>
    <s v="North"/>
    <s v="Charlie"/>
    <s v="North|Charlie"/>
  </r>
  <r>
    <n v="1092"/>
    <d v="2023-02-10T00:00:00"/>
    <s v="Bob"/>
    <s v="East"/>
    <n v="5426.42"/>
    <n v="47"/>
    <s v="Furniture"/>
    <n v="3681.53"/>
    <n v="4076.96"/>
    <s v="Returning"/>
    <n v="0.17"/>
    <x v="0"/>
    <x v="1"/>
    <s v="East"/>
    <s v="Bob"/>
    <s v="East|Bob"/>
  </r>
  <r>
    <n v="1042"/>
    <d v="2023-07-23T00:00:00"/>
    <s v="Charlie"/>
    <s v="West"/>
    <n v="8417.07"/>
    <n v="26"/>
    <s v="Electronics"/>
    <n v="4208.09"/>
    <n v="4226.5600000000004"/>
    <s v="Returning"/>
    <n v="0.28999999999999998"/>
    <x v="0"/>
    <x v="1"/>
    <s v="West"/>
    <s v="Charlie"/>
    <s v="West|Charlie"/>
  </r>
  <r>
    <n v="1061"/>
    <d v="2023-09-21T00:00:00"/>
    <s v="Charlie"/>
    <s v="South"/>
    <n v="9895.57"/>
    <n v="25"/>
    <s v="Food"/>
    <n v="2747.66"/>
    <n v="3027.0099999999902"/>
    <s v="New"/>
    <n v="0.23"/>
    <x v="0"/>
    <x v="0"/>
    <s v="South"/>
    <s v="Charlie"/>
    <s v="South|Charlie"/>
  </r>
  <r>
    <n v="1022"/>
    <d v="2023-11-24T00:00:00"/>
    <s v="Eve"/>
    <s v="West"/>
    <n v="8906.24"/>
    <n v="29"/>
    <s v="Furniture"/>
    <n v="479.58"/>
    <n v="909.88"/>
    <s v="Returning"/>
    <n v="0.13"/>
    <x v="2"/>
    <x v="1"/>
    <s v="West"/>
    <s v="Eve"/>
    <s v="West|Eve"/>
  </r>
  <r>
    <n v="1021"/>
    <d v="2023-06-27T00:00:00"/>
    <s v="Charlie"/>
    <s v="North"/>
    <n v="3777.53"/>
    <n v="19"/>
    <s v="Electronics"/>
    <n v="1222.4000000000001"/>
    <n v="1464.71"/>
    <s v="New"/>
    <n v="0"/>
    <x v="2"/>
    <x v="1"/>
    <s v="North"/>
    <s v="Charlie"/>
    <s v="North|Charlie"/>
  </r>
  <r>
    <n v="1070"/>
    <d v="2023-12-14T00:00:00"/>
    <s v="Charlie"/>
    <s v="South"/>
    <n v="2032.15"/>
    <n v="33"/>
    <s v="Food"/>
    <n v="866.42"/>
    <n v="878.43"/>
    <s v="New"/>
    <n v="0.09"/>
    <x v="0"/>
    <x v="1"/>
    <s v="South"/>
    <s v="Charlie"/>
    <s v="South|Charlie"/>
  </r>
  <r>
    <n v="1001"/>
    <d v="2023-11-14T00:00:00"/>
    <s v="David"/>
    <s v="North"/>
    <n v="4944.99"/>
    <n v="36"/>
    <s v="Furniture"/>
    <n v="666.84"/>
    <n v="682.24"/>
    <s v="New"/>
    <n v="0.16"/>
    <x v="1"/>
    <x v="1"/>
    <s v="North"/>
    <s v="David"/>
    <s v="North|David"/>
  </r>
  <r>
    <n v="1005"/>
    <d v="2023-03-25T00:00:00"/>
    <s v="Bob"/>
    <s v="West"/>
    <n v="7442.25"/>
    <n v="14"/>
    <s v="Clothing"/>
    <n v="1861.2"/>
    <n v="2075.35"/>
    <s v="Returning"/>
    <n v="0.1"/>
    <x v="2"/>
    <x v="1"/>
    <s v="West"/>
    <s v="Bob"/>
    <s v="West|Bob"/>
  </r>
  <r>
    <n v="1012"/>
    <d v="2023-11-14T00:00:00"/>
    <s v="David"/>
    <s v="North"/>
    <n v="4976.43"/>
    <n v="14"/>
    <s v="Electronics"/>
    <n v="1185.5"/>
    <n v="1271.45"/>
    <s v="Returning"/>
    <n v="0.03"/>
    <x v="1"/>
    <x v="1"/>
    <s v="North"/>
    <s v="David"/>
    <s v="North|David"/>
  </r>
  <r>
    <n v="1090"/>
    <d v="2023-04-21T00:00:00"/>
    <s v="David"/>
    <s v="West"/>
    <n v="4883.49"/>
    <n v="35"/>
    <s v="Electronics"/>
    <n v="1130.5999999999999"/>
    <n v="1466.1799999999901"/>
    <s v="Returning"/>
    <n v="0.13"/>
    <x v="0"/>
    <x v="0"/>
    <s v="West"/>
    <s v="David"/>
    <s v="West|David"/>
  </r>
  <r>
    <n v="1046"/>
    <d v="2023-09-08T00:00:00"/>
    <s v="Alice"/>
    <s v="North"/>
    <n v="8398.48"/>
    <n v="30"/>
    <s v="Furniture"/>
    <n v="320.73"/>
    <n v="678.04"/>
    <s v="Returning"/>
    <n v="0.08"/>
    <x v="0"/>
    <x v="1"/>
    <s v="North"/>
    <s v="Alice"/>
    <s v="North|Alice"/>
  </r>
  <r>
    <n v="1034"/>
    <d v="2023-01-07T00:00:00"/>
    <s v="David"/>
    <s v="West"/>
    <n v="3677.9"/>
    <n v="28"/>
    <s v="Furniture"/>
    <n v="137.47"/>
    <n v="234.63"/>
    <s v="New"/>
    <n v="0.27"/>
    <x v="1"/>
    <x v="1"/>
    <s v="West"/>
    <s v="David"/>
    <s v="West|David"/>
  </r>
  <r>
    <n v="1049"/>
    <d v="2023-03-25T00:00:00"/>
    <s v="Eve"/>
    <s v="East"/>
    <n v="8611.9699999999993"/>
    <n v="17"/>
    <s v="Electronics"/>
    <n v="558.70000000000005"/>
    <n v="1004.08"/>
    <s v="Returning"/>
    <n v="0.03"/>
    <x v="2"/>
    <x v="0"/>
    <s v="East"/>
    <s v="Eve"/>
    <s v="East|Eve"/>
  </r>
  <r>
    <n v="1078"/>
    <d v="2023-07-27T00:00:00"/>
    <s v="Eve"/>
    <s v="North"/>
    <n v="4127.37"/>
    <n v="3"/>
    <s v="Clothing"/>
    <n v="902.38"/>
    <n v="1128.9100000000001"/>
    <s v="New"/>
    <n v="0.01"/>
    <x v="1"/>
    <x v="1"/>
    <s v="North"/>
    <s v="Eve"/>
    <s v="North|Eve"/>
  </r>
  <r>
    <n v="1090"/>
    <d v="2023-11-10T00:00:00"/>
    <s v="Alice"/>
    <s v="North"/>
    <n v="3349.51"/>
    <n v="16"/>
    <s v="Clothing"/>
    <n v="2183.37"/>
    <n v="2263.3599999999901"/>
    <s v="Returning"/>
    <n v="0"/>
    <x v="1"/>
    <x v="1"/>
    <s v="North"/>
    <s v="Alice"/>
    <s v="North|Alice"/>
  </r>
  <r>
    <n v="1045"/>
    <d v="2023-01-22T00:00:00"/>
    <s v="Bob"/>
    <s v="East"/>
    <n v="4594.5"/>
    <n v="46"/>
    <s v="Food"/>
    <n v="2577.08"/>
    <n v="2961.56"/>
    <s v="Returning"/>
    <n v="0.1"/>
    <x v="0"/>
    <x v="0"/>
    <s v="East"/>
    <s v="Bob"/>
    <s v="East|Bob"/>
  </r>
  <r>
    <n v="1027"/>
    <d v="2023-01-03T00:00:00"/>
    <s v="Bob"/>
    <s v="East"/>
    <n v="7648.22"/>
    <n v="30"/>
    <s v="Furniture"/>
    <n v="745.93"/>
    <n v="1143.02"/>
    <s v="Returning"/>
    <n v="0.2"/>
    <x v="2"/>
    <x v="0"/>
    <s v="East"/>
    <s v="Bob"/>
    <s v="East|Bob"/>
  </r>
  <r>
    <n v="1073"/>
    <d v="2023-05-07T00:00:00"/>
    <s v="David"/>
    <s v="North"/>
    <n v="1347.42"/>
    <n v="29"/>
    <s v="Clothing"/>
    <n v="2152.6799999999998"/>
    <n v="2475.9299999999998"/>
    <s v="Returning"/>
    <n v="0.22"/>
    <x v="1"/>
    <x v="0"/>
    <s v="North"/>
    <s v="David"/>
    <s v="North|David"/>
  </r>
  <r>
    <n v="1026"/>
    <d v="2023-10-24T00:00:00"/>
    <s v="David"/>
    <s v="East"/>
    <n v="2044.55"/>
    <n v="45"/>
    <s v="Food"/>
    <n v="1741.66"/>
    <n v="2169.86"/>
    <s v="Returning"/>
    <n v="0.14000000000000001"/>
    <x v="2"/>
    <x v="0"/>
    <s v="East"/>
    <s v="David"/>
    <s v="East|David"/>
  </r>
  <r>
    <n v="1047"/>
    <d v="2023-07-07T00:00:00"/>
    <s v="David"/>
    <s v="South"/>
    <n v="9519.2999999999993"/>
    <n v="15"/>
    <s v="Clothing"/>
    <n v="957.95"/>
    <n v="1329.26"/>
    <s v="New"/>
    <n v="0.21"/>
    <x v="0"/>
    <x v="0"/>
    <s v="South"/>
    <s v="David"/>
    <s v="South|David"/>
  </r>
  <r>
    <n v="1086"/>
    <d v="2023-12-28T00:00:00"/>
    <s v="Bob"/>
    <s v="West"/>
    <n v="1837.37"/>
    <n v="46"/>
    <s v="Furniture"/>
    <n v="83.86"/>
    <n v="526.14"/>
    <s v="Returning"/>
    <n v="0.11"/>
    <x v="2"/>
    <x v="0"/>
    <s v="West"/>
    <s v="Bob"/>
    <s v="West|Bob"/>
  </r>
  <r>
    <n v="1056"/>
    <d v="2023-01-14T00:00:00"/>
    <s v="Charlie"/>
    <s v="West"/>
    <n v="5720.5"/>
    <n v="25"/>
    <s v="Food"/>
    <n v="2361.7399999999998"/>
    <n v="2584.35"/>
    <s v="Returning"/>
    <n v="0.2"/>
    <x v="0"/>
    <x v="0"/>
    <s v="West"/>
    <s v="Charlie"/>
    <s v="West|Charlie"/>
  </r>
  <r>
    <n v="1094"/>
    <d v="2023-01-12T00:00:00"/>
    <s v="Eve"/>
    <s v="West"/>
    <n v="5835.21"/>
    <n v="38"/>
    <s v="Food"/>
    <n v="3443.98"/>
    <n v="3820.3"/>
    <s v="Returning"/>
    <n v="0.01"/>
    <x v="2"/>
    <x v="1"/>
    <s v="West"/>
    <s v="Eve"/>
    <s v="West|Eve"/>
  </r>
  <r>
    <n v="1063"/>
    <d v="2023-03-28T00:00:00"/>
    <s v="Charlie"/>
    <s v="South"/>
    <n v="4947.28"/>
    <n v="42"/>
    <s v="Food"/>
    <n v="1170.07"/>
    <n v="1669.94999999999"/>
    <s v="Returning"/>
    <n v="0.12"/>
    <x v="1"/>
    <x v="1"/>
    <s v="South"/>
    <s v="Charlie"/>
    <s v="South|Charlie"/>
  </r>
  <r>
    <n v="1048"/>
    <d v="2023-01-12T00:00:00"/>
    <s v="Charlie"/>
    <s v="East"/>
    <n v="6482.98"/>
    <n v="47"/>
    <s v="Clothing"/>
    <n v="702.44"/>
    <n v="1067.6600000000001"/>
    <s v="New"/>
    <n v="0.24"/>
    <x v="0"/>
    <x v="1"/>
    <s v="East"/>
    <s v="Charlie"/>
    <s v="East|Charlie"/>
  </r>
  <r>
    <n v="1061"/>
    <d v="2023-01-25T00:00:00"/>
    <s v="Bob"/>
    <s v="East"/>
    <n v="2375.2800000000002"/>
    <n v="38"/>
    <s v="Furniture"/>
    <n v="4440.8599999999997"/>
    <n v="4506.8099999999904"/>
    <s v="Returning"/>
    <n v="0.24"/>
    <x v="1"/>
    <x v="0"/>
    <s v="East"/>
    <s v="Bob"/>
    <s v="East|Bob"/>
  </r>
  <r>
    <n v="1081"/>
    <d v="2023-10-28T00:00:00"/>
    <s v="Charlie"/>
    <s v="North"/>
    <n v="5571.36"/>
    <n v="23"/>
    <s v="Food"/>
    <n v="1411.37"/>
    <n v="1675.35"/>
    <s v="New"/>
    <n v="0.21"/>
    <x v="0"/>
    <x v="1"/>
    <s v="North"/>
    <s v="Charlie"/>
    <s v="North|Charlie"/>
  </r>
  <r>
    <n v="1026"/>
    <d v="2023-08-31T00:00:00"/>
    <s v="Alice"/>
    <s v="East"/>
    <n v="3784.52"/>
    <n v="25"/>
    <s v="Electronics"/>
    <n v="1156.8800000000001"/>
    <n v="1454.68"/>
    <s v="Returning"/>
    <n v="0.06"/>
    <x v="2"/>
    <x v="0"/>
    <s v="East"/>
    <s v="Alice"/>
    <s v="East|Alice"/>
  </r>
  <r>
    <n v="1036"/>
    <d v="2023-05-02T00:00:00"/>
    <s v="David"/>
    <s v="North"/>
    <n v="6650.51"/>
    <n v="42"/>
    <s v="Furniture"/>
    <n v="4292.63"/>
    <n v="4387.99"/>
    <s v="New"/>
    <n v="7.0000000000000007E-2"/>
    <x v="2"/>
    <x v="1"/>
    <s v="North"/>
    <s v="David"/>
    <s v="North|David"/>
  </r>
  <r>
    <n v="1001"/>
    <d v="2023-05-27T00:00:00"/>
    <s v="Alice"/>
    <s v="South"/>
    <n v="1498.11"/>
    <n v="7"/>
    <s v="Electronics"/>
    <n v="4094.68"/>
    <n v="4576.5"/>
    <s v="New"/>
    <n v="0.3"/>
    <x v="0"/>
    <x v="1"/>
    <s v="South"/>
    <s v="Alice"/>
    <s v="South|Alice"/>
  </r>
  <r>
    <n v="1008"/>
    <d v="2023-02-24T00:00:00"/>
    <s v="Eve"/>
    <s v="West"/>
    <n v="5751.69"/>
    <n v="22"/>
    <s v="Electronics"/>
    <n v="2269.3200000000002"/>
    <n v="2365.35"/>
    <s v="New"/>
    <n v="0.03"/>
    <x v="0"/>
    <x v="1"/>
    <s v="West"/>
    <s v="Eve"/>
    <s v="West|Eve"/>
  </r>
  <r>
    <n v="1099"/>
    <d v="2023-08-26T00:00:00"/>
    <s v="David"/>
    <s v="West"/>
    <n v="1934.18"/>
    <n v="17"/>
    <s v="Food"/>
    <n v="2471.73"/>
    <n v="2568.73"/>
    <s v="New"/>
    <n v="0.05"/>
    <x v="0"/>
    <x v="1"/>
    <s v="West"/>
    <s v="David"/>
    <s v="West|David"/>
  </r>
  <r>
    <n v="1052"/>
    <d v="2023-12-22T00:00:00"/>
    <s v="Charlie"/>
    <s v="West"/>
    <n v="2858.57"/>
    <n v="18"/>
    <s v="Food"/>
    <n v="1127.8599999999999"/>
    <n v="1586.29"/>
    <s v="New"/>
    <n v="0.04"/>
    <x v="2"/>
    <x v="0"/>
    <s v="West"/>
    <s v="Charlie"/>
    <s v="West|Charlie"/>
  </r>
  <r>
    <n v="1079"/>
    <d v="2023-06-22T00:00:00"/>
    <s v="Eve"/>
    <s v="East"/>
    <n v="2265.23"/>
    <n v="49"/>
    <s v="Clothing"/>
    <n v="437.59"/>
    <n v="675.54"/>
    <s v="Returning"/>
    <n v="0.1"/>
    <x v="0"/>
    <x v="0"/>
    <s v="East"/>
    <s v="Eve"/>
    <s v="East|Eve"/>
  </r>
  <r>
    <n v="1047"/>
    <d v="2023-08-09T00:00:00"/>
    <s v="David"/>
    <s v="North"/>
    <n v="1910.09"/>
    <n v="41"/>
    <s v="Clothing"/>
    <n v="2888.49"/>
    <n v="2929.45"/>
    <s v="New"/>
    <n v="0.06"/>
    <x v="0"/>
    <x v="1"/>
    <s v="North"/>
    <s v="David"/>
    <s v="North|David"/>
  </r>
  <r>
    <n v="1056"/>
    <d v="2023-04-29T00:00:00"/>
    <s v="Charlie"/>
    <s v="North"/>
    <n v="8274.5400000000009"/>
    <n v="10"/>
    <s v="Clothing"/>
    <n v="536.80999999999995"/>
    <n v="839.92"/>
    <s v="Returning"/>
    <n v="0.15"/>
    <x v="1"/>
    <x v="0"/>
    <s v="North"/>
    <s v="Charlie"/>
    <s v="North|Charlie"/>
  </r>
  <r>
    <n v="1086"/>
    <d v="2023-11-05T00:00:00"/>
    <s v="Alice"/>
    <s v="South"/>
    <n v="2928.5"/>
    <n v="10"/>
    <s v="Furniture"/>
    <n v="2273.91"/>
    <n v="2578.7999999999902"/>
    <s v="New"/>
    <n v="0.14000000000000001"/>
    <x v="0"/>
    <x v="0"/>
    <s v="South"/>
    <s v="Alice"/>
    <s v="South|Alice"/>
  </r>
  <r>
    <n v="1014"/>
    <d v="2023-07-02T00:00:00"/>
    <s v="David"/>
    <s v="East"/>
    <n v="9278.5300000000007"/>
    <n v="7"/>
    <s v="Clothing"/>
    <n v="4705.46"/>
    <n v="4747.07"/>
    <s v="New"/>
    <n v="0.27"/>
    <x v="1"/>
    <x v="1"/>
    <s v="East"/>
    <s v="David"/>
    <s v="East|David"/>
  </r>
  <r>
    <n v="1090"/>
    <d v="2023-10-15T00:00:00"/>
    <s v="Charlie"/>
    <s v="South"/>
    <n v="9702.27"/>
    <n v="48"/>
    <s v="Electronics"/>
    <n v="4766.53"/>
    <n v="5253.07"/>
    <s v="Returning"/>
    <n v="0.01"/>
    <x v="1"/>
    <x v="0"/>
    <s v="South"/>
    <s v="Charlie"/>
    <s v="South|Charlie"/>
  </r>
  <r>
    <n v="1028"/>
    <d v="2023-11-03T00:00:00"/>
    <s v="Alice"/>
    <s v="North"/>
    <n v="5755.48"/>
    <n v="38"/>
    <s v="Clothing"/>
    <n v="1234.69"/>
    <n v="1511.26"/>
    <s v="New"/>
    <n v="0.1"/>
    <x v="1"/>
    <x v="0"/>
    <s v="North"/>
    <s v="Alice"/>
    <s v="North|Alice"/>
  </r>
  <r>
    <n v="1087"/>
    <d v="2023-10-27T00:00:00"/>
    <s v="Eve"/>
    <s v="North"/>
    <n v="1515.71"/>
    <n v="27"/>
    <s v="Food"/>
    <n v="3139.36"/>
    <n v="3423.66"/>
    <s v="New"/>
    <n v="0.18"/>
    <x v="2"/>
    <x v="0"/>
    <s v="North"/>
    <s v="Eve"/>
    <s v="North|Eve"/>
  </r>
  <r>
    <n v="1078"/>
    <d v="2023-03-23T00:00:00"/>
    <s v="Eve"/>
    <s v="West"/>
    <n v="3808.03"/>
    <n v="33"/>
    <s v="Clothing"/>
    <n v="2396.6799999999998"/>
    <n v="2661.54"/>
    <s v="New"/>
    <n v="0.18"/>
    <x v="1"/>
    <x v="0"/>
    <s v="West"/>
    <s v="Eve"/>
    <s v="West|Eve"/>
  </r>
  <r>
    <n v="1088"/>
    <d v="2023-07-30T00:00:00"/>
    <s v="Eve"/>
    <s v="East"/>
    <n v="7997.55"/>
    <n v="1"/>
    <s v="Furniture"/>
    <n v="4384.6400000000003"/>
    <n v="4693.8999999999996"/>
    <s v="New"/>
    <n v="0.14000000000000001"/>
    <x v="0"/>
    <x v="1"/>
    <s v="East"/>
    <s v="Eve"/>
    <s v="East|Eve"/>
  </r>
  <r>
    <n v="1002"/>
    <d v="2023-05-30T00:00:00"/>
    <s v="Eve"/>
    <s v="North"/>
    <n v="3737.17"/>
    <n v="44"/>
    <s v="Furniture"/>
    <n v="1393.58"/>
    <n v="1533.09"/>
    <s v="Returning"/>
    <n v="0.24"/>
    <x v="2"/>
    <x v="1"/>
    <s v="North"/>
    <s v="Eve"/>
    <s v="North|Eve"/>
  </r>
  <r>
    <n v="1026"/>
    <d v="2023-02-06T00:00:00"/>
    <s v="Bob"/>
    <s v="West"/>
    <n v="961.47"/>
    <n v="34"/>
    <s v="Electronics"/>
    <n v="68.33"/>
    <n v="219.07999999999899"/>
    <s v="New"/>
    <n v="0.02"/>
    <x v="2"/>
    <x v="0"/>
    <s v="West"/>
    <s v="Bob"/>
    <s v="West|Bob"/>
  </r>
  <r>
    <n v="1014"/>
    <d v="2023-12-18T00:00:00"/>
    <s v="David"/>
    <s v="East"/>
    <n v="5612.17"/>
    <n v="4"/>
    <s v="Furniture"/>
    <n v="854.68"/>
    <n v="1115.24"/>
    <s v="New"/>
    <n v="0.24"/>
    <x v="2"/>
    <x v="1"/>
    <s v="East"/>
    <s v="David"/>
    <s v="East|David"/>
  </r>
  <r>
    <n v="1059"/>
    <d v="2023-11-08T00:00:00"/>
    <s v="David"/>
    <s v="South"/>
    <n v="8466.7000000000007"/>
    <n v="17"/>
    <s v="Clothing"/>
    <n v="1780.14"/>
    <n v="2185.42"/>
    <s v="Returning"/>
    <n v="0.15"/>
    <x v="2"/>
    <x v="1"/>
    <s v="South"/>
    <s v="David"/>
    <s v="South|David"/>
  </r>
  <r>
    <n v="1056"/>
    <d v="2023-12-27T00:00:00"/>
    <s v="Bob"/>
    <s v="East"/>
    <n v="7979.67"/>
    <n v="4"/>
    <s v="Food"/>
    <n v="1612.82"/>
    <n v="1647.25"/>
    <s v="Returning"/>
    <n v="0.04"/>
    <x v="2"/>
    <x v="1"/>
    <s v="East"/>
    <s v="Bob"/>
    <s v="East|Bob"/>
  </r>
  <r>
    <n v="1007"/>
    <d v="2023-02-28T00:00:00"/>
    <s v="Charlie"/>
    <s v="East"/>
    <n v="1833.72"/>
    <n v="43"/>
    <s v="Furniture"/>
    <n v="3967.25"/>
    <n v="4272.92"/>
    <s v="New"/>
    <n v="0.27"/>
    <x v="2"/>
    <x v="0"/>
    <s v="East"/>
    <s v="Charlie"/>
    <s v="East|Charlie"/>
  </r>
  <r>
    <n v="1003"/>
    <d v="2023-05-11T00:00:00"/>
    <s v="Charlie"/>
    <s v="North"/>
    <n v="6760.37"/>
    <n v="26"/>
    <s v="Electronics"/>
    <n v="3418.78"/>
    <n v="3824.1"/>
    <s v="New"/>
    <n v="0.19"/>
    <x v="2"/>
    <x v="0"/>
    <s v="North"/>
    <s v="Charlie"/>
    <s v="North|Charlie"/>
  </r>
  <r>
    <n v="1023"/>
    <d v="2023-07-21T00:00:00"/>
    <s v="Eve"/>
    <s v="North"/>
    <n v="2282.9899999999998"/>
    <n v="4"/>
    <s v="Clothing"/>
    <n v="1532.8"/>
    <n v="1619.69"/>
    <s v="Returning"/>
    <n v="0.05"/>
    <x v="1"/>
    <x v="1"/>
    <s v="North"/>
    <s v="Eve"/>
    <s v="North|Eve"/>
  </r>
  <r>
    <n v="1018"/>
    <d v="2023-08-31T00:00:00"/>
    <s v="Alice"/>
    <s v="East"/>
    <n v="2260.25"/>
    <n v="1"/>
    <s v="Electronics"/>
    <n v="2315.83"/>
    <n v="2333.19"/>
    <s v="New"/>
    <n v="0.01"/>
    <x v="0"/>
    <x v="1"/>
    <s v="East"/>
    <s v="Alice"/>
    <s v="East|Alice"/>
  </r>
  <r>
    <n v="1038"/>
    <d v="2023-02-04T00:00:00"/>
    <s v="Charlie"/>
    <s v="North"/>
    <n v="8753.31"/>
    <n v="7"/>
    <s v="Furniture"/>
    <n v="523.02"/>
    <n v="686.25"/>
    <s v="Returning"/>
    <n v="0.04"/>
    <x v="0"/>
    <x v="0"/>
    <s v="North"/>
    <s v="Charlie"/>
    <s v="North|Charlie"/>
  </r>
  <r>
    <n v="1099"/>
    <d v="2023-04-03T00:00:00"/>
    <s v="Alice"/>
    <s v="North"/>
    <n v="2571.7199999999998"/>
    <n v="30"/>
    <s v="Furniture"/>
    <n v="4495.82"/>
    <n v="4794.0099999999902"/>
    <s v="New"/>
    <n v="0.18"/>
    <x v="1"/>
    <x v="1"/>
    <s v="North"/>
    <s v="Alice"/>
    <s v="North|Alice"/>
  </r>
  <r>
    <n v="1015"/>
    <d v="2023-07-26T00:00:00"/>
    <s v="David"/>
    <s v="North"/>
    <n v="2706.15"/>
    <n v="9"/>
    <s v="Electronics"/>
    <n v="4680.3500000000004"/>
    <n v="4758.1099999999997"/>
    <s v="Returning"/>
    <n v="0.05"/>
    <x v="1"/>
    <x v="0"/>
    <s v="North"/>
    <s v="David"/>
    <s v="North|David"/>
  </r>
  <r>
    <n v="1064"/>
    <d v="2023-12-19T00:00:00"/>
    <s v="Alice"/>
    <s v="West"/>
    <n v="106.47"/>
    <n v="35"/>
    <s v="Clothing"/>
    <n v="4900.03"/>
    <n v="5118.83"/>
    <s v="Returning"/>
    <n v="7.0000000000000007E-2"/>
    <x v="2"/>
    <x v="1"/>
    <s v="West"/>
    <s v="Alice"/>
    <s v="West|Alice"/>
  </r>
  <r>
    <n v="1089"/>
    <d v="2023-11-28T00:00:00"/>
    <s v="David"/>
    <s v="West"/>
    <n v="8719.6200000000008"/>
    <n v="8"/>
    <s v="Furniture"/>
    <n v="4349.34"/>
    <n v="4629.9799999999996"/>
    <s v="Returning"/>
    <n v="0.01"/>
    <x v="2"/>
    <x v="0"/>
    <s v="West"/>
    <s v="David"/>
    <s v="West|David"/>
  </r>
  <r>
    <n v="1028"/>
    <d v="2023-11-01T00:00:00"/>
    <s v="Bob"/>
    <s v="East"/>
    <n v="7946.69"/>
    <n v="24"/>
    <s v="Food"/>
    <n v="911.11"/>
    <n v="1214.56"/>
    <s v="New"/>
    <n v="0.22"/>
    <x v="1"/>
    <x v="0"/>
    <s v="East"/>
    <s v="Bob"/>
    <s v="East|Bob"/>
  </r>
  <r>
    <n v="1074"/>
    <d v="2023-12-16T00:00:00"/>
    <s v="Bob"/>
    <s v="North"/>
    <n v="6310.56"/>
    <n v="19"/>
    <s v="Furniture"/>
    <n v="278.67"/>
    <n v="423.13"/>
    <s v="New"/>
    <n v="0.24"/>
    <x v="2"/>
    <x v="0"/>
    <s v="North"/>
    <s v="Bob"/>
    <s v="North|Bob"/>
  </r>
  <r>
    <n v="1039"/>
    <d v="2023-08-01T00:00:00"/>
    <s v="Eve"/>
    <s v="West"/>
    <n v="7527.63"/>
    <n v="36"/>
    <s v="Clothing"/>
    <n v="2919"/>
    <n v="3125.01"/>
    <s v="New"/>
    <n v="0.24"/>
    <x v="0"/>
    <x v="0"/>
    <s v="West"/>
    <s v="Eve"/>
    <s v="West|Eve"/>
  </r>
  <r>
    <n v="1057"/>
    <d v="2023-06-08T00:00:00"/>
    <s v="Charlie"/>
    <s v="East"/>
    <n v="1605.28"/>
    <n v="43"/>
    <s v="Furniture"/>
    <n v="4567.3900000000003"/>
    <n v="4958.78"/>
    <s v="New"/>
    <n v="0.04"/>
    <x v="0"/>
    <x v="1"/>
    <s v="East"/>
    <s v="Charlie"/>
    <s v="East|Charlie"/>
  </r>
  <r>
    <n v="1017"/>
    <d v="2023-01-24T00:00:00"/>
    <s v="Eve"/>
    <s v="North"/>
    <n v="4637.3999999999996"/>
    <n v="27"/>
    <s v="Electronics"/>
    <n v="927.89"/>
    <n v="1399.09"/>
    <s v="Returning"/>
    <n v="0.27"/>
    <x v="2"/>
    <x v="0"/>
    <s v="North"/>
    <s v="Eve"/>
    <s v="North|Eve"/>
  </r>
  <r>
    <n v="1086"/>
    <d v="2023-10-20T00:00:00"/>
    <s v="David"/>
    <s v="South"/>
    <n v="3577.07"/>
    <n v="32"/>
    <s v="Furniture"/>
    <n v="84.86"/>
    <n v="517.17999999999995"/>
    <s v="Returning"/>
    <n v="0.2"/>
    <x v="2"/>
    <x v="1"/>
    <s v="South"/>
    <s v="David"/>
    <s v="South|David"/>
  </r>
  <r>
    <n v="1090"/>
    <d v="2023-01-04T00:00:00"/>
    <s v="Eve"/>
    <s v="North"/>
    <n v="1028.3900000000001"/>
    <n v="14"/>
    <s v="Furniture"/>
    <n v="4037.21"/>
    <n v="4323.71"/>
    <s v="Returning"/>
    <n v="0.27"/>
    <x v="2"/>
    <x v="0"/>
    <s v="North"/>
    <s v="Eve"/>
    <s v="North|Eve"/>
  </r>
  <r>
    <n v="1044"/>
    <d v="2023-08-08T00:00:00"/>
    <s v="Alice"/>
    <s v="North"/>
    <n v="4912.6899999999996"/>
    <n v="18"/>
    <s v="Clothing"/>
    <n v="430.14"/>
    <n v="641.17999999999995"/>
    <s v="New"/>
    <n v="0.13"/>
    <x v="0"/>
    <x v="0"/>
    <s v="North"/>
    <s v="Alice"/>
    <s v="North|Alice"/>
  </r>
  <r>
    <n v="1025"/>
    <d v="2023-12-30T00:00:00"/>
    <s v="David"/>
    <s v="West"/>
    <n v="9215.32"/>
    <n v="28"/>
    <s v="Electronics"/>
    <n v="2097.84"/>
    <n v="2270.9899999999998"/>
    <s v="New"/>
    <n v="0.13"/>
    <x v="2"/>
    <x v="1"/>
    <s v="West"/>
    <s v="David"/>
    <s v="West|David"/>
  </r>
  <r>
    <n v="1017"/>
    <d v="2023-01-20T00:00:00"/>
    <s v="Bob"/>
    <s v="East"/>
    <n v="496.59"/>
    <n v="29"/>
    <s v="Clothing"/>
    <n v="3410.49"/>
    <n v="3481.72"/>
    <s v="New"/>
    <n v="0.24"/>
    <x v="1"/>
    <x v="1"/>
    <s v="East"/>
    <s v="Bob"/>
    <s v="East|Bob"/>
  </r>
  <r>
    <n v="1013"/>
    <d v="2023-06-01T00:00:00"/>
    <s v="Charlie"/>
    <s v="East"/>
    <n v="2985.46"/>
    <n v="16"/>
    <s v="Furniture"/>
    <n v="1222.1500000000001"/>
    <n v="1284.3599999999999"/>
    <s v="Returning"/>
    <n v="0.03"/>
    <x v="2"/>
    <x v="1"/>
    <s v="East"/>
    <s v="Charlie"/>
    <s v="East|Charlie"/>
  </r>
  <r>
    <n v="1084"/>
    <d v="2023-02-19T00:00:00"/>
    <s v="David"/>
    <s v="West"/>
    <n v="2154.66"/>
    <n v="35"/>
    <s v="Food"/>
    <n v="465.61"/>
    <n v="812.91"/>
    <s v="New"/>
    <n v="0.16"/>
    <x v="1"/>
    <x v="0"/>
    <s v="West"/>
    <s v="David"/>
    <s v="West|David"/>
  </r>
  <r>
    <n v="1025"/>
    <d v="2023-06-26T00:00:00"/>
    <s v="David"/>
    <s v="North"/>
    <n v="2457.65"/>
    <n v="47"/>
    <s v="Furniture"/>
    <n v="3861.61"/>
    <n v="3998.91"/>
    <s v="New"/>
    <n v="0.25"/>
    <x v="2"/>
    <x v="0"/>
    <s v="North"/>
    <s v="David"/>
    <s v="North|David"/>
  </r>
  <r>
    <n v="1068"/>
    <d v="2023-04-06T00:00:00"/>
    <s v="Alice"/>
    <s v="South"/>
    <n v="9093.5"/>
    <n v="31"/>
    <s v="Clothing"/>
    <n v="3169.37"/>
    <n v="3304.15"/>
    <s v="Returning"/>
    <n v="0.25"/>
    <x v="2"/>
    <x v="1"/>
    <s v="South"/>
    <s v="Alice"/>
    <s v="South|Alice"/>
  </r>
  <r>
    <n v="1010"/>
    <d v="2023-04-15T00:00:00"/>
    <s v="Charlie"/>
    <s v="North"/>
    <n v="4733.88"/>
    <n v="4"/>
    <s v="Food"/>
    <n v="4943.03"/>
    <n v="5442.15"/>
    <s v="Returning"/>
    <n v="0.28999999999999998"/>
    <x v="0"/>
    <x v="0"/>
    <s v="North"/>
    <s v="Charlie"/>
    <s v="North|Charlie"/>
  </r>
  <r>
    <n v="1067"/>
    <d v="2023-09-07T00:00:00"/>
    <s v="Bob"/>
    <s v="North"/>
    <n v="4716.3599999999997"/>
    <n v="37"/>
    <s v="Clothing"/>
    <n v="1754.32"/>
    <n v="1856.3999999999901"/>
    <s v="New"/>
    <n v="0.21"/>
    <x v="1"/>
    <x v="1"/>
    <s v="North"/>
    <s v="Bob"/>
    <s v="North|Bob"/>
  </r>
  <r>
    <n v="1018"/>
    <d v="2023-04-27T00:00:00"/>
    <s v="David"/>
    <s v="South"/>
    <n v="7629.7"/>
    <n v="17"/>
    <s v="Clothing"/>
    <n v="355.72"/>
    <n v="438.27"/>
    <s v="Returning"/>
    <n v="0.06"/>
    <x v="1"/>
    <x v="0"/>
    <s v="South"/>
    <s v="David"/>
    <s v="South|David"/>
  </r>
  <r>
    <n v="1100"/>
    <d v="2023-12-20T00:00:00"/>
    <s v="David"/>
    <s v="West"/>
    <n v="1629.47"/>
    <n v="39"/>
    <s v="Electronics"/>
    <n v="3685.03"/>
    <n v="3743.39"/>
    <s v="New"/>
    <n v="0.01"/>
    <x v="1"/>
    <x v="0"/>
    <s v="West"/>
    <s v="David"/>
    <s v="West|David"/>
  </r>
  <r>
    <n v="1086"/>
    <d v="2023-08-16T00:00:00"/>
    <s v="Alice"/>
    <s v="East"/>
    <n v="4923.93"/>
    <n v="48"/>
    <s v="Food"/>
    <n v="2632.58"/>
    <n v="2926.68"/>
    <s v="Returning"/>
    <n v="0.14000000000000001"/>
    <x v="0"/>
    <x v="0"/>
    <s v="East"/>
    <s v="Alice"/>
    <s v="East|Alic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09C0B-E5FD-45F4-97E2-17C50D2F099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11:C16" firstHeaderRow="0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>
      <items count="5">
        <item x="2"/>
        <item x="3"/>
        <item x="1"/>
        <item x="0"/>
        <item t="default"/>
      </items>
    </pivotField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8" baseField="6" baseItem="0" numFmtId="164"/>
    <dataField name="% Total Revenue" fld="8" showDataAs="percentOfTotal" baseField="6" baseItem="0" numFmtId="10"/>
  </dataFields>
  <formats count="2">
    <format dxfId="36">
      <pivotArea outline="0" fieldPosition="0">
        <references count="1">
          <reference field="4294967294" count="1" selected="0">
            <x v="1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AEAFE2-5DA7-4514-8AFA-265C31FF5DF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 chartFormat="8">
  <location ref="A2:C7" firstHeaderRow="0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8" baseField="3" baseItem="0" numFmtId="164"/>
    <dataField name="% Total Revenue" fld="8" showDataAs="percentOfTotal" baseField="3" baseItem="0" numFmtId="10"/>
  </dataFields>
  <formats count="10">
    <format dxfId="46">
      <pivotArea outline="0" fieldPosition="0">
        <references count="1">
          <reference field="4294967294" count="1" selected="0">
            <x v="1"/>
          </reference>
        </references>
      </pivotArea>
    </format>
    <format dxfId="45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44">
      <pivotArea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format>
    <format dxfId="43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42">
      <pivotArea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format>
    <format dxfId="41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40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39">
      <pivotArea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format>
    <format dxfId="38">
      <pivotArea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format>
    <format dxfId="37">
      <pivotArea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format>
  </format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419D35-1618-4793-A95E-10903003274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9:E48" firstHeaderRow="0" firstDataRow="1" firstDataCol="2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 defaultSubtotal="0">
      <items count="4">
        <item x="3"/>
        <item x="0"/>
        <item x="2"/>
        <item x="1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2">
    <field x="5"/>
    <field x="17"/>
  </rowFields>
  <rowItems count="9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umber of Sales" fld="8" subtotal="count" baseField="13" baseItem="0"/>
    <dataField name="Total Revenue" fld="8" baseField="13" baseItem="0" numFmtId="164"/>
    <dataField name="% of Region Revenue" fld="8" baseField="13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3">
    <format dxfId="49">
      <pivotArea outline="0" fieldPosition="0">
        <references count="1">
          <reference field="4294967294" count="1" selected="0">
            <x v="0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C6F5E-FD98-44DB-8994-FD2BD38A3E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0:C35" firstHeaderRow="0" firstDataRow="1" firstDataCol="1"/>
  <pivotFields count="18">
    <pivotField compact="0" outline="0" showAll="0" defaultSubtotal="0"/>
    <pivotField compact="0" outline="0" subtotalTop="0" showAll="0" defaultSubtotal="0"/>
    <pivotField compact="0" numFmtId="14" outline="0" showAll="0" defaultSubtotal="0"/>
    <pivotField compact="0" outline="0" showAll="0" defaultSubtotal="0"/>
    <pivotField compact="0" outline="0" subtotalTop="0" showAll="0" defaultSubtotal="0"/>
    <pivotField axis="axisRow" compact="0" outline="0" showAll="0" defaultSubtotal="0">
      <items count="4">
        <item x="3"/>
        <item x="0"/>
        <item x="2"/>
        <item x="1"/>
      </items>
    </pivotField>
    <pivotField compact="0" outline="0" subtotalTop="0" showAll="0" defaultSubtotal="0"/>
    <pivotField compact="0" numFmtId="164" outline="0" subtotalTop="0" showAll="0" defaultSubtotal="0"/>
    <pivotField dataField="1" compact="0" numFmtId="164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numFmtId="9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8" baseField="3" baseItem="0" numFmtId="164"/>
    <dataField name="% Total Revenue" fld="8" showDataAs="percentOfTotal" baseField="3" baseItem="0" numFmtId="10"/>
  </dataFields>
  <formats count="2">
    <format dxfId="51">
      <pivotArea outline="0" fieldPosition="0">
        <references count="1">
          <reference field="4294967294" count="1" selected="0">
            <x v="1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29B76-70E6-4410-B06F-3666A3A62B7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20:C26" firstHeaderRow="0" firstDataRow="1" firstDataCol="1"/>
  <pivotFields count="18">
    <pivotField compact="0" outline="0" showAll="0"/>
    <pivotField compact="0" outline="0" showAll="0"/>
    <pivotField compact="0" numFmtId="14" outline="0" showAll="0"/>
    <pivotField axis="axisRow" compact="0" outline="0" showAll="0">
      <items count="6">
        <item x="4"/>
        <item x="0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8" baseField="2" baseItem="0" numFmtId="164"/>
    <dataField name="% Total Revenue" fld="8" showDataAs="percentOfTotal" baseField="2" baseItem="0" numFmtId="10"/>
  </dataFields>
  <formats count="2">
    <format dxfId="53">
      <pivotArea outline="0" fieldPosition="0">
        <references count="1">
          <reference field="4294967294" count="1" selected="0">
            <x v="1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FF76E-99C5-42EB-B72E-C75EBAA41D04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7">
  <location ref="D25:E28" firstHeaderRow="1" firstDataRow="1" firstDataCol="1"/>
  <pivotFields count="16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Percentage Revenue" fld="4" showDataAs="percentOfTotal" baseField="0" baseItem="0" numFmtId="10"/>
  </dataFields>
  <chartFormats count="1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6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1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13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3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63572-5DAF-44F8-9596-17FA749B7D9F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D18:F21" firstHeaderRow="0" firstDataRow="1" firstDataCol="1"/>
  <pivotFields count="16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4" baseField="0" baseItem="0"/>
    <dataField name="Percentage Revenue" fld="4" showDataAs="percentOfTotal" baseField="0" baseItem="0" numFmtId="10"/>
  </dataFields>
  <chartFormats count="6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8BE1FC-3FB8-4FA5-A81B-1A9599F9C885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E3" firstHeaderRow="0" firstDataRow="1" firstDataCol="0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Sales Amount" fld="8" baseField="0" baseItem="0"/>
    <dataField name="Average of Sales Amount" fld="8" subtotal="average" baseField="0" baseItem="1"/>
    <dataField name="Count of Sales ID" fld="8" subtotal="count" baseField="0" baseItem="2" numFmtId="4"/>
    <dataField name="Max of Sales Amount" fld="8" subtotal="max" baseField="0" baseItem="3"/>
    <dataField name="Min of Sales Amount" fld="8" subtotal="min" baseField="0" baseItem="4"/>
  </dataFields>
  <formats count="6">
    <format dxfId="26">
      <pivotArea dataOnly="0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outline="0" collapsedLevelsAreSubtotals="1" fieldPosition="0"/>
    </format>
    <format dxfId="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034FFD-C047-47EF-AEC3-3AE8ACCEB5D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0">
  <location ref="A18:B23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Revenue" fld="8" baseField="3" baseItem="0" numFmtId="164"/>
  </dataFields>
  <formats count="1">
    <format dxfId="27">
      <pivotArea dataOnly="0" labelOnly="1" outline="0" axis="axisValues" fieldPosition="0"/>
    </format>
  </formats>
  <chartFormats count="5">
    <chartFormat chart="29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9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9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9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3BA828-DDB2-45FF-96CE-DE101E0FE1B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4">
  <location ref="A49:B54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dataField="1" compact="0" numFmtId="164" outline="0" showAll="0"/>
    <pivotField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Tax Amount" fld="7" baseField="3" baseItem="0" numFmtId="164"/>
  </dataFields>
  <formats count="1">
    <format dxfId="28">
      <pivotArea dataOnly="0" labelOnly="1" outline="0" axis="axisValues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3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3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3" format="3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3" format="3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3" format="39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5519B-96A4-4876-B648-69C0A212714D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7">
  <location ref="A28:B33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 sortType="descending">
      <items count="5">
        <item x="2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10"/>
  </rowFields>
  <rowItems count="5">
    <i>
      <x/>
    </i>
    <i>
      <x v="3"/>
    </i>
    <i>
      <x v="1"/>
    </i>
    <i>
      <x v="2"/>
    </i>
    <i t="grand">
      <x/>
    </i>
  </rowItems>
  <colItems count="1">
    <i/>
  </colItems>
  <dataFields count="1">
    <dataField name="Total Revenue" fld="8" baseField="6" baseItem="0" numFmtId="164"/>
  </dataFields>
  <formats count="1">
    <format dxfId="29">
      <pivotArea dataOnly="0" labelOnly="1" outline="0" axis="axisValues" fieldPosition="0"/>
    </format>
  </formats>
  <chartFormats count="7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6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0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6" format="3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46" format="3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6" format="3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B29B8-7F9B-48E4-9176-E34B93D82F18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8:F44" firstHeaderRow="1" firstDataRow="2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Col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>
      <items count="5">
        <item x="2"/>
        <item x="3"/>
        <item x="1"/>
        <item x="0"/>
        <item t="default"/>
      </items>
    </pivotField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 Amount" fld="8" baseField="0" baseItem="0" numFmtId="164"/>
  </dataFields>
  <formats count="5">
    <format dxfId="34">
      <pivotArea dataOnly="0" labelOnly="1" outline="0" fieldPosition="0">
        <references count="1">
          <reference field="5" count="0"/>
        </references>
      </pivotArea>
    </format>
    <format dxfId="33">
      <pivotArea dataOnly="0" labelOnly="1" grandCol="1" outline="0" fieldPosition="0"/>
    </format>
    <format dxfId="32">
      <pivotArea type="origin" dataOnly="0" labelOnly="1" outline="0" fieldPosition="0"/>
    </format>
    <format dxfId="31">
      <pivotArea field="5" type="button" dataOnly="0" labelOnly="1" outline="0" axis="axisCol" fieldPosition="0"/>
    </format>
    <format dxfId="30">
      <pivotArea type="topRight" dataOnly="0" labelOnly="1" outline="0" fieldPosition="0"/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BD36C-C419-4791-870C-17476645E749}" name="Table1" displayName="Table1" ref="A1:P1001" totalsRowShown="0">
  <tableColumns count="16">
    <tableColumn id="1" xr3:uid="{4C71E303-8A25-48C5-93DB-5D7B2BFB2BAE}" name="Product ID"/>
    <tableColumn id="2" xr3:uid="{7648506F-F153-43DD-82E6-283CBE3F2C92}" name="Sale Date" dataDxfId="55"/>
    <tableColumn id="3" xr3:uid="{27A58C4B-C7E9-43F5-A107-9D67B7726122}" name="Sales Rep"/>
    <tableColumn id="4" xr3:uid="{B957233A-DC25-4759-99BF-D65F03D7A34D}" name="Region"/>
    <tableColumn id="5" xr3:uid="{B0A3F9EF-9FD9-4F37-9733-6C1B8609C1E3}" name="Sales Amount"/>
    <tableColumn id="6" xr3:uid="{38683850-8FC5-4419-B12F-FC570F7112A0}" name="Quantity Sold"/>
    <tableColumn id="7" xr3:uid="{5B06E17B-9C97-4A6A-ABB3-A3C67F21E5F8}" name="Product Category"/>
    <tableColumn id="8" xr3:uid="{8A69D18D-C485-4CF9-9DE0-7494F9489244}" name="Unit Cost"/>
    <tableColumn id="9" xr3:uid="{08E59614-DD0D-4F65-A262-3ABD89097377}" name="Unit Price"/>
    <tableColumn id="10" xr3:uid="{7FB8F699-2186-4ECC-A085-61DECA331D1B}" name="Customer Type"/>
    <tableColumn id="11" xr3:uid="{0D0F57FC-242C-4863-ACCA-2ED58F042937}" name="Discount"/>
    <tableColumn id="12" xr3:uid="{EDED04FF-F8AF-4DE8-8D23-97A8262BA7E1}" name="Payment Method"/>
    <tableColumn id="13" xr3:uid="{8C93FFEE-0A92-4B66-890C-635D225A995E}" name="Sales Channel"/>
    <tableColumn id="14" xr3:uid="{493D1A0C-94B4-4783-83C7-3186A12C83B4}" name="Region2"/>
    <tableColumn id="15" xr3:uid="{7D4C815B-02EE-4724-9594-D3CF5E5CD33E}" name="Sales Rep2"/>
    <tableColumn id="16" xr3:uid="{2BEAECB4-4856-4F72-8EBD-5526130A3708}" name="Helper Check" dataDxfId="54">
      <calculatedColumnFormula>Table1[[#This Row],[Region]]&amp;"|"&amp;Table1[[#This Row],[Sales Rep]]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C447F4-68FC-425E-A681-DC0CE1AD2BBA}" name="Table2" displayName="Table2" ref="A1:R1001" totalsRowShown="0" headerRowDxfId="21" dataDxfId="20" tableBorderDxfId="19">
  <autoFilter ref="A1:R1001" xr:uid="{1CC447F4-68FC-425E-A681-DC0CE1AD2BBA}"/>
  <tableColumns count="18">
    <tableColumn id="1" xr3:uid="{2BD42345-986D-4E3A-8277-A9CBC6AE54A7}" name="Product ID" dataDxfId="18"/>
    <tableColumn id="20" xr3:uid="{77608A9E-C282-47A5-835F-037657A0D8D2}" name="Product Name" dataDxfId="17">
      <calculatedColumnFormula>_xlfn.XLOOKUP(Table2[[#This Row],[Product ID]],Sheet1!$A$32:$A$200,Sheet1!$B$32:$B$200,"Not Found")</calculatedColumnFormula>
    </tableColumn>
    <tableColumn id="2" xr3:uid="{DE76670F-1940-4DA2-9BE9-56ADC0E7F816}" name="Sale Date" dataDxfId="16"/>
    <tableColumn id="3" xr3:uid="{36719E20-8141-48E7-9CF2-F0CBB6D91C2F}" name="Sales Rep" dataDxfId="15"/>
    <tableColumn id="15" xr3:uid="{E34B023C-7A67-4627-A3A9-F22F1FA04E75}" name="Manager" dataDxfId="14">
      <calculatedColumnFormula array="1">_xlfn.XLOOKUP(Table2[[#This Row],[Sales Rep]],Sheet1!$A$21:$A$25,Sheet1!$B$21:$B$25,Not Found)</calculatedColumnFormula>
    </tableColumn>
    <tableColumn id="4" xr3:uid="{CB132C8B-F7B5-4502-AC5B-329D996BEFAC}" name="Region" dataDxfId="13"/>
    <tableColumn id="16" xr3:uid="{6454B202-C312-40C0-889F-F1E434B21981}" name="Tax Rate" dataDxfId="12">
      <calculatedColumnFormula>_xlfn.XLOOKUP(Table2[[#This Row],[Region]],Sheet1!$A$12:$A$15,Sheet1!$B$12:$B$15,0)</calculatedColumnFormula>
    </tableColumn>
    <tableColumn id="17" xr3:uid="{DC7BD5EB-1A32-400B-BAD0-91157E8C221C}" name="Tax Amount" dataDxfId="11">
      <calculatedColumnFormula>Table2[[#This Row],[Tax Rate]]*Table2[[#This Row],[Sales Amount]]</calculatedColumnFormula>
    </tableColumn>
    <tableColumn id="5" xr3:uid="{73223D73-6801-4196-8462-F2FD913B93D2}" name="Sales Amount" dataDxfId="10"/>
    <tableColumn id="6" xr3:uid="{D390FB9C-6684-4D4F-A463-5795669F1594}" name="Quantity Sold" dataDxfId="9"/>
    <tableColumn id="7" xr3:uid="{D97E3F20-581A-4365-8C94-66074CFC20D0}" name="Product Category" dataDxfId="8"/>
    <tableColumn id="8" xr3:uid="{E2DFCE64-C0C4-4BC6-A905-E418EBD606A9}" name="Unit Cost" dataDxfId="7"/>
    <tableColumn id="9" xr3:uid="{49B91F82-624B-4991-B548-8CC2DB38DD08}" name="Unit Price" dataDxfId="6"/>
    <tableColumn id="10" xr3:uid="{373C224D-EB5E-46DE-93C8-4391445483D6}" name="Customer Type" dataDxfId="5"/>
    <tableColumn id="11" xr3:uid="{272043F8-4E32-4788-AC55-496029D1AA77}" name="Discount" dataDxfId="4" dataCellStyle="Percent"/>
    <tableColumn id="12" xr3:uid="{84BFA13E-C8E5-4052-8B80-BAA3930C0D5F}" name="Payment Method" dataDxfId="3"/>
    <tableColumn id="13" xr3:uid="{D41C6797-336A-4E54-B486-8AC406612AB1}" name="Sales Channel" dataDxfId="2"/>
    <tableColumn id="14" xr3:uid="{19C90335-55E1-4254-A0C4-4A322F119539}" name="Sales Performance" dataDxfId="1">
      <calculatedColumnFormula>IF(Cleaned_Final!$I2&gt;=5000,"High","Low")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8.xml"/><Relationship Id="rId7" Type="http://schemas.openxmlformats.org/officeDocument/2006/relationships/pivotTable" Target="../pivotTables/pivotTable12.xml"/><Relationship Id="rId12" Type="http://schemas.openxmlformats.org/officeDocument/2006/relationships/image" Target="../media/image1.emf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11" Type="http://schemas.openxmlformats.org/officeDocument/2006/relationships/package" Target="../embeddings/Microsoft_Word_Document.docx"/><Relationship Id="rId5" Type="http://schemas.openxmlformats.org/officeDocument/2006/relationships/pivotTable" Target="../pivotTables/pivotTable10.xml"/><Relationship Id="rId10" Type="http://schemas.openxmlformats.org/officeDocument/2006/relationships/vmlDrawing" Target="../drawings/vmlDrawing1.vml"/><Relationship Id="rId4" Type="http://schemas.openxmlformats.org/officeDocument/2006/relationships/pivotTable" Target="../pivotTables/pivotTable9.xml"/><Relationship Id="rId9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D7821-A437-4FC4-A3B2-DEA135AF8C00}">
  <dimension ref="A1:N1001"/>
  <sheetViews>
    <sheetView tabSelected="1" topLeftCell="A982" workbookViewId="0">
      <selection activeCell="N1001" sqref="N1001"/>
    </sheetView>
  </sheetViews>
  <sheetFormatPr defaultRowHeight="14.5" x14ac:dyDescent="0.35"/>
  <cols>
    <col min="1" max="1" width="10.08984375" bestFit="1" customWidth="1"/>
    <col min="2" max="2" width="10.453125" bestFit="1" customWidth="1"/>
    <col min="9" max="9" width="9.26953125" bestFit="1" customWidth="1"/>
    <col min="10" max="10" width="14" bestFit="1" customWidth="1"/>
    <col min="12" max="12" width="15.81640625" bestFit="1" customWidth="1"/>
    <col min="13" max="13" width="12.90625" bestFit="1" customWidth="1"/>
    <col min="14" max="14" width="20.17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>
        <v>1052</v>
      </c>
      <c r="B2" s="1">
        <v>44960</v>
      </c>
      <c r="C2" t="s">
        <v>14</v>
      </c>
      <c r="D2" t="s">
        <v>15</v>
      </c>
      <c r="E2">
        <v>5053.97</v>
      </c>
      <c r="F2">
        <v>18</v>
      </c>
      <c r="G2" t="s">
        <v>16</v>
      </c>
      <c r="H2">
        <v>152.75</v>
      </c>
      <c r="I2">
        <v>267.22000000000003</v>
      </c>
      <c r="J2" t="s">
        <v>17</v>
      </c>
      <c r="K2">
        <v>0.09</v>
      </c>
      <c r="L2" t="s">
        <v>18</v>
      </c>
      <c r="M2" t="s">
        <v>19</v>
      </c>
      <c r="N2" t="s">
        <v>20</v>
      </c>
    </row>
    <row r="3" spans="1:14" x14ac:dyDescent="0.35">
      <c r="A3">
        <v>1093</v>
      </c>
      <c r="B3" s="1">
        <v>45037</v>
      </c>
      <c r="C3" t="s">
        <v>14</v>
      </c>
      <c r="D3" t="s">
        <v>21</v>
      </c>
      <c r="E3">
        <v>4384.0200000000004</v>
      </c>
      <c r="F3">
        <v>17</v>
      </c>
      <c r="G3" t="s">
        <v>16</v>
      </c>
      <c r="H3">
        <v>3816.39</v>
      </c>
      <c r="I3">
        <v>4209.4399999999996</v>
      </c>
      <c r="J3" t="s">
        <v>17</v>
      </c>
      <c r="K3">
        <v>0.11</v>
      </c>
      <c r="L3" t="s">
        <v>18</v>
      </c>
      <c r="M3" t="s">
        <v>22</v>
      </c>
      <c r="N3" t="s">
        <v>23</v>
      </c>
    </row>
    <row r="4" spans="1:14" x14ac:dyDescent="0.35">
      <c r="A4">
        <v>1015</v>
      </c>
      <c r="B4" s="1">
        <v>45190</v>
      </c>
      <c r="C4" t="s">
        <v>24</v>
      </c>
      <c r="D4" t="s">
        <v>25</v>
      </c>
      <c r="E4">
        <v>4631.2299999999996</v>
      </c>
      <c r="F4">
        <v>30</v>
      </c>
      <c r="G4" t="s">
        <v>26</v>
      </c>
      <c r="H4">
        <v>261.56</v>
      </c>
      <c r="I4">
        <v>371.4</v>
      </c>
      <c r="J4" t="s">
        <v>17</v>
      </c>
      <c r="K4">
        <v>0.2</v>
      </c>
      <c r="L4" t="s">
        <v>27</v>
      </c>
      <c r="M4" t="s">
        <v>22</v>
      </c>
      <c r="N4" t="s">
        <v>28</v>
      </c>
    </row>
    <row r="5" spans="1:14" x14ac:dyDescent="0.35">
      <c r="A5">
        <v>1072</v>
      </c>
      <c r="B5" s="1">
        <v>45162</v>
      </c>
      <c r="C5" t="s">
        <v>14</v>
      </c>
      <c r="D5" t="s">
        <v>25</v>
      </c>
      <c r="E5">
        <v>2167.94</v>
      </c>
      <c r="F5">
        <v>39</v>
      </c>
      <c r="G5" t="s">
        <v>29</v>
      </c>
      <c r="H5">
        <v>4330.03</v>
      </c>
      <c r="I5">
        <v>4467.75</v>
      </c>
      <c r="J5" t="s">
        <v>30</v>
      </c>
      <c r="K5">
        <v>0.02</v>
      </c>
      <c r="L5" t="s">
        <v>31</v>
      </c>
      <c r="M5" t="s">
        <v>22</v>
      </c>
      <c r="N5" t="s">
        <v>32</v>
      </c>
    </row>
    <row r="6" spans="1:14" x14ac:dyDescent="0.35">
      <c r="A6">
        <v>1061</v>
      </c>
      <c r="B6" s="1">
        <v>45009</v>
      </c>
      <c r="C6" t="s">
        <v>33</v>
      </c>
      <c r="D6" t="s">
        <v>34</v>
      </c>
      <c r="E6">
        <v>3750.2</v>
      </c>
      <c r="F6">
        <v>13</v>
      </c>
      <c r="G6" t="s">
        <v>35</v>
      </c>
      <c r="H6">
        <v>637.37</v>
      </c>
      <c r="I6">
        <v>692.71</v>
      </c>
      <c r="J6" t="s">
        <v>30</v>
      </c>
      <c r="K6">
        <v>0.08</v>
      </c>
      <c r="L6" t="s">
        <v>31</v>
      </c>
      <c r="M6" t="s">
        <v>19</v>
      </c>
      <c r="N6" t="s">
        <v>36</v>
      </c>
    </row>
    <row r="7" spans="1:14" x14ac:dyDescent="0.35">
      <c r="A7">
        <v>1021</v>
      </c>
      <c r="B7" s="1">
        <v>44968</v>
      </c>
      <c r="C7" t="s">
        <v>33</v>
      </c>
      <c r="D7" t="s">
        <v>21</v>
      </c>
      <c r="E7">
        <v>3761.15</v>
      </c>
      <c r="F7">
        <v>32</v>
      </c>
      <c r="G7" t="s">
        <v>26</v>
      </c>
      <c r="H7">
        <v>900.79</v>
      </c>
      <c r="I7">
        <v>1106.51</v>
      </c>
      <c r="J7" t="s">
        <v>30</v>
      </c>
      <c r="K7">
        <v>0.21</v>
      </c>
      <c r="L7" t="s">
        <v>18</v>
      </c>
      <c r="M7" t="s">
        <v>19</v>
      </c>
      <c r="N7" t="s">
        <v>37</v>
      </c>
    </row>
    <row r="8" spans="1:14" x14ac:dyDescent="0.35">
      <c r="A8">
        <v>1083</v>
      </c>
      <c r="B8" s="1">
        <v>45027</v>
      </c>
      <c r="C8" t="s">
        <v>14</v>
      </c>
      <c r="D8" t="s">
        <v>21</v>
      </c>
      <c r="E8">
        <v>618.30999999999995</v>
      </c>
      <c r="F8">
        <v>29</v>
      </c>
      <c r="G8" t="s">
        <v>16</v>
      </c>
      <c r="H8">
        <v>2408.81</v>
      </c>
      <c r="I8">
        <v>2624.09</v>
      </c>
      <c r="J8" t="s">
        <v>17</v>
      </c>
      <c r="K8">
        <v>0.14000000000000001</v>
      </c>
      <c r="L8" t="s">
        <v>18</v>
      </c>
      <c r="M8" t="s">
        <v>19</v>
      </c>
      <c r="N8" t="s">
        <v>23</v>
      </c>
    </row>
    <row r="9" spans="1:14" x14ac:dyDescent="0.35">
      <c r="A9">
        <v>1087</v>
      </c>
      <c r="B9" s="1">
        <v>44932</v>
      </c>
      <c r="C9" t="s">
        <v>38</v>
      </c>
      <c r="D9" t="s">
        <v>25</v>
      </c>
      <c r="E9">
        <v>7698.92</v>
      </c>
      <c r="F9">
        <v>46</v>
      </c>
      <c r="G9" t="s">
        <v>16</v>
      </c>
      <c r="H9">
        <v>3702.51</v>
      </c>
      <c r="I9">
        <v>3964.65</v>
      </c>
      <c r="J9" t="s">
        <v>30</v>
      </c>
      <c r="K9">
        <v>0.12</v>
      </c>
      <c r="L9" t="s">
        <v>27</v>
      </c>
      <c r="M9" t="s">
        <v>19</v>
      </c>
      <c r="N9" t="s">
        <v>39</v>
      </c>
    </row>
    <row r="10" spans="1:14" x14ac:dyDescent="0.35">
      <c r="A10">
        <v>1075</v>
      </c>
      <c r="B10" s="1">
        <v>45106</v>
      </c>
      <c r="C10" t="s">
        <v>24</v>
      </c>
      <c r="D10" t="s">
        <v>25</v>
      </c>
      <c r="E10">
        <v>4223.3900000000003</v>
      </c>
      <c r="F10">
        <v>30</v>
      </c>
      <c r="G10" t="s">
        <v>16</v>
      </c>
      <c r="H10">
        <v>738.06</v>
      </c>
      <c r="I10">
        <v>1095.44999999999</v>
      </c>
      <c r="J10" t="s">
        <v>30</v>
      </c>
      <c r="K10">
        <v>0.05</v>
      </c>
      <c r="L10" t="s">
        <v>27</v>
      </c>
      <c r="M10" t="s">
        <v>19</v>
      </c>
      <c r="N10" t="s">
        <v>28</v>
      </c>
    </row>
    <row r="11" spans="1:14" x14ac:dyDescent="0.35">
      <c r="A11">
        <v>1075</v>
      </c>
      <c r="B11" s="1">
        <v>45208</v>
      </c>
      <c r="C11" t="s">
        <v>33</v>
      </c>
      <c r="D11" t="s">
        <v>21</v>
      </c>
      <c r="E11">
        <v>8239.58</v>
      </c>
      <c r="F11">
        <v>18</v>
      </c>
      <c r="G11" t="s">
        <v>29</v>
      </c>
      <c r="H11">
        <v>2228.35</v>
      </c>
      <c r="I11">
        <v>2682.34</v>
      </c>
      <c r="J11" t="s">
        <v>30</v>
      </c>
      <c r="K11">
        <v>0.13</v>
      </c>
      <c r="L11" t="s">
        <v>27</v>
      </c>
      <c r="M11" t="s">
        <v>19</v>
      </c>
      <c r="N11" t="s">
        <v>37</v>
      </c>
    </row>
    <row r="12" spans="1:14" x14ac:dyDescent="0.35">
      <c r="A12">
        <v>1088</v>
      </c>
      <c r="B12" s="1">
        <v>45246</v>
      </c>
      <c r="C12" t="s">
        <v>38</v>
      </c>
      <c r="D12" t="s">
        <v>15</v>
      </c>
      <c r="E12">
        <v>8518.4500000000007</v>
      </c>
      <c r="F12">
        <v>13</v>
      </c>
      <c r="G12" t="s">
        <v>16</v>
      </c>
      <c r="H12">
        <v>2440.11</v>
      </c>
      <c r="I12">
        <v>2517.6</v>
      </c>
      <c r="J12" t="s">
        <v>30</v>
      </c>
      <c r="K12">
        <v>0.23</v>
      </c>
      <c r="L12" t="s">
        <v>27</v>
      </c>
      <c r="M12" t="s">
        <v>22</v>
      </c>
      <c r="N12" t="s">
        <v>40</v>
      </c>
    </row>
    <row r="13" spans="1:14" x14ac:dyDescent="0.35">
      <c r="A13">
        <v>1100</v>
      </c>
      <c r="B13" s="1">
        <v>45152</v>
      </c>
      <c r="C13" t="s">
        <v>14</v>
      </c>
      <c r="D13" t="s">
        <v>21</v>
      </c>
      <c r="E13">
        <v>2198.7399999999998</v>
      </c>
      <c r="F13">
        <v>43</v>
      </c>
      <c r="G13" t="s">
        <v>26</v>
      </c>
      <c r="H13">
        <v>1100.81</v>
      </c>
      <c r="I13">
        <v>1137.44</v>
      </c>
      <c r="J13" t="s">
        <v>17</v>
      </c>
      <c r="K13">
        <v>0.08</v>
      </c>
      <c r="L13" t="s">
        <v>27</v>
      </c>
      <c r="M13" t="s">
        <v>19</v>
      </c>
      <c r="N13" t="s">
        <v>23</v>
      </c>
    </row>
    <row r="14" spans="1:14" x14ac:dyDescent="0.35">
      <c r="A14">
        <v>1024</v>
      </c>
      <c r="B14" s="1">
        <v>45241</v>
      </c>
      <c r="C14" t="s">
        <v>38</v>
      </c>
      <c r="D14" t="s">
        <v>21</v>
      </c>
      <c r="E14">
        <v>6607.8</v>
      </c>
      <c r="F14">
        <v>21</v>
      </c>
      <c r="G14" t="s">
        <v>26</v>
      </c>
      <c r="H14">
        <v>622.01</v>
      </c>
      <c r="I14">
        <v>641.09</v>
      </c>
      <c r="J14" t="s">
        <v>17</v>
      </c>
      <c r="K14">
        <v>0</v>
      </c>
      <c r="L14" t="s">
        <v>27</v>
      </c>
      <c r="M14" t="s">
        <v>22</v>
      </c>
      <c r="N14" t="s">
        <v>41</v>
      </c>
    </row>
    <row r="15" spans="1:14" x14ac:dyDescent="0.35">
      <c r="A15">
        <v>1003</v>
      </c>
      <c r="B15" s="1">
        <v>45291</v>
      </c>
      <c r="C15" t="s">
        <v>42</v>
      </c>
      <c r="D15" t="s">
        <v>25</v>
      </c>
      <c r="E15">
        <v>4775.59</v>
      </c>
      <c r="F15">
        <v>30</v>
      </c>
      <c r="G15" t="s">
        <v>16</v>
      </c>
      <c r="H15">
        <v>4190.28</v>
      </c>
      <c r="I15">
        <v>4270.6499999999996</v>
      </c>
      <c r="J15" t="s">
        <v>30</v>
      </c>
      <c r="K15">
        <v>0.2</v>
      </c>
      <c r="L15" t="s">
        <v>18</v>
      </c>
      <c r="M15" t="s">
        <v>19</v>
      </c>
      <c r="N15" t="s">
        <v>43</v>
      </c>
    </row>
    <row r="16" spans="1:14" x14ac:dyDescent="0.35">
      <c r="A16">
        <v>1022</v>
      </c>
      <c r="B16" s="1">
        <v>45155</v>
      </c>
      <c r="C16" t="s">
        <v>33</v>
      </c>
      <c r="D16" t="s">
        <v>25</v>
      </c>
      <c r="E16">
        <v>8813.5499999999993</v>
      </c>
      <c r="F16">
        <v>21</v>
      </c>
      <c r="G16" t="s">
        <v>26</v>
      </c>
      <c r="H16">
        <v>2537.1999999999998</v>
      </c>
      <c r="I16">
        <v>2869.6</v>
      </c>
      <c r="J16" t="s">
        <v>30</v>
      </c>
      <c r="K16">
        <v>0.28999999999999998</v>
      </c>
      <c r="L16" t="s">
        <v>27</v>
      </c>
      <c r="M16" t="s">
        <v>22</v>
      </c>
      <c r="N16" t="s">
        <v>44</v>
      </c>
    </row>
    <row r="17" spans="1:14" x14ac:dyDescent="0.35">
      <c r="A17">
        <v>1053</v>
      </c>
      <c r="B17" s="1">
        <v>45215</v>
      </c>
      <c r="C17" t="s">
        <v>14</v>
      </c>
      <c r="D17" t="s">
        <v>15</v>
      </c>
      <c r="E17">
        <v>2235.83</v>
      </c>
      <c r="F17">
        <v>48</v>
      </c>
      <c r="G17" t="s">
        <v>16</v>
      </c>
      <c r="H17">
        <v>121.19</v>
      </c>
      <c r="I17">
        <v>487.65</v>
      </c>
      <c r="J17" t="s">
        <v>30</v>
      </c>
      <c r="K17">
        <v>0.18</v>
      </c>
      <c r="L17" t="s">
        <v>18</v>
      </c>
      <c r="M17" t="s">
        <v>22</v>
      </c>
      <c r="N17" t="s">
        <v>20</v>
      </c>
    </row>
    <row r="18" spans="1:14" x14ac:dyDescent="0.35">
      <c r="A18">
        <v>1002</v>
      </c>
      <c r="B18" s="1">
        <v>45076</v>
      </c>
      <c r="C18" t="s">
        <v>24</v>
      </c>
      <c r="D18" t="s">
        <v>15</v>
      </c>
      <c r="E18">
        <v>6810.35</v>
      </c>
      <c r="F18">
        <v>17</v>
      </c>
      <c r="G18" t="s">
        <v>16</v>
      </c>
      <c r="H18">
        <v>4024.76</v>
      </c>
      <c r="I18">
        <v>4420.1499999999996</v>
      </c>
      <c r="J18" t="s">
        <v>17</v>
      </c>
      <c r="K18">
        <v>0.04</v>
      </c>
      <c r="L18" t="s">
        <v>18</v>
      </c>
      <c r="M18" t="s">
        <v>19</v>
      </c>
      <c r="N18" t="s">
        <v>45</v>
      </c>
    </row>
    <row r="19" spans="1:14" x14ac:dyDescent="0.35">
      <c r="A19">
        <v>1088</v>
      </c>
      <c r="B19" s="1">
        <v>45203</v>
      </c>
      <c r="C19" t="s">
        <v>14</v>
      </c>
      <c r="D19" t="s">
        <v>34</v>
      </c>
      <c r="E19">
        <v>6116.75</v>
      </c>
      <c r="F19">
        <v>40</v>
      </c>
      <c r="G19" t="s">
        <v>35</v>
      </c>
      <c r="H19">
        <v>4904.93</v>
      </c>
      <c r="I19">
        <v>5034.3500000000004</v>
      </c>
      <c r="J19" t="s">
        <v>30</v>
      </c>
      <c r="K19">
        <v>0.1</v>
      </c>
      <c r="L19" t="s">
        <v>31</v>
      </c>
      <c r="M19" t="s">
        <v>22</v>
      </c>
      <c r="N19" t="s">
        <v>46</v>
      </c>
    </row>
    <row r="20" spans="1:14" x14ac:dyDescent="0.35">
      <c r="A20">
        <v>1030</v>
      </c>
      <c r="B20" s="1">
        <v>45124</v>
      </c>
      <c r="C20" t="s">
        <v>24</v>
      </c>
      <c r="D20" t="s">
        <v>21</v>
      </c>
      <c r="E20">
        <v>3023.48</v>
      </c>
      <c r="F20">
        <v>19</v>
      </c>
      <c r="G20" t="s">
        <v>29</v>
      </c>
      <c r="H20">
        <v>3049.33</v>
      </c>
      <c r="I20">
        <v>3209.22</v>
      </c>
      <c r="J20" t="s">
        <v>17</v>
      </c>
      <c r="K20">
        <v>0.26</v>
      </c>
      <c r="L20" t="s">
        <v>18</v>
      </c>
      <c r="M20" t="s">
        <v>19</v>
      </c>
      <c r="N20" t="s">
        <v>47</v>
      </c>
    </row>
    <row r="21" spans="1:14" x14ac:dyDescent="0.35">
      <c r="A21">
        <v>1038</v>
      </c>
      <c r="B21" s="1">
        <v>44996</v>
      </c>
      <c r="C21" t="s">
        <v>14</v>
      </c>
      <c r="D21" t="s">
        <v>25</v>
      </c>
      <c r="E21">
        <v>1452.35</v>
      </c>
      <c r="F21">
        <v>15</v>
      </c>
      <c r="G21" t="s">
        <v>29</v>
      </c>
      <c r="H21">
        <v>2543.36</v>
      </c>
      <c r="I21">
        <v>2790.1</v>
      </c>
      <c r="J21" t="s">
        <v>17</v>
      </c>
      <c r="K21">
        <v>7.0000000000000007E-2</v>
      </c>
      <c r="L21" t="s">
        <v>18</v>
      </c>
      <c r="M21" t="s">
        <v>19</v>
      </c>
      <c r="N21" t="s">
        <v>32</v>
      </c>
    </row>
    <row r="22" spans="1:14" x14ac:dyDescent="0.35">
      <c r="A22">
        <v>1002</v>
      </c>
      <c r="B22" s="1">
        <v>45038</v>
      </c>
      <c r="C22" t="s">
        <v>38</v>
      </c>
      <c r="D22" t="s">
        <v>15</v>
      </c>
      <c r="E22">
        <v>6551.23</v>
      </c>
      <c r="F22">
        <v>9</v>
      </c>
      <c r="G22" t="s">
        <v>35</v>
      </c>
      <c r="H22">
        <v>4398.16</v>
      </c>
      <c r="I22">
        <v>4439.12</v>
      </c>
      <c r="J22" t="s">
        <v>30</v>
      </c>
      <c r="K22">
        <v>0.18</v>
      </c>
      <c r="L22" t="s">
        <v>27</v>
      </c>
      <c r="M22" t="s">
        <v>19</v>
      </c>
      <c r="N22" t="s">
        <v>40</v>
      </c>
    </row>
    <row r="23" spans="1:14" x14ac:dyDescent="0.35">
      <c r="A23">
        <v>1064</v>
      </c>
      <c r="B23" s="1">
        <v>44930</v>
      </c>
      <c r="C23" t="s">
        <v>38</v>
      </c>
      <c r="D23" t="s">
        <v>34</v>
      </c>
      <c r="E23">
        <v>7412.11</v>
      </c>
      <c r="F23">
        <v>10</v>
      </c>
      <c r="G23" t="s">
        <v>35</v>
      </c>
      <c r="H23">
        <v>4764.96</v>
      </c>
      <c r="I23">
        <v>5074.42</v>
      </c>
      <c r="J23" t="s">
        <v>30</v>
      </c>
      <c r="K23">
        <v>0.12</v>
      </c>
      <c r="L23" t="s">
        <v>18</v>
      </c>
      <c r="M23" t="s">
        <v>19</v>
      </c>
      <c r="N23" t="s">
        <v>48</v>
      </c>
    </row>
    <row r="24" spans="1:14" x14ac:dyDescent="0.35">
      <c r="A24">
        <v>1060</v>
      </c>
      <c r="B24" s="1">
        <v>45276</v>
      </c>
      <c r="C24" t="s">
        <v>38</v>
      </c>
      <c r="D24" t="s">
        <v>34</v>
      </c>
      <c r="E24">
        <v>3224.71</v>
      </c>
      <c r="F24">
        <v>44</v>
      </c>
      <c r="G24" t="s">
        <v>29</v>
      </c>
      <c r="H24">
        <v>3784.96</v>
      </c>
      <c r="I24">
        <v>4276.99</v>
      </c>
      <c r="J24" t="s">
        <v>30</v>
      </c>
      <c r="K24">
        <v>0.06</v>
      </c>
      <c r="L24" t="s">
        <v>27</v>
      </c>
      <c r="M24" t="s">
        <v>22</v>
      </c>
      <c r="N24" t="s">
        <v>48</v>
      </c>
    </row>
    <row r="25" spans="1:14" x14ac:dyDescent="0.35">
      <c r="A25">
        <v>1021</v>
      </c>
      <c r="B25" s="1">
        <v>45257</v>
      </c>
      <c r="C25" t="s">
        <v>42</v>
      </c>
      <c r="D25" t="s">
        <v>25</v>
      </c>
      <c r="E25">
        <v>6483.84</v>
      </c>
      <c r="F25">
        <v>31</v>
      </c>
      <c r="G25" t="s">
        <v>16</v>
      </c>
      <c r="H25">
        <v>2254.9899999999998</v>
      </c>
      <c r="I25">
        <v>2441.79</v>
      </c>
      <c r="J25" t="s">
        <v>17</v>
      </c>
      <c r="K25">
        <v>0.24</v>
      </c>
      <c r="L25" t="s">
        <v>27</v>
      </c>
      <c r="M25" t="s">
        <v>19</v>
      </c>
      <c r="N25" t="s">
        <v>43</v>
      </c>
    </row>
    <row r="26" spans="1:14" x14ac:dyDescent="0.35">
      <c r="A26">
        <v>1033</v>
      </c>
      <c r="B26" s="1">
        <v>45244</v>
      </c>
      <c r="C26" t="s">
        <v>24</v>
      </c>
      <c r="D26" t="s">
        <v>25</v>
      </c>
      <c r="E26">
        <v>4011.8</v>
      </c>
      <c r="F26">
        <v>23</v>
      </c>
      <c r="G26" t="s">
        <v>16</v>
      </c>
      <c r="H26">
        <v>2981.5</v>
      </c>
      <c r="I26">
        <v>3360.4</v>
      </c>
      <c r="J26" t="s">
        <v>17</v>
      </c>
      <c r="K26">
        <v>0.22</v>
      </c>
      <c r="L26" t="s">
        <v>27</v>
      </c>
      <c r="M26" t="s">
        <v>22</v>
      </c>
      <c r="N26" t="s">
        <v>28</v>
      </c>
    </row>
    <row r="27" spans="1:14" x14ac:dyDescent="0.35">
      <c r="A27">
        <v>1076</v>
      </c>
      <c r="B27" s="1">
        <v>45276</v>
      </c>
      <c r="C27" t="s">
        <v>38</v>
      </c>
      <c r="D27" t="s">
        <v>34</v>
      </c>
      <c r="E27">
        <v>7160.75</v>
      </c>
      <c r="F27">
        <v>30</v>
      </c>
      <c r="G27" t="s">
        <v>29</v>
      </c>
      <c r="H27">
        <v>3519.63</v>
      </c>
      <c r="I27">
        <v>3774.65</v>
      </c>
      <c r="J27" t="s">
        <v>30</v>
      </c>
      <c r="K27">
        <v>0.2</v>
      </c>
      <c r="L27" t="s">
        <v>31</v>
      </c>
      <c r="M27" t="s">
        <v>22</v>
      </c>
      <c r="N27" t="s">
        <v>48</v>
      </c>
    </row>
    <row r="28" spans="1:14" x14ac:dyDescent="0.35">
      <c r="A28">
        <v>1058</v>
      </c>
      <c r="B28" s="1">
        <v>45021</v>
      </c>
      <c r="C28" t="s">
        <v>42</v>
      </c>
      <c r="D28" t="s">
        <v>15</v>
      </c>
      <c r="E28">
        <v>2072.23</v>
      </c>
      <c r="F28">
        <v>33</v>
      </c>
      <c r="G28" t="s">
        <v>16</v>
      </c>
      <c r="H28">
        <v>1011.65</v>
      </c>
      <c r="I28">
        <v>1084.28</v>
      </c>
      <c r="J28" t="s">
        <v>17</v>
      </c>
      <c r="K28">
        <v>7.0000000000000007E-2</v>
      </c>
      <c r="L28" t="s">
        <v>27</v>
      </c>
      <c r="M28" t="s">
        <v>22</v>
      </c>
      <c r="N28" t="s">
        <v>49</v>
      </c>
    </row>
    <row r="29" spans="1:14" x14ac:dyDescent="0.35">
      <c r="A29">
        <v>1022</v>
      </c>
      <c r="B29" s="1">
        <v>45078</v>
      </c>
      <c r="C29" t="s">
        <v>24</v>
      </c>
      <c r="D29" t="s">
        <v>34</v>
      </c>
      <c r="E29">
        <v>8913.1299999999992</v>
      </c>
      <c r="F29">
        <v>9</v>
      </c>
      <c r="G29" t="s">
        <v>35</v>
      </c>
      <c r="H29">
        <v>2263.65</v>
      </c>
      <c r="I29">
        <v>2558.9499999999998</v>
      </c>
      <c r="J29" t="s">
        <v>30</v>
      </c>
      <c r="K29">
        <v>0.03</v>
      </c>
      <c r="L29" t="s">
        <v>18</v>
      </c>
      <c r="M29" t="s">
        <v>19</v>
      </c>
      <c r="N29" t="s">
        <v>50</v>
      </c>
    </row>
    <row r="30" spans="1:14" x14ac:dyDescent="0.35">
      <c r="A30">
        <v>1089</v>
      </c>
      <c r="B30" s="1">
        <v>45237</v>
      </c>
      <c r="C30" t="s">
        <v>14</v>
      </c>
      <c r="D30" t="s">
        <v>21</v>
      </c>
      <c r="E30">
        <v>2945.36</v>
      </c>
      <c r="F30">
        <v>47</v>
      </c>
      <c r="G30" t="s">
        <v>16</v>
      </c>
      <c r="H30">
        <v>4157.62</v>
      </c>
      <c r="I30">
        <v>4314.5599999999904</v>
      </c>
      <c r="J30" t="s">
        <v>30</v>
      </c>
      <c r="K30">
        <v>0.17</v>
      </c>
      <c r="L30" t="s">
        <v>27</v>
      </c>
      <c r="M30" t="s">
        <v>22</v>
      </c>
      <c r="N30" t="s">
        <v>23</v>
      </c>
    </row>
    <row r="31" spans="1:14" x14ac:dyDescent="0.35">
      <c r="A31">
        <v>1049</v>
      </c>
      <c r="B31" s="1">
        <v>45063</v>
      </c>
      <c r="C31" t="s">
        <v>42</v>
      </c>
      <c r="D31" t="s">
        <v>21</v>
      </c>
      <c r="E31">
        <v>3741.08</v>
      </c>
      <c r="F31">
        <v>1</v>
      </c>
      <c r="G31" t="s">
        <v>16</v>
      </c>
      <c r="H31">
        <v>3290.89</v>
      </c>
      <c r="I31">
        <v>3317.75</v>
      </c>
      <c r="J31" t="s">
        <v>17</v>
      </c>
      <c r="K31">
        <v>0.17</v>
      </c>
      <c r="L31" t="s">
        <v>27</v>
      </c>
      <c r="M31" t="s">
        <v>19</v>
      </c>
      <c r="N31" t="s">
        <v>51</v>
      </c>
    </row>
    <row r="32" spans="1:14" x14ac:dyDescent="0.35">
      <c r="A32">
        <v>1091</v>
      </c>
      <c r="B32" s="1">
        <v>45173</v>
      </c>
      <c r="C32" t="s">
        <v>33</v>
      </c>
      <c r="D32" t="s">
        <v>25</v>
      </c>
      <c r="E32">
        <v>675.11</v>
      </c>
      <c r="F32">
        <v>44</v>
      </c>
      <c r="G32" t="s">
        <v>26</v>
      </c>
      <c r="H32">
        <v>2085.46</v>
      </c>
      <c r="I32">
        <v>2406.58</v>
      </c>
      <c r="J32" t="s">
        <v>17</v>
      </c>
      <c r="K32">
        <v>0.06</v>
      </c>
      <c r="L32" t="s">
        <v>27</v>
      </c>
      <c r="M32" t="s">
        <v>22</v>
      </c>
      <c r="N32" t="s">
        <v>44</v>
      </c>
    </row>
    <row r="33" spans="1:14" x14ac:dyDescent="0.35">
      <c r="A33">
        <v>1059</v>
      </c>
      <c r="B33" s="1">
        <v>45169</v>
      </c>
      <c r="C33" t="s">
        <v>42</v>
      </c>
      <c r="D33" t="s">
        <v>15</v>
      </c>
      <c r="E33">
        <v>1203.97</v>
      </c>
      <c r="F33">
        <v>35</v>
      </c>
      <c r="G33" t="s">
        <v>26</v>
      </c>
      <c r="H33">
        <v>3333.64</v>
      </c>
      <c r="I33">
        <v>3764.52</v>
      </c>
      <c r="J33" t="s">
        <v>17</v>
      </c>
      <c r="K33">
        <v>0.02</v>
      </c>
      <c r="L33" t="s">
        <v>31</v>
      </c>
      <c r="M33" t="s">
        <v>19</v>
      </c>
      <c r="N33" t="s">
        <v>49</v>
      </c>
    </row>
    <row r="34" spans="1:14" x14ac:dyDescent="0.35">
      <c r="A34">
        <v>1042</v>
      </c>
      <c r="B34" s="1">
        <v>44957</v>
      </c>
      <c r="C34" t="s">
        <v>42</v>
      </c>
      <c r="D34" t="s">
        <v>15</v>
      </c>
      <c r="E34">
        <v>5207.03</v>
      </c>
      <c r="F34">
        <v>11</v>
      </c>
      <c r="G34" t="s">
        <v>26</v>
      </c>
      <c r="H34">
        <v>635.20000000000005</v>
      </c>
      <c r="I34">
        <v>814.14</v>
      </c>
      <c r="J34" t="s">
        <v>17</v>
      </c>
      <c r="K34">
        <v>0.02</v>
      </c>
      <c r="L34" t="s">
        <v>18</v>
      </c>
      <c r="M34" t="s">
        <v>19</v>
      </c>
      <c r="N34" t="s">
        <v>49</v>
      </c>
    </row>
    <row r="35" spans="1:14" x14ac:dyDescent="0.35">
      <c r="A35">
        <v>1092</v>
      </c>
      <c r="B35" s="1">
        <v>44966</v>
      </c>
      <c r="C35" t="s">
        <v>24</v>
      </c>
      <c r="D35" t="s">
        <v>21</v>
      </c>
      <c r="E35">
        <v>2749.17</v>
      </c>
      <c r="F35">
        <v>34</v>
      </c>
      <c r="G35" t="s">
        <v>16</v>
      </c>
      <c r="H35">
        <v>2037.41</v>
      </c>
      <c r="I35">
        <v>2238.65</v>
      </c>
      <c r="J35" t="s">
        <v>30</v>
      </c>
      <c r="K35">
        <v>0.3</v>
      </c>
      <c r="L35" t="s">
        <v>31</v>
      </c>
      <c r="M35" t="s">
        <v>19</v>
      </c>
      <c r="N35" t="s">
        <v>47</v>
      </c>
    </row>
    <row r="36" spans="1:14" x14ac:dyDescent="0.35">
      <c r="A36">
        <v>1060</v>
      </c>
      <c r="B36" s="1">
        <v>45155</v>
      </c>
      <c r="C36" t="s">
        <v>14</v>
      </c>
      <c r="D36" t="s">
        <v>34</v>
      </c>
      <c r="E36">
        <v>8371.25</v>
      </c>
      <c r="F36">
        <v>16</v>
      </c>
      <c r="G36" t="s">
        <v>29</v>
      </c>
      <c r="H36">
        <v>3975.99</v>
      </c>
      <c r="I36">
        <v>4422.59</v>
      </c>
      <c r="J36" t="s">
        <v>30</v>
      </c>
      <c r="K36">
        <v>0.24</v>
      </c>
      <c r="L36" t="s">
        <v>18</v>
      </c>
      <c r="M36" t="s">
        <v>19</v>
      </c>
      <c r="N36" t="s">
        <v>46</v>
      </c>
    </row>
    <row r="37" spans="1:14" x14ac:dyDescent="0.35">
      <c r="A37">
        <v>1080</v>
      </c>
      <c r="B37" s="1">
        <v>44962</v>
      </c>
      <c r="C37" t="s">
        <v>33</v>
      </c>
      <c r="D37" t="s">
        <v>25</v>
      </c>
      <c r="E37">
        <v>245.46</v>
      </c>
      <c r="F37">
        <v>9</v>
      </c>
      <c r="G37" t="s">
        <v>35</v>
      </c>
      <c r="H37">
        <v>1141.52</v>
      </c>
      <c r="I37">
        <v>1550.19</v>
      </c>
      <c r="J37" t="s">
        <v>30</v>
      </c>
      <c r="K37">
        <v>0.28000000000000003</v>
      </c>
      <c r="L37" t="s">
        <v>31</v>
      </c>
      <c r="M37" t="s">
        <v>22</v>
      </c>
      <c r="N37" t="s">
        <v>44</v>
      </c>
    </row>
    <row r="38" spans="1:14" x14ac:dyDescent="0.35">
      <c r="A38">
        <v>1015</v>
      </c>
      <c r="B38" s="1">
        <v>45149</v>
      </c>
      <c r="C38" t="s">
        <v>38</v>
      </c>
      <c r="D38" t="s">
        <v>34</v>
      </c>
      <c r="E38">
        <v>3853.03</v>
      </c>
      <c r="F38">
        <v>32</v>
      </c>
      <c r="G38" t="s">
        <v>16</v>
      </c>
      <c r="H38">
        <v>970.51</v>
      </c>
      <c r="I38">
        <v>1330.84</v>
      </c>
      <c r="J38" t="s">
        <v>17</v>
      </c>
      <c r="K38">
        <v>0.06</v>
      </c>
      <c r="L38" t="s">
        <v>18</v>
      </c>
      <c r="M38" t="s">
        <v>22</v>
      </c>
      <c r="N38" t="s">
        <v>48</v>
      </c>
    </row>
    <row r="39" spans="1:14" x14ac:dyDescent="0.35">
      <c r="A39">
        <v>1062</v>
      </c>
      <c r="B39" s="1">
        <v>44932</v>
      </c>
      <c r="C39" t="s">
        <v>38</v>
      </c>
      <c r="D39" t="s">
        <v>34</v>
      </c>
      <c r="E39">
        <v>3439.72</v>
      </c>
      <c r="F39">
        <v>15</v>
      </c>
      <c r="G39" t="s">
        <v>29</v>
      </c>
      <c r="H39">
        <v>4756.55</v>
      </c>
      <c r="I39">
        <v>4888.46</v>
      </c>
      <c r="J39" t="s">
        <v>30</v>
      </c>
      <c r="K39">
        <v>0.28999999999999998</v>
      </c>
      <c r="L39" t="s">
        <v>31</v>
      </c>
      <c r="M39" t="s">
        <v>19</v>
      </c>
      <c r="N39" t="s">
        <v>48</v>
      </c>
    </row>
    <row r="40" spans="1:14" x14ac:dyDescent="0.35">
      <c r="A40">
        <v>1062</v>
      </c>
      <c r="B40" s="1">
        <v>45248</v>
      </c>
      <c r="C40" t="s">
        <v>42</v>
      </c>
      <c r="D40" t="s">
        <v>34</v>
      </c>
      <c r="E40">
        <v>291.33999999999997</v>
      </c>
      <c r="F40">
        <v>12</v>
      </c>
      <c r="G40" t="s">
        <v>16</v>
      </c>
      <c r="H40">
        <v>1088.99</v>
      </c>
      <c r="I40">
        <v>1545</v>
      </c>
      <c r="J40" t="s">
        <v>17</v>
      </c>
      <c r="K40">
        <v>0.04</v>
      </c>
      <c r="L40" t="s">
        <v>27</v>
      </c>
      <c r="M40" t="s">
        <v>22</v>
      </c>
      <c r="N40" t="s">
        <v>52</v>
      </c>
    </row>
    <row r="41" spans="1:14" x14ac:dyDescent="0.35">
      <c r="A41">
        <v>1047</v>
      </c>
      <c r="B41" s="1">
        <v>45146</v>
      </c>
      <c r="C41" t="s">
        <v>24</v>
      </c>
      <c r="D41" t="s">
        <v>15</v>
      </c>
      <c r="E41">
        <v>1331.25</v>
      </c>
      <c r="F41">
        <v>33</v>
      </c>
      <c r="G41" t="s">
        <v>35</v>
      </c>
      <c r="H41">
        <v>1341.55</v>
      </c>
      <c r="I41">
        <v>1427.21</v>
      </c>
      <c r="J41" t="s">
        <v>17</v>
      </c>
      <c r="K41">
        <v>0.15</v>
      </c>
      <c r="L41" t="s">
        <v>31</v>
      </c>
      <c r="M41" t="s">
        <v>19</v>
      </c>
      <c r="N41" t="s">
        <v>45</v>
      </c>
    </row>
    <row r="42" spans="1:14" x14ac:dyDescent="0.35">
      <c r="A42">
        <v>1062</v>
      </c>
      <c r="B42" s="1">
        <v>45001</v>
      </c>
      <c r="C42" t="s">
        <v>24</v>
      </c>
      <c r="D42" t="s">
        <v>21</v>
      </c>
      <c r="E42">
        <v>4195.0600000000004</v>
      </c>
      <c r="F42">
        <v>45</v>
      </c>
      <c r="G42" t="s">
        <v>16</v>
      </c>
      <c r="H42">
        <v>4849.6000000000004</v>
      </c>
      <c r="I42">
        <v>5166.72</v>
      </c>
      <c r="J42" t="s">
        <v>17</v>
      </c>
      <c r="K42">
        <v>0.25</v>
      </c>
      <c r="L42" t="s">
        <v>31</v>
      </c>
      <c r="M42" t="s">
        <v>19</v>
      </c>
      <c r="N42" t="s">
        <v>47</v>
      </c>
    </row>
    <row r="43" spans="1:14" x14ac:dyDescent="0.35">
      <c r="A43">
        <v>1051</v>
      </c>
      <c r="B43" s="1">
        <v>44930</v>
      </c>
      <c r="C43" t="s">
        <v>38</v>
      </c>
      <c r="D43" t="s">
        <v>15</v>
      </c>
      <c r="E43">
        <v>4979.3599999999997</v>
      </c>
      <c r="F43">
        <v>14</v>
      </c>
      <c r="G43" t="s">
        <v>35</v>
      </c>
      <c r="H43">
        <v>3686.81</v>
      </c>
      <c r="I43">
        <v>3710.92</v>
      </c>
      <c r="J43" t="s">
        <v>30</v>
      </c>
      <c r="K43">
        <v>0.1</v>
      </c>
      <c r="L43" t="s">
        <v>27</v>
      </c>
      <c r="M43" t="s">
        <v>22</v>
      </c>
      <c r="N43" t="s">
        <v>40</v>
      </c>
    </row>
    <row r="44" spans="1:14" x14ac:dyDescent="0.35">
      <c r="A44">
        <v>1055</v>
      </c>
      <c r="B44" s="1">
        <v>45261</v>
      </c>
      <c r="C44" t="s">
        <v>33</v>
      </c>
      <c r="D44" t="s">
        <v>21</v>
      </c>
      <c r="E44">
        <v>4102.47</v>
      </c>
      <c r="F44">
        <v>8</v>
      </c>
      <c r="G44" t="s">
        <v>16</v>
      </c>
      <c r="H44">
        <v>3513</v>
      </c>
      <c r="I44">
        <v>3838.42</v>
      </c>
      <c r="J44" t="s">
        <v>17</v>
      </c>
      <c r="K44">
        <v>0.13</v>
      </c>
      <c r="L44" t="s">
        <v>27</v>
      </c>
      <c r="M44" t="s">
        <v>19</v>
      </c>
      <c r="N44" t="s">
        <v>37</v>
      </c>
    </row>
    <row r="45" spans="1:14" x14ac:dyDescent="0.35">
      <c r="A45">
        <v>1064</v>
      </c>
      <c r="B45" s="1">
        <v>45060</v>
      </c>
      <c r="C45" t="s">
        <v>14</v>
      </c>
      <c r="D45" t="s">
        <v>25</v>
      </c>
      <c r="E45">
        <v>5356.28</v>
      </c>
      <c r="F45">
        <v>8</v>
      </c>
      <c r="G45" t="s">
        <v>35</v>
      </c>
      <c r="H45">
        <v>4271.99</v>
      </c>
      <c r="I45">
        <v>4417.79</v>
      </c>
      <c r="J45" t="s">
        <v>17</v>
      </c>
      <c r="K45">
        <v>0.04</v>
      </c>
      <c r="L45" t="s">
        <v>18</v>
      </c>
      <c r="M45" t="s">
        <v>19</v>
      </c>
      <c r="N45" t="s">
        <v>32</v>
      </c>
    </row>
    <row r="46" spans="1:14" x14ac:dyDescent="0.35">
      <c r="A46">
        <v>1003</v>
      </c>
      <c r="B46" s="1">
        <v>45044</v>
      </c>
      <c r="C46" t="s">
        <v>33</v>
      </c>
      <c r="D46" t="s">
        <v>25</v>
      </c>
      <c r="E46">
        <v>5991.8</v>
      </c>
      <c r="F46">
        <v>27</v>
      </c>
      <c r="G46" t="s">
        <v>16</v>
      </c>
      <c r="H46">
        <v>623.32000000000005</v>
      </c>
      <c r="I46">
        <v>853.66</v>
      </c>
      <c r="J46" t="s">
        <v>17</v>
      </c>
      <c r="K46">
        <v>0.04</v>
      </c>
      <c r="L46" t="s">
        <v>18</v>
      </c>
      <c r="M46" t="s">
        <v>19</v>
      </c>
      <c r="N46" t="s">
        <v>44</v>
      </c>
    </row>
    <row r="47" spans="1:14" x14ac:dyDescent="0.35">
      <c r="A47">
        <v>1051</v>
      </c>
      <c r="B47" s="1">
        <v>45020</v>
      </c>
      <c r="C47" t="s">
        <v>14</v>
      </c>
      <c r="D47" t="s">
        <v>34</v>
      </c>
      <c r="E47">
        <v>198.25</v>
      </c>
      <c r="F47">
        <v>12</v>
      </c>
      <c r="G47" t="s">
        <v>35</v>
      </c>
      <c r="H47">
        <v>3544.48</v>
      </c>
      <c r="I47">
        <v>3723.66</v>
      </c>
      <c r="J47" t="s">
        <v>17</v>
      </c>
      <c r="K47">
        <v>0.19</v>
      </c>
      <c r="L47" t="s">
        <v>18</v>
      </c>
      <c r="M47" t="s">
        <v>19</v>
      </c>
      <c r="N47" t="s">
        <v>46</v>
      </c>
    </row>
    <row r="48" spans="1:14" x14ac:dyDescent="0.35">
      <c r="A48">
        <v>1007</v>
      </c>
      <c r="B48" s="1">
        <v>44988</v>
      </c>
      <c r="C48" t="s">
        <v>38</v>
      </c>
      <c r="D48" t="s">
        <v>21</v>
      </c>
      <c r="E48">
        <v>4694.54</v>
      </c>
      <c r="F48">
        <v>1</v>
      </c>
      <c r="G48" t="s">
        <v>26</v>
      </c>
      <c r="H48">
        <v>2543.2600000000002</v>
      </c>
      <c r="I48">
        <v>2637.91</v>
      </c>
      <c r="J48" t="s">
        <v>17</v>
      </c>
      <c r="K48">
        <v>0.2</v>
      </c>
      <c r="L48" t="s">
        <v>31</v>
      </c>
      <c r="M48" t="s">
        <v>19</v>
      </c>
      <c r="N48" t="s">
        <v>41</v>
      </c>
    </row>
    <row r="49" spans="1:14" x14ac:dyDescent="0.35">
      <c r="A49">
        <v>1021</v>
      </c>
      <c r="B49" s="1">
        <v>45120</v>
      </c>
      <c r="C49" t="s">
        <v>14</v>
      </c>
      <c r="D49" t="s">
        <v>21</v>
      </c>
      <c r="E49">
        <v>9638.64</v>
      </c>
      <c r="F49">
        <v>43</v>
      </c>
      <c r="G49" t="s">
        <v>16</v>
      </c>
      <c r="H49">
        <v>4154.3</v>
      </c>
      <c r="I49">
        <v>4469.07</v>
      </c>
      <c r="J49" t="s">
        <v>17</v>
      </c>
      <c r="K49">
        <v>0.23</v>
      </c>
      <c r="L49" t="s">
        <v>18</v>
      </c>
      <c r="M49" t="s">
        <v>22</v>
      </c>
      <c r="N49" t="s">
        <v>23</v>
      </c>
    </row>
    <row r="50" spans="1:14" x14ac:dyDescent="0.35">
      <c r="A50">
        <v>1073</v>
      </c>
      <c r="B50" s="1">
        <v>45261</v>
      </c>
      <c r="C50" t="s">
        <v>24</v>
      </c>
      <c r="D50" t="s">
        <v>21</v>
      </c>
      <c r="E50">
        <v>5238.42</v>
      </c>
      <c r="F50">
        <v>40</v>
      </c>
      <c r="G50" t="s">
        <v>16</v>
      </c>
      <c r="H50">
        <v>2565.3000000000002</v>
      </c>
      <c r="I50">
        <v>3007.47</v>
      </c>
      <c r="J50" t="s">
        <v>17</v>
      </c>
      <c r="K50">
        <v>0.17</v>
      </c>
      <c r="L50" t="s">
        <v>31</v>
      </c>
      <c r="M50" t="s">
        <v>22</v>
      </c>
      <c r="N50" t="s">
        <v>47</v>
      </c>
    </row>
    <row r="51" spans="1:14" x14ac:dyDescent="0.35">
      <c r="A51">
        <v>1039</v>
      </c>
      <c r="B51" s="1">
        <v>45129</v>
      </c>
      <c r="C51" t="s">
        <v>42</v>
      </c>
      <c r="D51" t="s">
        <v>34</v>
      </c>
      <c r="E51">
        <v>6807.67</v>
      </c>
      <c r="F51">
        <v>42</v>
      </c>
      <c r="G51" t="s">
        <v>29</v>
      </c>
      <c r="H51">
        <v>3120.19</v>
      </c>
      <c r="I51">
        <v>3600.14</v>
      </c>
      <c r="J51" t="s">
        <v>17</v>
      </c>
      <c r="K51">
        <v>0.19</v>
      </c>
      <c r="L51" t="s">
        <v>31</v>
      </c>
      <c r="M51" t="s">
        <v>22</v>
      </c>
      <c r="N51" t="s">
        <v>52</v>
      </c>
    </row>
    <row r="52" spans="1:14" x14ac:dyDescent="0.35">
      <c r="A52">
        <v>1018</v>
      </c>
      <c r="B52" s="1">
        <v>44952</v>
      </c>
      <c r="C52" t="s">
        <v>42</v>
      </c>
      <c r="D52" t="s">
        <v>34</v>
      </c>
      <c r="E52">
        <v>3187.45</v>
      </c>
      <c r="F52">
        <v>11</v>
      </c>
      <c r="G52" t="s">
        <v>29</v>
      </c>
      <c r="H52">
        <v>2414.8200000000002</v>
      </c>
      <c r="I52">
        <v>2519.0700000000002</v>
      </c>
      <c r="J52" t="s">
        <v>17</v>
      </c>
      <c r="K52">
        <v>0</v>
      </c>
      <c r="L52" t="s">
        <v>18</v>
      </c>
      <c r="M52" t="s">
        <v>19</v>
      </c>
      <c r="N52" t="s">
        <v>52</v>
      </c>
    </row>
    <row r="53" spans="1:14" x14ac:dyDescent="0.35">
      <c r="A53">
        <v>1004</v>
      </c>
      <c r="B53" s="1">
        <v>45099</v>
      </c>
      <c r="C53" t="s">
        <v>38</v>
      </c>
      <c r="D53" t="s">
        <v>25</v>
      </c>
      <c r="E53">
        <v>7762.51</v>
      </c>
      <c r="F53">
        <v>39</v>
      </c>
      <c r="G53" t="s">
        <v>35</v>
      </c>
      <c r="H53">
        <v>2416.89</v>
      </c>
      <c r="I53">
        <v>2778.3999999999901</v>
      </c>
      <c r="J53" t="s">
        <v>17</v>
      </c>
      <c r="K53">
        <v>0.05</v>
      </c>
      <c r="L53" t="s">
        <v>18</v>
      </c>
      <c r="M53" t="s">
        <v>19</v>
      </c>
      <c r="N53" t="s">
        <v>39</v>
      </c>
    </row>
    <row r="54" spans="1:14" x14ac:dyDescent="0.35">
      <c r="A54">
        <v>1089</v>
      </c>
      <c r="B54" s="1">
        <v>45226</v>
      </c>
      <c r="C54" t="s">
        <v>24</v>
      </c>
      <c r="D54" t="s">
        <v>15</v>
      </c>
      <c r="E54">
        <v>7751.92</v>
      </c>
      <c r="F54">
        <v>43</v>
      </c>
      <c r="G54" t="s">
        <v>16</v>
      </c>
      <c r="H54">
        <v>3851.45</v>
      </c>
      <c r="I54">
        <v>4186.9799999999996</v>
      </c>
      <c r="J54" t="s">
        <v>17</v>
      </c>
      <c r="K54">
        <v>0.3</v>
      </c>
      <c r="L54" t="s">
        <v>31</v>
      </c>
      <c r="M54" t="s">
        <v>19</v>
      </c>
      <c r="N54" t="s">
        <v>45</v>
      </c>
    </row>
    <row r="55" spans="1:14" x14ac:dyDescent="0.35">
      <c r="A55">
        <v>1060</v>
      </c>
      <c r="B55" s="1">
        <v>45059</v>
      </c>
      <c r="C55" t="s">
        <v>33</v>
      </c>
      <c r="D55" t="s">
        <v>21</v>
      </c>
      <c r="E55">
        <v>5260.83</v>
      </c>
      <c r="F55">
        <v>31</v>
      </c>
      <c r="G55" t="s">
        <v>35</v>
      </c>
      <c r="H55">
        <v>3161.4</v>
      </c>
      <c r="I55">
        <v>3339.66</v>
      </c>
      <c r="J55" t="s">
        <v>17</v>
      </c>
      <c r="K55">
        <v>0.02</v>
      </c>
      <c r="L55" t="s">
        <v>27</v>
      </c>
      <c r="M55" t="s">
        <v>19</v>
      </c>
      <c r="N55" t="s">
        <v>37</v>
      </c>
    </row>
    <row r="56" spans="1:14" x14ac:dyDescent="0.35">
      <c r="A56">
        <v>1014</v>
      </c>
      <c r="B56" s="1">
        <v>45252</v>
      </c>
      <c r="C56" t="s">
        <v>24</v>
      </c>
      <c r="D56" t="s">
        <v>21</v>
      </c>
      <c r="E56">
        <v>9762.5400000000009</v>
      </c>
      <c r="F56">
        <v>17</v>
      </c>
      <c r="G56" t="s">
        <v>26</v>
      </c>
      <c r="H56">
        <v>3184.65</v>
      </c>
      <c r="I56">
        <v>3204.01</v>
      </c>
      <c r="J56" t="s">
        <v>30</v>
      </c>
      <c r="K56">
        <v>0.2</v>
      </c>
      <c r="L56" t="s">
        <v>27</v>
      </c>
      <c r="M56" t="s">
        <v>19</v>
      </c>
      <c r="N56" t="s">
        <v>47</v>
      </c>
    </row>
    <row r="57" spans="1:14" x14ac:dyDescent="0.35">
      <c r="A57">
        <v>1009</v>
      </c>
      <c r="B57" s="1">
        <v>45044</v>
      </c>
      <c r="C57" t="s">
        <v>42</v>
      </c>
      <c r="D57" t="s">
        <v>15</v>
      </c>
      <c r="E57">
        <v>1342.95</v>
      </c>
      <c r="F57">
        <v>33</v>
      </c>
      <c r="G57" t="s">
        <v>29</v>
      </c>
      <c r="H57">
        <v>2278.9</v>
      </c>
      <c r="I57">
        <v>2626.9</v>
      </c>
      <c r="J57" t="s">
        <v>30</v>
      </c>
      <c r="K57">
        <v>0.05</v>
      </c>
      <c r="L57" t="s">
        <v>31</v>
      </c>
      <c r="M57" t="s">
        <v>19</v>
      </c>
      <c r="N57" t="s">
        <v>49</v>
      </c>
    </row>
    <row r="58" spans="1:14" x14ac:dyDescent="0.35">
      <c r="A58">
        <v>1090</v>
      </c>
      <c r="B58" s="1">
        <v>45250</v>
      </c>
      <c r="C58" t="s">
        <v>42</v>
      </c>
      <c r="D58" t="s">
        <v>21</v>
      </c>
      <c r="E58">
        <v>267.77999999999997</v>
      </c>
      <c r="F58">
        <v>32</v>
      </c>
      <c r="G58" t="s">
        <v>35</v>
      </c>
      <c r="H58">
        <v>2678.99</v>
      </c>
      <c r="I58">
        <v>3152.2799999999902</v>
      </c>
      <c r="J58" t="s">
        <v>17</v>
      </c>
      <c r="K58">
        <v>0.22</v>
      </c>
      <c r="L58" t="s">
        <v>18</v>
      </c>
      <c r="M58" t="s">
        <v>22</v>
      </c>
      <c r="N58" t="s">
        <v>51</v>
      </c>
    </row>
    <row r="59" spans="1:14" x14ac:dyDescent="0.35">
      <c r="A59">
        <v>1053</v>
      </c>
      <c r="B59" s="1">
        <v>45201</v>
      </c>
      <c r="C59" t="s">
        <v>24</v>
      </c>
      <c r="D59" t="s">
        <v>34</v>
      </c>
      <c r="E59">
        <v>7724.57</v>
      </c>
      <c r="F59">
        <v>29</v>
      </c>
      <c r="G59" t="s">
        <v>35</v>
      </c>
      <c r="H59">
        <v>3741.3</v>
      </c>
      <c r="I59">
        <v>4061.04</v>
      </c>
      <c r="J59" t="s">
        <v>17</v>
      </c>
      <c r="K59">
        <v>0.21</v>
      </c>
      <c r="L59" t="s">
        <v>31</v>
      </c>
      <c r="M59" t="s">
        <v>19</v>
      </c>
      <c r="N59" t="s">
        <v>50</v>
      </c>
    </row>
    <row r="60" spans="1:14" x14ac:dyDescent="0.35">
      <c r="A60">
        <v>1002</v>
      </c>
      <c r="B60" s="1">
        <v>45138</v>
      </c>
      <c r="C60" t="s">
        <v>24</v>
      </c>
      <c r="D60" t="s">
        <v>34</v>
      </c>
      <c r="E60">
        <v>8090.84</v>
      </c>
      <c r="F60">
        <v>21</v>
      </c>
      <c r="G60" t="s">
        <v>29</v>
      </c>
      <c r="H60">
        <v>4138.41</v>
      </c>
      <c r="I60">
        <v>4361.7</v>
      </c>
      <c r="J60" t="s">
        <v>17</v>
      </c>
      <c r="K60">
        <v>7.0000000000000007E-2</v>
      </c>
      <c r="L60" t="s">
        <v>31</v>
      </c>
      <c r="M60" t="s">
        <v>22</v>
      </c>
      <c r="N60" t="s">
        <v>50</v>
      </c>
    </row>
    <row r="61" spans="1:14" x14ac:dyDescent="0.35">
      <c r="A61">
        <v>1084</v>
      </c>
      <c r="B61" s="1">
        <v>45151</v>
      </c>
      <c r="C61" t="s">
        <v>42</v>
      </c>
      <c r="D61" t="s">
        <v>21</v>
      </c>
      <c r="E61">
        <v>1290.05</v>
      </c>
      <c r="F61">
        <v>21</v>
      </c>
      <c r="G61" t="s">
        <v>16</v>
      </c>
      <c r="H61">
        <v>3497.98</v>
      </c>
      <c r="I61">
        <v>3765.31</v>
      </c>
      <c r="J61" t="s">
        <v>30</v>
      </c>
      <c r="K61">
        <v>0.08</v>
      </c>
      <c r="L61" t="s">
        <v>18</v>
      </c>
      <c r="M61" t="s">
        <v>19</v>
      </c>
      <c r="N61" t="s">
        <v>51</v>
      </c>
    </row>
    <row r="62" spans="1:14" x14ac:dyDescent="0.35">
      <c r="A62">
        <v>1092</v>
      </c>
      <c r="B62" s="1">
        <v>44946</v>
      </c>
      <c r="C62" t="s">
        <v>33</v>
      </c>
      <c r="D62" t="s">
        <v>34</v>
      </c>
      <c r="E62">
        <v>2729.27</v>
      </c>
      <c r="F62">
        <v>40</v>
      </c>
      <c r="G62" t="s">
        <v>35</v>
      </c>
      <c r="H62">
        <v>4624.16</v>
      </c>
      <c r="I62">
        <v>4731.9799999999996</v>
      </c>
      <c r="J62" t="s">
        <v>30</v>
      </c>
      <c r="K62">
        <v>0.2</v>
      </c>
      <c r="L62" t="s">
        <v>27</v>
      </c>
      <c r="M62" t="s">
        <v>22</v>
      </c>
      <c r="N62" t="s">
        <v>36</v>
      </c>
    </row>
    <row r="63" spans="1:14" x14ac:dyDescent="0.35">
      <c r="A63">
        <v>1060</v>
      </c>
      <c r="B63" s="1">
        <v>45039</v>
      </c>
      <c r="C63" t="s">
        <v>38</v>
      </c>
      <c r="D63" t="s">
        <v>34</v>
      </c>
      <c r="E63">
        <v>273.77</v>
      </c>
      <c r="F63">
        <v>23</v>
      </c>
      <c r="G63" t="s">
        <v>29</v>
      </c>
      <c r="H63">
        <v>4110.6000000000004</v>
      </c>
      <c r="I63">
        <v>4488.37</v>
      </c>
      <c r="J63" t="s">
        <v>30</v>
      </c>
      <c r="K63">
        <v>0.12</v>
      </c>
      <c r="L63" t="s">
        <v>31</v>
      </c>
      <c r="M63" t="s">
        <v>19</v>
      </c>
      <c r="N63" t="s">
        <v>48</v>
      </c>
    </row>
    <row r="64" spans="1:14" x14ac:dyDescent="0.35">
      <c r="A64">
        <v>1071</v>
      </c>
      <c r="B64" s="1">
        <v>45066</v>
      </c>
      <c r="C64" t="s">
        <v>38</v>
      </c>
      <c r="D64" t="s">
        <v>21</v>
      </c>
      <c r="E64">
        <v>3003.76</v>
      </c>
      <c r="F64">
        <v>6</v>
      </c>
      <c r="G64" t="s">
        <v>16</v>
      </c>
      <c r="H64">
        <v>2831.23</v>
      </c>
      <c r="I64">
        <v>3206.98</v>
      </c>
      <c r="J64" t="s">
        <v>17</v>
      </c>
      <c r="K64">
        <v>0.06</v>
      </c>
      <c r="L64" t="s">
        <v>27</v>
      </c>
      <c r="M64" t="s">
        <v>22</v>
      </c>
      <c r="N64" t="s">
        <v>41</v>
      </c>
    </row>
    <row r="65" spans="1:14" x14ac:dyDescent="0.35">
      <c r="A65">
        <v>1044</v>
      </c>
      <c r="B65" s="1">
        <v>44973</v>
      </c>
      <c r="C65" t="s">
        <v>24</v>
      </c>
      <c r="D65" t="s">
        <v>25</v>
      </c>
      <c r="E65">
        <v>7754.1</v>
      </c>
      <c r="F65">
        <v>22</v>
      </c>
      <c r="G65" t="s">
        <v>26</v>
      </c>
      <c r="H65">
        <v>3373.46</v>
      </c>
      <c r="I65">
        <v>3454.76</v>
      </c>
      <c r="J65" t="s">
        <v>17</v>
      </c>
      <c r="K65">
        <v>0.22</v>
      </c>
      <c r="L65" t="s">
        <v>27</v>
      </c>
      <c r="M65" t="s">
        <v>22</v>
      </c>
      <c r="N65" t="s">
        <v>28</v>
      </c>
    </row>
    <row r="66" spans="1:14" x14ac:dyDescent="0.35">
      <c r="A66">
        <v>1008</v>
      </c>
      <c r="B66" s="1">
        <v>44927</v>
      </c>
      <c r="C66" t="s">
        <v>38</v>
      </c>
      <c r="D66" t="s">
        <v>15</v>
      </c>
      <c r="E66">
        <v>5227.8100000000004</v>
      </c>
      <c r="F66">
        <v>38</v>
      </c>
      <c r="G66" t="s">
        <v>29</v>
      </c>
      <c r="H66">
        <v>4635.2299999999996</v>
      </c>
      <c r="I66">
        <v>5075.4399999999996</v>
      </c>
      <c r="J66" t="s">
        <v>17</v>
      </c>
      <c r="K66">
        <v>0.05</v>
      </c>
      <c r="L66" t="s">
        <v>18</v>
      </c>
      <c r="M66" t="s">
        <v>19</v>
      </c>
      <c r="N66" t="s">
        <v>40</v>
      </c>
    </row>
    <row r="67" spans="1:14" x14ac:dyDescent="0.35">
      <c r="A67">
        <v>1047</v>
      </c>
      <c r="B67" s="1">
        <v>45016</v>
      </c>
      <c r="C67" t="s">
        <v>42</v>
      </c>
      <c r="D67" t="s">
        <v>34</v>
      </c>
      <c r="E67">
        <v>3546.15</v>
      </c>
      <c r="F67">
        <v>37</v>
      </c>
      <c r="G67" t="s">
        <v>35</v>
      </c>
      <c r="H67">
        <v>3114.88</v>
      </c>
      <c r="I67">
        <v>3256.78</v>
      </c>
      <c r="J67" t="s">
        <v>17</v>
      </c>
      <c r="K67">
        <v>0.26</v>
      </c>
      <c r="L67" t="s">
        <v>31</v>
      </c>
      <c r="M67" t="s">
        <v>19</v>
      </c>
      <c r="N67" t="s">
        <v>52</v>
      </c>
    </row>
    <row r="68" spans="1:14" x14ac:dyDescent="0.35">
      <c r="A68">
        <v>1035</v>
      </c>
      <c r="B68" s="1">
        <v>45068</v>
      </c>
      <c r="C68" t="s">
        <v>42</v>
      </c>
      <c r="D68" t="s">
        <v>25</v>
      </c>
      <c r="E68">
        <v>3780.22</v>
      </c>
      <c r="F68">
        <v>45</v>
      </c>
      <c r="G68" t="s">
        <v>26</v>
      </c>
      <c r="H68">
        <v>4132.79</v>
      </c>
      <c r="I68">
        <v>4624.1000000000004</v>
      </c>
      <c r="J68" t="s">
        <v>30</v>
      </c>
      <c r="K68">
        <v>0.15</v>
      </c>
      <c r="L68" t="s">
        <v>31</v>
      </c>
      <c r="M68" t="s">
        <v>22</v>
      </c>
      <c r="N68" t="s">
        <v>43</v>
      </c>
    </row>
    <row r="69" spans="1:14" x14ac:dyDescent="0.35">
      <c r="A69">
        <v>1078</v>
      </c>
      <c r="B69" s="1">
        <v>45246</v>
      </c>
      <c r="C69" t="s">
        <v>24</v>
      </c>
      <c r="D69" t="s">
        <v>34</v>
      </c>
      <c r="E69">
        <v>113.4</v>
      </c>
      <c r="F69">
        <v>8</v>
      </c>
      <c r="G69" t="s">
        <v>16</v>
      </c>
      <c r="H69">
        <v>3459.61</v>
      </c>
      <c r="I69">
        <v>3657.23</v>
      </c>
      <c r="J69" t="s">
        <v>17</v>
      </c>
      <c r="K69">
        <v>0.03</v>
      </c>
      <c r="L69" t="s">
        <v>27</v>
      </c>
      <c r="M69" t="s">
        <v>19</v>
      </c>
      <c r="N69" t="s">
        <v>50</v>
      </c>
    </row>
    <row r="70" spans="1:14" x14ac:dyDescent="0.35">
      <c r="A70">
        <v>1081</v>
      </c>
      <c r="B70" s="1">
        <v>44964</v>
      </c>
      <c r="C70" t="s">
        <v>24</v>
      </c>
      <c r="D70" t="s">
        <v>34</v>
      </c>
      <c r="E70">
        <v>3068.03</v>
      </c>
      <c r="F70">
        <v>41</v>
      </c>
      <c r="G70" t="s">
        <v>16</v>
      </c>
      <c r="H70">
        <v>2782.08</v>
      </c>
      <c r="I70">
        <v>2879.24</v>
      </c>
      <c r="J70" t="s">
        <v>30</v>
      </c>
      <c r="K70">
        <v>0.21</v>
      </c>
      <c r="L70" t="s">
        <v>27</v>
      </c>
      <c r="M70" t="s">
        <v>19</v>
      </c>
      <c r="N70" t="s">
        <v>50</v>
      </c>
    </row>
    <row r="71" spans="1:14" x14ac:dyDescent="0.35">
      <c r="A71">
        <v>1036</v>
      </c>
      <c r="B71" s="1">
        <v>45219</v>
      </c>
      <c r="C71" t="s">
        <v>24</v>
      </c>
      <c r="D71" t="s">
        <v>15</v>
      </c>
      <c r="E71">
        <v>6499.94</v>
      </c>
      <c r="F71">
        <v>49</v>
      </c>
      <c r="G71" t="s">
        <v>29</v>
      </c>
      <c r="H71">
        <v>1247.0999999999999</v>
      </c>
      <c r="I71">
        <v>1429.4399999999901</v>
      </c>
      <c r="J71" t="s">
        <v>30</v>
      </c>
      <c r="K71">
        <v>0.16</v>
      </c>
      <c r="L71" t="s">
        <v>18</v>
      </c>
      <c r="M71" t="s">
        <v>19</v>
      </c>
      <c r="N71" t="s">
        <v>45</v>
      </c>
    </row>
    <row r="72" spans="1:14" x14ac:dyDescent="0.35">
      <c r="A72">
        <v>1050</v>
      </c>
      <c r="B72" s="1">
        <v>45065</v>
      </c>
      <c r="C72" t="s">
        <v>33</v>
      </c>
      <c r="D72" t="s">
        <v>34</v>
      </c>
      <c r="E72">
        <v>9744.52</v>
      </c>
      <c r="F72">
        <v>35</v>
      </c>
      <c r="G72" t="s">
        <v>29</v>
      </c>
      <c r="H72">
        <v>2158.69</v>
      </c>
      <c r="I72">
        <v>2384.38</v>
      </c>
      <c r="J72" t="s">
        <v>17</v>
      </c>
      <c r="K72">
        <v>0.09</v>
      </c>
      <c r="L72" t="s">
        <v>27</v>
      </c>
      <c r="M72" t="s">
        <v>22</v>
      </c>
      <c r="N72" t="s">
        <v>36</v>
      </c>
    </row>
    <row r="73" spans="1:14" x14ac:dyDescent="0.35">
      <c r="A73">
        <v>1004</v>
      </c>
      <c r="B73" s="1">
        <v>45282</v>
      </c>
      <c r="C73" t="s">
        <v>38</v>
      </c>
      <c r="D73" t="s">
        <v>15</v>
      </c>
      <c r="E73">
        <v>8485.9</v>
      </c>
      <c r="F73">
        <v>11</v>
      </c>
      <c r="G73" t="s">
        <v>29</v>
      </c>
      <c r="H73">
        <v>4840.33</v>
      </c>
      <c r="I73">
        <v>4884.29</v>
      </c>
      <c r="J73" t="s">
        <v>30</v>
      </c>
      <c r="K73">
        <v>0.13</v>
      </c>
      <c r="L73" t="s">
        <v>18</v>
      </c>
      <c r="M73" t="s">
        <v>19</v>
      </c>
      <c r="N73" t="s">
        <v>40</v>
      </c>
    </row>
    <row r="74" spans="1:14" x14ac:dyDescent="0.35">
      <c r="A74">
        <v>1002</v>
      </c>
      <c r="B74" s="1">
        <v>45259</v>
      </c>
      <c r="C74" t="s">
        <v>24</v>
      </c>
      <c r="D74" t="s">
        <v>15</v>
      </c>
      <c r="E74">
        <v>333.59</v>
      </c>
      <c r="F74">
        <v>24</v>
      </c>
      <c r="G74" t="s">
        <v>16</v>
      </c>
      <c r="H74">
        <v>3305.94</v>
      </c>
      <c r="I74">
        <v>3599.27</v>
      </c>
      <c r="J74" t="s">
        <v>30</v>
      </c>
      <c r="K74">
        <v>0.09</v>
      </c>
      <c r="L74" t="s">
        <v>31</v>
      </c>
      <c r="M74" t="s">
        <v>22</v>
      </c>
      <c r="N74" t="s">
        <v>45</v>
      </c>
    </row>
    <row r="75" spans="1:14" x14ac:dyDescent="0.35">
      <c r="A75">
        <v>1006</v>
      </c>
      <c r="B75" s="1">
        <v>45185</v>
      </c>
      <c r="C75" t="s">
        <v>14</v>
      </c>
      <c r="D75" t="s">
        <v>15</v>
      </c>
      <c r="E75">
        <v>8995.75</v>
      </c>
      <c r="F75">
        <v>49</v>
      </c>
      <c r="G75" t="s">
        <v>26</v>
      </c>
      <c r="H75">
        <v>2843.76</v>
      </c>
      <c r="I75">
        <v>3146.6</v>
      </c>
      <c r="J75" t="s">
        <v>30</v>
      </c>
      <c r="K75">
        <v>0.08</v>
      </c>
      <c r="L75" t="s">
        <v>18</v>
      </c>
      <c r="M75" t="s">
        <v>22</v>
      </c>
      <c r="N75" t="s">
        <v>20</v>
      </c>
    </row>
    <row r="76" spans="1:14" x14ac:dyDescent="0.35">
      <c r="A76">
        <v>1054</v>
      </c>
      <c r="B76" s="1">
        <v>45087</v>
      </c>
      <c r="C76" t="s">
        <v>14</v>
      </c>
      <c r="D76" t="s">
        <v>25</v>
      </c>
      <c r="E76">
        <v>7853.66</v>
      </c>
      <c r="F76">
        <v>21</v>
      </c>
      <c r="G76" t="s">
        <v>16</v>
      </c>
      <c r="H76">
        <v>4668.1400000000003</v>
      </c>
      <c r="I76">
        <v>5040.22</v>
      </c>
      <c r="J76" t="s">
        <v>30</v>
      </c>
      <c r="K76">
        <v>0.05</v>
      </c>
      <c r="L76" t="s">
        <v>27</v>
      </c>
      <c r="M76" t="s">
        <v>19</v>
      </c>
      <c r="N76" t="s">
        <v>32</v>
      </c>
    </row>
    <row r="77" spans="1:14" x14ac:dyDescent="0.35">
      <c r="A77">
        <v>1004</v>
      </c>
      <c r="B77" s="1">
        <v>45104</v>
      </c>
      <c r="C77" t="s">
        <v>42</v>
      </c>
      <c r="D77" t="s">
        <v>21</v>
      </c>
      <c r="E77">
        <v>7825.72</v>
      </c>
      <c r="F77">
        <v>2</v>
      </c>
      <c r="G77" t="s">
        <v>35</v>
      </c>
      <c r="H77">
        <v>2953.23</v>
      </c>
      <c r="I77">
        <v>2977.52</v>
      </c>
      <c r="J77" t="s">
        <v>17</v>
      </c>
      <c r="K77">
        <v>0.11</v>
      </c>
      <c r="L77" t="s">
        <v>31</v>
      </c>
      <c r="M77" t="s">
        <v>22</v>
      </c>
      <c r="N77" t="s">
        <v>51</v>
      </c>
    </row>
    <row r="78" spans="1:14" x14ac:dyDescent="0.35">
      <c r="A78">
        <v>1054</v>
      </c>
      <c r="B78" s="1">
        <v>44936</v>
      </c>
      <c r="C78" t="s">
        <v>38</v>
      </c>
      <c r="D78" t="s">
        <v>25</v>
      </c>
      <c r="E78">
        <v>4634.16</v>
      </c>
      <c r="F78">
        <v>40</v>
      </c>
      <c r="G78" t="s">
        <v>16</v>
      </c>
      <c r="H78">
        <v>2654.11</v>
      </c>
      <c r="I78">
        <v>2929.32</v>
      </c>
      <c r="J78" t="s">
        <v>17</v>
      </c>
      <c r="K78">
        <v>0.08</v>
      </c>
      <c r="L78" t="s">
        <v>18</v>
      </c>
      <c r="M78" t="s">
        <v>19</v>
      </c>
      <c r="N78" t="s">
        <v>39</v>
      </c>
    </row>
    <row r="79" spans="1:14" x14ac:dyDescent="0.35">
      <c r="A79">
        <v>1093</v>
      </c>
      <c r="B79" s="1">
        <v>45187</v>
      </c>
      <c r="C79" t="s">
        <v>24</v>
      </c>
      <c r="D79" t="s">
        <v>21</v>
      </c>
      <c r="E79">
        <v>4040.25</v>
      </c>
      <c r="F79">
        <v>19</v>
      </c>
      <c r="G79" t="s">
        <v>35</v>
      </c>
      <c r="H79">
        <v>3808.59</v>
      </c>
      <c r="I79">
        <v>3844.51</v>
      </c>
      <c r="J79" t="s">
        <v>30</v>
      </c>
      <c r="K79">
        <v>0.21</v>
      </c>
      <c r="L79" t="s">
        <v>31</v>
      </c>
      <c r="M79" t="s">
        <v>19</v>
      </c>
      <c r="N79" t="s">
        <v>47</v>
      </c>
    </row>
    <row r="80" spans="1:14" x14ac:dyDescent="0.35">
      <c r="A80">
        <v>1063</v>
      </c>
      <c r="B80" s="1">
        <v>45064</v>
      </c>
      <c r="C80" t="s">
        <v>14</v>
      </c>
      <c r="D80" t="s">
        <v>21</v>
      </c>
      <c r="E80">
        <v>3098.87</v>
      </c>
      <c r="F80">
        <v>39</v>
      </c>
      <c r="G80" t="s">
        <v>26</v>
      </c>
      <c r="H80">
        <v>3577.69</v>
      </c>
      <c r="I80">
        <v>3931.25</v>
      </c>
      <c r="J80" t="s">
        <v>17</v>
      </c>
      <c r="K80">
        <v>0.21</v>
      </c>
      <c r="L80" t="s">
        <v>18</v>
      </c>
      <c r="M80" t="s">
        <v>22</v>
      </c>
      <c r="N80" t="s">
        <v>23</v>
      </c>
    </row>
    <row r="81" spans="1:14" x14ac:dyDescent="0.35">
      <c r="A81">
        <v>1018</v>
      </c>
      <c r="B81" s="1">
        <v>45098</v>
      </c>
      <c r="C81" t="s">
        <v>38</v>
      </c>
      <c r="D81" t="s">
        <v>15</v>
      </c>
      <c r="E81">
        <v>750.38</v>
      </c>
      <c r="F81">
        <v>28</v>
      </c>
      <c r="G81" t="s">
        <v>29</v>
      </c>
      <c r="H81">
        <v>1006.14</v>
      </c>
      <c r="I81">
        <v>1043.45</v>
      </c>
      <c r="J81" t="s">
        <v>30</v>
      </c>
      <c r="K81">
        <v>0.15</v>
      </c>
      <c r="L81" t="s">
        <v>27</v>
      </c>
      <c r="M81" t="s">
        <v>22</v>
      </c>
      <c r="N81" t="s">
        <v>40</v>
      </c>
    </row>
    <row r="82" spans="1:14" x14ac:dyDescent="0.35">
      <c r="A82">
        <v>1090</v>
      </c>
      <c r="B82" s="1">
        <v>44939</v>
      </c>
      <c r="C82" t="s">
        <v>42</v>
      </c>
      <c r="D82" t="s">
        <v>34</v>
      </c>
      <c r="E82">
        <v>2359.5300000000002</v>
      </c>
      <c r="F82">
        <v>17</v>
      </c>
      <c r="G82" t="s">
        <v>29</v>
      </c>
      <c r="H82">
        <v>2382.98</v>
      </c>
      <c r="I82">
        <v>2839.73</v>
      </c>
      <c r="J82" t="s">
        <v>17</v>
      </c>
      <c r="K82">
        <v>0.23</v>
      </c>
      <c r="L82" t="s">
        <v>27</v>
      </c>
      <c r="M82" t="s">
        <v>22</v>
      </c>
      <c r="N82" t="s">
        <v>52</v>
      </c>
    </row>
    <row r="83" spans="1:14" x14ac:dyDescent="0.35">
      <c r="A83">
        <v>1044</v>
      </c>
      <c r="B83" s="1">
        <v>45094</v>
      </c>
      <c r="C83" t="s">
        <v>33</v>
      </c>
      <c r="D83" t="s">
        <v>15</v>
      </c>
      <c r="E83">
        <v>2541.38</v>
      </c>
      <c r="F83">
        <v>6</v>
      </c>
      <c r="G83" t="s">
        <v>16</v>
      </c>
      <c r="H83">
        <v>2388.9499999999998</v>
      </c>
      <c r="I83">
        <v>2742.97</v>
      </c>
      <c r="J83" t="s">
        <v>17</v>
      </c>
      <c r="K83">
        <v>0.25</v>
      </c>
      <c r="L83" t="s">
        <v>31</v>
      </c>
      <c r="M83" t="s">
        <v>22</v>
      </c>
      <c r="N83" t="s">
        <v>53</v>
      </c>
    </row>
    <row r="84" spans="1:14" x14ac:dyDescent="0.35">
      <c r="A84">
        <v>1034</v>
      </c>
      <c r="B84" s="1">
        <v>45056</v>
      </c>
      <c r="C84" t="s">
        <v>38</v>
      </c>
      <c r="D84" t="s">
        <v>34</v>
      </c>
      <c r="E84">
        <v>4892.3599999999997</v>
      </c>
      <c r="F84">
        <v>19</v>
      </c>
      <c r="G84" t="s">
        <v>29</v>
      </c>
      <c r="H84">
        <v>1922.21</v>
      </c>
      <c r="I84">
        <v>2180.83</v>
      </c>
      <c r="J84" t="s">
        <v>17</v>
      </c>
      <c r="K84">
        <v>0.17</v>
      </c>
      <c r="L84" t="s">
        <v>31</v>
      </c>
      <c r="M84" t="s">
        <v>22</v>
      </c>
      <c r="N84" t="s">
        <v>48</v>
      </c>
    </row>
    <row r="85" spans="1:14" x14ac:dyDescent="0.35">
      <c r="A85">
        <v>1074</v>
      </c>
      <c r="B85" s="1">
        <v>45010</v>
      </c>
      <c r="C85" t="s">
        <v>38</v>
      </c>
      <c r="D85" t="s">
        <v>21</v>
      </c>
      <c r="E85">
        <v>7499.7</v>
      </c>
      <c r="F85">
        <v>38</v>
      </c>
      <c r="G85" t="s">
        <v>26</v>
      </c>
      <c r="H85">
        <v>2610.6</v>
      </c>
      <c r="I85">
        <v>2836.94</v>
      </c>
      <c r="J85" t="s">
        <v>17</v>
      </c>
      <c r="K85">
        <v>0.19</v>
      </c>
      <c r="L85" t="s">
        <v>31</v>
      </c>
      <c r="M85" t="s">
        <v>19</v>
      </c>
      <c r="N85" t="s">
        <v>41</v>
      </c>
    </row>
    <row r="86" spans="1:14" x14ac:dyDescent="0.35">
      <c r="A86">
        <v>1062</v>
      </c>
      <c r="B86" s="1">
        <v>45247</v>
      </c>
      <c r="C86" t="s">
        <v>33</v>
      </c>
      <c r="D86" t="s">
        <v>15</v>
      </c>
      <c r="E86">
        <v>4790.72</v>
      </c>
      <c r="F86">
        <v>28</v>
      </c>
      <c r="G86" t="s">
        <v>29</v>
      </c>
      <c r="H86">
        <v>2094.88</v>
      </c>
      <c r="I86">
        <v>2168.91</v>
      </c>
      <c r="J86" t="s">
        <v>17</v>
      </c>
      <c r="K86">
        <v>0.08</v>
      </c>
      <c r="L86" t="s">
        <v>18</v>
      </c>
      <c r="M86" t="s">
        <v>22</v>
      </c>
      <c r="N86" t="s">
        <v>53</v>
      </c>
    </row>
    <row r="87" spans="1:14" x14ac:dyDescent="0.35">
      <c r="A87">
        <v>1100</v>
      </c>
      <c r="B87" s="1">
        <v>45245</v>
      </c>
      <c r="C87" t="s">
        <v>38</v>
      </c>
      <c r="D87" t="s">
        <v>34</v>
      </c>
      <c r="E87">
        <v>672.66</v>
      </c>
      <c r="F87">
        <v>2</v>
      </c>
      <c r="G87" t="s">
        <v>16</v>
      </c>
      <c r="H87">
        <v>1036.76</v>
      </c>
      <c r="I87">
        <v>1189.3499999999999</v>
      </c>
      <c r="J87" t="s">
        <v>30</v>
      </c>
      <c r="K87">
        <v>0.27</v>
      </c>
      <c r="L87" t="s">
        <v>27</v>
      </c>
      <c r="M87" t="s">
        <v>19</v>
      </c>
      <c r="N87" t="s">
        <v>48</v>
      </c>
    </row>
    <row r="88" spans="1:14" x14ac:dyDescent="0.35">
      <c r="A88">
        <v>1014</v>
      </c>
      <c r="B88" s="1">
        <v>45027</v>
      </c>
      <c r="C88" t="s">
        <v>42</v>
      </c>
      <c r="D88" t="s">
        <v>25</v>
      </c>
      <c r="E88">
        <v>9582.1200000000008</v>
      </c>
      <c r="F88">
        <v>38</v>
      </c>
      <c r="G88" t="s">
        <v>26</v>
      </c>
      <c r="H88">
        <v>2091.21</v>
      </c>
      <c r="I88">
        <v>2527</v>
      </c>
      <c r="J88" t="s">
        <v>17</v>
      </c>
      <c r="K88">
        <v>0.01</v>
      </c>
      <c r="L88" t="s">
        <v>31</v>
      </c>
      <c r="M88" t="s">
        <v>19</v>
      </c>
      <c r="N88" t="s">
        <v>43</v>
      </c>
    </row>
    <row r="89" spans="1:14" x14ac:dyDescent="0.35">
      <c r="A89">
        <v>1095</v>
      </c>
      <c r="B89" s="1">
        <v>45255</v>
      </c>
      <c r="C89" t="s">
        <v>42</v>
      </c>
      <c r="D89" t="s">
        <v>34</v>
      </c>
      <c r="E89">
        <v>9432.9699999999993</v>
      </c>
      <c r="F89">
        <v>37</v>
      </c>
      <c r="G89" t="s">
        <v>35</v>
      </c>
      <c r="H89">
        <v>407.77</v>
      </c>
      <c r="I89">
        <v>860.95</v>
      </c>
      <c r="J89" t="s">
        <v>30</v>
      </c>
      <c r="K89">
        <v>0.1</v>
      </c>
      <c r="L89" t="s">
        <v>31</v>
      </c>
      <c r="M89" t="s">
        <v>22</v>
      </c>
      <c r="N89" t="s">
        <v>52</v>
      </c>
    </row>
    <row r="90" spans="1:14" x14ac:dyDescent="0.35">
      <c r="A90">
        <v>1048</v>
      </c>
      <c r="B90" s="1">
        <v>45199</v>
      </c>
      <c r="C90" t="s">
        <v>33</v>
      </c>
      <c r="D90" t="s">
        <v>15</v>
      </c>
      <c r="E90">
        <v>7873.38</v>
      </c>
      <c r="F90">
        <v>4</v>
      </c>
      <c r="G90" t="s">
        <v>16</v>
      </c>
      <c r="H90">
        <v>2900.14</v>
      </c>
      <c r="I90">
        <v>2910.5099999999902</v>
      </c>
      <c r="J90" t="s">
        <v>30</v>
      </c>
      <c r="K90">
        <v>0.22</v>
      </c>
      <c r="L90" t="s">
        <v>31</v>
      </c>
      <c r="M90" t="s">
        <v>22</v>
      </c>
      <c r="N90" t="s">
        <v>53</v>
      </c>
    </row>
    <row r="91" spans="1:14" x14ac:dyDescent="0.35">
      <c r="A91">
        <v>1015</v>
      </c>
      <c r="B91" s="1">
        <v>45191</v>
      </c>
      <c r="C91" t="s">
        <v>24</v>
      </c>
      <c r="D91" t="s">
        <v>25</v>
      </c>
      <c r="E91">
        <v>9914.15</v>
      </c>
      <c r="F91">
        <v>22</v>
      </c>
      <c r="G91" t="s">
        <v>35</v>
      </c>
      <c r="H91">
        <v>4275.59</v>
      </c>
      <c r="I91">
        <v>4576.72</v>
      </c>
      <c r="J91" t="s">
        <v>17</v>
      </c>
      <c r="K91">
        <v>0.02</v>
      </c>
      <c r="L91" t="s">
        <v>18</v>
      </c>
      <c r="M91" t="s">
        <v>22</v>
      </c>
      <c r="N91" t="s">
        <v>28</v>
      </c>
    </row>
    <row r="92" spans="1:14" x14ac:dyDescent="0.35">
      <c r="A92">
        <v>1072</v>
      </c>
      <c r="B92" s="1">
        <v>44964</v>
      </c>
      <c r="C92" t="s">
        <v>14</v>
      </c>
      <c r="D92" t="s">
        <v>34</v>
      </c>
      <c r="E92">
        <v>5490.38</v>
      </c>
      <c r="F92">
        <v>26</v>
      </c>
      <c r="G92" t="s">
        <v>26</v>
      </c>
      <c r="H92">
        <v>3640.17</v>
      </c>
      <c r="I92">
        <v>4002.63</v>
      </c>
      <c r="J92" t="s">
        <v>30</v>
      </c>
      <c r="K92">
        <v>0.05</v>
      </c>
      <c r="L92" t="s">
        <v>31</v>
      </c>
      <c r="M92" t="s">
        <v>22</v>
      </c>
      <c r="N92" t="s">
        <v>46</v>
      </c>
    </row>
    <row r="93" spans="1:14" x14ac:dyDescent="0.35">
      <c r="A93">
        <v>1078</v>
      </c>
      <c r="B93" s="1">
        <v>45020</v>
      </c>
      <c r="C93" t="s">
        <v>24</v>
      </c>
      <c r="D93" t="s">
        <v>34</v>
      </c>
      <c r="E93">
        <v>9631.41</v>
      </c>
      <c r="F93">
        <v>49</v>
      </c>
      <c r="G93" t="s">
        <v>16</v>
      </c>
      <c r="H93">
        <v>1833.95</v>
      </c>
      <c r="I93">
        <v>2147.14</v>
      </c>
      <c r="J93" t="s">
        <v>17</v>
      </c>
      <c r="K93">
        <v>0.18</v>
      </c>
      <c r="L93" t="s">
        <v>31</v>
      </c>
      <c r="M93" t="s">
        <v>22</v>
      </c>
      <c r="N93" t="s">
        <v>50</v>
      </c>
    </row>
    <row r="94" spans="1:14" x14ac:dyDescent="0.35">
      <c r="A94">
        <v>1087</v>
      </c>
      <c r="B94" s="1">
        <v>45021</v>
      </c>
      <c r="C94" t="s">
        <v>38</v>
      </c>
      <c r="D94" t="s">
        <v>34</v>
      </c>
      <c r="E94">
        <v>848.49</v>
      </c>
      <c r="F94">
        <v>43</v>
      </c>
      <c r="G94" t="s">
        <v>16</v>
      </c>
      <c r="H94">
        <v>481</v>
      </c>
      <c r="I94">
        <v>531.02</v>
      </c>
      <c r="J94" t="s">
        <v>30</v>
      </c>
      <c r="K94">
        <v>0.17</v>
      </c>
      <c r="L94" t="s">
        <v>18</v>
      </c>
      <c r="M94" t="s">
        <v>19</v>
      </c>
      <c r="N94" t="s">
        <v>48</v>
      </c>
    </row>
    <row r="95" spans="1:14" x14ac:dyDescent="0.35">
      <c r="A95">
        <v>1062</v>
      </c>
      <c r="B95" s="1">
        <v>45231</v>
      </c>
      <c r="C95" t="s">
        <v>14</v>
      </c>
      <c r="D95" t="s">
        <v>34</v>
      </c>
      <c r="E95">
        <v>3720.24</v>
      </c>
      <c r="F95">
        <v>36</v>
      </c>
      <c r="G95" t="s">
        <v>26</v>
      </c>
      <c r="H95">
        <v>1050.6400000000001</v>
      </c>
      <c r="I95">
        <v>1167.33</v>
      </c>
      <c r="J95" t="s">
        <v>30</v>
      </c>
      <c r="K95">
        <v>0.22</v>
      </c>
      <c r="L95" t="s">
        <v>18</v>
      </c>
      <c r="M95" t="s">
        <v>19</v>
      </c>
      <c r="N95" t="s">
        <v>46</v>
      </c>
    </row>
    <row r="96" spans="1:14" x14ac:dyDescent="0.35">
      <c r="A96">
        <v>1040</v>
      </c>
      <c r="B96" s="1">
        <v>44995</v>
      </c>
      <c r="C96" t="s">
        <v>33</v>
      </c>
      <c r="D96" t="s">
        <v>34</v>
      </c>
      <c r="E96">
        <v>2331.27</v>
      </c>
      <c r="F96">
        <v>13</v>
      </c>
      <c r="G96" t="s">
        <v>29</v>
      </c>
      <c r="H96">
        <v>2750.18</v>
      </c>
      <c r="I96">
        <v>2882.85</v>
      </c>
      <c r="J96" t="s">
        <v>17</v>
      </c>
      <c r="K96">
        <v>0.24</v>
      </c>
      <c r="L96" t="s">
        <v>31</v>
      </c>
      <c r="M96" t="s">
        <v>19</v>
      </c>
      <c r="N96" t="s">
        <v>36</v>
      </c>
    </row>
    <row r="97" spans="1:14" x14ac:dyDescent="0.35">
      <c r="A97">
        <v>1085</v>
      </c>
      <c r="B97" s="1">
        <v>45244</v>
      </c>
      <c r="C97" t="s">
        <v>33</v>
      </c>
      <c r="D97" t="s">
        <v>25</v>
      </c>
      <c r="E97">
        <v>2038.75</v>
      </c>
      <c r="F97">
        <v>32</v>
      </c>
      <c r="G97" t="s">
        <v>16</v>
      </c>
      <c r="H97">
        <v>1074.93</v>
      </c>
      <c r="I97">
        <v>1492.48</v>
      </c>
      <c r="J97" t="s">
        <v>17</v>
      </c>
      <c r="K97">
        <v>0.04</v>
      </c>
      <c r="L97" t="s">
        <v>31</v>
      </c>
      <c r="M97" t="s">
        <v>22</v>
      </c>
      <c r="N97" t="s">
        <v>44</v>
      </c>
    </row>
    <row r="98" spans="1:14" x14ac:dyDescent="0.35">
      <c r="A98">
        <v>1080</v>
      </c>
      <c r="B98" s="1">
        <v>45162</v>
      </c>
      <c r="C98" t="s">
        <v>14</v>
      </c>
      <c r="D98" t="s">
        <v>21</v>
      </c>
      <c r="E98">
        <v>1493.95</v>
      </c>
      <c r="F98">
        <v>17</v>
      </c>
      <c r="G98" t="s">
        <v>16</v>
      </c>
      <c r="H98">
        <v>2742.67</v>
      </c>
      <c r="I98">
        <v>2979.64</v>
      </c>
      <c r="J98" t="s">
        <v>17</v>
      </c>
      <c r="K98">
        <v>0.01</v>
      </c>
      <c r="L98" t="s">
        <v>18</v>
      </c>
      <c r="M98" t="s">
        <v>22</v>
      </c>
      <c r="N98" t="s">
        <v>23</v>
      </c>
    </row>
    <row r="99" spans="1:14" x14ac:dyDescent="0.35">
      <c r="A99">
        <v>1082</v>
      </c>
      <c r="B99" s="1">
        <v>45260</v>
      </c>
      <c r="C99" t="s">
        <v>42</v>
      </c>
      <c r="D99" t="s">
        <v>25</v>
      </c>
      <c r="E99">
        <v>6261.9</v>
      </c>
      <c r="F99">
        <v>41</v>
      </c>
      <c r="G99" t="s">
        <v>35</v>
      </c>
      <c r="H99">
        <v>1196.42</v>
      </c>
      <c r="I99">
        <v>1444.97</v>
      </c>
      <c r="J99" t="s">
        <v>17</v>
      </c>
      <c r="K99">
        <v>0.21</v>
      </c>
      <c r="L99" t="s">
        <v>27</v>
      </c>
      <c r="M99" t="s">
        <v>19</v>
      </c>
      <c r="N99" t="s">
        <v>43</v>
      </c>
    </row>
    <row r="100" spans="1:14" x14ac:dyDescent="0.35">
      <c r="A100">
        <v>1053</v>
      </c>
      <c r="B100" s="1">
        <v>45063</v>
      </c>
      <c r="C100" t="s">
        <v>14</v>
      </c>
      <c r="D100" t="s">
        <v>25</v>
      </c>
      <c r="E100">
        <v>7835.09</v>
      </c>
      <c r="F100">
        <v>36</v>
      </c>
      <c r="G100" t="s">
        <v>29</v>
      </c>
      <c r="H100">
        <v>4252.17</v>
      </c>
      <c r="I100">
        <v>4720.2700000000004</v>
      </c>
      <c r="J100" t="s">
        <v>30</v>
      </c>
      <c r="K100">
        <v>0.09</v>
      </c>
      <c r="L100" t="s">
        <v>18</v>
      </c>
      <c r="M100" t="s">
        <v>22</v>
      </c>
      <c r="N100" t="s">
        <v>32</v>
      </c>
    </row>
    <row r="101" spans="1:14" x14ac:dyDescent="0.35">
      <c r="A101">
        <v>1024</v>
      </c>
      <c r="B101" s="1">
        <v>45002</v>
      </c>
      <c r="C101" t="s">
        <v>38</v>
      </c>
      <c r="D101" t="s">
        <v>25</v>
      </c>
      <c r="E101">
        <v>5825.15</v>
      </c>
      <c r="F101">
        <v>46</v>
      </c>
      <c r="G101" t="s">
        <v>35</v>
      </c>
      <c r="H101">
        <v>2016.49</v>
      </c>
      <c r="I101">
        <v>2338.66</v>
      </c>
      <c r="J101" t="s">
        <v>17</v>
      </c>
      <c r="K101">
        <v>0.19</v>
      </c>
      <c r="L101" t="s">
        <v>27</v>
      </c>
      <c r="M101" t="s">
        <v>22</v>
      </c>
      <c r="N101" t="s">
        <v>39</v>
      </c>
    </row>
    <row r="102" spans="1:14" x14ac:dyDescent="0.35">
      <c r="A102">
        <v>1026</v>
      </c>
      <c r="B102" s="1">
        <v>44961</v>
      </c>
      <c r="C102" t="s">
        <v>42</v>
      </c>
      <c r="D102" t="s">
        <v>21</v>
      </c>
      <c r="E102">
        <v>1554.93</v>
      </c>
      <c r="F102">
        <v>19</v>
      </c>
      <c r="G102" t="s">
        <v>35</v>
      </c>
      <c r="H102">
        <v>1265.48</v>
      </c>
      <c r="I102">
        <v>1715.83</v>
      </c>
      <c r="J102" t="s">
        <v>30</v>
      </c>
      <c r="K102">
        <v>0.05</v>
      </c>
      <c r="L102" t="s">
        <v>31</v>
      </c>
      <c r="M102" t="s">
        <v>22</v>
      </c>
      <c r="N102" t="s">
        <v>51</v>
      </c>
    </row>
    <row r="103" spans="1:14" x14ac:dyDescent="0.35">
      <c r="A103">
        <v>1089</v>
      </c>
      <c r="B103" s="1">
        <v>44927</v>
      </c>
      <c r="C103" t="s">
        <v>33</v>
      </c>
      <c r="D103" t="s">
        <v>15</v>
      </c>
      <c r="E103">
        <v>8130.13</v>
      </c>
      <c r="F103">
        <v>35</v>
      </c>
      <c r="G103" t="s">
        <v>29</v>
      </c>
      <c r="H103">
        <v>4071.01</v>
      </c>
      <c r="I103">
        <v>4304.7</v>
      </c>
      <c r="J103" t="s">
        <v>30</v>
      </c>
      <c r="K103">
        <v>0.14000000000000001</v>
      </c>
      <c r="L103" t="s">
        <v>31</v>
      </c>
      <c r="M103" t="s">
        <v>19</v>
      </c>
      <c r="N103" t="s">
        <v>53</v>
      </c>
    </row>
    <row r="104" spans="1:14" x14ac:dyDescent="0.35">
      <c r="A104">
        <v>1060</v>
      </c>
      <c r="B104" s="1">
        <v>45222</v>
      </c>
      <c r="C104" t="s">
        <v>14</v>
      </c>
      <c r="D104" t="s">
        <v>21</v>
      </c>
      <c r="E104">
        <v>6395.95</v>
      </c>
      <c r="F104">
        <v>46</v>
      </c>
      <c r="G104" t="s">
        <v>29</v>
      </c>
      <c r="H104">
        <v>1747.05</v>
      </c>
      <c r="I104">
        <v>1830.27</v>
      </c>
      <c r="J104" t="s">
        <v>30</v>
      </c>
      <c r="K104">
        <v>0.15</v>
      </c>
      <c r="L104" t="s">
        <v>27</v>
      </c>
      <c r="M104" t="s">
        <v>22</v>
      </c>
      <c r="N104" t="s">
        <v>23</v>
      </c>
    </row>
    <row r="105" spans="1:14" x14ac:dyDescent="0.35">
      <c r="A105">
        <v>1041</v>
      </c>
      <c r="B105" s="1">
        <v>45246</v>
      </c>
      <c r="C105" t="s">
        <v>24</v>
      </c>
      <c r="D105" t="s">
        <v>25</v>
      </c>
      <c r="E105">
        <v>3942.84</v>
      </c>
      <c r="F105">
        <v>40</v>
      </c>
      <c r="G105" t="s">
        <v>26</v>
      </c>
      <c r="H105">
        <v>601.86</v>
      </c>
      <c r="I105">
        <v>1067.53</v>
      </c>
      <c r="J105" t="s">
        <v>30</v>
      </c>
      <c r="K105">
        <v>0.18</v>
      </c>
      <c r="L105" t="s">
        <v>18</v>
      </c>
      <c r="M105" t="s">
        <v>19</v>
      </c>
      <c r="N105" t="s">
        <v>28</v>
      </c>
    </row>
    <row r="106" spans="1:14" x14ac:dyDescent="0.35">
      <c r="A106">
        <v>1029</v>
      </c>
      <c r="B106" s="1">
        <v>44986</v>
      </c>
      <c r="C106" t="s">
        <v>24</v>
      </c>
      <c r="D106" t="s">
        <v>34</v>
      </c>
      <c r="E106">
        <v>6773.89</v>
      </c>
      <c r="F106">
        <v>28</v>
      </c>
      <c r="G106" t="s">
        <v>29</v>
      </c>
      <c r="H106">
        <v>2873.53</v>
      </c>
      <c r="I106">
        <v>3108.3</v>
      </c>
      <c r="J106" t="s">
        <v>30</v>
      </c>
      <c r="K106">
        <v>0.15</v>
      </c>
      <c r="L106" t="s">
        <v>31</v>
      </c>
      <c r="M106" t="s">
        <v>22</v>
      </c>
      <c r="N106" t="s">
        <v>50</v>
      </c>
    </row>
    <row r="107" spans="1:14" x14ac:dyDescent="0.35">
      <c r="A107">
        <v>1015</v>
      </c>
      <c r="B107" s="1">
        <v>45246</v>
      </c>
      <c r="C107" t="s">
        <v>38</v>
      </c>
      <c r="D107" t="s">
        <v>34</v>
      </c>
      <c r="E107">
        <v>2673.06</v>
      </c>
      <c r="F107">
        <v>1</v>
      </c>
      <c r="G107" t="s">
        <v>16</v>
      </c>
      <c r="H107">
        <v>2928.74</v>
      </c>
      <c r="I107">
        <v>3027.74</v>
      </c>
      <c r="J107" t="s">
        <v>30</v>
      </c>
      <c r="K107">
        <v>0.15</v>
      </c>
      <c r="L107" t="s">
        <v>27</v>
      </c>
      <c r="M107" t="s">
        <v>22</v>
      </c>
      <c r="N107" t="s">
        <v>48</v>
      </c>
    </row>
    <row r="108" spans="1:14" x14ac:dyDescent="0.35">
      <c r="A108">
        <v>1045</v>
      </c>
      <c r="B108" s="1">
        <v>45275</v>
      </c>
      <c r="C108" t="s">
        <v>24</v>
      </c>
      <c r="D108" t="s">
        <v>25</v>
      </c>
      <c r="E108">
        <v>3517.4</v>
      </c>
      <c r="F108">
        <v>42</v>
      </c>
      <c r="G108" t="s">
        <v>29</v>
      </c>
      <c r="H108">
        <v>3587.74</v>
      </c>
      <c r="I108">
        <v>3745.91</v>
      </c>
      <c r="J108" t="s">
        <v>17</v>
      </c>
      <c r="K108">
        <v>0.1</v>
      </c>
      <c r="L108" t="s">
        <v>18</v>
      </c>
      <c r="M108" t="s">
        <v>19</v>
      </c>
      <c r="N108" t="s">
        <v>28</v>
      </c>
    </row>
    <row r="109" spans="1:14" x14ac:dyDescent="0.35">
      <c r="A109">
        <v>1065</v>
      </c>
      <c r="B109" s="1">
        <v>45254</v>
      </c>
      <c r="C109" t="s">
        <v>14</v>
      </c>
      <c r="D109" t="s">
        <v>34</v>
      </c>
      <c r="E109">
        <v>9183.11</v>
      </c>
      <c r="F109">
        <v>18</v>
      </c>
      <c r="G109" t="s">
        <v>26</v>
      </c>
      <c r="H109">
        <v>1239.0899999999999</v>
      </c>
      <c r="I109">
        <v>1273.98</v>
      </c>
      <c r="J109" t="s">
        <v>30</v>
      </c>
      <c r="K109">
        <v>0.02</v>
      </c>
      <c r="L109" t="s">
        <v>27</v>
      </c>
      <c r="M109" t="s">
        <v>22</v>
      </c>
      <c r="N109" t="s">
        <v>46</v>
      </c>
    </row>
    <row r="110" spans="1:14" x14ac:dyDescent="0.35">
      <c r="A110">
        <v>1089</v>
      </c>
      <c r="B110" s="1">
        <v>45193</v>
      </c>
      <c r="C110" t="s">
        <v>14</v>
      </c>
      <c r="D110" t="s">
        <v>25</v>
      </c>
      <c r="E110">
        <v>2975.99</v>
      </c>
      <c r="F110">
        <v>48</v>
      </c>
      <c r="G110" t="s">
        <v>26</v>
      </c>
      <c r="H110">
        <v>2246.67</v>
      </c>
      <c r="I110">
        <v>2486.14</v>
      </c>
      <c r="J110" t="s">
        <v>30</v>
      </c>
      <c r="K110">
        <v>0.03</v>
      </c>
      <c r="L110" t="s">
        <v>18</v>
      </c>
      <c r="M110" t="s">
        <v>22</v>
      </c>
      <c r="N110" t="s">
        <v>32</v>
      </c>
    </row>
    <row r="111" spans="1:14" x14ac:dyDescent="0.35">
      <c r="A111">
        <v>1071</v>
      </c>
      <c r="B111" s="1">
        <v>45287</v>
      </c>
      <c r="C111" t="s">
        <v>24</v>
      </c>
      <c r="D111" t="s">
        <v>34</v>
      </c>
      <c r="E111">
        <v>4752.88</v>
      </c>
      <c r="F111">
        <v>40</v>
      </c>
      <c r="G111" t="s">
        <v>26</v>
      </c>
      <c r="H111">
        <v>1447.72</v>
      </c>
      <c r="I111">
        <v>1875.75</v>
      </c>
      <c r="J111" t="s">
        <v>30</v>
      </c>
      <c r="K111">
        <v>0.13</v>
      </c>
      <c r="L111" t="s">
        <v>18</v>
      </c>
      <c r="M111" t="s">
        <v>22</v>
      </c>
      <c r="N111" t="s">
        <v>50</v>
      </c>
    </row>
    <row r="112" spans="1:14" x14ac:dyDescent="0.35">
      <c r="A112">
        <v>1009</v>
      </c>
      <c r="B112" s="1">
        <v>45155</v>
      </c>
      <c r="C112" t="s">
        <v>14</v>
      </c>
      <c r="D112" t="s">
        <v>21</v>
      </c>
      <c r="E112">
        <v>8912.4</v>
      </c>
      <c r="F112">
        <v>33</v>
      </c>
      <c r="G112" t="s">
        <v>29</v>
      </c>
      <c r="H112">
        <v>450.72</v>
      </c>
      <c r="I112">
        <v>918.17</v>
      </c>
      <c r="J112" t="s">
        <v>17</v>
      </c>
      <c r="K112">
        <v>0.11</v>
      </c>
      <c r="L112" t="s">
        <v>18</v>
      </c>
      <c r="M112" t="s">
        <v>19</v>
      </c>
      <c r="N112" t="s">
        <v>23</v>
      </c>
    </row>
    <row r="113" spans="1:14" x14ac:dyDescent="0.35">
      <c r="A113">
        <v>1088</v>
      </c>
      <c r="B113" s="1">
        <v>45196</v>
      </c>
      <c r="C113" t="s">
        <v>38</v>
      </c>
      <c r="D113" t="s">
        <v>15</v>
      </c>
      <c r="E113">
        <v>7106.44</v>
      </c>
      <c r="F113">
        <v>12</v>
      </c>
      <c r="G113" t="s">
        <v>29</v>
      </c>
      <c r="H113">
        <v>4389.24</v>
      </c>
      <c r="I113">
        <v>4856.2199999999903</v>
      </c>
      <c r="J113" t="s">
        <v>17</v>
      </c>
      <c r="K113">
        <v>0.15</v>
      </c>
      <c r="L113" t="s">
        <v>18</v>
      </c>
      <c r="M113" t="s">
        <v>22</v>
      </c>
      <c r="N113" t="s">
        <v>40</v>
      </c>
    </row>
    <row r="114" spans="1:14" x14ac:dyDescent="0.35">
      <c r="A114">
        <v>1001</v>
      </c>
      <c r="B114" s="1">
        <v>45242</v>
      </c>
      <c r="C114" t="s">
        <v>42</v>
      </c>
      <c r="D114" t="s">
        <v>15</v>
      </c>
      <c r="E114">
        <v>715.81</v>
      </c>
      <c r="F114">
        <v>8</v>
      </c>
      <c r="G114" t="s">
        <v>35</v>
      </c>
      <c r="H114">
        <v>3657.91</v>
      </c>
      <c r="I114">
        <v>3729.27</v>
      </c>
      <c r="J114" t="s">
        <v>30</v>
      </c>
      <c r="K114">
        <v>0.09</v>
      </c>
      <c r="L114" t="s">
        <v>27</v>
      </c>
      <c r="M114" t="s">
        <v>22</v>
      </c>
      <c r="N114" t="s">
        <v>49</v>
      </c>
    </row>
    <row r="115" spans="1:14" x14ac:dyDescent="0.35">
      <c r="A115">
        <v>1008</v>
      </c>
      <c r="B115" s="1">
        <v>45212</v>
      </c>
      <c r="C115" t="s">
        <v>38</v>
      </c>
      <c r="D115" t="s">
        <v>21</v>
      </c>
      <c r="E115">
        <v>1558.3</v>
      </c>
      <c r="F115">
        <v>24</v>
      </c>
      <c r="G115" t="s">
        <v>35</v>
      </c>
      <c r="H115">
        <v>1542.24</v>
      </c>
      <c r="I115">
        <v>1739.45</v>
      </c>
      <c r="J115" t="s">
        <v>17</v>
      </c>
      <c r="K115">
        <v>0.21</v>
      </c>
      <c r="L115" t="s">
        <v>27</v>
      </c>
      <c r="M115" t="s">
        <v>22</v>
      </c>
      <c r="N115" t="s">
        <v>41</v>
      </c>
    </row>
    <row r="116" spans="1:14" x14ac:dyDescent="0.35">
      <c r="A116">
        <v>1088</v>
      </c>
      <c r="B116" s="1">
        <v>45217</v>
      </c>
      <c r="C116" t="s">
        <v>38</v>
      </c>
      <c r="D116" t="s">
        <v>21</v>
      </c>
      <c r="E116">
        <v>177.63</v>
      </c>
      <c r="F116">
        <v>16</v>
      </c>
      <c r="G116" t="s">
        <v>16</v>
      </c>
      <c r="H116">
        <v>3016.9</v>
      </c>
      <c r="I116">
        <v>3040.73</v>
      </c>
      <c r="J116" t="s">
        <v>30</v>
      </c>
      <c r="K116">
        <v>0.26</v>
      </c>
      <c r="L116" t="s">
        <v>27</v>
      </c>
      <c r="M116" t="s">
        <v>22</v>
      </c>
      <c r="N116" t="s">
        <v>41</v>
      </c>
    </row>
    <row r="117" spans="1:14" x14ac:dyDescent="0.35">
      <c r="A117">
        <v>1063</v>
      </c>
      <c r="B117" s="1">
        <v>45139</v>
      </c>
      <c r="C117" t="s">
        <v>14</v>
      </c>
      <c r="D117" t="s">
        <v>25</v>
      </c>
      <c r="E117">
        <v>6346.13</v>
      </c>
      <c r="F117">
        <v>4</v>
      </c>
      <c r="G117" t="s">
        <v>35</v>
      </c>
      <c r="H117">
        <v>1046.26</v>
      </c>
      <c r="I117">
        <v>1475.29</v>
      </c>
      <c r="J117" t="s">
        <v>17</v>
      </c>
      <c r="K117">
        <v>0.09</v>
      </c>
      <c r="L117" t="s">
        <v>27</v>
      </c>
      <c r="M117" t="s">
        <v>22</v>
      </c>
      <c r="N117" t="s">
        <v>32</v>
      </c>
    </row>
    <row r="118" spans="1:14" x14ac:dyDescent="0.35">
      <c r="A118">
        <v>1011</v>
      </c>
      <c r="B118" s="1">
        <v>45091</v>
      </c>
      <c r="C118" t="s">
        <v>42</v>
      </c>
      <c r="D118" t="s">
        <v>25</v>
      </c>
      <c r="E118">
        <v>4531.97</v>
      </c>
      <c r="F118">
        <v>38</v>
      </c>
      <c r="G118" t="s">
        <v>16</v>
      </c>
      <c r="H118">
        <v>4456.67</v>
      </c>
      <c r="I118">
        <v>4642.46</v>
      </c>
      <c r="J118" t="s">
        <v>30</v>
      </c>
      <c r="K118">
        <v>0.06</v>
      </c>
      <c r="L118" t="s">
        <v>27</v>
      </c>
      <c r="M118" t="s">
        <v>19</v>
      </c>
      <c r="N118" t="s">
        <v>43</v>
      </c>
    </row>
    <row r="119" spans="1:14" x14ac:dyDescent="0.35">
      <c r="A119">
        <v>1081</v>
      </c>
      <c r="B119" s="1">
        <v>44931</v>
      </c>
      <c r="C119" t="s">
        <v>14</v>
      </c>
      <c r="D119" t="s">
        <v>25</v>
      </c>
      <c r="E119">
        <v>1429.32</v>
      </c>
      <c r="F119">
        <v>44</v>
      </c>
      <c r="G119" t="s">
        <v>26</v>
      </c>
      <c r="H119">
        <v>618.79</v>
      </c>
      <c r="I119">
        <v>938.04</v>
      </c>
      <c r="J119" t="s">
        <v>17</v>
      </c>
      <c r="K119">
        <v>0.03</v>
      </c>
      <c r="L119" t="s">
        <v>18</v>
      </c>
      <c r="M119" t="s">
        <v>19</v>
      </c>
      <c r="N119" t="s">
        <v>32</v>
      </c>
    </row>
    <row r="120" spans="1:14" x14ac:dyDescent="0.35">
      <c r="A120">
        <v>1008</v>
      </c>
      <c r="B120" s="1">
        <v>45265</v>
      </c>
      <c r="C120" t="s">
        <v>33</v>
      </c>
      <c r="D120" t="s">
        <v>34</v>
      </c>
      <c r="E120">
        <v>9583.5499999999993</v>
      </c>
      <c r="F120">
        <v>27</v>
      </c>
      <c r="G120" t="s">
        <v>35</v>
      </c>
      <c r="H120">
        <v>68.989999999999995</v>
      </c>
      <c r="I120">
        <v>429.29</v>
      </c>
      <c r="J120" t="s">
        <v>17</v>
      </c>
      <c r="K120">
        <v>0.18</v>
      </c>
      <c r="L120" t="s">
        <v>31</v>
      </c>
      <c r="M120" t="s">
        <v>22</v>
      </c>
      <c r="N120" t="s">
        <v>36</v>
      </c>
    </row>
    <row r="121" spans="1:14" x14ac:dyDescent="0.35">
      <c r="A121">
        <v>1035</v>
      </c>
      <c r="B121" s="1">
        <v>45004</v>
      </c>
      <c r="C121" t="s">
        <v>14</v>
      </c>
      <c r="D121" t="s">
        <v>25</v>
      </c>
      <c r="E121">
        <v>5343.63</v>
      </c>
      <c r="F121">
        <v>9</v>
      </c>
      <c r="G121" t="s">
        <v>29</v>
      </c>
      <c r="H121">
        <v>2534.94</v>
      </c>
      <c r="I121">
        <v>2755.56</v>
      </c>
      <c r="J121" t="s">
        <v>17</v>
      </c>
      <c r="K121">
        <v>0.13</v>
      </c>
      <c r="L121" t="s">
        <v>31</v>
      </c>
      <c r="M121" t="s">
        <v>22</v>
      </c>
      <c r="N121" t="s">
        <v>32</v>
      </c>
    </row>
    <row r="122" spans="1:14" x14ac:dyDescent="0.35">
      <c r="A122">
        <v>1035</v>
      </c>
      <c r="B122" s="1">
        <v>44988</v>
      </c>
      <c r="C122" t="s">
        <v>14</v>
      </c>
      <c r="D122" t="s">
        <v>21</v>
      </c>
      <c r="E122">
        <v>2494.7399999999998</v>
      </c>
      <c r="F122">
        <v>47</v>
      </c>
      <c r="G122" t="s">
        <v>35</v>
      </c>
      <c r="H122">
        <v>2936.48</v>
      </c>
      <c r="I122">
        <v>3096.64</v>
      </c>
      <c r="J122" t="s">
        <v>30</v>
      </c>
      <c r="K122">
        <v>0.06</v>
      </c>
      <c r="L122" t="s">
        <v>27</v>
      </c>
      <c r="M122" t="s">
        <v>19</v>
      </c>
      <c r="N122" t="s">
        <v>23</v>
      </c>
    </row>
    <row r="123" spans="1:14" x14ac:dyDescent="0.35">
      <c r="A123">
        <v>1033</v>
      </c>
      <c r="B123" s="1">
        <v>45058</v>
      </c>
      <c r="C123" t="s">
        <v>14</v>
      </c>
      <c r="D123" t="s">
        <v>15</v>
      </c>
      <c r="E123">
        <v>5055.9799999999996</v>
      </c>
      <c r="F123">
        <v>16</v>
      </c>
      <c r="G123" t="s">
        <v>16</v>
      </c>
      <c r="H123">
        <v>2915.88</v>
      </c>
      <c r="I123">
        <v>3397.36</v>
      </c>
      <c r="J123" t="s">
        <v>30</v>
      </c>
      <c r="K123">
        <v>0.2</v>
      </c>
      <c r="L123" t="s">
        <v>27</v>
      </c>
      <c r="M123" t="s">
        <v>22</v>
      </c>
      <c r="N123" t="s">
        <v>20</v>
      </c>
    </row>
    <row r="124" spans="1:14" x14ac:dyDescent="0.35">
      <c r="A124">
        <v>1005</v>
      </c>
      <c r="B124" s="1">
        <v>45015</v>
      </c>
      <c r="C124" t="s">
        <v>42</v>
      </c>
      <c r="D124" t="s">
        <v>34</v>
      </c>
      <c r="E124">
        <v>6828.24</v>
      </c>
      <c r="F124">
        <v>12</v>
      </c>
      <c r="G124" t="s">
        <v>35</v>
      </c>
      <c r="H124">
        <v>319.83</v>
      </c>
      <c r="I124">
        <v>802.43</v>
      </c>
      <c r="J124" t="s">
        <v>30</v>
      </c>
      <c r="K124">
        <v>0.04</v>
      </c>
      <c r="L124" t="s">
        <v>31</v>
      </c>
      <c r="M124" t="s">
        <v>22</v>
      </c>
      <c r="N124" t="s">
        <v>52</v>
      </c>
    </row>
    <row r="125" spans="1:14" x14ac:dyDescent="0.35">
      <c r="A125">
        <v>1041</v>
      </c>
      <c r="B125" s="1">
        <v>45163</v>
      </c>
      <c r="C125" t="s">
        <v>14</v>
      </c>
      <c r="D125" t="s">
        <v>25</v>
      </c>
      <c r="E125">
        <v>854.77</v>
      </c>
      <c r="F125">
        <v>31</v>
      </c>
      <c r="G125" t="s">
        <v>26</v>
      </c>
      <c r="H125">
        <v>1604.52</v>
      </c>
      <c r="I125">
        <v>1756.34</v>
      </c>
      <c r="J125" t="s">
        <v>17</v>
      </c>
      <c r="K125">
        <v>0.17</v>
      </c>
      <c r="L125" t="s">
        <v>18</v>
      </c>
      <c r="M125" t="s">
        <v>22</v>
      </c>
      <c r="N125" t="s">
        <v>32</v>
      </c>
    </row>
    <row r="126" spans="1:14" x14ac:dyDescent="0.35">
      <c r="A126">
        <v>1028</v>
      </c>
      <c r="B126" s="1">
        <v>44968</v>
      </c>
      <c r="C126" t="s">
        <v>42</v>
      </c>
      <c r="D126" t="s">
        <v>34</v>
      </c>
      <c r="E126">
        <v>2819.57</v>
      </c>
      <c r="F126">
        <v>24</v>
      </c>
      <c r="G126" t="s">
        <v>29</v>
      </c>
      <c r="H126">
        <v>2521.0300000000002</v>
      </c>
      <c r="I126">
        <v>2766.05</v>
      </c>
      <c r="J126" t="s">
        <v>17</v>
      </c>
      <c r="K126">
        <v>0.16</v>
      </c>
      <c r="L126" t="s">
        <v>27</v>
      </c>
      <c r="M126" t="s">
        <v>22</v>
      </c>
      <c r="N126" t="s">
        <v>52</v>
      </c>
    </row>
    <row r="127" spans="1:14" x14ac:dyDescent="0.35">
      <c r="A127">
        <v>1007</v>
      </c>
      <c r="B127" s="1">
        <v>45015</v>
      </c>
      <c r="C127" t="s">
        <v>24</v>
      </c>
      <c r="D127" t="s">
        <v>34</v>
      </c>
      <c r="E127">
        <v>8088.96</v>
      </c>
      <c r="F127">
        <v>14</v>
      </c>
      <c r="G127" t="s">
        <v>16</v>
      </c>
      <c r="H127">
        <v>1122.07</v>
      </c>
      <c r="I127">
        <v>1608.76</v>
      </c>
      <c r="J127" t="s">
        <v>30</v>
      </c>
      <c r="K127">
        <v>0.22</v>
      </c>
      <c r="L127" t="s">
        <v>18</v>
      </c>
      <c r="M127" t="s">
        <v>22</v>
      </c>
      <c r="N127" t="s">
        <v>50</v>
      </c>
    </row>
    <row r="128" spans="1:14" x14ac:dyDescent="0.35">
      <c r="A128">
        <v>1073</v>
      </c>
      <c r="B128" s="1">
        <v>45222</v>
      </c>
      <c r="C128" t="s">
        <v>33</v>
      </c>
      <c r="D128" t="s">
        <v>25</v>
      </c>
      <c r="E128">
        <v>4650.68</v>
      </c>
      <c r="F128">
        <v>45</v>
      </c>
      <c r="G128" t="s">
        <v>29</v>
      </c>
      <c r="H128">
        <v>4369.5</v>
      </c>
      <c r="I128">
        <v>4381.8900000000003</v>
      </c>
      <c r="J128" t="s">
        <v>17</v>
      </c>
      <c r="K128">
        <v>0.02</v>
      </c>
      <c r="L128" t="s">
        <v>31</v>
      </c>
      <c r="M128" t="s">
        <v>22</v>
      </c>
      <c r="N128" t="s">
        <v>44</v>
      </c>
    </row>
    <row r="129" spans="1:14" x14ac:dyDescent="0.35">
      <c r="A129">
        <v>1072</v>
      </c>
      <c r="B129" s="1">
        <v>45254</v>
      </c>
      <c r="C129" t="s">
        <v>42</v>
      </c>
      <c r="D129" t="s">
        <v>34</v>
      </c>
      <c r="E129">
        <v>5511.11</v>
      </c>
      <c r="F129">
        <v>25</v>
      </c>
      <c r="G129" t="s">
        <v>29</v>
      </c>
      <c r="H129">
        <v>481.19</v>
      </c>
      <c r="I129">
        <v>693.4</v>
      </c>
      <c r="J129" t="s">
        <v>30</v>
      </c>
      <c r="K129">
        <v>0.27</v>
      </c>
      <c r="L129" t="s">
        <v>31</v>
      </c>
      <c r="M129" t="s">
        <v>22</v>
      </c>
      <c r="N129" t="s">
        <v>52</v>
      </c>
    </row>
    <row r="130" spans="1:14" x14ac:dyDescent="0.35">
      <c r="A130">
        <v>1012</v>
      </c>
      <c r="B130" s="1">
        <v>45221</v>
      </c>
      <c r="C130" t="s">
        <v>24</v>
      </c>
      <c r="D130" t="s">
        <v>15</v>
      </c>
      <c r="E130">
        <v>4384.88</v>
      </c>
      <c r="F130">
        <v>34</v>
      </c>
      <c r="G130" t="s">
        <v>16</v>
      </c>
      <c r="H130">
        <v>2462.5500000000002</v>
      </c>
      <c r="I130">
        <v>2521.77</v>
      </c>
      <c r="J130" t="s">
        <v>30</v>
      </c>
      <c r="K130">
        <v>0.21</v>
      </c>
      <c r="L130" t="s">
        <v>27</v>
      </c>
      <c r="M130" t="s">
        <v>22</v>
      </c>
      <c r="N130" t="s">
        <v>45</v>
      </c>
    </row>
    <row r="131" spans="1:14" x14ac:dyDescent="0.35">
      <c r="A131">
        <v>1034</v>
      </c>
      <c r="B131" s="1">
        <v>45030</v>
      </c>
      <c r="C131" t="s">
        <v>42</v>
      </c>
      <c r="D131" t="s">
        <v>21</v>
      </c>
      <c r="E131">
        <v>534.61</v>
      </c>
      <c r="F131">
        <v>3</v>
      </c>
      <c r="G131" t="s">
        <v>29</v>
      </c>
      <c r="H131">
        <v>3472.51</v>
      </c>
      <c r="I131">
        <v>3732</v>
      </c>
      <c r="J131" t="s">
        <v>30</v>
      </c>
      <c r="K131">
        <v>0.06</v>
      </c>
      <c r="L131" t="s">
        <v>18</v>
      </c>
      <c r="M131" t="s">
        <v>19</v>
      </c>
      <c r="N131" t="s">
        <v>51</v>
      </c>
    </row>
    <row r="132" spans="1:14" x14ac:dyDescent="0.35">
      <c r="A132">
        <v>1033</v>
      </c>
      <c r="B132" s="1">
        <v>44940</v>
      </c>
      <c r="C132" t="s">
        <v>42</v>
      </c>
      <c r="D132" t="s">
        <v>21</v>
      </c>
      <c r="E132">
        <v>1740.92</v>
      </c>
      <c r="F132">
        <v>24</v>
      </c>
      <c r="G132" t="s">
        <v>29</v>
      </c>
      <c r="H132">
        <v>1345.67</v>
      </c>
      <c r="I132">
        <v>1367.76</v>
      </c>
      <c r="J132" t="s">
        <v>30</v>
      </c>
      <c r="K132">
        <v>0.06</v>
      </c>
      <c r="L132" t="s">
        <v>27</v>
      </c>
      <c r="M132" t="s">
        <v>19</v>
      </c>
      <c r="N132" t="s">
        <v>51</v>
      </c>
    </row>
    <row r="133" spans="1:14" x14ac:dyDescent="0.35">
      <c r="A133">
        <v>1048</v>
      </c>
      <c r="B133" s="1">
        <v>45214</v>
      </c>
      <c r="C133" t="s">
        <v>33</v>
      </c>
      <c r="D133" t="s">
        <v>15</v>
      </c>
      <c r="E133">
        <v>4510.8599999999997</v>
      </c>
      <c r="F133">
        <v>42</v>
      </c>
      <c r="G133" t="s">
        <v>35</v>
      </c>
      <c r="H133">
        <v>3139.99</v>
      </c>
      <c r="I133">
        <v>3349.37</v>
      </c>
      <c r="J133" t="s">
        <v>17</v>
      </c>
      <c r="K133">
        <v>0.13</v>
      </c>
      <c r="L133" t="s">
        <v>31</v>
      </c>
      <c r="M133" t="s">
        <v>22</v>
      </c>
      <c r="N133" t="s">
        <v>53</v>
      </c>
    </row>
    <row r="134" spans="1:14" x14ac:dyDescent="0.35">
      <c r="A134">
        <v>1023</v>
      </c>
      <c r="B134" s="1">
        <v>45105</v>
      </c>
      <c r="C134" t="s">
        <v>38</v>
      </c>
      <c r="D134" t="s">
        <v>34</v>
      </c>
      <c r="E134">
        <v>2170.94</v>
      </c>
      <c r="F134">
        <v>9</v>
      </c>
      <c r="G134" t="s">
        <v>29</v>
      </c>
      <c r="H134">
        <v>4155.46</v>
      </c>
      <c r="I134">
        <v>4273.6000000000004</v>
      </c>
      <c r="J134" t="s">
        <v>17</v>
      </c>
      <c r="K134">
        <v>0.25</v>
      </c>
      <c r="L134" t="s">
        <v>18</v>
      </c>
      <c r="M134" t="s">
        <v>22</v>
      </c>
      <c r="N134" t="s">
        <v>48</v>
      </c>
    </row>
    <row r="135" spans="1:14" x14ac:dyDescent="0.35">
      <c r="A135">
        <v>1062</v>
      </c>
      <c r="B135" s="1">
        <v>45051</v>
      </c>
      <c r="C135" t="s">
        <v>38</v>
      </c>
      <c r="D135" t="s">
        <v>25</v>
      </c>
      <c r="E135">
        <v>594.79</v>
      </c>
      <c r="F135">
        <v>26</v>
      </c>
      <c r="G135" t="s">
        <v>29</v>
      </c>
      <c r="H135">
        <v>992.17</v>
      </c>
      <c r="I135">
        <v>1263.49</v>
      </c>
      <c r="J135" t="s">
        <v>17</v>
      </c>
      <c r="K135">
        <v>0.25</v>
      </c>
      <c r="L135" t="s">
        <v>27</v>
      </c>
      <c r="M135" t="s">
        <v>22</v>
      </c>
      <c r="N135" t="s">
        <v>39</v>
      </c>
    </row>
    <row r="136" spans="1:14" x14ac:dyDescent="0.35">
      <c r="A136">
        <v>1088</v>
      </c>
      <c r="B136" s="1">
        <v>45279</v>
      </c>
      <c r="C136" t="s">
        <v>42</v>
      </c>
      <c r="D136" t="s">
        <v>34</v>
      </c>
      <c r="E136">
        <v>8452.1299999999992</v>
      </c>
      <c r="F136">
        <v>20</v>
      </c>
      <c r="G136" t="s">
        <v>29</v>
      </c>
      <c r="H136">
        <v>4590.24</v>
      </c>
      <c r="I136">
        <v>5088.28</v>
      </c>
      <c r="J136" t="s">
        <v>30</v>
      </c>
      <c r="K136">
        <v>0.16</v>
      </c>
      <c r="L136" t="s">
        <v>27</v>
      </c>
      <c r="M136" t="s">
        <v>22</v>
      </c>
      <c r="N136" t="s">
        <v>52</v>
      </c>
    </row>
    <row r="137" spans="1:14" x14ac:dyDescent="0.35">
      <c r="A137">
        <v>1037</v>
      </c>
      <c r="B137" s="1">
        <v>44949</v>
      </c>
      <c r="C137" t="s">
        <v>14</v>
      </c>
      <c r="D137" t="s">
        <v>15</v>
      </c>
      <c r="E137">
        <v>9813.81</v>
      </c>
      <c r="F137">
        <v>40</v>
      </c>
      <c r="G137" t="s">
        <v>29</v>
      </c>
      <c r="H137">
        <v>2790.11</v>
      </c>
      <c r="I137">
        <v>3192.37</v>
      </c>
      <c r="J137" t="s">
        <v>17</v>
      </c>
      <c r="K137">
        <v>0.26</v>
      </c>
      <c r="L137" t="s">
        <v>27</v>
      </c>
      <c r="M137" t="s">
        <v>19</v>
      </c>
      <c r="N137" t="s">
        <v>20</v>
      </c>
    </row>
    <row r="138" spans="1:14" x14ac:dyDescent="0.35">
      <c r="A138">
        <v>1099</v>
      </c>
      <c r="B138" s="1">
        <v>44989</v>
      </c>
      <c r="C138" t="s">
        <v>24</v>
      </c>
      <c r="D138" t="s">
        <v>34</v>
      </c>
      <c r="E138">
        <v>7952.11</v>
      </c>
      <c r="F138">
        <v>10</v>
      </c>
      <c r="G138" t="s">
        <v>16</v>
      </c>
      <c r="H138">
        <v>1531.2</v>
      </c>
      <c r="I138">
        <v>1955.56</v>
      </c>
      <c r="J138" t="s">
        <v>30</v>
      </c>
      <c r="K138">
        <v>0</v>
      </c>
      <c r="L138" t="s">
        <v>31</v>
      </c>
      <c r="M138" t="s">
        <v>19</v>
      </c>
      <c r="N138" t="s">
        <v>50</v>
      </c>
    </row>
    <row r="139" spans="1:14" x14ac:dyDescent="0.35">
      <c r="A139">
        <v>1044</v>
      </c>
      <c r="B139" s="1">
        <v>45069</v>
      </c>
      <c r="C139" t="s">
        <v>14</v>
      </c>
      <c r="D139" t="s">
        <v>21</v>
      </c>
      <c r="E139">
        <v>8552.4699999999993</v>
      </c>
      <c r="F139">
        <v>19</v>
      </c>
      <c r="G139" t="s">
        <v>26</v>
      </c>
      <c r="H139">
        <v>2182.75</v>
      </c>
      <c r="I139">
        <v>2504.0299999999902</v>
      </c>
      <c r="J139" t="s">
        <v>30</v>
      </c>
      <c r="K139">
        <v>0.01</v>
      </c>
      <c r="L139" t="s">
        <v>27</v>
      </c>
      <c r="M139" t="s">
        <v>19</v>
      </c>
      <c r="N139" t="s">
        <v>23</v>
      </c>
    </row>
    <row r="140" spans="1:14" x14ac:dyDescent="0.35">
      <c r="A140">
        <v>1086</v>
      </c>
      <c r="B140" s="1">
        <v>45079</v>
      </c>
      <c r="C140" t="s">
        <v>14</v>
      </c>
      <c r="D140" t="s">
        <v>34</v>
      </c>
      <c r="E140">
        <v>2495.5700000000002</v>
      </c>
      <c r="F140">
        <v>3</v>
      </c>
      <c r="G140" t="s">
        <v>35</v>
      </c>
      <c r="H140">
        <v>1595.35</v>
      </c>
      <c r="I140">
        <v>1625.70999999999</v>
      </c>
      <c r="J140" t="s">
        <v>30</v>
      </c>
      <c r="K140">
        <v>0.27</v>
      </c>
      <c r="L140" t="s">
        <v>18</v>
      </c>
      <c r="M140" t="s">
        <v>19</v>
      </c>
      <c r="N140" t="s">
        <v>46</v>
      </c>
    </row>
    <row r="141" spans="1:14" x14ac:dyDescent="0.35">
      <c r="A141">
        <v>1091</v>
      </c>
      <c r="B141" s="1">
        <v>45071</v>
      </c>
      <c r="C141" t="s">
        <v>42</v>
      </c>
      <c r="D141" t="s">
        <v>15</v>
      </c>
      <c r="E141">
        <v>9610.2099999999991</v>
      </c>
      <c r="F141">
        <v>24</v>
      </c>
      <c r="G141" t="s">
        <v>29</v>
      </c>
      <c r="H141">
        <v>3639.3</v>
      </c>
      <c r="I141">
        <v>3750.63</v>
      </c>
      <c r="J141" t="s">
        <v>30</v>
      </c>
      <c r="K141">
        <v>0.23</v>
      </c>
      <c r="L141" t="s">
        <v>27</v>
      </c>
      <c r="M141" t="s">
        <v>22</v>
      </c>
      <c r="N141" t="s">
        <v>49</v>
      </c>
    </row>
    <row r="142" spans="1:14" x14ac:dyDescent="0.35">
      <c r="A142">
        <v>1035</v>
      </c>
      <c r="B142" s="1">
        <v>45151</v>
      </c>
      <c r="C142" t="s">
        <v>42</v>
      </c>
      <c r="D142" t="s">
        <v>21</v>
      </c>
      <c r="E142">
        <v>2049.56</v>
      </c>
      <c r="F142">
        <v>5</v>
      </c>
      <c r="G142" t="s">
        <v>29</v>
      </c>
      <c r="H142">
        <v>3991.69</v>
      </c>
      <c r="I142">
        <v>4454.97</v>
      </c>
      <c r="J142" t="s">
        <v>30</v>
      </c>
      <c r="K142">
        <v>0.14000000000000001</v>
      </c>
      <c r="L142" t="s">
        <v>31</v>
      </c>
      <c r="M142" t="s">
        <v>22</v>
      </c>
      <c r="N142" t="s">
        <v>51</v>
      </c>
    </row>
    <row r="143" spans="1:14" x14ac:dyDescent="0.35">
      <c r="A143">
        <v>1065</v>
      </c>
      <c r="B143" s="1">
        <v>45235</v>
      </c>
      <c r="C143" t="s">
        <v>42</v>
      </c>
      <c r="D143" t="s">
        <v>34</v>
      </c>
      <c r="E143">
        <v>9519.16</v>
      </c>
      <c r="F143">
        <v>3</v>
      </c>
      <c r="G143" t="s">
        <v>16</v>
      </c>
      <c r="H143">
        <v>4173.04</v>
      </c>
      <c r="I143">
        <v>4362.4399999999996</v>
      </c>
      <c r="J143" t="s">
        <v>30</v>
      </c>
      <c r="K143">
        <v>0.23</v>
      </c>
      <c r="L143" t="s">
        <v>27</v>
      </c>
      <c r="M143" t="s">
        <v>22</v>
      </c>
      <c r="N143" t="s">
        <v>52</v>
      </c>
    </row>
    <row r="144" spans="1:14" x14ac:dyDescent="0.35">
      <c r="A144">
        <v>1099</v>
      </c>
      <c r="B144" s="1">
        <v>45030</v>
      </c>
      <c r="C144" t="s">
        <v>42</v>
      </c>
      <c r="D144" t="s">
        <v>34</v>
      </c>
      <c r="E144">
        <v>9948.7099999999991</v>
      </c>
      <c r="F144">
        <v>27</v>
      </c>
      <c r="G144" t="s">
        <v>26</v>
      </c>
      <c r="H144">
        <v>4929.55</v>
      </c>
      <c r="I144">
        <v>4990.33</v>
      </c>
      <c r="J144" t="s">
        <v>17</v>
      </c>
      <c r="K144">
        <v>0.28999999999999998</v>
      </c>
      <c r="L144" t="s">
        <v>31</v>
      </c>
      <c r="M144" t="s">
        <v>19</v>
      </c>
      <c r="N144" t="s">
        <v>52</v>
      </c>
    </row>
    <row r="145" spans="1:14" x14ac:dyDescent="0.35">
      <c r="A145">
        <v>1047</v>
      </c>
      <c r="B145" s="1">
        <v>45030</v>
      </c>
      <c r="C145" t="s">
        <v>38</v>
      </c>
      <c r="D145" t="s">
        <v>21</v>
      </c>
      <c r="E145">
        <v>7146.06</v>
      </c>
      <c r="F145">
        <v>16</v>
      </c>
      <c r="G145" t="s">
        <v>29</v>
      </c>
      <c r="H145">
        <v>3966.86</v>
      </c>
      <c r="I145">
        <v>4321.04</v>
      </c>
      <c r="J145" t="s">
        <v>17</v>
      </c>
      <c r="K145">
        <v>0.23</v>
      </c>
      <c r="L145" t="s">
        <v>31</v>
      </c>
      <c r="M145" t="s">
        <v>22</v>
      </c>
      <c r="N145" t="s">
        <v>41</v>
      </c>
    </row>
    <row r="146" spans="1:14" x14ac:dyDescent="0.35">
      <c r="A146">
        <v>1078</v>
      </c>
      <c r="B146" s="1">
        <v>44965</v>
      </c>
      <c r="C146" t="s">
        <v>42</v>
      </c>
      <c r="D146" t="s">
        <v>25</v>
      </c>
      <c r="E146">
        <v>9813.32</v>
      </c>
      <c r="F146">
        <v>49</v>
      </c>
      <c r="G146" t="s">
        <v>16</v>
      </c>
      <c r="H146">
        <v>3026.85</v>
      </c>
      <c r="I146">
        <v>3183.58</v>
      </c>
      <c r="J146" t="s">
        <v>17</v>
      </c>
      <c r="K146">
        <v>0.25</v>
      </c>
      <c r="L146" t="s">
        <v>18</v>
      </c>
      <c r="M146" t="s">
        <v>22</v>
      </c>
      <c r="N146" t="s">
        <v>43</v>
      </c>
    </row>
    <row r="147" spans="1:14" x14ac:dyDescent="0.35">
      <c r="A147">
        <v>1003</v>
      </c>
      <c r="B147" s="1">
        <v>45124</v>
      </c>
      <c r="C147" t="s">
        <v>38</v>
      </c>
      <c r="D147" t="s">
        <v>21</v>
      </c>
      <c r="E147">
        <v>5738.44</v>
      </c>
      <c r="F147">
        <v>15</v>
      </c>
      <c r="G147" t="s">
        <v>35</v>
      </c>
      <c r="H147">
        <v>1729.14</v>
      </c>
      <c r="I147">
        <v>1870.88</v>
      </c>
      <c r="J147" t="s">
        <v>17</v>
      </c>
      <c r="K147">
        <v>0.23</v>
      </c>
      <c r="L147" t="s">
        <v>18</v>
      </c>
      <c r="M147" t="s">
        <v>19</v>
      </c>
      <c r="N147" t="s">
        <v>41</v>
      </c>
    </row>
    <row r="148" spans="1:14" x14ac:dyDescent="0.35">
      <c r="A148">
        <v>1001</v>
      </c>
      <c r="B148" s="1">
        <v>45060</v>
      </c>
      <c r="C148" t="s">
        <v>38</v>
      </c>
      <c r="D148" t="s">
        <v>25</v>
      </c>
      <c r="E148">
        <v>2669.46</v>
      </c>
      <c r="F148">
        <v>35</v>
      </c>
      <c r="G148" t="s">
        <v>35</v>
      </c>
      <c r="H148">
        <v>2745.75</v>
      </c>
      <c r="I148">
        <v>3244.76</v>
      </c>
      <c r="J148" t="s">
        <v>30</v>
      </c>
      <c r="K148">
        <v>0.05</v>
      </c>
      <c r="L148" t="s">
        <v>27</v>
      </c>
      <c r="M148" t="s">
        <v>19</v>
      </c>
      <c r="N148" t="s">
        <v>39</v>
      </c>
    </row>
    <row r="149" spans="1:14" x14ac:dyDescent="0.35">
      <c r="A149">
        <v>1005</v>
      </c>
      <c r="B149" s="1">
        <v>44993</v>
      </c>
      <c r="C149" t="s">
        <v>42</v>
      </c>
      <c r="D149" t="s">
        <v>15</v>
      </c>
      <c r="E149">
        <v>4426.26</v>
      </c>
      <c r="F149">
        <v>12</v>
      </c>
      <c r="G149" t="s">
        <v>29</v>
      </c>
      <c r="H149">
        <v>253.29</v>
      </c>
      <c r="I149">
        <v>683.78</v>
      </c>
      <c r="J149" t="s">
        <v>30</v>
      </c>
      <c r="K149">
        <v>0.25</v>
      </c>
      <c r="L149" t="s">
        <v>31</v>
      </c>
      <c r="M149" t="s">
        <v>19</v>
      </c>
      <c r="N149" t="s">
        <v>49</v>
      </c>
    </row>
    <row r="150" spans="1:14" x14ac:dyDescent="0.35">
      <c r="A150">
        <v>1090</v>
      </c>
      <c r="B150" s="1">
        <v>45105</v>
      </c>
      <c r="C150" t="s">
        <v>33</v>
      </c>
      <c r="D150" t="s">
        <v>15</v>
      </c>
      <c r="E150">
        <v>5976.25</v>
      </c>
      <c r="F150">
        <v>41</v>
      </c>
      <c r="G150" t="s">
        <v>29</v>
      </c>
      <c r="H150">
        <v>3736.88</v>
      </c>
      <c r="I150">
        <v>3946.77</v>
      </c>
      <c r="J150" t="s">
        <v>17</v>
      </c>
      <c r="K150">
        <v>0.06</v>
      </c>
      <c r="L150" t="s">
        <v>31</v>
      </c>
      <c r="M150" t="s">
        <v>19</v>
      </c>
      <c r="N150" t="s">
        <v>53</v>
      </c>
    </row>
    <row r="151" spans="1:14" x14ac:dyDescent="0.35">
      <c r="A151">
        <v>1014</v>
      </c>
      <c r="B151" s="1">
        <v>44968</v>
      </c>
      <c r="C151" t="s">
        <v>24</v>
      </c>
      <c r="D151" t="s">
        <v>21</v>
      </c>
      <c r="E151">
        <v>823.51</v>
      </c>
      <c r="F151">
        <v>44</v>
      </c>
      <c r="G151" t="s">
        <v>26</v>
      </c>
      <c r="H151">
        <v>2257.48</v>
      </c>
      <c r="I151">
        <v>2747.81</v>
      </c>
      <c r="J151" t="s">
        <v>17</v>
      </c>
      <c r="K151">
        <v>0.27</v>
      </c>
      <c r="L151" t="s">
        <v>18</v>
      </c>
      <c r="M151" t="s">
        <v>19</v>
      </c>
      <c r="N151" t="s">
        <v>47</v>
      </c>
    </row>
    <row r="152" spans="1:14" x14ac:dyDescent="0.35">
      <c r="A152">
        <v>1027</v>
      </c>
      <c r="B152" s="1">
        <v>44941</v>
      </c>
      <c r="C152" t="s">
        <v>14</v>
      </c>
      <c r="D152" t="s">
        <v>21</v>
      </c>
      <c r="E152">
        <v>6261.2</v>
      </c>
      <c r="F152">
        <v>26</v>
      </c>
      <c r="G152" t="s">
        <v>26</v>
      </c>
      <c r="H152">
        <v>149.11000000000001</v>
      </c>
      <c r="I152">
        <v>477.67</v>
      </c>
      <c r="J152" t="s">
        <v>17</v>
      </c>
      <c r="K152">
        <v>0.14000000000000001</v>
      </c>
      <c r="L152" t="s">
        <v>18</v>
      </c>
      <c r="M152" t="s">
        <v>22</v>
      </c>
      <c r="N152" t="s">
        <v>23</v>
      </c>
    </row>
    <row r="153" spans="1:14" x14ac:dyDescent="0.35">
      <c r="A153">
        <v>1009</v>
      </c>
      <c r="B153" s="1">
        <v>45037</v>
      </c>
      <c r="C153" t="s">
        <v>38</v>
      </c>
      <c r="D153" t="s">
        <v>15</v>
      </c>
      <c r="E153">
        <v>9813.66</v>
      </c>
      <c r="F153">
        <v>47</v>
      </c>
      <c r="G153" t="s">
        <v>29</v>
      </c>
      <c r="H153">
        <v>359.41</v>
      </c>
      <c r="I153">
        <v>733</v>
      </c>
      <c r="J153" t="s">
        <v>17</v>
      </c>
      <c r="K153">
        <v>0.2</v>
      </c>
      <c r="L153" t="s">
        <v>27</v>
      </c>
      <c r="M153" t="s">
        <v>22</v>
      </c>
      <c r="N153" t="s">
        <v>40</v>
      </c>
    </row>
    <row r="154" spans="1:14" x14ac:dyDescent="0.35">
      <c r="A154">
        <v>1079</v>
      </c>
      <c r="B154" s="1">
        <v>45083</v>
      </c>
      <c r="C154" t="s">
        <v>24</v>
      </c>
      <c r="D154" t="s">
        <v>25</v>
      </c>
      <c r="E154">
        <v>1982.07</v>
      </c>
      <c r="F154">
        <v>34</v>
      </c>
      <c r="G154" t="s">
        <v>16</v>
      </c>
      <c r="H154">
        <v>1967.96</v>
      </c>
      <c r="I154">
        <v>1993.4</v>
      </c>
      <c r="J154" t="s">
        <v>17</v>
      </c>
      <c r="K154">
        <v>0.15</v>
      </c>
      <c r="L154" t="s">
        <v>31</v>
      </c>
      <c r="M154" t="s">
        <v>19</v>
      </c>
      <c r="N154" t="s">
        <v>28</v>
      </c>
    </row>
    <row r="155" spans="1:14" x14ac:dyDescent="0.35">
      <c r="A155">
        <v>1015</v>
      </c>
      <c r="B155" s="1">
        <v>45215</v>
      </c>
      <c r="C155" t="s">
        <v>33</v>
      </c>
      <c r="D155" t="s">
        <v>15</v>
      </c>
      <c r="E155">
        <v>7946.69</v>
      </c>
      <c r="F155">
        <v>23</v>
      </c>
      <c r="G155" t="s">
        <v>26</v>
      </c>
      <c r="H155">
        <v>2937.94</v>
      </c>
      <c r="I155">
        <v>3007.53</v>
      </c>
      <c r="J155" t="s">
        <v>17</v>
      </c>
      <c r="K155">
        <v>0.03</v>
      </c>
      <c r="L155" t="s">
        <v>18</v>
      </c>
      <c r="M155" t="s">
        <v>22</v>
      </c>
      <c r="N155" t="s">
        <v>53</v>
      </c>
    </row>
    <row r="156" spans="1:14" x14ac:dyDescent="0.35">
      <c r="A156">
        <v>1090</v>
      </c>
      <c r="B156" s="1">
        <v>45157</v>
      </c>
      <c r="C156" t="s">
        <v>14</v>
      </c>
      <c r="D156" t="s">
        <v>21</v>
      </c>
      <c r="E156">
        <v>9088.2000000000007</v>
      </c>
      <c r="F156">
        <v>31</v>
      </c>
      <c r="G156" t="s">
        <v>29</v>
      </c>
      <c r="H156">
        <v>2347.81</v>
      </c>
      <c r="I156">
        <v>2668.02</v>
      </c>
      <c r="J156" t="s">
        <v>17</v>
      </c>
      <c r="K156">
        <v>0.09</v>
      </c>
      <c r="L156" t="s">
        <v>27</v>
      </c>
      <c r="M156" t="s">
        <v>22</v>
      </c>
      <c r="N156" t="s">
        <v>23</v>
      </c>
    </row>
    <row r="157" spans="1:14" x14ac:dyDescent="0.35">
      <c r="A157">
        <v>1042</v>
      </c>
      <c r="B157" s="1">
        <v>45083</v>
      </c>
      <c r="C157" t="s">
        <v>14</v>
      </c>
      <c r="D157" t="s">
        <v>15</v>
      </c>
      <c r="E157">
        <v>9442.65</v>
      </c>
      <c r="F157">
        <v>20</v>
      </c>
      <c r="G157" t="s">
        <v>26</v>
      </c>
      <c r="H157">
        <v>3115.06</v>
      </c>
      <c r="I157">
        <v>3565.58</v>
      </c>
      <c r="J157" t="s">
        <v>17</v>
      </c>
      <c r="K157">
        <v>0.3</v>
      </c>
      <c r="L157" t="s">
        <v>31</v>
      </c>
      <c r="M157" t="s">
        <v>22</v>
      </c>
      <c r="N157" t="s">
        <v>20</v>
      </c>
    </row>
    <row r="158" spans="1:14" x14ac:dyDescent="0.35">
      <c r="A158">
        <v>1077</v>
      </c>
      <c r="B158" s="1">
        <v>44964</v>
      </c>
      <c r="C158" t="s">
        <v>38</v>
      </c>
      <c r="D158" t="s">
        <v>21</v>
      </c>
      <c r="E158">
        <v>9605.34</v>
      </c>
      <c r="F158">
        <v>12</v>
      </c>
      <c r="G158" t="s">
        <v>29</v>
      </c>
      <c r="H158">
        <v>2427.46</v>
      </c>
      <c r="I158">
        <v>2743.09</v>
      </c>
      <c r="J158" t="s">
        <v>30</v>
      </c>
      <c r="K158">
        <v>0.28999999999999998</v>
      </c>
      <c r="L158" t="s">
        <v>31</v>
      </c>
      <c r="M158" t="s">
        <v>22</v>
      </c>
      <c r="N158" t="s">
        <v>41</v>
      </c>
    </row>
    <row r="159" spans="1:14" x14ac:dyDescent="0.35">
      <c r="A159">
        <v>1051</v>
      </c>
      <c r="B159" s="1">
        <v>45023</v>
      </c>
      <c r="C159" t="s">
        <v>42</v>
      </c>
      <c r="D159" t="s">
        <v>21</v>
      </c>
      <c r="E159">
        <v>5262.45</v>
      </c>
      <c r="F159">
        <v>23</v>
      </c>
      <c r="G159" t="s">
        <v>35</v>
      </c>
      <c r="H159">
        <v>3325.43</v>
      </c>
      <c r="I159">
        <v>3401.1</v>
      </c>
      <c r="J159" t="s">
        <v>30</v>
      </c>
      <c r="K159">
        <v>0.1</v>
      </c>
      <c r="L159" t="s">
        <v>18</v>
      </c>
      <c r="M159" t="s">
        <v>19</v>
      </c>
      <c r="N159" t="s">
        <v>51</v>
      </c>
    </row>
    <row r="160" spans="1:14" x14ac:dyDescent="0.35">
      <c r="A160">
        <v>1063</v>
      </c>
      <c r="B160" s="1">
        <v>45215</v>
      </c>
      <c r="C160" t="s">
        <v>33</v>
      </c>
      <c r="D160" t="s">
        <v>15</v>
      </c>
      <c r="E160">
        <v>9775.35</v>
      </c>
      <c r="F160">
        <v>4</v>
      </c>
      <c r="G160" t="s">
        <v>29</v>
      </c>
      <c r="H160">
        <v>1134.67</v>
      </c>
      <c r="I160">
        <v>1201.3900000000001</v>
      </c>
      <c r="J160" t="s">
        <v>30</v>
      </c>
      <c r="K160">
        <v>0.3</v>
      </c>
      <c r="L160" t="s">
        <v>27</v>
      </c>
      <c r="M160" t="s">
        <v>22</v>
      </c>
      <c r="N160" t="s">
        <v>53</v>
      </c>
    </row>
    <row r="161" spans="1:14" x14ac:dyDescent="0.35">
      <c r="A161">
        <v>1096</v>
      </c>
      <c r="B161" s="1">
        <v>45180</v>
      </c>
      <c r="C161" t="s">
        <v>38</v>
      </c>
      <c r="D161" t="s">
        <v>25</v>
      </c>
      <c r="E161">
        <v>7597.37</v>
      </c>
      <c r="F161">
        <v>23</v>
      </c>
      <c r="G161" t="s">
        <v>35</v>
      </c>
      <c r="H161">
        <v>608.57000000000005</v>
      </c>
      <c r="I161">
        <v>1032.22</v>
      </c>
      <c r="J161" t="s">
        <v>30</v>
      </c>
      <c r="K161">
        <v>0.25</v>
      </c>
      <c r="L161" t="s">
        <v>18</v>
      </c>
      <c r="M161" t="s">
        <v>22</v>
      </c>
      <c r="N161" t="s">
        <v>39</v>
      </c>
    </row>
    <row r="162" spans="1:14" x14ac:dyDescent="0.35">
      <c r="A162">
        <v>1052</v>
      </c>
      <c r="B162" s="1">
        <v>45122</v>
      </c>
      <c r="C162" t="s">
        <v>33</v>
      </c>
      <c r="D162" t="s">
        <v>34</v>
      </c>
      <c r="E162">
        <v>1700.55</v>
      </c>
      <c r="F162">
        <v>48</v>
      </c>
      <c r="G162" t="s">
        <v>26</v>
      </c>
      <c r="H162">
        <v>3002.35</v>
      </c>
      <c r="I162">
        <v>3080.61</v>
      </c>
      <c r="J162" t="s">
        <v>17</v>
      </c>
      <c r="K162">
        <v>0.18</v>
      </c>
      <c r="L162" t="s">
        <v>27</v>
      </c>
      <c r="M162" t="s">
        <v>22</v>
      </c>
      <c r="N162" t="s">
        <v>36</v>
      </c>
    </row>
    <row r="163" spans="1:14" x14ac:dyDescent="0.35">
      <c r="A163">
        <v>1096</v>
      </c>
      <c r="B163" s="1">
        <v>45012</v>
      </c>
      <c r="C163" t="s">
        <v>42</v>
      </c>
      <c r="D163" t="s">
        <v>15</v>
      </c>
      <c r="E163">
        <v>4821.3100000000004</v>
      </c>
      <c r="F163">
        <v>48</v>
      </c>
      <c r="G163" t="s">
        <v>29</v>
      </c>
      <c r="H163">
        <v>2449.21</v>
      </c>
      <c r="I163">
        <v>2714.12</v>
      </c>
      <c r="J163" t="s">
        <v>30</v>
      </c>
      <c r="K163">
        <v>0.01</v>
      </c>
      <c r="L163" t="s">
        <v>31</v>
      </c>
      <c r="M163" t="s">
        <v>19</v>
      </c>
      <c r="N163" t="s">
        <v>49</v>
      </c>
    </row>
    <row r="164" spans="1:14" x14ac:dyDescent="0.35">
      <c r="A164">
        <v>1004</v>
      </c>
      <c r="B164" s="1">
        <v>45248</v>
      </c>
      <c r="C164" t="s">
        <v>42</v>
      </c>
      <c r="D164" t="s">
        <v>34</v>
      </c>
      <c r="E164">
        <v>7211.48</v>
      </c>
      <c r="F164">
        <v>1</v>
      </c>
      <c r="G164" t="s">
        <v>26</v>
      </c>
      <c r="H164">
        <v>182.99</v>
      </c>
      <c r="I164">
        <v>211.18</v>
      </c>
      <c r="J164" t="s">
        <v>17</v>
      </c>
      <c r="K164">
        <v>0.27</v>
      </c>
      <c r="L164" t="s">
        <v>27</v>
      </c>
      <c r="M164" t="s">
        <v>22</v>
      </c>
      <c r="N164" t="s">
        <v>52</v>
      </c>
    </row>
    <row r="165" spans="1:14" x14ac:dyDescent="0.35">
      <c r="A165">
        <v>1094</v>
      </c>
      <c r="B165" s="1">
        <v>44936</v>
      </c>
      <c r="C165" t="s">
        <v>38</v>
      </c>
      <c r="D165" t="s">
        <v>15</v>
      </c>
      <c r="E165">
        <v>2548.67</v>
      </c>
      <c r="F165">
        <v>25</v>
      </c>
      <c r="G165" t="s">
        <v>35</v>
      </c>
      <c r="H165">
        <v>1933.39</v>
      </c>
      <c r="I165">
        <v>1982.92</v>
      </c>
      <c r="J165" t="s">
        <v>30</v>
      </c>
      <c r="K165">
        <v>0.17</v>
      </c>
      <c r="L165" t="s">
        <v>27</v>
      </c>
      <c r="M165" t="s">
        <v>19</v>
      </c>
      <c r="N165" t="s">
        <v>40</v>
      </c>
    </row>
    <row r="166" spans="1:14" x14ac:dyDescent="0.35">
      <c r="A166">
        <v>1023</v>
      </c>
      <c r="B166" s="1">
        <v>44931</v>
      </c>
      <c r="C166" t="s">
        <v>42</v>
      </c>
      <c r="D166" t="s">
        <v>34</v>
      </c>
      <c r="E166">
        <v>6442.09</v>
      </c>
      <c r="F166">
        <v>2</v>
      </c>
      <c r="G166" t="s">
        <v>29</v>
      </c>
      <c r="H166">
        <v>575.32000000000005</v>
      </c>
      <c r="I166">
        <v>914.77</v>
      </c>
      <c r="J166" t="s">
        <v>17</v>
      </c>
      <c r="K166">
        <v>0.26</v>
      </c>
      <c r="L166" t="s">
        <v>27</v>
      </c>
      <c r="M166" t="s">
        <v>19</v>
      </c>
      <c r="N166" t="s">
        <v>52</v>
      </c>
    </row>
    <row r="167" spans="1:14" x14ac:dyDescent="0.35">
      <c r="A167">
        <v>1015</v>
      </c>
      <c r="B167" s="1">
        <v>45049</v>
      </c>
      <c r="C167" t="s">
        <v>24</v>
      </c>
      <c r="D167" t="s">
        <v>25</v>
      </c>
      <c r="E167">
        <v>6699.34</v>
      </c>
      <c r="F167">
        <v>30</v>
      </c>
      <c r="G167" t="s">
        <v>26</v>
      </c>
      <c r="H167">
        <v>2680.22</v>
      </c>
      <c r="I167">
        <v>3027.9199999999901</v>
      </c>
      <c r="J167" t="s">
        <v>17</v>
      </c>
      <c r="K167">
        <v>0.25</v>
      </c>
      <c r="L167" t="s">
        <v>27</v>
      </c>
      <c r="M167" t="s">
        <v>19</v>
      </c>
      <c r="N167" t="s">
        <v>28</v>
      </c>
    </row>
    <row r="168" spans="1:14" x14ac:dyDescent="0.35">
      <c r="A168">
        <v>1043</v>
      </c>
      <c r="B168" s="1">
        <v>45256</v>
      </c>
      <c r="C168" t="s">
        <v>14</v>
      </c>
      <c r="D168" t="s">
        <v>25</v>
      </c>
      <c r="E168">
        <v>1710.73</v>
      </c>
      <c r="F168">
        <v>3</v>
      </c>
      <c r="G168" t="s">
        <v>35</v>
      </c>
      <c r="H168">
        <v>2009.1</v>
      </c>
      <c r="I168">
        <v>2186.42</v>
      </c>
      <c r="J168" t="s">
        <v>30</v>
      </c>
      <c r="K168">
        <v>0.25</v>
      </c>
      <c r="L168" t="s">
        <v>27</v>
      </c>
      <c r="M168" t="s">
        <v>19</v>
      </c>
      <c r="N168" t="s">
        <v>32</v>
      </c>
    </row>
    <row r="169" spans="1:14" x14ac:dyDescent="0.35">
      <c r="A169">
        <v>1029</v>
      </c>
      <c r="B169" s="1">
        <v>45279</v>
      </c>
      <c r="C169" t="s">
        <v>38</v>
      </c>
      <c r="D169" t="s">
        <v>15</v>
      </c>
      <c r="E169">
        <v>5694.34</v>
      </c>
      <c r="F169">
        <v>21</v>
      </c>
      <c r="G169" t="s">
        <v>26</v>
      </c>
      <c r="H169">
        <v>3085.1</v>
      </c>
      <c r="I169">
        <v>3200.75</v>
      </c>
      <c r="J169" t="s">
        <v>30</v>
      </c>
      <c r="K169">
        <v>0.21</v>
      </c>
      <c r="L169" t="s">
        <v>18</v>
      </c>
      <c r="M169" t="s">
        <v>22</v>
      </c>
      <c r="N169" t="s">
        <v>40</v>
      </c>
    </row>
    <row r="170" spans="1:14" x14ac:dyDescent="0.35">
      <c r="A170">
        <v>1036</v>
      </c>
      <c r="B170" s="1">
        <v>45044</v>
      </c>
      <c r="C170" t="s">
        <v>33</v>
      </c>
      <c r="D170" t="s">
        <v>21</v>
      </c>
      <c r="E170">
        <v>7739.11</v>
      </c>
      <c r="F170">
        <v>25</v>
      </c>
      <c r="G170" t="s">
        <v>16</v>
      </c>
      <c r="H170">
        <v>4037.73</v>
      </c>
      <c r="I170">
        <v>4446.45</v>
      </c>
      <c r="J170" t="s">
        <v>17</v>
      </c>
      <c r="K170">
        <v>0.09</v>
      </c>
      <c r="L170" t="s">
        <v>27</v>
      </c>
      <c r="M170" t="s">
        <v>19</v>
      </c>
      <c r="N170" t="s">
        <v>37</v>
      </c>
    </row>
    <row r="171" spans="1:14" x14ac:dyDescent="0.35">
      <c r="A171">
        <v>1013</v>
      </c>
      <c r="B171" s="1">
        <v>45220</v>
      </c>
      <c r="C171" t="s">
        <v>24</v>
      </c>
      <c r="D171" t="s">
        <v>34</v>
      </c>
      <c r="E171">
        <v>5039.07</v>
      </c>
      <c r="F171">
        <v>20</v>
      </c>
      <c r="G171" t="s">
        <v>35</v>
      </c>
      <c r="H171">
        <v>1533.36</v>
      </c>
      <c r="I171">
        <v>1649.73999999999</v>
      </c>
      <c r="J171" t="s">
        <v>17</v>
      </c>
      <c r="K171">
        <v>0.1</v>
      </c>
      <c r="L171" t="s">
        <v>27</v>
      </c>
      <c r="M171" t="s">
        <v>19</v>
      </c>
      <c r="N171" t="s">
        <v>50</v>
      </c>
    </row>
    <row r="172" spans="1:14" x14ac:dyDescent="0.35">
      <c r="A172">
        <v>1032</v>
      </c>
      <c r="B172" s="1">
        <v>45085</v>
      </c>
      <c r="C172" t="s">
        <v>38</v>
      </c>
      <c r="D172" t="s">
        <v>21</v>
      </c>
      <c r="E172">
        <v>219.82</v>
      </c>
      <c r="F172">
        <v>49</v>
      </c>
      <c r="G172" t="s">
        <v>35</v>
      </c>
      <c r="H172">
        <v>4812.41</v>
      </c>
      <c r="I172">
        <v>5088</v>
      </c>
      <c r="J172" t="s">
        <v>17</v>
      </c>
      <c r="K172">
        <v>0.09</v>
      </c>
      <c r="L172" t="s">
        <v>31</v>
      </c>
      <c r="M172" t="s">
        <v>19</v>
      </c>
      <c r="N172" t="s">
        <v>41</v>
      </c>
    </row>
    <row r="173" spans="1:14" x14ac:dyDescent="0.35">
      <c r="A173">
        <v>1071</v>
      </c>
      <c r="B173" s="1">
        <v>45229</v>
      </c>
      <c r="C173" t="s">
        <v>42</v>
      </c>
      <c r="D173" t="s">
        <v>21</v>
      </c>
      <c r="E173">
        <v>189.48</v>
      </c>
      <c r="F173">
        <v>22</v>
      </c>
      <c r="G173" t="s">
        <v>35</v>
      </c>
      <c r="H173">
        <v>2701.39</v>
      </c>
      <c r="I173">
        <v>3185.81</v>
      </c>
      <c r="J173" t="s">
        <v>30</v>
      </c>
      <c r="K173">
        <v>0.01</v>
      </c>
      <c r="L173" t="s">
        <v>27</v>
      </c>
      <c r="M173" t="s">
        <v>19</v>
      </c>
      <c r="N173" t="s">
        <v>51</v>
      </c>
    </row>
    <row r="174" spans="1:14" x14ac:dyDescent="0.35">
      <c r="A174">
        <v>1059</v>
      </c>
      <c r="B174" s="1">
        <v>45154</v>
      </c>
      <c r="C174" t="s">
        <v>42</v>
      </c>
      <c r="D174" t="s">
        <v>21</v>
      </c>
      <c r="E174">
        <v>3634.59</v>
      </c>
      <c r="F174">
        <v>21</v>
      </c>
      <c r="G174" t="s">
        <v>29</v>
      </c>
      <c r="H174">
        <v>3110.54</v>
      </c>
      <c r="I174">
        <v>3192.99</v>
      </c>
      <c r="J174" t="s">
        <v>30</v>
      </c>
      <c r="K174">
        <v>0.17</v>
      </c>
      <c r="L174" t="s">
        <v>31</v>
      </c>
      <c r="M174" t="s">
        <v>19</v>
      </c>
      <c r="N174" t="s">
        <v>51</v>
      </c>
    </row>
    <row r="175" spans="1:14" x14ac:dyDescent="0.35">
      <c r="A175">
        <v>1086</v>
      </c>
      <c r="B175" s="1">
        <v>45291</v>
      </c>
      <c r="C175" t="s">
        <v>42</v>
      </c>
      <c r="D175" t="s">
        <v>25</v>
      </c>
      <c r="E175">
        <v>9269.32</v>
      </c>
      <c r="F175">
        <v>33</v>
      </c>
      <c r="G175" t="s">
        <v>29</v>
      </c>
      <c r="H175">
        <v>3419.33</v>
      </c>
      <c r="I175">
        <v>3890.3599999999901</v>
      </c>
      <c r="J175" t="s">
        <v>17</v>
      </c>
      <c r="K175">
        <v>0.21</v>
      </c>
      <c r="L175" t="s">
        <v>18</v>
      </c>
      <c r="M175" t="s">
        <v>22</v>
      </c>
      <c r="N175" t="s">
        <v>43</v>
      </c>
    </row>
    <row r="176" spans="1:14" x14ac:dyDescent="0.35">
      <c r="A176">
        <v>1028</v>
      </c>
      <c r="B176" s="1">
        <v>45142</v>
      </c>
      <c r="C176" t="s">
        <v>42</v>
      </c>
      <c r="D176" t="s">
        <v>15</v>
      </c>
      <c r="E176">
        <v>2363.9</v>
      </c>
      <c r="F176">
        <v>38</v>
      </c>
      <c r="G176" t="s">
        <v>29</v>
      </c>
      <c r="H176">
        <v>3350.32</v>
      </c>
      <c r="I176">
        <v>3449.94</v>
      </c>
      <c r="J176" t="s">
        <v>30</v>
      </c>
      <c r="K176">
        <v>0.26</v>
      </c>
      <c r="L176" t="s">
        <v>18</v>
      </c>
      <c r="M176" t="s">
        <v>19</v>
      </c>
      <c r="N176" t="s">
        <v>49</v>
      </c>
    </row>
    <row r="177" spans="1:14" x14ac:dyDescent="0.35">
      <c r="A177">
        <v>1066</v>
      </c>
      <c r="B177" s="1">
        <v>45110</v>
      </c>
      <c r="C177" t="s">
        <v>33</v>
      </c>
      <c r="D177" t="s">
        <v>15</v>
      </c>
      <c r="E177">
        <v>6380.2</v>
      </c>
      <c r="F177">
        <v>15</v>
      </c>
      <c r="G177" t="s">
        <v>16</v>
      </c>
      <c r="H177">
        <v>2579.31</v>
      </c>
      <c r="I177">
        <v>2867.36</v>
      </c>
      <c r="J177" t="s">
        <v>17</v>
      </c>
      <c r="K177">
        <v>0.04</v>
      </c>
      <c r="L177" t="s">
        <v>27</v>
      </c>
      <c r="M177" t="s">
        <v>22</v>
      </c>
      <c r="N177" t="s">
        <v>53</v>
      </c>
    </row>
    <row r="178" spans="1:14" x14ac:dyDescent="0.35">
      <c r="A178">
        <v>1042</v>
      </c>
      <c r="B178" s="1">
        <v>44941</v>
      </c>
      <c r="C178" t="s">
        <v>24</v>
      </c>
      <c r="D178" t="s">
        <v>25</v>
      </c>
      <c r="E178">
        <v>2298.5500000000002</v>
      </c>
      <c r="F178">
        <v>46</v>
      </c>
      <c r="G178" t="s">
        <v>16</v>
      </c>
      <c r="H178">
        <v>2172.38</v>
      </c>
      <c r="I178">
        <v>2367.11</v>
      </c>
      <c r="J178" t="s">
        <v>30</v>
      </c>
      <c r="K178">
        <v>0.16</v>
      </c>
      <c r="L178" t="s">
        <v>18</v>
      </c>
      <c r="M178" t="s">
        <v>22</v>
      </c>
      <c r="N178" t="s">
        <v>28</v>
      </c>
    </row>
    <row r="179" spans="1:14" x14ac:dyDescent="0.35">
      <c r="A179">
        <v>1045</v>
      </c>
      <c r="B179" s="1">
        <v>45083</v>
      </c>
      <c r="C179" t="s">
        <v>14</v>
      </c>
      <c r="D179" t="s">
        <v>25</v>
      </c>
      <c r="E179">
        <v>3284.53</v>
      </c>
      <c r="F179">
        <v>15</v>
      </c>
      <c r="G179" t="s">
        <v>35</v>
      </c>
      <c r="H179">
        <v>316.22000000000003</v>
      </c>
      <c r="I179">
        <v>799.04</v>
      </c>
      <c r="J179" t="s">
        <v>30</v>
      </c>
      <c r="K179">
        <v>0</v>
      </c>
      <c r="L179" t="s">
        <v>27</v>
      </c>
      <c r="M179" t="s">
        <v>19</v>
      </c>
      <c r="N179" t="s">
        <v>32</v>
      </c>
    </row>
    <row r="180" spans="1:14" x14ac:dyDescent="0.35">
      <c r="A180">
        <v>1062</v>
      </c>
      <c r="B180" s="1">
        <v>45062</v>
      </c>
      <c r="C180" t="s">
        <v>33</v>
      </c>
      <c r="D180" t="s">
        <v>15</v>
      </c>
      <c r="E180">
        <v>8495.6200000000008</v>
      </c>
      <c r="F180">
        <v>46</v>
      </c>
      <c r="G180" t="s">
        <v>16</v>
      </c>
      <c r="H180">
        <v>159.32</v>
      </c>
      <c r="I180">
        <v>303.36</v>
      </c>
      <c r="J180" t="s">
        <v>30</v>
      </c>
      <c r="K180">
        <v>0.03</v>
      </c>
      <c r="L180" t="s">
        <v>18</v>
      </c>
      <c r="M180" t="s">
        <v>22</v>
      </c>
      <c r="N180" t="s">
        <v>53</v>
      </c>
    </row>
    <row r="181" spans="1:14" x14ac:dyDescent="0.35">
      <c r="A181">
        <v>1057</v>
      </c>
      <c r="B181" s="1">
        <v>45187</v>
      </c>
      <c r="C181" t="s">
        <v>33</v>
      </c>
      <c r="D181" t="s">
        <v>21</v>
      </c>
      <c r="E181">
        <v>7315.73</v>
      </c>
      <c r="F181">
        <v>25</v>
      </c>
      <c r="G181" t="s">
        <v>26</v>
      </c>
      <c r="H181">
        <v>1821.91</v>
      </c>
      <c r="I181">
        <v>2027.74</v>
      </c>
      <c r="J181" t="s">
        <v>30</v>
      </c>
      <c r="K181">
        <v>0.02</v>
      </c>
      <c r="L181" t="s">
        <v>27</v>
      </c>
      <c r="M181" t="s">
        <v>22</v>
      </c>
      <c r="N181" t="s">
        <v>37</v>
      </c>
    </row>
    <row r="182" spans="1:14" x14ac:dyDescent="0.35">
      <c r="A182">
        <v>1006</v>
      </c>
      <c r="B182" s="1">
        <v>45083</v>
      </c>
      <c r="C182" t="s">
        <v>14</v>
      </c>
      <c r="D182" t="s">
        <v>34</v>
      </c>
      <c r="E182">
        <v>1044.45</v>
      </c>
      <c r="F182">
        <v>21</v>
      </c>
      <c r="G182" t="s">
        <v>35</v>
      </c>
      <c r="H182">
        <v>1701.62</v>
      </c>
      <c r="I182">
        <v>2193.2199999999998</v>
      </c>
      <c r="J182" t="s">
        <v>30</v>
      </c>
      <c r="K182">
        <v>0.22</v>
      </c>
      <c r="L182" t="s">
        <v>27</v>
      </c>
      <c r="M182" t="s">
        <v>22</v>
      </c>
      <c r="N182" t="s">
        <v>46</v>
      </c>
    </row>
    <row r="183" spans="1:14" x14ac:dyDescent="0.35">
      <c r="A183">
        <v>1028</v>
      </c>
      <c r="B183" s="1">
        <v>44973</v>
      </c>
      <c r="C183" t="s">
        <v>14</v>
      </c>
      <c r="D183" t="s">
        <v>34</v>
      </c>
      <c r="E183">
        <v>4344.1499999999996</v>
      </c>
      <c r="F183">
        <v>24</v>
      </c>
      <c r="G183" t="s">
        <v>35</v>
      </c>
      <c r="H183">
        <v>1969.09</v>
      </c>
      <c r="I183">
        <v>2241.96</v>
      </c>
      <c r="J183" t="s">
        <v>17</v>
      </c>
      <c r="K183">
        <v>0.02</v>
      </c>
      <c r="L183" t="s">
        <v>31</v>
      </c>
      <c r="M183" t="s">
        <v>19</v>
      </c>
      <c r="N183" t="s">
        <v>46</v>
      </c>
    </row>
    <row r="184" spans="1:14" x14ac:dyDescent="0.35">
      <c r="A184">
        <v>1028</v>
      </c>
      <c r="B184" s="1">
        <v>45250</v>
      </c>
      <c r="C184" t="s">
        <v>42</v>
      </c>
      <c r="D184" t="s">
        <v>34</v>
      </c>
      <c r="E184">
        <v>388.78</v>
      </c>
      <c r="F184">
        <v>5</v>
      </c>
      <c r="G184" t="s">
        <v>26</v>
      </c>
      <c r="H184">
        <v>734.92</v>
      </c>
      <c r="I184">
        <v>991.21</v>
      </c>
      <c r="J184" t="s">
        <v>17</v>
      </c>
      <c r="K184">
        <v>0.21</v>
      </c>
      <c r="L184" t="s">
        <v>31</v>
      </c>
      <c r="M184" t="s">
        <v>19</v>
      </c>
      <c r="N184" t="s">
        <v>52</v>
      </c>
    </row>
    <row r="185" spans="1:14" x14ac:dyDescent="0.35">
      <c r="A185">
        <v>1044</v>
      </c>
      <c r="B185" s="1">
        <v>45258</v>
      </c>
      <c r="C185" t="s">
        <v>33</v>
      </c>
      <c r="D185" t="s">
        <v>21</v>
      </c>
      <c r="E185">
        <v>4860.8100000000004</v>
      </c>
      <c r="F185">
        <v>6</v>
      </c>
      <c r="G185" t="s">
        <v>35</v>
      </c>
      <c r="H185">
        <v>3703.93</v>
      </c>
      <c r="I185">
        <v>3840.24</v>
      </c>
      <c r="J185" t="s">
        <v>30</v>
      </c>
      <c r="K185">
        <v>7.0000000000000007E-2</v>
      </c>
      <c r="L185" t="s">
        <v>31</v>
      </c>
      <c r="M185" t="s">
        <v>19</v>
      </c>
      <c r="N185" t="s">
        <v>37</v>
      </c>
    </row>
    <row r="186" spans="1:14" x14ac:dyDescent="0.35">
      <c r="A186">
        <v>1084</v>
      </c>
      <c r="B186" s="1">
        <v>45099</v>
      </c>
      <c r="C186" t="s">
        <v>38</v>
      </c>
      <c r="D186" t="s">
        <v>15</v>
      </c>
      <c r="E186">
        <v>6658.1</v>
      </c>
      <c r="F186">
        <v>49</v>
      </c>
      <c r="G186" t="s">
        <v>16</v>
      </c>
      <c r="H186">
        <v>4291.97</v>
      </c>
      <c r="I186">
        <v>4645.6400000000003</v>
      </c>
      <c r="J186" t="s">
        <v>17</v>
      </c>
      <c r="K186">
        <v>0.26</v>
      </c>
      <c r="L186" t="s">
        <v>31</v>
      </c>
      <c r="M186" t="s">
        <v>19</v>
      </c>
      <c r="N186" t="s">
        <v>40</v>
      </c>
    </row>
    <row r="187" spans="1:14" x14ac:dyDescent="0.35">
      <c r="A187">
        <v>1030</v>
      </c>
      <c r="B187" s="1">
        <v>45056</v>
      </c>
      <c r="C187" t="s">
        <v>14</v>
      </c>
      <c r="D187" t="s">
        <v>25</v>
      </c>
      <c r="E187">
        <v>1273.18</v>
      </c>
      <c r="F187">
        <v>43</v>
      </c>
      <c r="G187" t="s">
        <v>29</v>
      </c>
      <c r="H187">
        <v>4696.6400000000003</v>
      </c>
      <c r="I187">
        <v>4713.68</v>
      </c>
      <c r="J187" t="s">
        <v>17</v>
      </c>
      <c r="K187">
        <v>0.24</v>
      </c>
      <c r="L187" t="s">
        <v>27</v>
      </c>
      <c r="M187" t="s">
        <v>19</v>
      </c>
      <c r="N187" t="s">
        <v>32</v>
      </c>
    </row>
    <row r="188" spans="1:14" x14ac:dyDescent="0.35">
      <c r="A188">
        <v>1062</v>
      </c>
      <c r="B188" s="1">
        <v>45021</v>
      </c>
      <c r="C188" t="s">
        <v>14</v>
      </c>
      <c r="D188" t="s">
        <v>15</v>
      </c>
      <c r="E188">
        <v>2959.96</v>
      </c>
      <c r="F188">
        <v>48</v>
      </c>
      <c r="G188" t="s">
        <v>26</v>
      </c>
      <c r="H188">
        <v>2487.19</v>
      </c>
      <c r="I188">
        <v>2521.4499999999998</v>
      </c>
      <c r="J188" t="s">
        <v>30</v>
      </c>
      <c r="K188">
        <v>0.28999999999999998</v>
      </c>
      <c r="L188" t="s">
        <v>18</v>
      </c>
      <c r="M188" t="s">
        <v>19</v>
      </c>
      <c r="N188" t="s">
        <v>20</v>
      </c>
    </row>
    <row r="189" spans="1:14" x14ac:dyDescent="0.35">
      <c r="A189">
        <v>1075</v>
      </c>
      <c r="B189" s="1">
        <v>45041</v>
      </c>
      <c r="C189" t="s">
        <v>24</v>
      </c>
      <c r="D189" t="s">
        <v>21</v>
      </c>
      <c r="E189">
        <v>4038.58</v>
      </c>
      <c r="F189">
        <v>44</v>
      </c>
      <c r="G189" t="s">
        <v>16</v>
      </c>
      <c r="H189">
        <v>3519.29</v>
      </c>
      <c r="I189">
        <v>3822.98</v>
      </c>
      <c r="J189" t="s">
        <v>17</v>
      </c>
      <c r="K189">
        <v>0.27</v>
      </c>
      <c r="L189" t="s">
        <v>27</v>
      </c>
      <c r="M189" t="s">
        <v>19</v>
      </c>
      <c r="N189" t="s">
        <v>47</v>
      </c>
    </row>
    <row r="190" spans="1:14" x14ac:dyDescent="0.35">
      <c r="A190">
        <v>1092</v>
      </c>
      <c r="B190" s="1">
        <v>45169</v>
      </c>
      <c r="C190" t="s">
        <v>38</v>
      </c>
      <c r="D190" t="s">
        <v>25</v>
      </c>
      <c r="E190">
        <v>9203.36</v>
      </c>
      <c r="F190">
        <v>47</v>
      </c>
      <c r="G190" t="s">
        <v>26</v>
      </c>
      <c r="H190">
        <v>4284.9799999999996</v>
      </c>
      <c r="I190">
        <v>4462.3999999999996</v>
      </c>
      <c r="J190" t="s">
        <v>30</v>
      </c>
      <c r="K190">
        <v>0.28000000000000003</v>
      </c>
      <c r="L190" t="s">
        <v>31</v>
      </c>
      <c r="M190" t="s">
        <v>22</v>
      </c>
      <c r="N190" t="s">
        <v>39</v>
      </c>
    </row>
    <row r="191" spans="1:14" x14ac:dyDescent="0.35">
      <c r="A191">
        <v>1089</v>
      </c>
      <c r="B191" s="1">
        <v>45218</v>
      </c>
      <c r="C191" t="s">
        <v>38</v>
      </c>
      <c r="D191" t="s">
        <v>21</v>
      </c>
      <c r="E191">
        <v>9933.2199999999993</v>
      </c>
      <c r="F191">
        <v>23</v>
      </c>
      <c r="G191" t="s">
        <v>26</v>
      </c>
      <c r="H191">
        <v>2120.54</v>
      </c>
      <c r="I191">
        <v>2597.67</v>
      </c>
      <c r="J191" t="s">
        <v>17</v>
      </c>
      <c r="K191">
        <v>0.26</v>
      </c>
      <c r="L191" t="s">
        <v>31</v>
      </c>
      <c r="M191" t="s">
        <v>22</v>
      </c>
      <c r="N191" t="s">
        <v>41</v>
      </c>
    </row>
    <row r="192" spans="1:14" x14ac:dyDescent="0.35">
      <c r="A192">
        <v>1062</v>
      </c>
      <c r="B192" s="1">
        <v>45208</v>
      </c>
      <c r="C192" t="s">
        <v>14</v>
      </c>
      <c r="D192" t="s">
        <v>34</v>
      </c>
      <c r="E192">
        <v>544.62</v>
      </c>
      <c r="F192">
        <v>4</v>
      </c>
      <c r="G192" t="s">
        <v>35</v>
      </c>
      <c r="H192">
        <v>1581.59</v>
      </c>
      <c r="I192">
        <v>2034.1499999999901</v>
      </c>
      <c r="J192" t="s">
        <v>17</v>
      </c>
      <c r="K192">
        <v>0.21</v>
      </c>
      <c r="L192" t="s">
        <v>18</v>
      </c>
      <c r="M192" t="s">
        <v>19</v>
      </c>
      <c r="N192" t="s">
        <v>46</v>
      </c>
    </row>
    <row r="193" spans="1:14" x14ac:dyDescent="0.35">
      <c r="A193">
        <v>1097</v>
      </c>
      <c r="B193" s="1">
        <v>45225</v>
      </c>
      <c r="C193" t="s">
        <v>42</v>
      </c>
      <c r="D193" t="s">
        <v>34</v>
      </c>
      <c r="E193">
        <v>7633.98</v>
      </c>
      <c r="F193">
        <v>27</v>
      </c>
      <c r="G193" t="s">
        <v>35</v>
      </c>
      <c r="H193">
        <v>4686.79</v>
      </c>
      <c r="I193">
        <v>5046.51</v>
      </c>
      <c r="J193" t="s">
        <v>17</v>
      </c>
      <c r="K193">
        <v>0.05</v>
      </c>
      <c r="L193" t="s">
        <v>31</v>
      </c>
      <c r="M193" t="s">
        <v>22</v>
      </c>
      <c r="N193" t="s">
        <v>52</v>
      </c>
    </row>
    <row r="194" spans="1:14" x14ac:dyDescent="0.35">
      <c r="A194">
        <v>1001</v>
      </c>
      <c r="B194" s="1">
        <v>45209</v>
      </c>
      <c r="C194" t="s">
        <v>24</v>
      </c>
      <c r="D194" t="s">
        <v>21</v>
      </c>
      <c r="E194">
        <v>3780.07</v>
      </c>
      <c r="F194">
        <v>18</v>
      </c>
      <c r="G194" t="s">
        <v>16</v>
      </c>
      <c r="H194">
        <v>2602.6</v>
      </c>
      <c r="I194">
        <v>3013.49</v>
      </c>
      <c r="J194" t="s">
        <v>17</v>
      </c>
      <c r="K194">
        <v>0.08</v>
      </c>
      <c r="L194" t="s">
        <v>27</v>
      </c>
      <c r="M194" t="s">
        <v>19</v>
      </c>
      <c r="N194" t="s">
        <v>47</v>
      </c>
    </row>
    <row r="195" spans="1:14" x14ac:dyDescent="0.35">
      <c r="A195">
        <v>1027</v>
      </c>
      <c r="B195" s="1">
        <v>44995</v>
      </c>
      <c r="C195" t="s">
        <v>38</v>
      </c>
      <c r="D195" t="s">
        <v>25</v>
      </c>
      <c r="E195">
        <v>3985.34</v>
      </c>
      <c r="F195">
        <v>21</v>
      </c>
      <c r="G195" t="s">
        <v>26</v>
      </c>
      <c r="H195">
        <v>2511.41</v>
      </c>
      <c r="I195">
        <v>2848.3999999999901</v>
      </c>
      <c r="J195" t="s">
        <v>17</v>
      </c>
      <c r="K195">
        <v>0.06</v>
      </c>
      <c r="L195" t="s">
        <v>27</v>
      </c>
      <c r="M195" t="s">
        <v>19</v>
      </c>
      <c r="N195" t="s">
        <v>39</v>
      </c>
    </row>
    <row r="196" spans="1:14" x14ac:dyDescent="0.35">
      <c r="A196">
        <v>1062</v>
      </c>
      <c r="B196" s="1">
        <v>45074</v>
      </c>
      <c r="C196" t="s">
        <v>14</v>
      </c>
      <c r="D196" t="s">
        <v>25</v>
      </c>
      <c r="E196">
        <v>7567.22</v>
      </c>
      <c r="F196">
        <v>28</v>
      </c>
      <c r="G196" t="s">
        <v>35</v>
      </c>
      <c r="H196">
        <v>933.16</v>
      </c>
      <c r="I196">
        <v>1004.69999999999</v>
      </c>
      <c r="J196" t="s">
        <v>17</v>
      </c>
      <c r="K196">
        <v>0.18</v>
      </c>
      <c r="L196" t="s">
        <v>27</v>
      </c>
      <c r="M196" t="s">
        <v>19</v>
      </c>
      <c r="N196" t="s">
        <v>32</v>
      </c>
    </row>
    <row r="197" spans="1:14" x14ac:dyDescent="0.35">
      <c r="A197">
        <v>1077</v>
      </c>
      <c r="B197" s="1">
        <v>44937</v>
      </c>
      <c r="C197" t="s">
        <v>38</v>
      </c>
      <c r="D197" t="s">
        <v>15</v>
      </c>
      <c r="E197">
        <v>9192.42</v>
      </c>
      <c r="F197">
        <v>35</v>
      </c>
      <c r="G197" t="s">
        <v>35</v>
      </c>
      <c r="H197">
        <v>585.37</v>
      </c>
      <c r="I197">
        <v>970.49</v>
      </c>
      <c r="J197" t="s">
        <v>17</v>
      </c>
      <c r="K197">
        <v>0.15</v>
      </c>
      <c r="L197" t="s">
        <v>27</v>
      </c>
      <c r="M197" t="s">
        <v>22</v>
      </c>
      <c r="N197" t="s">
        <v>40</v>
      </c>
    </row>
    <row r="198" spans="1:14" x14ac:dyDescent="0.35">
      <c r="A198">
        <v>1003</v>
      </c>
      <c r="B198" s="1">
        <v>45180</v>
      </c>
      <c r="C198" t="s">
        <v>24</v>
      </c>
      <c r="D198" t="s">
        <v>34</v>
      </c>
      <c r="E198">
        <v>9514.19</v>
      </c>
      <c r="F198">
        <v>22</v>
      </c>
      <c r="G198" t="s">
        <v>26</v>
      </c>
      <c r="H198">
        <v>4218.43</v>
      </c>
      <c r="I198">
        <v>4331.42</v>
      </c>
      <c r="J198" t="s">
        <v>30</v>
      </c>
      <c r="K198">
        <v>0.26</v>
      </c>
      <c r="L198" t="s">
        <v>27</v>
      </c>
      <c r="M198" t="s">
        <v>19</v>
      </c>
      <c r="N198" t="s">
        <v>50</v>
      </c>
    </row>
    <row r="199" spans="1:14" x14ac:dyDescent="0.35">
      <c r="A199">
        <v>1070</v>
      </c>
      <c r="B199" s="1">
        <v>45256</v>
      </c>
      <c r="C199" t="s">
        <v>24</v>
      </c>
      <c r="D199" t="s">
        <v>15</v>
      </c>
      <c r="E199">
        <v>5813.51</v>
      </c>
      <c r="F199">
        <v>40</v>
      </c>
      <c r="G199" t="s">
        <v>16</v>
      </c>
      <c r="H199">
        <v>3089.96</v>
      </c>
      <c r="I199">
        <v>3258.45</v>
      </c>
      <c r="J199" t="s">
        <v>30</v>
      </c>
      <c r="K199">
        <v>0.28999999999999998</v>
      </c>
      <c r="L199" t="s">
        <v>18</v>
      </c>
      <c r="M199" t="s">
        <v>19</v>
      </c>
      <c r="N199" t="s">
        <v>45</v>
      </c>
    </row>
    <row r="200" spans="1:14" x14ac:dyDescent="0.35">
      <c r="A200">
        <v>1072</v>
      </c>
      <c r="B200" s="1">
        <v>45286</v>
      </c>
      <c r="C200" t="s">
        <v>33</v>
      </c>
      <c r="D200" t="s">
        <v>15</v>
      </c>
      <c r="E200">
        <v>3635.5</v>
      </c>
      <c r="F200">
        <v>23</v>
      </c>
      <c r="G200" t="s">
        <v>16</v>
      </c>
      <c r="H200">
        <v>1662.83</v>
      </c>
      <c r="I200">
        <v>2074.25</v>
      </c>
      <c r="J200" t="s">
        <v>30</v>
      </c>
      <c r="K200">
        <v>0.12</v>
      </c>
      <c r="L200" t="s">
        <v>27</v>
      </c>
      <c r="M200" t="s">
        <v>19</v>
      </c>
      <c r="N200" t="s">
        <v>53</v>
      </c>
    </row>
    <row r="201" spans="1:14" x14ac:dyDescent="0.35">
      <c r="A201">
        <v>1027</v>
      </c>
      <c r="B201" s="1">
        <v>44964</v>
      </c>
      <c r="C201" t="s">
        <v>14</v>
      </c>
      <c r="D201" t="s">
        <v>21</v>
      </c>
      <c r="E201">
        <v>7896.74</v>
      </c>
      <c r="F201">
        <v>3</v>
      </c>
      <c r="G201" t="s">
        <v>26</v>
      </c>
      <c r="H201">
        <v>999.09</v>
      </c>
      <c r="I201">
        <v>1271.99</v>
      </c>
      <c r="J201" t="s">
        <v>30</v>
      </c>
      <c r="K201">
        <v>0.15</v>
      </c>
      <c r="L201" t="s">
        <v>31</v>
      </c>
      <c r="M201" t="s">
        <v>19</v>
      </c>
      <c r="N201" t="s">
        <v>23</v>
      </c>
    </row>
    <row r="202" spans="1:14" x14ac:dyDescent="0.35">
      <c r="A202">
        <v>1009</v>
      </c>
      <c r="B202" s="1">
        <v>45060</v>
      </c>
      <c r="C202" t="s">
        <v>24</v>
      </c>
      <c r="D202" t="s">
        <v>21</v>
      </c>
      <c r="E202">
        <v>2584.91</v>
      </c>
      <c r="F202">
        <v>40</v>
      </c>
      <c r="G202" t="s">
        <v>16</v>
      </c>
      <c r="H202">
        <v>2799.71</v>
      </c>
      <c r="I202">
        <v>3231.08</v>
      </c>
      <c r="J202" t="s">
        <v>17</v>
      </c>
      <c r="K202">
        <v>0.28999999999999998</v>
      </c>
      <c r="L202" t="s">
        <v>31</v>
      </c>
      <c r="M202" t="s">
        <v>22</v>
      </c>
      <c r="N202" t="s">
        <v>47</v>
      </c>
    </row>
    <row r="203" spans="1:14" x14ac:dyDescent="0.35">
      <c r="A203">
        <v>1062</v>
      </c>
      <c r="B203" s="1">
        <v>45126</v>
      </c>
      <c r="C203" t="s">
        <v>33</v>
      </c>
      <c r="D203" t="s">
        <v>15</v>
      </c>
      <c r="E203">
        <v>5684.33</v>
      </c>
      <c r="F203">
        <v>10</v>
      </c>
      <c r="G203" t="s">
        <v>35</v>
      </c>
      <c r="H203">
        <v>2940.4</v>
      </c>
      <c r="I203">
        <v>3054.79</v>
      </c>
      <c r="J203" t="s">
        <v>17</v>
      </c>
      <c r="K203">
        <v>0.08</v>
      </c>
      <c r="L203" t="s">
        <v>31</v>
      </c>
      <c r="M203" t="s">
        <v>19</v>
      </c>
      <c r="N203" t="s">
        <v>53</v>
      </c>
    </row>
    <row r="204" spans="1:14" x14ac:dyDescent="0.35">
      <c r="A204">
        <v>1037</v>
      </c>
      <c r="B204" s="1">
        <v>44949</v>
      </c>
      <c r="C204" t="s">
        <v>33</v>
      </c>
      <c r="D204" t="s">
        <v>34</v>
      </c>
      <c r="E204">
        <v>3649.93</v>
      </c>
      <c r="F204">
        <v>25</v>
      </c>
      <c r="G204" t="s">
        <v>26</v>
      </c>
      <c r="H204">
        <v>1074.6199999999999</v>
      </c>
      <c r="I204">
        <v>1382.4299999999901</v>
      </c>
      <c r="J204" t="s">
        <v>17</v>
      </c>
      <c r="K204">
        <v>0.24</v>
      </c>
      <c r="L204" t="s">
        <v>31</v>
      </c>
      <c r="M204" t="s">
        <v>22</v>
      </c>
      <c r="N204" t="s">
        <v>36</v>
      </c>
    </row>
    <row r="205" spans="1:14" x14ac:dyDescent="0.35">
      <c r="A205">
        <v>1097</v>
      </c>
      <c r="B205" s="1">
        <v>45229</v>
      </c>
      <c r="C205" t="s">
        <v>38</v>
      </c>
      <c r="D205" t="s">
        <v>21</v>
      </c>
      <c r="E205">
        <v>6600.65</v>
      </c>
      <c r="F205">
        <v>49</v>
      </c>
      <c r="G205" t="s">
        <v>35</v>
      </c>
      <c r="H205">
        <v>4264.46</v>
      </c>
      <c r="I205">
        <v>4315.5200000000004</v>
      </c>
      <c r="J205" t="s">
        <v>30</v>
      </c>
      <c r="K205">
        <v>7.0000000000000007E-2</v>
      </c>
      <c r="L205" t="s">
        <v>18</v>
      </c>
      <c r="M205" t="s">
        <v>22</v>
      </c>
      <c r="N205" t="s">
        <v>41</v>
      </c>
    </row>
    <row r="206" spans="1:14" x14ac:dyDescent="0.35">
      <c r="A206">
        <v>1051</v>
      </c>
      <c r="B206" s="1">
        <v>45272</v>
      </c>
      <c r="C206" t="s">
        <v>38</v>
      </c>
      <c r="D206" t="s">
        <v>15</v>
      </c>
      <c r="E206">
        <v>2479.9499999999998</v>
      </c>
      <c r="F206">
        <v>8</v>
      </c>
      <c r="G206" t="s">
        <v>29</v>
      </c>
      <c r="H206">
        <v>467.11</v>
      </c>
      <c r="I206">
        <v>792.21</v>
      </c>
      <c r="J206" t="s">
        <v>30</v>
      </c>
      <c r="K206">
        <v>0.2</v>
      </c>
      <c r="L206" t="s">
        <v>31</v>
      </c>
      <c r="M206" t="s">
        <v>19</v>
      </c>
      <c r="N206" t="s">
        <v>40</v>
      </c>
    </row>
    <row r="207" spans="1:14" x14ac:dyDescent="0.35">
      <c r="A207">
        <v>1044</v>
      </c>
      <c r="B207" s="1">
        <v>45228</v>
      </c>
      <c r="C207" t="s">
        <v>33</v>
      </c>
      <c r="D207" t="s">
        <v>15</v>
      </c>
      <c r="E207">
        <v>1996.77</v>
      </c>
      <c r="F207">
        <v>11</v>
      </c>
      <c r="G207" t="s">
        <v>29</v>
      </c>
      <c r="H207">
        <v>1812.66</v>
      </c>
      <c r="I207">
        <v>2196.3000000000002</v>
      </c>
      <c r="J207" t="s">
        <v>30</v>
      </c>
      <c r="K207">
        <v>0.08</v>
      </c>
      <c r="L207" t="s">
        <v>18</v>
      </c>
      <c r="M207" t="s">
        <v>19</v>
      </c>
      <c r="N207" t="s">
        <v>53</v>
      </c>
    </row>
    <row r="208" spans="1:14" x14ac:dyDescent="0.35">
      <c r="A208">
        <v>1024</v>
      </c>
      <c r="B208" s="1">
        <v>45289</v>
      </c>
      <c r="C208" t="s">
        <v>38</v>
      </c>
      <c r="D208" t="s">
        <v>15</v>
      </c>
      <c r="E208">
        <v>9190.57</v>
      </c>
      <c r="F208">
        <v>5</v>
      </c>
      <c r="G208" t="s">
        <v>16</v>
      </c>
      <c r="H208">
        <v>3417.9</v>
      </c>
      <c r="I208">
        <v>3714.52</v>
      </c>
      <c r="J208" t="s">
        <v>17</v>
      </c>
      <c r="K208">
        <v>0.27</v>
      </c>
      <c r="L208" t="s">
        <v>31</v>
      </c>
      <c r="M208" t="s">
        <v>22</v>
      </c>
      <c r="N208" t="s">
        <v>40</v>
      </c>
    </row>
    <row r="209" spans="1:14" x14ac:dyDescent="0.35">
      <c r="A209">
        <v>1079</v>
      </c>
      <c r="B209" s="1">
        <v>45144</v>
      </c>
      <c r="C209" t="s">
        <v>24</v>
      </c>
      <c r="D209" t="s">
        <v>15</v>
      </c>
      <c r="E209">
        <v>1107.8599999999999</v>
      </c>
      <c r="F209">
        <v>45</v>
      </c>
      <c r="G209" t="s">
        <v>29</v>
      </c>
      <c r="H209">
        <v>1406.9</v>
      </c>
      <c r="I209">
        <v>1547.35</v>
      </c>
      <c r="J209" t="s">
        <v>30</v>
      </c>
      <c r="K209">
        <v>0.17</v>
      </c>
      <c r="L209" t="s">
        <v>18</v>
      </c>
      <c r="M209" t="s">
        <v>22</v>
      </c>
      <c r="N209" t="s">
        <v>45</v>
      </c>
    </row>
    <row r="210" spans="1:14" x14ac:dyDescent="0.35">
      <c r="A210">
        <v>1059</v>
      </c>
      <c r="B210" s="1">
        <v>45067</v>
      </c>
      <c r="C210" t="s">
        <v>42</v>
      </c>
      <c r="D210" t="s">
        <v>15</v>
      </c>
      <c r="E210">
        <v>5108.9799999999996</v>
      </c>
      <c r="F210">
        <v>37</v>
      </c>
      <c r="G210" t="s">
        <v>35</v>
      </c>
      <c r="H210">
        <v>4146.99</v>
      </c>
      <c r="I210">
        <v>4172.3499999999904</v>
      </c>
      <c r="J210" t="s">
        <v>17</v>
      </c>
      <c r="K210">
        <v>0.06</v>
      </c>
      <c r="L210" t="s">
        <v>18</v>
      </c>
      <c r="M210" t="s">
        <v>22</v>
      </c>
      <c r="N210" t="s">
        <v>49</v>
      </c>
    </row>
    <row r="211" spans="1:14" x14ac:dyDescent="0.35">
      <c r="A211">
        <v>1032</v>
      </c>
      <c r="B211" s="1">
        <v>45030</v>
      </c>
      <c r="C211" t="s">
        <v>24</v>
      </c>
      <c r="D211" t="s">
        <v>15</v>
      </c>
      <c r="E211">
        <v>2286.44</v>
      </c>
      <c r="F211">
        <v>45</v>
      </c>
      <c r="G211" t="s">
        <v>29</v>
      </c>
      <c r="H211">
        <v>3712.35</v>
      </c>
      <c r="I211">
        <v>3780.88</v>
      </c>
      <c r="J211" t="s">
        <v>30</v>
      </c>
      <c r="K211">
        <v>7.0000000000000007E-2</v>
      </c>
      <c r="L211" t="s">
        <v>18</v>
      </c>
      <c r="M211" t="s">
        <v>22</v>
      </c>
      <c r="N211" t="s">
        <v>45</v>
      </c>
    </row>
    <row r="212" spans="1:14" x14ac:dyDescent="0.35">
      <c r="A212">
        <v>1096</v>
      </c>
      <c r="B212" s="1">
        <v>45136</v>
      </c>
      <c r="C212" t="s">
        <v>33</v>
      </c>
      <c r="D212" t="s">
        <v>21</v>
      </c>
      <c r="E212">
        <v>485.41</v>
      </c>
      <c r="F212">
        <v>38</v>
      </c>
      <c r="G212" t="s">
        <v>35</v>
      </c>
      <c r="H212">
        <v>3955.66</v>
      </c>
      <c r="I212">
        <v>4270.59</v>
      </c>
      <c r="J212" t="s">
        <v>17</v>
      </c>
      <c r="K212">
        <v>0.15</v>
      </c>
      <c r="L212" t="s">
        <v>31</v>
      </c>
      <c r="M212" t="s">
        <v>19</v>
      </c>
      <c r="N212" t="s">
        <v>37</v>
      </c>
    </row>
    <row r="213" spans="1:14" x14ac:dyDescent="0.35">
      <c r="A213">
        <v>1088</v>
      </c>
      <c r="B213" s="1">
        <v>45037</v>
      </c>
      <c r="C213" t="s">
        <v>33</v>
      </c>
      <c r="D213" t="s">
        <v>34</v>
      </c>
      <c r="E213">
        <v>456.59</v>
      </c>
      <c r="F213">
        <v>29</v>
      </c>
      <c r="G213" t="s">
        <v>16</v>
      </c>
      <c r="H213">
        <v>639.58000000000004</v>
      </c>
      <c r="I213">
        <v>1107.45</v>
      </c>
      <c r="J213" t="s">
        <v>30</v>
      </c>
      <c r="K213">
        <v>0.28999999999999998</v>
      </c>
      <c r="L213" t="s">
        <v>18</v>
      </c>
      <c r="M213" t="s">
        <v>22</v>
      </c>
      <c r="N213" t="s">
        <v>36</v>
      </c>
    </row>
    <row r="214" spans="1:14" x14ac:dyDescent="0.35">
      <c r="A214">
        <v>1052</v>
      </c>
      <c r="B214" s="1">
        <v>45030</v>
      </c>
      <c r="C214" t="s">
        <v>24</v>
      </c>
      <c r="D214" t="s">
        <v>15</v>
      </c>
      <c r="E214">
        <v>1834.7</v>
      </c>
      <c r="F214">
        <v>5</v>
      </c>
      <c r="G214" t="s">
        <v>16</v>
      </c>
      <c r="H214">
        <v>745.71</v>
      </c>
      <c r="I214">
        <v>856.91</v>
      </c>
      <c r="J214" t="s">
        <v>17</v>
      </c>
      <c r="K214">
        <v>0.23</v>
      </c>
      <c r="L214" t="s">
        <v>27</v>
      </c>
      <c r="M214" t="s">
        <v>22</v>
      </c>
      <c r="N214" t="s">
        <v>45</v>
      </c>
    </row>
    <row r="215" spans="1:14" x14ac:dyDescent="0.35">
      <c r="A215">
        <v>1062</v>
      </c>
      <c r="B215" s="1">
        <v>45242</v>
      </c>
      <c r="C215" t="s">
        <v>38</v>
      </c>
      <c r="D215" t="s">
        <v>25</v>
      </c>
      <c r="E215">
        <v>8681.0300000000007</v>
      </c>
      <c r="F215">
        <v>9</v>
      </c>
      <c r="G215" t="s">
        <v>35</v>
      </c>
      <c r="H215">
        <v>1468.05</v>
      </c>
      <c r="I215">
        <v>1838.21</v>
      </c>
      <c r="J215" t="s">
        <v>30</v>
      </c>
      <c r="K215">
        <v>0.15</v>
      </c>
      <c r="L215" t="s">
        <v>27</v>
      </c>
      <c r="M215" t="s">
        <v>22</v>
      </c>
      <c r="N215" t="s">
        <v>39</v>
      </c>
    </row>
    <row r="216" spans="1:14" x14ac:dyDescent="0.35">
      <c r="A216">
        <v>1058</v>
      </c>
      <c r="B216" s="1">
        <v>45097</v>
      </c>
      <c r="C216" t="s">
        <v>38</v>
      </c>
      <c r="D216" t="s">
        <v>21</v>
      </c>
      <c r="E216">
        <v>2896.54</v>
      </c>
      <c r="F216">
        <v>48</v>
      </c>
      <c r="G216" t="s">
        <v>29</v>
      </c>
      <c r="H216">
        <v>2614.48</v>
      </c>
      <c r="I216">
        <v>3049.04</v>
      </c>
      <c r="J216" t="s">
        <v>30</v>
      </c>
      <c r="K216">
        <v>0.1</v>
      </c>
      <c r="L216" t="s">
        <v>31</v>
      </c>
      <c r="M216" t="s">
        <v>22</v>
      </c>
      <c r="N216" t="s">
        <v>41</v>
      </c>
    </row>
    <row r="217" spans="1:14" x14ac:dyDescent="0.35">
      <c r="A217">
        <v>1052</v>
      </c>
      <c r="B217" s="1">
        <v>45282</v>
      </c>
      <c r="C217" t="s">
        <v>33</v>
      </c>
      <c r="D217" t="s">
        <v>21</v>
      </c>
      <c r="E217">
        <v>9509.5499999999993</v>
      </c>
      <c r="F217">
        <v>2</v>
      </c>
      <c r="G217" t="s">
        <v>16</v>
      </c>
      <c r="H217">
        <v>3752.68</v>
      </c>
      <c r="I217">
        <v>4017.91</v>
      </c>
      <c r="J217" t="s">
        <v>17</v>
      </c>
      <c r="K217">
        <v>0.16</v>
      </c>
      <c r="L217" t="s">
        <v>27</v>
      </c>
      <c r="M217" t="s">
        <v>19</v>
      </c>
      <c r="N217" t="s">
        <v>37</v>
      </c>
    </row>
    <row r="218" spans="1:14" x14ac:dyDescent="0.35">
      <c r="A218">
        <v>1012</v>
      </c>
      <c r="B218" s="1">
        <v>45250</v>
      </c>
      <c r="C218" t="s">
        <v>14</v>
      </c>
      <c r="D218" t="s">
        <v>15</v>
      </c>
      <c r="E218">
        <v>5858.06</v>
      </c>
      <c r="F218">
        <v>1</v>
      </c>
      <c r="G218" t="s">
        <v>26</v>
      </c>
      <c r="H218">
        <v>4190.83</v>
      </c>
      <c r="I218">
        <v>4528.7699999999904</v>
      </c>
      <c r="J218" t="s">
        <v>17</v>
      </c>
      <c r="K218">
        <v>0.22</v>
      </c>
      <c r="L218" t="s">
        <v>27</v>
      </c>
      <c r="M218" t="s">
        <v>19</v>
      </c>
      <c r="N218" t="s">
        <v>20</v>
      </c>
    </row>
    <row r="219" spans="1:14" x14ac:dyDescent="0.35">
      <c r="A219">
        <v>1039</v>
      </c>
      <c r="B219" s="1">
        <v>45059</v>
      </c>
      <c r="C219" t="s">
        <v>38</v>
      </c>
      <c r="D219" t="s">
        <v>21</v>
      </c>
      <c r="E219">
        <v>4422.4799999999996</v>
      </c>
      <c r="F219">
        <v>40</v>
      </c>
      <c r="G219" t="s">
        <v>16</v>
      </c>
      <c r="H219">
        <v>3536.46</v>
      </c>
      <c r="I219">
        <v>3945.82</v>
      </c>
      <c r="J219" t="s">
        <v>30</v>
      </c>
      <c r="K219">
        <v>0.24</v>
      </c>
      <c r="L219" t="s">
        <v>27</v>
      </c>
      <c r="M219" t="s">
        <v>19</v>
      </c>
      <c r="N219" t="s">
        <v>41</v>
      </c>
    </row>
    <row r="220" spans="1:14" x14ac:dyDescent="0.35">
      <c r="A220">
        <v>1002</v>
      </c>
      <c r="B220" s="1">
        <v>45219</v>
      </c>
      <c r="C220" t="s">
        <v>24</v>
      </c>
      <c r="D220" t="s">
        <v>15</v>
      </c>
      <c r="E220">
        <v>5842.88</v>
      </c>
      <c r="F220">
        <v>30</v>
      </c>
      <c r="G220" t="s">
        <v>29</v>
      </c>
      <c r="H220">
        <v>4646.55</v>
      </c>
      <c r="I220">
        <v>4784.28</v>
      </c>
      <c r="J220" t="s">
        <v>17</v>
      </c>
      <c r="K220">
        <v>0.1</v>
      </c>
      <c r="L220" t="s">
        <v>31</v>
      </c>
      <c r="M220" t="s">
        <v>22</v>
      </c>
      <c r="N220" t="s">
        <v>45</v>
      </c>
    </row>
    <row r="221" spans="1:14" x14ac:dyDescent="0.35">
      <c r="A221">
        <v>1003</v>
      </c>
      <c r="B221" s="1">
        <v>45254</v>
      </c>
      <c r="C221" t="s">
        <v>38</v>
      </c>
      <c r="D221" t="s">
        <v>34</v>
      </c>
      <c r="E221">
        <v>5215.3100000000004</v>
      </c>
      <c r="F221">
        <v>11</v>
      </c>
      <c r="G221" t="s">
        <v>26</v>
      </c>
      <c r="H221">
        <v>3706.78</v>
      </c>
      <c r="I221">
        <v>3862.26</v>
      </c>
      <c r="J221" t="s">
        <v>30</v>
      </c>
      <c r="K221">
        <v>0.22</v>
      </c>
      <c r="L221" t="s">
        <v>31</v>
      </c>
      <c r="M221" t="s">
        <v>22</v>
      </c>
      <c r="N221" t="s">
        <v>48</v>
      </c>
    </row>
    <row r="222" spans="1:14" x14ac:dyDescent="0.35">
      <c r="A222">
        <v>1056</v>
      </c>
      <c r="B222" s="1">
        <v>45053</v>
      </c>
      <c r="C222" t="s">
        <v>24</v>
      </c>
      <c r="D222" t="s">
        <v>34</v>
      </c>
      <c r="E222">
        <v>7611.88</v>
      </c>
      <c r="F222">
        <v>28</v>
      </c>
      <c r="G222" t="s">
        <v>29</v>
      </c>
      <c r="H222">
        <v>1566.03</v>
      </c>
      <c r="I222">
        <v>1576.34</v>
      </c>
      <c r="J222" t="s">
        <v>17</v>
      </c>
      <c r="K222">
        <v>0.2</v>
      </c>
      <c r="L222" t="s">
        <v>27</v>
      </c>
      <c r="M222" t="s">
        <v>19</v>
      </c>
      <c r="N222" t="s">
        <v>50</v>
      </c>
    </row>
    <row r="223" spans="1:14" x14ac:dyDescent="0.35">
      <c r="A223">
        <v>1081</v>
      </c>
      <c r="B223" s="1">
        <v>45032</v>
      </c>
      <c r="C223" t="s">
        <v>33</v>
      </c>
      <c r="D223" t="s">
        <v>21</v>
      </c>
      <c r="E223">
        <v>2896.71</v>
      </c>
      <c r="F223">
        <v>44</v>
      </c>
      <c r="G223" t="s">
        <v>35</v>
      </c>
      <c r="H223">
        <v>1362.15</v>
      </c>
      <c r="I223">
        <v>1844.07</v>
      </c>
      <c r="J223" t="s">
        <v>30</v>
      </c>
      <c r="K223">
        <v>0.28999999999999998</v>
      </c>
      <c r="L223" t="s">
        <v>31</v>
      </c>
      <c r="M223" t="s">
        <v>19</v>
      </c>
      <c r="N223" t="s">
        <v>37</v>
      </c>
    </row>
    <row r="224" spans="1:14" x14ac:dyDescent="0.35">
      <c r="A224">
        <v>1059</v>
      </c>
      <c r="B224" s="1">
        <v>45018</v>
      </c>
      <c r="C224" t="s">
        <v>38</v>
      </c>
      <c r="D224" t="s">
        <v>21</v>
      </c>
      <c r="E224">
        <v>3595.2</v>
      </c>
      <c r="F224">
        <v>12</v>
      </c>
      <c r="G224" t="s">
        <v>26</v>
      </c>
      <c r="H224">
        <v>3496.15</v>
      </c>
      <c r="I224">
        <v>3955.75</v>
      </c>
      <c r="J224" t="s">
        <v>17</v>
      </c>
      <c r="K224">
        <v>0.28000000000000003</v>
      </c>
      <c r="L224" t="s">
        <v>18</v>
      </c>
      <c r="M224" t="s">
        <v>22</v>
      </c>
      <c r="N224" t="s">
        <v>41</v>
      </c>
    </row>
    <row r="225" spans="1:14" x14ac:dyDescent="0.35">
      <c r="A225">
        <v>1002</v>
      </c>
      <c r="B225" s="1">
        <v>45213</v>
      </c>
      <c r="C225" t="s">
        <v>24</v>
      </c>
      <c r="D225" t="s">
        <v>25</v>
      </c>
      <c r="E225">
        <v>8951.5300000000007</v>
      </c>
      <c r="F225">
        <v>39</v>
      </c>
      <c r="G225" t="s">
        <v>29</v>
      </c>
      <c r="H225">
        <v>1004.71</v>
      </c>
      <c r="I225">
        <v>1389.35</v>
      </c>
      <c r="J225" t="s">
        <v>30</v>
      </c>
      <c r="K225">
        <v>0.24</v>
      </c>
      <c r="L225" t="s">
        <v>27</v>
      </c>
      <c r="M225" t="s">
        <v>19</v>
      </c>
      <c r="N225" t="s">
        <v>28</v>
      </c>
    </row>
    <row r="226" spans="1:14" x14ac:dyDescent="0.35">
      <c r="A226">
        <v>1002</v>
      </c>
      <c r="B226" s="1">
        <v>44977</v>
      </c>
      <c r="C226" t="s">
        <v>33</v>
      </c>
      <c r="D226" t="s">
        <v>21</v>
      </c>
      <c r="E226">
        <v>9469.92</v>
      </c>
      <c r="F226">
        <v>26</v>
      </c>
      <c r="G226" t="s">
        <v>26</v>
      </c>
      <c r="H226">
        <v>508.94</v>
      </c>
      <c r="I226">
        <v>557.69000000000005</v>
      </c>
      <c r="J226" t="s">
        <v>30</v>
      </c>
      <c r="K226">
        <v>0.22</v>
      </c>
      <c r="L226" t="s">
        <v>31</v>
      </c>
      <c r="M226" t="s">
        <v>22</v>
      </c>
      <c r="N226" t="s">
        <v>37</v>
      </c>
    </row>
    <row r="227" spans="1:14" x14ac:dyDescent="0.35">
      <c r="A227">
        <v>1092</v>
      </c>
      <c r="B227" s="1">
        <v>44955</v>
      </c>
      <c r="C227" t="s">
        <v>14</v>
      </c>
      <c r="D227" t="s">
        <v>25</v>
      </c>
      <c r="E227">
        <v>8936.33</v>
      </c>
      <c r="F227">
        <v>13</v>
      </c>
      <c r="G227" t="s">
        <v>29</v>
      </c>
      <c r="H227">
        <v>2684.5</v>
      </c>
      <c r="I227">
        <v>2913.78</v>
      </c>
      <c r="J227" t="s">
        <v>30</v>
      </c>
      <c r="K227">
        <v>0.08</v>
      </c>
      <c r="L227" t="s">
        <v>31</v>
      </c>
      <c r="M227" t="s">
        <v>22</v>
      </c>
      <c r="N227" t="s">
        <v>32</v>
      </c>
    </row>
    <row r="228" spans="1:14" x14ac:dyDescent="0.35">
      <c r="A228">
        <v>1054</v>
      </c>
      <c r="B228" s="1">
        <v>45222</v>
      </c>
      <c r="C228" t="s">
        <v>24</v>
      </c>
      <c r="D228" t="s">
        <v>34</v>
      </c>
      <c r="E228">
        <v>4252.54</v>
      </c>
      <c r="F228">
        <v>8</v>
      </c>
      <c r="G228" t="s">
        <v>26</v>
      </c>
      <c r="H228">
        <v>4117.13</v>
      </c>
      <c r="I228">
        <v>4177.0600000000004</v>
      </c>
      <c r="J228" t="s">
        <v>17</v>
      </c>
      <c r="K228">
        <v>0.25</v>
      </c>
      <c r="L228" t="s">
        <v>27</v>
      </c>
      <c r="M228" t="s">
        <v>22</v>
      </c>
      <c r="N228" t="s">
        <v>50</v>
      </c>
    </row>
    <row r="229" spans="1:14" x14ac:dyDescent="0.35">
      <c r="A229">
        <v>1087</v>
      </c>
      <c r="B229" s="1">
        <v>45223</v>
      </c>
      <c r="C229" t="s">
        <v>14</v>
      </c>
      <c r="D229" t="s">
        <v>34</v>
      </c>
      <c r="E229">
        <v>7825.62</v>
      </c>
      <c r="F229">
        <v>28</v>
      </c>
      <c r="G229" t="s">
        <v>29</v>
      </c>
      <c r="H229">
        <v>551.83000000000004</v>
      </c>
      <c r="I229">
        <v>569.63</v>
      </c>
      <c r="J229" t="s">
        <v>30</v>
      </c>
      <c r="K229">
        <v>0.13</v>
      </c>
      <c r="L229" t="s">
        <v>31</v>
      </c>
      <c r="M229" t="s">
        <v>22</v>
      </c>
      <c r="N229" t="s">
        <v>46</v>
      </c>
    </row>
    <row r="230" spans="1:14" x14ac:dyDescent="0.35">
      <c r="A230">
        <v>1096</v>
      </c>
      <c r="B230" s="1">
        <v>45140</v>
      </c>
      <c r="C230" t="s">
        <v>14</v>
      </c>
      <c r="D230" t="s">
        <v>15</v>
      </c>
      <c r="E230">
        <v>4815.72</v>
      </c>
      <c r="F230">
        <v>30</v>
      </c>
      <c r="G230" t="s">
        <v>35</v>
      </c>
      <c r="H230">
        <v>3969.86</v>
      </c>
      <c r="I230">
        <v>4281.79</v>
      </c>
      <c r="J230" t="s">
        <v>17</v>
      </c>
      <c r="K230">
        <v>0.08</v>
      </c>
      <c r="L230" t="s">
        <v>27</v>
      </c>
      <c r="M230" t="s">
        <v>22</v>
      </c>
      <c r="N230" t="s">
        <v>20</v>
      </c>
    </row>
    <row r="231" spans="1:14" x14ac:dyDescent="0.35">
      <c r="A231">
        <v>1097</v>
      </c>
      <c r="B231" s="1">
        <v>45193</v>
      </c>
      <c r="C231" t="s">
        <v>42</v>
      </c>
      <c r="D231" t="s">
        <v>34</v>
      </c>
      <c r="E231">
        <v>5025.6400000000003</v>
      </c>
      <c r="F231">
        <v>9</v>
      </c>
      <c r="G231" t="s">
        <v>26</v>
      </c>
      <c r="H231">
        <v>4067.28</v>
      </c>
      <c r="I231">
        <v>4548.09</v>
      </c>
      <c r="J231" t="s">
        <v>17</v>
      </c>
      <c r="K231">
        <v>0.12</v>
      </c>
      <c r="L231" t="s">
        <v>31</v>
      </c>
      <c r="M231" t="s">
        <v>22</v>
      </c>
      <c r="N231" t="s">
        <v>52</v>
      </c>
    </row>
    <row r="232" spans="1:14" x14ac:dyDescent="0.35">
      <c r="A232">
        <v>1001</v>
      </c>
      <c r="B232" s="1">
        <v>45183</v>
      </c>
      <c r="C232" t="s">
        <v>38</v>
      </c>
      <c r="D232" t="s">
        <v>25</v>
      </c>
      <c r="E232">
        <v>2126.33</v>
      </c>
      <c r="F232">
        <v>39</v>
      </c>
      <c r="G232" t="s">
        <v>26</v>
      </c>
      <c r="H232">
        <v>2437.2600000000002</v>
      </c>
      <c r="I232">
        <v>2889.67</v>
      </c>
      <c r="J232" t="s">
        <v>17</v>
      </c>
      <c r="K232">
        <v>0.25</v>
      </c>
      <c r="L232" t="s">
        <v>18</v>
      </c>
      <c r="M232" t="s">
        <v>19</v>
      </c>
      <c r="N232" t="s">
        <v>39</v>
      </c>
    </row>
    <row r="233" spans="1:14" x14ac:dyDescent="0.35">
      <c r="A233">
        <v>1019</v>
      </c>
      <c r="B233" s="1">
        <v>45228</v>
      </c>
      <c r="C233" t="s">
        <v>24</v>
      </c>
      <c r="D233" t="s">
        <v>21</v>
      </c>
      <c r="E233">
        <v>5952.19</v>
      </c>
      <c r="F233">
        <v>31</v>
      </c>
      <c r="G233" t="s">
        <v>26</v>
      </c>
      <c r="H233">
        <v>333.69</v>
      </c>
      <c r="I233">
        <v>685.1</v>
      </c>
      <c r="J233" t="s">
        <v>30</v>
      </c>
      <c r="K233">
        <v>0.04</v>
      </c>
      <c r="L233" t="s">
        <v>27</v>
      </c>
      <c r="M233" t="s">
        <v>19</v>
      </c>
      <c r="N233" t="s">
        <v>47</v>
      </c>
    </row>
    <row r="234" spans="1:14" x14ac:dyDescent="0.35">
      <c r="A234">
        <v>1002</v>
      </c>
      <c r="B234" s="1">
        <v>45027</v>
      </c>
      <c r="C234" t="s">
        <v>14</v>
      </c>
      <c r="D234" t="s">
        <v>15</v>
      </c>
      <c r="E234">
        <v>1942.75</v>
      </c>
      <c r="F234">
        <v>21</v>
      </c>
      <c r="G234" t="s">
        <v>26</v>
      </c>
      <c r="H234">
        <v>914.22</v>
      </c>
      <c r="I234">
        <v>971.57</v>
      </c>
      <c r="J234" t="s">
        <v>17</v>
      </c>
      <c r="K234">
        <v>0.14000000000000001</v>
      </c>
      <c r="L234" t="s">
        <v>18</v>
      </c>
      <c r="M234" t="s">
        <v>19</v>
      </c>
      <c r="N234" t="s">
        <v>20</v>
      </c>
    </row>
    <row r="235" spans="1:14" x14ac:dyDescent="0.35">
      <c r="A235">
        <v>1053</v>
      </c>
      <c r="B235" s="1">
        <v>45272</v>
      </c>
      <c r="C235" t="s">
        <v>42</v>
      </c>
      <c r="D235" t="s">
        <v>25</v>
      </c>
      <c r="E235">
        <v>3382.49</v>
      </c>
      <c r="F235">
        <v>47</v>
      </c>
      <c r="G235" t="s">
        <v>35</v>
      </c>
      <c r="H235">
        <v>3551.76</v>
      </c>
      <c r="I235">
        <v>3696.1</v>
      </c>
      <c r="J235" t="s">
        <v>17</v>
      </c>
      <c r="K235">
        <v>0.15</v>
      </c>
      <c r="L235" t="s">
        <v>27</v>
      </c>
      <c r="M235" t="s">
        <v>22</v>
      </c>
      <c r="N235" t="s">
        <v>43</v>
      </c>
    </row>
    <row r="236" spans="1:14" x14ac:dyDescent="0.35">
      <c r="A236">
        <v>1044</v>
      </c>
      <c r="B236" s="1">
        <v>45036</v>
      </c>
      <c r="C236" t="s">
        <v>33</v>
      </c>
      <c r="D236" t="s">
        <v>21</v>
      </c>
      <c r="E236">
        <v>8564.7999999999993</v>
      </c>
      <c r="F236">
        <v>34</v>
      </c>
      <c r="G236" t="s">
        <v>26</v>
      </c>
      <c r="H236">
        <v>3573.3</v>
      </c>
      <c r="I236">
        <v>3740.13</v>
      </c>
      <c r="J236" t="s">
        <v>17</v>
      </c>
      <c r="K236">
        <v>0.01</v>
      </c>
      <c r="L236" t="s">
        <v>31</v>
      </c>
      <c r="M236" t="s">
        <v>19</v>
      </c>
      <c r="N236" t="s">
        <v>37</v>
      </c>
    </row>
    <row r="237" spans="1:14" x14ac:dyDescent="0.35">
      <c r="A237">
        <v>1090</v>
      </c>
      <c r="B237" s="1">
        <v>45108</v>
      </c>
      <c r="C237" t="s">
        <v>24</v>
      </c>
      <c r="D237" t="s">
        <v>15</v>
      </c>
      <c r="E237">
        <v>2150.0500000000002</v>
      </c>
      <c r="F237">
        <v>31</v>
      </c>
      <c r="G237" t="s">
        <v>16</v>
      </c>
      <c r="H237">
        <v>4496.8599999999997</v>
      </c>
      <c r="I237">
        <v>4880.7999999999902</v>
      </c>
      <c r="J237" t="s">
        <v>30</v>
      </c>
      <c r="K237">
        <v>0.06</v>
      </c>
      <c r="L237" t="s">
        <v>18</v>
      </c>
      <c r="M237" t="s">
        <v>22</v>
      </c>
      <c r="N237" t="s">
        <v>45</v>
      </c>
    </row>
    <row r="238" spans="1:14" x14ac:dyDescent="0.35">
      <c r="A238">
        <v>1032</v>
      </c>
      <c r="B238" s="1">
        <v>45239</v>
      </c>
      <c r="C238" t="s">
        <v>14</v>
      </c>
      <c r="D238" t="s">
        <v>34</v>
      </c>
      <c r="E238">
        <v>804.47</v>
      </c>
      <c r="F238">
        <v>25</v>
      </c>
      <c r="G238" t="s">
        <v>35</v>
      </c>
      <c r="H238">
        <v>2934.3</v>
      </c>
      <c r="I238">
        <v>3337.4</v>
      </c>
      <c r="J238" t="s">
        <v>17</v>
      </c>
      <c r="K238">
        <v>0.25</v>
      </c>
      <c r="L238" t="s">
        <v>31</v>
      </c>
      <c r="M238" t="s">
        <v>22</v>
      </c>
      <c r="N238" t="s">
        <v>46</v>
      </c>
    </row>
    <row r="239" spans="1:14" x14ac:dyDescent="0.35">
      <c r="A239">
        <v>1070</v>
      </c>
      <c r="B239" s="1">
        <v>44927</v>
      </c>
      <c r="C239" t="s">
        <v>38</v>
      </c>
      <c r="D239" t="s">
        <v>25</v>
      </c>
      <c r="E239">
        <v>783.18</v>
      </c>
      <c r="F239">
        <v>12</v>
      </c>
      <c r="G239" t="s">
        <v>16</v>
      </c>
      <c r="H239">
        <v>664.33</v>
      </c>
      <c r="I239">
        <v>863.03</v>
      </c>
      <c r="J239" t="s">
        <v>17</v>
      </c>
      <c r="K239">
        <v>0.25</v>
      </c>
      <c r="L239" t="s">
        <v>27</v>
      </c>
      <c r="M239" t="s">
        <v>22</v>
      </c>
      <c r="N239" t="s">
        <v>39</v>
      </c>
    </row>
    <row r="240" spans="1:14" x14ac:dyDescent="0.35">
      <c r="A240">
        <v>1032</v>
      </c>
      <c r="B240" s="1">
        <v>45245</v>
      </c>
      <c r="C240" t="s">
        <v>42</v>
      </c>
      <c r="D240" t="s">
        <v>21</v>
      </c>
      <c r="E240">
        <v>9413.77</v>
      </c>
      <c r="F240">
        <v>1</v>
      </c>
      <c r="G240" t="s">
        <v>26</v>
      </c>
      <c r="H240">
        <v>651</v>
      </c>
      <c r="I240">
        <v>865.76</v>
      </c>
      <c r="J240" t="s">
        <v>17</v>
      </c>
      <c r="K240">
        <v>0.09</v>
      </c>
      <c r="L240" t="s">
        <v>27</v>
      </c>
      <c r="M240" t="s">
        <v>22</v>
      </c>
      <c r="N240" t="s">
        <v>51</v>
      </c>
    </row>
    <row r="241" spans="1:14" x14ac:dyDescent="0.35">
      <c r="A241">
        <v>1068</v>
      </c>
      <c r="B241" s="1">
        <v>44981</v>
      </c>
      <c r="C241" t="s">
        <v>14</v>
      </c>
      <c r="D241" t="s">
        <v>15</v>
      </c>
      <c r="E241">
        <v>5118.51</v>
      </c>
      <c r="F241">
        <v>22</v>
      </c>
      <c r="G241" t="s">
        <v>29</v>
      </c>
      <c r="H241">
        <v>3619.61</v>
      </c>
      <c r="I241">
        <v>3651.42</v>
      </c>
      <c r="J241" t="s">
        <v>17</v>
      </c>
      <c r="K241">
        <v>0.26</v>
      </c>
      <c r="L241" t="s">
        <v>27</v>
      </c>
      <c r="M241" t="s">
        <v>19</v>
      </c>
      <c r="N241" t="s">
        <v>20</v>
      </c>
    </row>
    <row r="242" spans="1:14" x14ac:dyDescent="0.35">
      <c r="A242">
        <v>1055</v>
      </c>
      <c r="B242" s="1">
        <v>45075</v>
      </c>
      <c r="C242" t="s">
        <v>38</v>
      </c>
      <c r="D242" t="s">
        <v>15</v>
      </c>
      <c r="E242">
        <v>4153.18</v>
      </c>
      <c r="F242">
        <v>40</v>
      </c>
      <c r="G242" t="s">
        <v>16</v>
      </c>
      <c r="H242">
        <v>959.73</v>
      </c>
      <c r="I242">
        <v>1111.4100000000001</v>
      </c>
      <c r="J242" t="s">
        <v>30</v>
      </c>
      <c r="K242">
        <v>0.23</v>
      </c>
      <c r="L242" t="s">
        <v>27</v>
      </c>
      <c r="M242" t="s">
        <v>19</v>
      </c>
      <c r="N242" t="s">
        <v>40</v>
      </c>
    </row>
    <row r="243" spans="1:14" x14ac:dyDescent="0.35">
      <c r="A243">
        <v>1075</v>
      </c>
      <c r="B243" s="1">
        <v>45235</v>
      </c>
      <c r="C243" t="s">
        <v>14</v>
      </c>
      <c r="D243" t="s">
        <v>34</v>
      </c>
      <c r="E243">
        <v>8127.7</v>
      </c>
      <c r="F243">
        <v>37</v>
      </c>
      <c r="G243" t="s">
        <v>26</v>
      </c>
      <c r="H243">
        <v>1675.51</v>
      </c>
      <c r="I243">
        <v>1906.6399999999901</v>
      </c>
      <c r="J243" t="s">
        <v>30</v>
      </c>
      <c r="K243">
        <v>0.13</v>
      </c>
      <c r="L243" t="s">
        <v>27</v>
      </c>
      <c r="M243" t="s">
        <v>19</v>
      </c>
      <c r="N243" t="s">
        <v>46</v>
      </c>
    </row>
    <row r="244" spans="1:14" x14ac:dyDescent="0.35">
      <c r="A244">
        <v>1056</v>
      </c>
      <c r="B244" s="1">
        <v>45063</v>
      </c>
      <c r="C244" t="s">
        <v>24</v>
      </c>
      <c r="D244" t="s">
        <v>21</v>
      </c>
      <c r="E244">
        <v>8374.68</v>
      </c>
      <c r="F244">
        <v>47</v>
      </c>
      <c r="G244" t="s">
        <v>16</v>
      </c>
      <c r="H244">
        <v>2461.6999999999998</v>
      </c>
      <c r="I244">
        <v>2529.02</v>
      </c>
      <c r="J244" t="s">
        <v>17</v>
      </c>
      <c r="K244">
        <v>0.22</v>
      </c>
      <c r="L244" t="s">
        <v>18</v>
      </c>
      <c r="M244" t="s">
        <v>22</v>
      </c>
      <c r="N244" t="s">
        <v>47</v>
      </c>
    </row>
    <row r="245" spans="1:14" x14ac:dyDescent="0.35">
      <c r="A245">
        <v>1017</v>
      </c>
      <c r="B245" s="1">
        <v>45128</v>
      </c>
      <c r="C245" t="s">
        <v>24</v>
      </c>
      <c r="D245" t="s">
        <v>34</v>
      </c>
      <c r="E245">
        <v>3388.69</v>
      </c>
      <c r="F245">
        <v>1</v>
      </c>
      <c r="G245" t="s">
        <v>26</v>
      </c>
      <c r="H245">
        <v>172.59</v>
      </c>
      <c r="I245">
        <v>404.69</v>
      </c>
      <c r="J245" t="s">
        <v>17</v>
      </c>
      <c r="K245">
        <v>0.28999999999999998</v>
      </c>
      <c r="L245" t="s">
        <v>27</v>
      </c>
      <c r="M245" t="s">
        <v>19</v>
      </c>
      <c r="N245" t="s">
        <v>50</v>
      </c>
    </row>
    <row r="246" spans="1:14" x14ac:dyDescent="0.35">
      <c r="A246">
        <v>1038</v>
      </c>
      <c r="B246" s="1">
        <v>45239</v>
      </c>
      <c r="C246" t="s">
        <v>24</v>
      </c>
      <c r="D246" t="s">
        <v>34</v>
      </c>
      <c r="E246">
        <v>6966.82</v>
      </c>
      <c r="F246">
        <v>1</v>
      </c>
      <c r="G246" t="s">
        <v>26</v>
      </c>
      <c r="H246">
        <v>1281.6500000000001</v>
      </c>
      <c r="I246">
        <v>1709.71</v>
      </c>
      <c r="J246" t="s">
        <v>17</v>
      </c>
      <c r="K246">
        <v>0.14000000000000001</v>
      </c>
      <c r="L246" t="s">
        <v>31</v>
      </c>
      <c r="M246" t="s">
        <v>19</v>
      </c>
      <c r="N246" t="s">
        <v>50</v>
      </c>
    </row>
    <row r="247" spans="1:14" x14ac:dyDescent="0.35">
      <c r="A247">
        <v>1024</v>
      </c>
      <c r="B247" s="1">
        <v>45043</v>
      </c>
      <c r="C247" t="s">
        <v>42</v>
      </c>
      <c r="D247" t="s">
        <v>21</v>
      </c>
      <c r="E247">
        <v>7734.12</v>
      </c>
      <c r="F247">
        <v>42</v>
      </c>
      <c r="G247" t="s">
        <v>26</v>
      </c>
      <c r="H247">
        <v>2069.0500000000002</v>
      </c>
      <c r="I247">
        <v>2363.9</v>
      </c>
      <c r="J247" t="s">
        <v>17</v>
      </c>
      <c r="K247">
        <v>7.0000000000000007E-2</v>
      </c>
      <c r="L247" t="s">
        <v>18</v>
      </c>
      <c r="M247" t="s">
        <v>19</v>
      </c>
      <c r="N247" t="s">
        <v>51</v>
      </c>
    </row>
    <row r="248" spans="1:14" x14ac:dyDescent="0.35">
      <c r="A248">
        <v>1069</v>
      </c>
      <c r="B248" s="1">
        <v>45080</v>
      </c>
      <c r="C248" t="s">
        <v>24</v>
      </c>
      <c r="D248" t="s">
        <v>21</v>
      </c>
      <c r="E248">
        <v>6581.04</v>
      </c>
      <c r="F248">
        <v>42</v>
      </c>
      <c r="G248" t="s">
        <v>29</v>
      </c>
      <c r="H248">
        <v>1434.2</v>
      </c>
      <c r="I248">
        <v>1482.88</v>
      </c>
      <c r="J248" t="s">
        <v>30</v>
      </c>
      <c r="K248">
        <v>0.28000000000000003</v>
      </c>
      <c r="L248" t="s">
        <v>31</v>
      </c>
      <c r="M248" t="s">
        <v>22</v>
      </c>
      <c r="N248" t="s">
        <v>47</v>
      </c>
    </row>
    <row r="249" spans="1:14" x14ac:dyDescent="0.35">
      <c r="A249">
        <v>1098</v>
      </c>
      <c r="B249" s="1">
        <v>45217</v>
      </c>
      <c r="C249" t="s">
        <v>38</v>
      </c>
      <c r="D249" t="s">
        <v>21</v>
      </c>
      <c r="E249">
        <v>1600.79</v>
      </c>
      <c r="F249">
        <v>21</v>
      </c>
      <c r="G249" t="s">
        <v>16</v>
      </c>
      <c r="H249">
        <v>725.03</v>
      </c>
      <c r="I249">
        <v>828.94999999999902</v>
      </c>
      <c r="J249" t="s">
        <v>30</v>
      </c>
      <c r="K249">
        <v>0.18</v>
      </c>
      <c r="L249" t="s">
        <v>27</v>
      </c>
      <c r="M249" t="s">
        <v>19</v>
      </c>
      <c r="N249" t="s">
        <v>41</v>
      </c>
    </row>
    <row r="250" spans="1:14" x14ac:dyDescent="0.35">
      <c r="A250">
        <v>1070</v>
      </c>
      <c r="B250" s="1">
        <v>44989</v>
      </c>
      <c r="C250" t="s">
        <v>14</v>
      </c>
      <c r="D250" t="s">
        <v>25</v>
      </c>
      <c r="E250">
        <v>8771.24</v>
      </c>
      <c r="F250">
        <v>15</v>
      </c>
      <c r="G250" t="s">
        <v>35</v>
      </c>
      <c r="H250">
        <v>3653.66</v>
      </c>
      <c r="I250">
        <v>3896.19</v>
      </c>
      <c r="J250" t="s">
        <v>30</v>
      </c>
      <c r="K250">
        <v>0.03</v>
      </c>
      <c r="L250" t="s">
        <v>31</v>
      </c>
      <c r="M250" t="s">
        <v>22</v>
      </c>
      <c r="N250" t="s">
        <v>32</v>
      </c>
    </row>
    <row r="251" spans="1:14" x14ac:dyDescent="0.35">
      <c r="A251">
        <v>1086</v>
      </c>
      <c r="B251" s="1">
        <v>45170</v>
      </c>
      <c r="C251" t="s">
        <v>33</v>
      </c>
      <c r="D251" t="s">
        <v>21</v>
      </c>
      <c r="E251">
        <v>5437.04</v>
      </c>
      <c r="F251">
        <v>17</v>
      </c>
      <c r="G251" t="s">
        <v>35</v>
      </c>
      <c r="H251">
        <v>4075.08</v>
      </c>
      <c r="I251">
        <v>4262.21</v>
      </c>
      <c r="J251" t="s">
        <v>30</v>
      </c>
      <c r="K251">
        <v>0.17</v>
      </c>
      <c r="L251" t="s">
        <v>18</v>
      </c>
      <c r="M251" t="s">
        <v>19</v>
      </c>
      <c r="N251" t="s">
        <v>37</v>
      </c>
    </row>
    <row r="252" spans="1:14" x14ac:dyDescent="0.35">
      <c r="A252">
        <v>1011</v>
      </c>
      <c r="B252" s="1">
        <v>44951</v>
      </c>
      <c r="C252" t="s">
        <v>38</v>
      </c>
      <c r="D252" t="s">
        <v>15</v>
      </c>
      <c r="E252">
        <v>2896.48</v>
      </c>
      <c r="F252">
        <v>22</v>
      </c>
      <c r="G252" t="s">
        <v>35</v>
      </c>
      <c r="H252">
        <v>1324.52</v>
      </c>
      <c r="I252">
        <v>1510.3</v>
      </c>
      <c r="J252" t="s">
        <v>17</v>
      </c>
      <c r="K252">
        <v>0.15</v>
      </c>
      <c r="L252" t="s">
        <v>18</v>
      </c>
      <c r="M252" t="s">
        <v>22</v>
      </c>
      <c r="N252" t="s">
        <v>40</v>
      </c>
    </row>
    <row r="253" spans="1:14" x14ac:dyDescent="0.35">
      <c r="A253">
        <v>1016</v>
      </c>
      <c r="B253" s="1">
        <v>45016</v>
      </c>
      <c r="C253" t="s">
        <v>38</v>
      </c>
      <c r="D253" t="s">
        <v>34</v>
      </c>
      <c r="E253">
        <v>4309.76</v>
      </c>
      <c r="F253">
        <v>38</v>
      </c>
      <c r="G253" t="s">
        <v>35</v>
      </c>
      <c r="H253">
        <v>3883.38</v>
      </c>
      <c r="I253">
        <v>4152.72</v>
      </c>
      <c r="J253" t="s">
        <v>17</v>
      </c>
      <c r="K253">
        <v>0.26</v>
      </c>
      <c r="L253" t="s">
        <v>18</v>
      </c>
      <c r="M253" t="s">
        <v>19</v>
      </c>
      <c r="N253" t="s">
        <v>48</v>
      </c>
    </row>
    <row r="254" spans="1:14" x14ac:dyDescent="0.35">
      <c r="A254">
        <v>1097</v>
      </c>
      <c r="B254" s="1">
        <v>45001</v>
      </c>
      <c r="C254" t="s">
        <v>24</v>
      </c>
      <c r="D254" t="s">
        <v>25</v>
      </c>
      <c r="E254">
        <v>471.95</v>
      </c>
      <c r="F254">
        <v>35</v>
      </c>
      <c r="G254" t="s">
        <v>26</v>
      </c>
      <c r="H254">
        <v>1958.49</v>
      </c>
      <c r="I254">
        <v>2254.84</v>
      </c>
      <c r="J254" t="s">
        <v>30</v>
      </c>
      <c r="K254">
        <v>0.16</v>
      </c>
      <c r="L254" t="s">
        <v>31</v>
      </c>
      <c r="M254" t="s">
        <v>19</v>
      </c>
      <c r="N254" t="s">
        <v>28</v>
      </c>
    </row>
    <row r="255" spans="1:14" x14ac:dyDescent="0.35">
      <c r="A255">
        <v>1073</v>
      </c>
      <c r="B255" s="1">
        <v>45220</v>
      </c>
      <c r="C255" t="s">
        <v>42</v>
      </c>
      <c r="D255" t="s">
        <v>21</v>
      </c>
      <c r="E255">
        <v>1365.88</v>
      </c>
      <c r="F255">
        <v>45</v>
      </c>
      <c r="G255" t="s">
        <v>16</v>
      </c>
      <c r="H255">
        <v>2558.09</v>
      </c>
      <c r="I255">
        <v>2958.55</v>
      </c>
      <c r="J255" t="s">
        <v>30</v>
      </c>
      <c r="K255">
        <v>0.08</v>
      </c>
      <c r="L255" t="s">
        <v>18</v>
      </c>
      <c r="M255" t="s">
        <v>19</v>
      </c>
      <c r="N255" t="s">
        <v>51</v>
      </c>
    </row>
    <row r="256" spans="1:14" x14ac:dyDescent="0.35">
      <c r="A256">
        <v>1059</v>
      </c>
      <c r="B256" s="1">
        <v>45136</v>
      </c>
      <c r="C256" t="s">
        <v>14</v>
      </c>
      <c r="D256" t="s">
        <v>25</v>
      </c>
      <c r="E256">
        <v>7678.91</v>
      </c>
      <c r="F256">
        <v>16</v>
      </c>
      <c r="G256" t="s">
        <v>16</v>
      </c>
      <c r="H256">
        <v>4287.21</v>
      </c>
      <c r="I256">
        <v>4464.28</v>
      </c>
      <c r="J256" t="s">
        <v>17</v>
      </c>
      <c r="K256">
        <v>0.2</v>
      </c>
      <c r="L256" t="s">
        <v>31</v>
      </c>
      <c r="M256" t="s">
        <v>22</v>
      </c>
      <c r="N256" t="s">
        <v>32</v>
      </c>
    </row>
    <row r="257" spans="1:14" x14ac:dyDescent="0.35">
      <c r="A257">
        <v>1070</v>
      </c>
      <c r="B257" s="1">
        <v>45273</v>
      </c>
      <c r="C257" t="s">
        <v>42</v>
      </c>
      <c r="D257" t="s">
        <v>21</v>
      </c>
      <c r="E257">
        <v>100.12</v>
      </c>
      <c r="F257">
        <v>8</v>
      </c>
      <c r="G257" t="s">
        <v>29</v>
      </c>
      <c r="H257">
        <v>3762.27</v>
      </c>
      <c r="I257">
        <v>4166.95</v>
      </c>
      <c r="J257" t="s">
        <v>17</v>
      </c>
      <c r="K257">
        <v>0.16</v>
      </c>
      <c r="L257" t="s">
        <v>27</v>
      </c>
      <c r="M257" t="s">
        <v>19</v>
      </c>
      <c r="N257" t="s">
        <v>51</v>
      </c>
    </row>
    <row r="258" spans="1:14" x14ac:dyDescent="0.35">
      <c r="A258">
        <v>1080</v>
      </c>
      <c r="B258" s="1">
        <v>44943</v>
      </c>
      <c r="C258" t="s">
        <v>14</v>
      </c>
      <c r="D258" t="s">
        <v>25</v>
      </c>
      <c r="E258">
        <v>4224</v>
      </c>
      <c r="F258">
        <v>47</v>
      </c>
      <c r="G258" t="s">
        <v>16</v>
      </c>
      <c r="H258">
        <v>4035.33</v>
      </c>
      <c r="I258">
        <v>4211.25</v>
      </c>
      <c r="J258" t="s">
        <v>17</v>
      </c>
      <c r="K258">
        <v>7.0000000000000007E-2</v>
      </c>
      <c r="L258" t="s">
        <v>27</v>
      </c>
      <c r="M258" t="s">
        <v>19</v>
      </c>
      <c r="N258" t="s">
        <v>32</v>
      </c>
    </row>
    <row r="259" spans="1:14" x14ac:dyDescent="0.35">
      <c r="A259">
        <v>1093</v>
      </c>
      <c r="B259" s="1">
        <v>45054</v>
      </c>
      <c r="C259" t="s">
        <v>14</v>
      </c>
      <c r="D259" t="s">
        <v>34</v>
      </c>
      <c r="E259">
        <v>5272.85</v>
      </c>
      <c r="F259">
        <v>17</v>
      </c>
      <c r="G259" t="s">
        <v>16</v>
      </c>
      <c r="H259">
        <v>727.38</v>
      </c>
      <c r="I259">
        <v>764.54</v>
      </c>
      <c r="J259" t="s">
        <v>17</v>
      </c>
      <c r="K259">
        <v>0.17</v>
      </c>
      <c r="L259" t="s">
        <v>31</v>
      </c>
      <c r="M259" t="s">
        <v>22</v>
      </c>
      <c r="N259" t="s">
        <v>46</v>
      </c>
    </row>
    <row r="260" spans="1:14" x14ac:dyDescent="0.35">
      <c r="A260">
        <v>1003</v>
      </c>
      <c r="B260" s="1">
        <v>45290</v>
      </c>
      <c r="C260" t="s">
        <v>42</v>
      </c>
      <c r="D260" t="s">
        <v>34</v>
      </c>
      <c r="E260">
        <v>640.88</v>
      </c>
      <c r="F260">
        <v>17</v>
      </c>
      <c r="G260" t="s">
        <v>16</v>
      </c>
      <c r="H260">
        <v>395.11</v>
      </c>
      <c r="I260">
        <v>676.66</v>
      </c>
      <c r="J260" t="s">
        <v>17</v>
      </c>
      <c r="K260">
        <v>0.25</v>
      </c>
      <c r="L260" t="s">
        <v>18</v>
      </c>
      <c r="M260" t="s">
        <v>22</v>
      </c>
      <c r="N260" t="s">
        <v>52</v>
      </c>
    </row>
    <row r="261" spans="1:14" x14ac:dyDescent="0.35">
      <c r="A261">
        <v>1020</v>
      </c>
      <c r="B261" s="1">
        <v>45177</v>
      </c>
      <c r="C261" t="s">
        <v>38</v>
      </c>
      <c r="D261" t="s">
        <v>15</v>
      </c>
      <c r="E261">
        <v>9733.4699999999993</v>
      </c>
      <c r="F261">
        <v>26</v>
      </c>
      <c r="G261" t="s">
        <v>29</v>
      </c>
      <c r="H261">
        <v>4472.3500000000004</v>
      </c>
      <c r="I261">
        <v>4770.42</v>
      </c>
      <c r="J261" t="s">
        <v>30</v>
      </c>
      <c r="K261">
        <v>0.01</v>
      </c>
      <c r="L261" t="s">
        <v>31</v>
      </c>
      <c r="M261" t="s">
        <v>22</v>
      </c>
      <c r="N261" t="s">
        <v>40</v>
      </c>
    </row>
    <row r="262" spans="1:14" x14ac:dyDescent="0.35">
      <c r="A262">
        <v>1059</v>
      </c>
      <c r="B262" s="1">
        <v>45105</v>
      </c>
      <c r="C262" t="s">
        <v>14</v>
      </c>
      <c r="D262" t="s">
        <v>15</v>
      </c>
      <c r="E262">
        <v>2338.64</v>
      </c>
      <c r="F262">
        <v>13</v>
      </c>
      <c r="G262" t="s">
        <v>35</v>
      </c>
      <c r="H262">
        <v>1969.78</v>
      </c>
      <c r="I262">
        <v>2437.6999999999998</v>
      </c>
      <c r="J262" t="s">
        <v>30</v>
      </c>
      <c r="K262">
        <v>0.19</v>
      </c>
      <c r="L262" t="s">
        <v>31</v>
      </c>
      <c r="M262" t="s">
        <v>22</v>
      </c>
      <c r="N262" t="s">
        <v>20</v>
      </c>
    </row>
    <row r="263" spans="1:14" x14ac:dyDescent="0.35">
      <c r="A263">
        <v>1036</v>
      </c>
      <c r="B263" s="1">
        <v>45108</v>
      </c>
      <c r="C263" t="s">
        <v>42</v>
      </c>
      <c r="D263" t="s">
        <v>21</v>
      </c>
      <c r="E263">
        <v>3111.57</v>
      </c>
      <c r="F263">
        <v>17</v>
      </c>
      <c r="G263" t="s">
        <v>16</v>
      </c>
      <c r="H263">
        <v>1475</v>
      </c>
      <c r="I263">
        <v>1840.77</v>
      </c>
      <c r="J263" t="s">
        <v>17</v>
      </c>
      <c r="K263">
        <v>0.1</v>
      </c>
      <c r="L263" t="s">
        <v>31</v>
      </c>
      <c r="M263" t="s">
        <v>19</v>
      </c>
      <c r="N263" t="s">
        <v>51</v>
      </c>
    </row>
    <row r="264" spans="1:14" x14ac:dyDescent="0.35">
      <c r="A264">
        <v>1019</v>
      </c>
      <c r="B264" s="1">
        <v>45078</v>
      </c>
      <c r="C264" t="s">
        <v>14</v>
      </c>
      <c r="D264" t="s">
        <v>34</v>
      </c>
      <c r="E264">
        <v>3109.03</v>
      </c>
      <c r="F264">
        <v>38</v>
      </c>
      <c r="G264" t="s">
        <v>29</v>
      </c>
      <c r="H264">
        <v>3637.25</v>
      </c>
      <c r="I264">
        <v>4096.96</v>
      </c>
      <c r="J264" t="s">
        <v>17</v>
      </c>
      <c r="K264">
        <v>0.09</v>
      </c>
      <c r="L264" t="s">
        <v>27</v>
      </c>
      <c r="M264" t="s">
        <v>19</v>
      </c>
      <c r="N264" t="s">
        <v>46</v>
      </c>
    </row>
    <row r="265" spans="1:14" x14ac:dyDescent="0.35">
      <c r="A265">
        <v>1090</v>
      </c>
      <c r="B265" s="1">
        <v>44951</v>
      </c>
      <c r="C265" t="s">
        <v>33</v>
      </c>
      <c r="D265" t="s">
        <v>25</v>
      </c>
      <c r="E265">
        <v>2381.12</v>
      </c>
      <c r="F265">
        <v>17</v>
      </c>
      <c r="G265" t="s">
        <v>29</v>
      </c>
      <c r="H265">
        <v>4190.26</v>
      </c>
      <c r="I265">
        <v>4645.3500000000004</v>
      </c>
      <c r="J265" t="s">
        <v>30</v>
      </c>
      <c r="K265">
        <v>0.12</v>
      </c>
      <c r="L265" t="s">
        <v>31</v>
      </c>
      <c r="M265" t="s">
        <v>22</v>
      </c>
      <c r="N265" t="s">
        <v>44</v>
      </c>
    </row>
    <row r="266" spans="1:14" x14ac:dyDescent="0.35">
      <c r="A266">
        <v>1067</v>
      </c>
      <c r="B266" s="1">
        <v>45106</v>
      </c>
      <c r="C266" t="s">
        <v>38</v>
      </c>
      <c r="D266" t="s">
        <v>25</v>
      </c>
      <c r="E266">
        <v>114.59</v>
      </c>
      <c r="F266">
        <v>48</v>
      </c>
      <c r="G266" t="s">
        <v>26</v>
      </c>
      <c r="H266">
        <v>4319.32</v>
      </c>
      <c r="I266">
        <v>4625.5599999999904</v>
      </c>
      <c r="J266" t="s">
        <v>17</v>
      </c>
      <c r="K266">
        <v>0.1</v>
      </c>
      <c r="L266" t="s">
        <v>27</v>
      </c>
      <c r="M266" t="s">
        <v>19</v>
      </c>
      <c r="N266" t="s">
        <v>39</v>
      </c>
    </row>
    <row r="267" spans="1:14" x14ac:dyDescent="0.35">
      <c r="A267">
        <v>1019</v>
      </c>
      <c r="B267" s="1">
        <v>45124</v>
      </c>
      <c r="C267" t="s">
        <v>24</v>
      </c>
      <c r="D267" t="s">
        <v>25</v>
      </c>
      <c r="E267">
        <v>7320.51</v>
      </c>
      <c r="F267">
        <v>14</v>
      </c>
      <c r="G267" t="s">
        <v>29</v>
      </c>
      <c r="H267">
        <v>1614.19</v>
      </c>
      <c r="I267">
        <v>1882.79</v>
      </c>
      <c r="J267" t="s">
        <v>30</v>
      </c>
      <c r="K267">
        <v>0.25</v>
      </c>
      <c r="L267" t="s">
        <v>31</v>
      </c>
      <c r="M267" t="s">
        <v>22</v>
      </c>
      <c r="N267" t="s">
        <v>28</v>
      </c>
    </row>
    <row r="268" spans="1:14" x14ac:dyDescent="0.35">
      <c r="A268">
        <v>1020</v>
      </c>
      <c r="B268" s="1">
        <v>45270</v>
      </c>
      <c r="C268" t="s">
        <v>14</v>
      </c>
      <c r="D268" t="s">
        <v>15</v>
      </c>
      <c r="E268">
        <v>9671.77</v>
      </c>
      <c r="F268">
        <v>45</v>
      </c>
      <c r="G268" t="s">
        <v>35</v>
      </c>
      <c r="H268">
        <v>4268.45</v>
      </c>
      <c r="I268">
        <v>4551.5999999999904</v>
      </c>
      <c r="J268" t="s">
        <v>30</v>
      </c>
      <c r="K268">
        <v>0.08</v>
      </c>
      <c r="L268" t="s">
        <v>27</v>
      </c>
      <c r="M268" t="s">
        <v>19</v>
      </c>
      <c r="N268" t="s">
        <v>20</v>
      </c>
    </row>
    <row r="269" spans="1:14" x14ac:dyDescent="0.35">
      <c r="A269">
        <v>1096</v>
      </c>
      <c r="B269" s="1">
        <v>45087</v>
      </c>
      <c r="C269" t="s">
        <v>33</v>
      </c>
      <c r="D269" t="s">
        <v>25</v>
      </c>
      <c r="E269">
        <v>2320.5100000000002</v>
      </c>
      <c r="F269">
        <v>6</v>
      </c>
      <c r="G269" t="s">
        <v>16</v>
      </c>
      <c r="H269">
        <v>252.62</v>
      </c>
      <c r="I269">
        <v>742</v>
      </c>
      <c r="J269" t="s">
        <v>30</v>
      </c>
      <c r="K269">
        <v>0.22</v>
      </c>
      <c r="L269" t="s">
        <v>31</v>
      </c>
      <c r="M269" t="s">
        <v>22</v>
      </c>
      <c r="N269" t="s">
        <v>44</v>
      </c>
    </row>
    <row r="270" spans="1:14" x14ac:dyDescent="0.35">
      <c r="A270">
        <v>1071</v>
      </c>
      <c r="B270" s="1">
        <v>45103</v>
      </c>
      <c r="C270" t="s">
        <v>24</v>
      </c>
      <c r="D270" t="s">
        <v>15</v>
      </c>
      <c r="E270">
        <v>6664.17</v>
      </c>
      <c r="F270">
        <v>35</v>
      </c>
      <c r="G270" t="s">
        <v>29</v>
      </c>
      <c r="H270">
        <v>295.82</v>
      </c>
      <c r="I270">
        <v>684.67</v>
      </c>
      <c r="J270" t="s">
        <v>30</v>
      </c>
      <c r="K270">
        <v>0.03</v>
      </c>
      <c r="L270" t="s">
        <v>31</v>
      </c>
      <c r="M270" t="s">
        <v>19</v>
      </c>
      <c r="N270" t="s">
        <v>45</v>
      </c>
    </row>
    <row r="271" spans="1:14" x14ac:dyDescent="0.35">
      <c r="A271">
        <v>1052</v>
      </c>
      <c r="B271" s="1">
        <v>45211</v>
      </c>
      <c r="C271" t="s">
        <v>24</v>
      </c>
      <c r="D271" t="s">
        <v>15</v>
      </c>
      <c r="E271">
        <v>7444.77</v>
      </c>
      <c r="F271">
        <v>46</v>
      </c>
      <c r="G271" t="s">
        <v>35</v>
      </c>
      <c r="H271">
        <v>3136.42</v>
      </c>
      <c r="I271">
        <v>3198.49</v>
      </c>
      <c r="J271" t="s">
        <v>17</v>
      </c>
      <c r="K271">
        <v>0.28999999999999998</v>
      </c>
      <c r="L271" t="s">
        <v>18</v>
      </c>
      <c r="M271" t="s">
        <v>22</v>
      </c>
      <c r="N271" t="s">
        <v>45</v>
      </c>
    </row>
    <row r="272" spans="1:14" x14ac:dyDescent="0.35">
      <c r="A272">
        <v>1033</v>
      </c>
      <c r="B272" s="1">
        <v>44989</v>
      </c>
      <c r="C272" t="s">
        <v>14</v>
      </c>
      <c r="D272" t="s">
        <v>21</v>
      </c>
      <c r="E272">
        <v>8499.41</v>
      </c>
      <c r="F272">
        <v>14</v>
      </c>
      <c r="G272" t="s">
        <v>29</v>
      </c>
      <c r="H272">
        <v>362.38</v>
      </c>
      <c r="I272">
        <v>753.81</v>
      </c>
      <c r="J272" t="s">
        <v>17</v>
      </c>
      <c r="K272">
        <v>0.19</v>
      </c>
      <c r="L272" t="s">
        <v>18</v>
      </c>
      <c r="M272" t="s">
        <v>22</v>
      </c>
      <c r="N272" t="s">
        <v>23</v>
      </c>
    </row>
    <row r="273" spans="1:14" x14ac:dyDescent="0.35">
      <c r="A273">
        <v>1040</v>
      </c>
      <c r="B273" s="1">
        <v>45076</v>
      </c>
      <c r="C273" t="s">
        <v>42</v>
      </c>
      <c r="D273" t="s">
        <v>25</v>
      </c>
      <c r="E273">
        <v>4284.03</v>
      </c>
      <c r="F273">
        <v>47</v>
      </c>
      <c r="G273" t="s">
        <v>29</v>
      </c>
      <c r="H273">
        <v>1656.82</v>
      </c>
      <c r="I273">
        <v>1750.3799999999901</v>
      </c>
      <c r="J273" t="s">
        <v>30</v>
      </c>
      <c r="K273">
        <v>0.21</v>
      </c>
      <c r="L273" t="s">
        <v>31</v>
      </c>
      <c r="M273" t="s">
        <v>19</v>
      </c>
      <c r="N273" t="s">
        <v>43</v>
      </c>
    </row>
    <row r="274" spans="1:14" x14ac:dyDescent="0.35">
      <c r="A274">
        <v>1039</v>
      </c>
      <c r="B274" s="1">
        <v>45080</v>
      </c>
      <c r="C274" t="s">
        <v>14</v>
      </c>
      <c r="D274" t="s">
        <v>25</v>
      </c>
      <c r="E274">
        <v>3099.02</v>
      </c>
      <c r="F274">
        <v>8</v>
      </c>
      <c r="G274" t="s">
        <v>29</v>
      </c>
      <c r="H274">
        <v>3380.14</v>
      </c>
      <c r="I274">
        <v>3609.3399999999901</v>
      </c>
      <c r="J274" t="s">
        <v>17</v>
      </c>
      <c r="K274">
        <v>0.09</v>
      </c>
      <c r="L274" t="s">
        <v>31</v>
      </c>
      <c r="M274" t="s">
        <v>19</v>
      </c>
      <c r="N274" t="s">
        <v>32</v>
      </c>
    </row>
    <row r="275" spans="1:14" x14ac:dyDescent="0.35">
      <c r="A275">
        <v>1082</v>
      </c>
      <c r="B275" s="1">
        <v>45082</v>
      </c>
      <c r="C275" t="s">
        <v>33</v>
      </c>
      <c r="D275" t="s">
        <v>34</v>
      </c>
      <c r="E275">
        <v>3320.42</v>
      </c>
      <c r="F275">
        <v>15</v>
      </c>
      <c r="G275" t="s">
        <v>29</v>
      </c>
      <c r="H275">
        <v>1719.47</v>
      </c>
      <c r="I275">
        <v>1832.6</v>
      </c>
      <c r="J275" t="s">
        <v>17</v>
      </c>
      <c r="K275">
        <v>0.12</v>
      </c>
      <c r="L275" t="s">
        <v>31</v>
      </c>
      <c r="M275" t="s">
        <v>19</v>
      </c>
      <c r="N275" t="s">
        <v>36</v>
      </c>
    </row>
    <row r="276" spans="1:14" x14ac:dyDescent="0.35">
      <c r="A276">
        <v>1001</v>
      </c>
      <c r="B276" s="1">
        <v>44975</v>
      </c>
      <c r="C276" t="s">
        <v>24</v>
      </c>
      <c r="D276" t="s">
        <v>21</v>
      </c>
      <c r="E276">
        <v>7154.95</v>
      </c>
      <c r="F276">
        <v>27</v>
      </c>
      <c r="G276" t="s">
        <v>29</v>
      </c>
      <c r="H276">
        <v>939.02</v>
      </c>
      <c r="I276">
        <v>1286.92</v>
      </c>
      <c r="J276" t="s">
        <v>17</v>
      </c>
      <c r="K276">
        <v>7.0000000000000007E-2</v>
      </c>
      <c r="L276" t="s">
        <v>31</v>
      </c>
      <c r="M276" t="s">
        <v>22</v>
      </c>
      <c r="N276" t="s">
        <v>47</v>
      </c>
    </row>
    <row r="277" spans="1:14" x14ac:dyDescent="0.35">
      <c r="A277">
        <v>1011</v>
      </c>
      <c r="B277" s="1">
        <v>45263</v>
      </c>
      <c r="C277" t="s">
        <v>14</v>
      </c>
      <c r="D277" t="s">
        <v>34</v>
      </c>
      <c r="E277">
        <v>8186.12</v>
      </c>
      <c r="F277">
        <v>13</v>
      </c>
      <c r="G277" t="s">
        <v>35</v>
      </c>
      <c r="H277">
        <v>1442.69</v>
      </c>
      <c r="I277">
        <v>1882.57</v>
      </c>
      <c r="J277" t="s">
        <v>17</v>
      </c>
      <c r="K277">
        <v>0.28000000000000003</v>
      </c>
      <c r="L277" t="s">
        <v>18</v>
      </c>
      <c r="M277" t="s">
        <v>19</v>
      </c>
      <c r="N277" t="s">
        <v>46</v>
      </c>
    </row>
    <row r="278" spans="1:14" x14ac:dyDescent="0.35">
      <c r="A278">
        <v>1092</v>
      </c>
      <c r="B278" s="1">
        <v>45010</v>
      </c>
      <c r="C278" t="s">
        <v>42</v>
      </c>
      <c r="D278" t="s">
        <v>21</v>
      </c>
      <c r="E278">
        <v>1897.98</v>
      </c>
      <c r="F278">
        <v>49</v>
      </c>
      <c r="G278" t="s">
        <v>16</v>
      </c>
      <c r="H278">
        <v>2315</v>
      </c>
      <c r="I278">
        <v>2467.2800000000002</v>
      </c>
      <c r="J278" t="s">
        <v>30</v>
      </c>
      <c r="K278">
        <v>0.15</v>
      </c>
      <c r="L278" t="s">
        <v>27</v>
      </c>
      <c r="M278" t="s">
        <v>22</v>
      </c>
      <c r="N278" t="s">
        <v>51</v>
      </c>
    </row>
    <row r="279" spans="1:14" x14ac:dyDescent="0.35">
      <c r="A279">
        <v>1057</v>
      </c>
      <c r="B279" s="1">
        <v>45287</v>
      </c>
      <c r="C279" t="s">
        <v>14</v>
      </c>
      <c r="D279" t="s">
        <v>25</v>
      </c>
      <c r="E279">
        <v>3772.32</v>
      </c>
      <c r="F279">
        <v>31</v>
      </c>
      <c r="G279" t="s">
        <v>16</v>
      </c>
      <c r="H279">
        <v>2403.16</v>
      </c>
      <c r="I279">
        <v>2453.35</v>
      </c>
      <c r="J279" t="s">
        <v>17</v>
      </c>
      <c r="K279">
        <v>0.19</v>
      </c>
      <c r="L279" t="s">
        <v>31</v>
      </c>
      <c r="M279" t="s">
        <v>19</v>
      </c>
      <c r="N279" t="s">
        <v>32</v>
      </c>
    </row>
    <row r="280" spans="1:14" x14ac:dyDescent="0.35">
      <c r="A280">
        <v>1089</v>
      </c>
      <c r="B280" s="1">
        <v>45103</v>
      </c>
      <c r="C280" t="s">
        <v>38</v>
      </c>
      <c r="D280" t="s">
        <v>15</v>
      </c>
      <c r="E280">
        <v>9029.2099999999991</v>
      </c>
      <c r="F280">
        <v>35</v>
      </c>
      <c r="G280" t="s">
        <v>16</v>
      </c>
      <c r="H280">
        <v>3925.85</v>
      </c>
      <c r="I280">
        <v>4082.1099999999901</v>
      </c>
      <c r="J280" t="s">
        <v>30</v>
      </c>
      <c r="K280">
        <v>0.22</v>
      </c>
      <c r="L280" t="s">
        <v>18</v>
      </c>
      <c r="M280" t="s">
        <v>19</v>
      </c>
      <c r="N280" t="s">
        <v>40</v>
      </c>
    </row>
    <row r="281" spans="1:14" x14ac:dyDescent="0.35">
      <c r="A281">
        <v>1050</v>
      </c>
      <c r="B281" s="1">
        <v>45074</v>
      </c>
      <c r="C281" t="s">
        <v>42</v>
      </c>
      <c r="D281" t="s">
        <v>15</v>
      </c>
      <c r="E281">
        <v>8086.27</v>
      </c>
      <c r="F281">
        <v>6</v>
      </c>
      <c r="G281" t="s">
        <v>16</v>
      </c>
      <c r="H281">
        <v>3763.26</v>
      </c>
      <c r="I281">
        <v>4102.72</v>
      </c>
      <c r="J281" t="s">
        <v>30</v>
      </c>
      <c r="K281">
        <v>0.11</v>
      </c>
      <c r="L281" t="s">
        <v>31</v>
      </c>
      <c r="M281" t="s">
        <v>22</v>
      </c>
      <c r="N281" t="s">
        <v>49</v>
      </c>
    </row>
    <row r="282" spans="1:14" x14ac:dyDescent="0.35">
      <c r="A282">
        <v>1023</v>
      </c>
      <c r="B282" s="1">
        <v>45044</v>
      </c>
      <c r="C282" t="s">
        <v>33</v>
      </c>
      <c r="D282" t="s">
        <v>15</v>
      </c>
      <c r="E282">
        <v>9850.1</v>
      </c>
      <c r="F282">
        <v>5</v>
      </c>
      <c r="G282" t="s">
        <v>35</v>
      </c>
      <c r="H282">
        <v>2311.25</v>
      </c>
      <c r="I282">
        <v>2482.34</v>
      </c>
      <c r="J282" t="s">
        <v>17</v>
      </c>
      <c r="K282">
        <v>0.22</v>
      </c>
      <c r="L282" t="s">
        <v>31</v>
      </c>
      <c r="M282" t="s">
        <v>22</v>
      </c>
      <c r="N282" t="s">
        <v>53</v>
      </c>
    </row>
    <row r="283" spans="1:14" x14ac:dyDescent="0.35">
      <c r="A283">
        <v>1031</v>
      </c>
      <c r="B283" s="1">
        <v>45268</v>
      </c>
      <c r="C283" t="s">
        <v>24</v>
      </c>
      <c r="D283" t="s">
        <v>15</v>
      </c>
      <c r="E283">
        <v>7567.06</v>
      </c>
      <c r="F283">
        <v>22</v>
      </c>
      <c r="G283" t="s">
        <v>26</v>
      </c>
      <c r="H283">
        <v>4236.05</v>
      </c>
      <c r="I283">
        <v>4382.32</v>
      </c>
      <c r="J283" t="s">
        <v>30</v>
      </c>
      <c r="K283">
        <v>0.2</v>
      </c>
      <c r="L283" t="s">
        <v>27</v>
      </c>
      <c r="M283" t="s">
        <v>19</v>
      </c>
      <c r="N283" t="s">
        <v>45</v>
      </c>
    </row>
    <row r="284" spans="1:14" x14ac:dyDescent="0.35">
      <c r="A284">
        <v>1094</v>
      </c>
      <c r="B284" s="1">
        <v>44989</v>
      </c>
      <c r="C284" t="s">
        <v>14</v>
      </c>
      <c r="D284" t="s">
        <v>15</v>
      </c>
      <c r="E284">
        <v>3992.63</v>
      </c>
      <c r="F284">
        <v>49</v>
      </c>
      <c r="G284" t="s">
        <v>26</v>
      </c>
      <c r="H284">
        <v>615.47</v>
      </c>
      <c r="I284">
        <v>715.84</v>
      </c>
      <c r="J284" t="s">
        <v>17</v>
      </c>
      <c r="K284">
        <v>0.21</v>
      </c>
      <c r="L284" t="s">
        <v>31</v>
      </c>
      <c r="M284" t="s">
        <v>22</v>
      </c>
      <c r="N284" t="s">
        <v>20</v>
      </c>
    </row>
    <row r="285" spans="1:14" x14ac:dyDescent="0.35">
      <c r="A285">
        <v>1042</v>
      </c>
      <c r="B285" s="1">
        <v>45115</v>
      </c>
      <c r="C285" t="s">
        <v>42</v>
      </c>
      <c r="D285" t="s">
        <v>34</v>
      </c>
      <c r="E285">
        <v>5947.31</v>
      </c>
      <c r="F285">
        <v>23</v>
      </c>
      <c r="G285" t="s">
        <v>35</v>
      </c>
      <c r="H285">
        <v>1314</v>
      </c>
      <c r="I285">
        <v>1567.78</v>
      </c>
      <c r="J285" t="s">
        <v>17</v>
      </c>
      <c r="K285">
        <v>0.15</v>
      </c>
      <c r="L285" t="s">
        <v>31</v>
      </c>
      <c r="M285" t="s">
        <v>22</v>
      </c>
      <c r="N285" t="s">
        <v>52</v>
      </c>
    </row>
    <row r="286" spans="1:14" x14ac:dyDescent="0.35">
      <c r="A286">
        <v>1099</v>
      </c>
      <c r="B286" s="1">
        <v>45286</v>
      </c>
      <c r="C286" t="s">
        <v>38</v>
      </c>
      <c r="D286" t="s">
        <v>21</v>
      </c>
      <c r="E286">
        <v>6644.04</v>
      </c>
      <c r="F286">
        <v>25</v>
      </c>
      <c r="G286" t="s">
        <v>35</v>
      </c>
      <c r="H286">
        <v>4148.4799999999996</v>
      </c>
      <c r="I286">
        <v>4293.6899999999996</v>
      </c>
      <c r="J286" t="s">
        <v>30</v>
      </c>
      <c r="K286">
        <v>0.11</v>
      </c>
      <c r="L286" t="s">
        <v>27</v>
      </c>
      <c r="M286" t="s">
        <v>19</v>
      </c>
      <c r="N286" t="s">
        <v>41</v>
      </c>
    </row>
    <row r="287" spans="1:14" x14ac:dyDescent="0.35">
      <c r="A287">
        <v>1007</v>
      </c>
      <c r="B287" s="1">
        <v>44975</v>
      </c>
      <c r="C287" t="s">
        <v>42</v>
      </c>
      <c r="D287" t="s">
        <v>25</v>
      </c>
      <c r="E287">
        <v>876.71</v>
      </c>
      <c r="F287">
        <v>34</v>
      </c>
      <c r="G287" t="s">
        <v>29</v>
      </c>
      <c r="H287">
        <v>1921.07</v>
      </c>
      <c r="I287">
        <v>2289.27</v>
      </c>
      <c r="J287" t="s">
        <v>17</v>
      </c>
      <c r="K287">
        <v>7.0000000000000007E-2</v>
      </c>
      <c r="L287" t="s">
        <v>27</v>
      </c>
      <c r="M287" t="s">
        <v>22</v>
      </c>
      <c r="N287" t="s">
        <v>43</v>
      </c>
    </row>
    <row r="288" spans="1:14" x14ac:dyDescent="0.35">
      <c r="A288">
        <v>1016</v>
      </c>
      <c r="B288" s="1">
        <v>45253</v>
      </c>
      <c r="C288" t="s">
        <v>38</v>
      </c>
      <c r="D288" t="s">
        <v>34</v>
      </c>
      <c r="E288">
        <v>5490.52</v>
      </c>
      <c r="F288">
        <v>26</v>
      </c>
      <c r="G288" t="s">
        <v>29</v>
      </c>
      <c r="H288">
        <v>4906.8500000000004</v>
      </c>
      <c r="I288">
        <v>4954.3900000000003</v>
      </c>
      <c r="J288" t="s">
        <v>30</v>
      </c>
      <c r="K288">
        <v>0.25</v>
      </c>
      <c r="L288" t="s">
        <v>27</v>
      </c>
      <c r="M288" t="s">
        <v>19</v>
      </c>
      <c r="N288" t="s">
        <v>48</v>
      </c>
    </row>
    <row r="289" spans="1:14" x14ac:dyDescent="0.35">
      <c r="A289">
        <v>1090</v>
      </c>
      <c r="B289" s="1">
        <v>45183</v>
      </c>
      <c r="C289" t="s">
        <v>33</v>
      </c>
      <c r="D289" t="s">
        <v>21</v>
      </c>
      <c r="E289">
        <v>7122.28</v>
      </c>
      <c r="F289">
        <v>47</v>
      </c>
      <c r="G289" t="s">
        <v>29</v>
      </c>
      <c r="H289">
        <v>2357.9499999999998</v>
      </c>
      <c r="I289">
        <v>2693.33</v>
      </c>
      <c r="J289" t="s">
        <v>30</v>
      </c>
      <c r="K289">
        <v>0.18</v>
      </c>
      <c r="L289" t="s">
        <v>27</v>
      </c>
      <c r="M289" t="s">
        <v>19</v>
      </c>
      <c r="N289" t="s">
        <v>37</v>
      </c>
    </row>
    <row r="290" spans="1:14" x14ac:dyDescent="0.35">
      <c r="A290">
        <v>1060</v>
      </c>
      <c r="B290" s="1">
        <v>45150</v>
      </c>
      <c r="C290" t="s">
        <v>24</v>
      </c>
      <c r="D290" t="s">
        <v>15</v>
      </c>
      <c r="E290">
        <v>1756.48</v>
      </c>
      <c r="F290">
        <v>5</v>
      </c>
      <c r="G290" t="s">
        <v>16</v>
      </c>
      <c r="H290">
        <v>3970.08</v>
      </c>
      <c r="I290">
        <v>4096.4799999999996</v>
      </c>
      <c r="J290" t="s">
        <v>17</v>
      </c>
      <c r="K290">
        <v>0.13</v>
      </c>
      <c r="L290" t="s">
        <v>18</v>
      </c>
      <c r="M290" t="s">
        <v>22</v>
      </c>
      <c r="N290" t="s">
        <v>45</v>
      </c>
    </row>
    <row r="291" spans="1:14" x14ac:dyDescent="0.35">
      <c r="A291">
        <v>1002</v>
      </c>
      <c r="B291" s="1">
        <v>45067</v>
      </c>
      <c r="C291" t="s">
        <v>33</v>
      </c>
      <c r="D291" t="s">
        <v>21</v>
      </c>
      <c r="E291">
        <v>7828.25</v>
      </c>
      <c r="F291">
        <v>26</v>
      </c>
      <c r="G291" t="s">
        <v>29</v>
      </c>
      <c r="H291">
        <v>2041.42</v>
      </c>
      <c r="I291">
        <v>2291.17</v>
      </c>
      <c r="J291" t="s">
        <v>17</v>
      </c>
      <c r="K291">
        <v>0.28000000000000003</v>
      </c>
      <c r="L291" t="s">
        <v>18</v>
      </c>
      <c r="M291" t="s">
        <v>19</v>
      </c>
      <c r="N291" t="s">
        <v>37</v>
      </c>
    </row>
    <row r="292" spans="1:14" x14ac:dyDescent="0.35">
      <c r="A292">
        <v>1001</v>
      </c>
      <c r="B292" s="1">
        <v>45141</v>
      </c>
      <c r="C292" t="s">
        <v>14</v>
      </c>
      <c r="D292" t="s">
        <v>21</v>
      </c>
      <c r="E292">
        <v>5879.35</v>
      </c>
      <c r="F292">
        <v>20</v>
      </c>
      <c r="G292" t="s">
        <v>26</v>
      </c>
      <c r="H292">
        <v>2153.52</v>
      </c>
      <c r="I292">
        <v>2303.6999999999998</v>
      </c>
      <c r="J292" t="s">
        <v>17</v>
      </c>
      <c r="K292">
        <v>0.01</v>
      </c>
      <c r="L292" t="s">
        <v>18</v>
      </c>
      <c r="M292" t="s">
        <v>22</v>
      </c>
      <c r="N292" t="s">
        <v>23</v>
      </c>
    </row>
    <row r="293" spans="1:14" x14ac:dyDescent="0.35">
      <c r="A293">
        <v>1048</v>
      </c>
      <c r="B293" s="1">
        <v>45137</v>
      </c>
      <c r="C293" t="s">
        <v>42</v>
      </c>
      <c r="D293" t="s">
        <v>15</v>
      </c>
      <c r="E293">
        <v>9527</v>
      </c>
      <c r="F293">
        <v>6</v>
      </c>
      <c r="G293" t="s">
        <v>16</v>
      </c>
      <c r="H293">
        <v>1945.27</v>
      </c>
      <c r="I293">
        <v>2309.4299999999998</v>
      </c>
      <c r="J293" t="s">
        <v>30</v>
      </c>
      <c r="K293">
        <v>0.26</v>
      </c>
      <c r="L293" t="s">
        <v>31</v>
      </c>
      <c r="M293" t="s">
        <v>19</v>
      </c>
      <c r="N293" t="s">
        <v>49</v>
      </c>
    </row>
    <row r="294" spans="1:14" x14ac:dyDescent="0.35">
      <c r="A294">
        <v>1012</v>
      </c>
      <c r="B294" s="1">
        <v>45244</v>
      </c>
      <c r="C294" t="s">
        <v>38</v>
      </c>
      <c r="D294" t="s">
        <v>15</v>
      </c>
      <c r="E294">
        <v>519.98</v>
      </c>
      <c r="F294">
        <v>6</v>
      </c>
      <c r="G294" t="s">
        <v>29</v>
      </c>
      <c r="H294">
        <v>3609.42</v>
      </c>
      <c r="I294">
        <v>4082.62</v>
      </c>
      <c r="J294" t="s">
        <v>17</v>
      </c>
      <c r="K294">
        <v>0.3</v>
      </c>
      <c r="L294" t="s">
        <v>27</v>
      </c>
      <c r="M294" t="s">
        <v>22</v>
      </c>
      <c r="N294" t="s">
        <v>40</v>
      </c>
    </row>
    <row r="295" spans="1:14" x14ac:dyDescent="0.35">
      <c r="A295">
        <v>1069</v>
      </c>
      <c r="B295" s="1">
        <v>44958</v>
      </c>
      <c r="C295" t="s">
        <v>38</v>
      </c>
      <c r="D295" t="s">
        <v>15</v>
      </c>
      <c r="E295">
        <v>2726.73</v>
      </c>
      <c r="F295">
        <v>18</v>
      </c>
      <c r="G295" t="s">
        <v>16</v>
      </c>
      <c r="H295">
        <v>2760.21</v>
      </c>
      <c r="I295">
        <v>3219.58</v>
      </c>
      <c r="J295" t="s">
        <v>30</v>
      </c>
      <c r="K295">
        <v>0.27</v>
      </c>
      <c r="L295" t="s">
        <v>27</v>
      </c>
      <c r="M295" t="s">
        <v>22</v>
      </c>
      <c r="N295" t="s">
        <v>40</v>
      </c>
    </row>
    <row r="296" spans="1:14" x14ac:dyDescent="0.35">
      <c r="A296">
        <v>1037</v>
      </c>
      <c r="B296" s="1">
        <v>45084</v>
      </c>
      <c r="C296" t="s">
        <v>42</v>
      </c>
      <c r="D296" t="s">
        <v>25</v>
      </c>
      <c r="E296">
        <v>6055.38</v>
      </c>
      <c r="F296">
        <v>4</v>
      </c>
      <c r="G296" t="s">
        <v>26</v>
      </c>
      <c r="H296">
        <v>4721.7</v>
      </c>
      <c r="I296">
        <v>5017.58</v>
      </c>
      <c r="J296" t="s">
        <v>30</v>
      </c>
      <c r="K296">
        <v>0.24</v>
      </c>
      <c r="L296" t="s">
        <v>18</v>
      </c>
      <c r="M296" t="s">
        <v>22</v>
      </c>
      <c r="N296" t="s">
        <v>43</v>
      </c>
    </row>
    <row r="297" spans="1:14" x14ac:dyDescent="0.35">
      <c r="A297">
        <v>1032</v>
      </c>
      <c r="B297" s="1">
        <v>45211</v>
      </c>
      <c r="C297" t="s">
        <v>42</v>
      </c>
      <c r="D297" t="s">
        <v>15</v>
      </c>
      <c r="E297">
        <v>3035.94</v>
      </c>
      <c r="F297">
        <v>17</v>
      </c>
      <c r="G297" t="s">
        <v>29</v>
      </c>
      <c r="H297">
        <v>1291.9100000000001</v>
      </c>
      <c r="I297">
        <v>1528.59</v>
      </c>
      <c r="J297" t="s">
        <v>17</v>
      </c>
      <c r="K297">
        <v>0.11</v>
      </c>
      <c r="L297" t="s">
        <v>31</v>
      </c>
      <c r="M297" t="s">
        <v>22</v>
      </c>
      <c r="N297" t="s">
        <v>49</v>
      </c>
    </row>
    <row r="298" spans="1:14" x14ac:dyDescent="0.35">
      <c r="A298">
        <v>1009</v>
      </c>
      <c r="B298" s="1">
        <v>45231</v>
      </c>
      <c r="C298" t="s">
        <v>14</v>
      </c>
      <c r="D298" t="s">
        <v>25</v>
      </c>
      <c r="E298">
        <v>7172.8</v>
      </c>
      <c r="F298">
        <v>14</v>
      </c>
      <c r="G298" t="s">
        <v>26</v>
      </c>
      <c r="H298">
        <v>547.79</v>
      </c>
      <c r="I298">
        <v>958.76</v>
      </c>
      <c r="J298" t="s">
        <v>17</v>
      </c>
      <c r="K298">
        <v>7.0000000000000007E-2</v>
      </c>
      <c r="L298" t="s">
        <v>31</v>
      </c>
      <c r="M298" t="s">
        <v>22</v>
      </c>
      <c r="N298" t="s">
        <v>32</v>
      </c>
    </row>
    <row r="299" spans="1:14" x14ac:dyDescent="0.35">
      <c r="A299">
        <v>1099</v>
      </c>
      <c r="B299" s="1">
        <v>45212</v>
      </c>
      <c r="C299" t="s">
        <v>33</v>
      </c>
      <c r="D299" t="s">
        <v>15</v>
      </c>
      <c r="E299">
        <v>7614.15</v>
      </c>
      <c r="F299">
        <v>14</v>
      </c>
      <c r="G299" t="s">
        <v>26</v>
      </c>
      <c r="H299">
        <v>1996.64</v>
      </c>
      <c r="I299">
        <v>2341.4699999999998</v>
      </c>
      <c r="J299" t="s">
        <v>17</v>
      </c>
      <c r="K299">
        <v>0.22</v>
      </c>
      <c r="L299" t="s">
        <v>31</v>
      </c>
      <c r="M299" t="s">
        <v>19</v>
      </c>
      <c r="N299" t="s">
        <v>53</v>
      </c>
    </row>
    <row r="300" spans="1:14" x14ac:dyDescent="0.35">
      <c r="A300">
        <v>1019</v>
      </c>
      <c r="B300" s="1">
        <v>45070</v>
      </c>
      <c r="C300" t="s">
        <v>38</v>
      </c>
      <c r="D300" t="s">
        <v>25</v>
      </c>
      <c r="E300">
        <v>1114.9100000000001</v>
      </c>
      <c r="F300">
        <v>13</v>
      </c>
      <c r="G300" t="s">
        <v>26</v>
      </c>
      <c r="H300">
        <v>3102.73</v>
      </c>
      <c r="I300">
        <v>3202.68</v>
      </c>
      <c r="J300" t="s">
        <v>30</v>
      </c>
      <c r="K300">
        <v>0.09</v>
      </c>
      <c r="L300" t="s">
        <v>18</v>
      </c>
      <c r="M300" t="s">
        <v>19</v>
      </c>
      <c r="N300" t="s">
        <v>39</v>
      </c>
    </row>
    <row r="301" spans="1:14" x14ac:dyDescent="0.35">
      <c r="A301">
        <v>1048</v>
      </c>
      <c r="B301" s="1">
        <v>44945</v>
      </c>
      <c r="C301" t="s">
        <v>14</v>
      </c>
      <c r="D301" t="s">
        <v>21</v>
      </c>
      <c r="E301">
        <v>5187.16</v>
      </c>
      <c r="F301">
        <v>7</v>
      </c>
      <c r="G301" t="s">
        <v>29</v>
      </c>
      <c r="H301">
        <v>4310.95</v>
      </c>
      <c r="I301">
        <v>4723.2</v>
      </c>
      <c r="J301" t="s">
        <v>17</v>
      </c>
      <c r="K301">
        <v>0.05</v>
      </c>
      <c r="L301" t="s">
        <v>31</v>
      </c>
      <c r="M301" t="s">
        <v>22</v>
      </c>
      <c r="N301" t="s">
        <v>23</v>
      </c>
    </row>
    <row r="302" spans="1:14" x14ac:dyDescent="0.35">
      <c r="A302">
        <v>1080</v>
      </c>
      <c r="B302" s="1">
        <v>44944</v>
      </c>
      <c r="C302" t="s">
        <v>33</v>
      </c>
      <c r="D302" t="s">
        <v>34</v>
      </c>
      <c r="E302">
        <v>5138.0200000000004</v>
      </c>
      <c r="F302">
        <v>44</v>
      </c>
      <c r="G302" t="s">
        <v>35</v>
      </c>
      <c r="H302">
        <v>1763.67</v>
      </c>
      <c r="I302">
        <v>1983.82</v>
      </c>
      <c r="J302" t="s">
        <v>30</v>
      </c>
      <c r="K302">
        <v>0.24</v>
      </c>
      <c r="L302" t="s">
        <v>31</v>
      </c>
      <c r="M302" t="s">
        <v>19</v>
      </c>
      <c r="N302" t="s">
        <v>36</v>
      </c>
    </row>
    <row r="303" spans="1:14" x14ac:dyDescent="0.35">
      <c r="A303">
        <v>1003</v>
      </c>
      <c r="B303" s="1">
        <v>45183</v>
      </c>
      <c r="C303" t="s">
        <v>14</v>
      </c>
      <c r="D303" t="s">
        <v>21</v>
      </c>
      <c r="E303">
        <v>3755.88</v>
      </c>
      <c r="F303">
        <v>15</v>
      </c>
      <c r="G303" t="s">
        <v>29</v>
      </c>
      <c r="H303">
        <v>3286.24</v>
      </c>
      <c r="I303">
        <v>3388.8399999999901</v>
      </c>
      <c r="J303" t="s">
        <v>17</v>
      </c>
      <c r="K303">
        <v>0.09</v>
      </c>
      <c r="L303" t="s">
        <v>31</v>
      </c>
      <c r="M303" t="s">
        <v>22</v>
      </c>
      <c r="N303" t="s">
        <v>23</v>
      </c>
    </row>
    <row r="304" spans="1:14" x14ac:dyDescent="0.35">
      <c r="A304">
        <v>1020</v>
      </c>
      <c r="B304" s="1">
        <v>45004</v>
      </c>
      <c r="C304" t="s">
        <v>38</v>
      </c>
      <c r="D304" t="s">
        <v>21</v>
      </c>
      <c r="E304">
        <v>9335.9599999999991</v>
      </c>
      <c r="F304">
        <v>19</v>
      </c>
      <c r="G304" t="s">
        <v>26</v>
      </c>
      <c r="H304">
        <v>1783.48</v>
      </c>
      <c r="I304">
        <v>1931.56</v>
      </c>
      <c r="J304" t="s">
        <v>17</v>
      </c>
      <c r="K304">
        <v>0.27</v>
      </c>
      <c r="L304" t="s">
        <v>27</v>
      </c>
      <c r="M304" t="s">
        <v>22</v>
      </c>
      <c r="N304" t="s">
        <v>41</v>
      </c>
    </row>
    <row r="305" spans="1:14" x14ac:dyDescent="0.35">
      <c r="A305">
        <v>1024</v>
      </c>
      <c r="B305" s="1">
        <v>45101</v>
      </c>
      <c r="C305" t="s">
        <v>42</v>
      </c>
      <c r="D305" t="s">
        <v>15</v>
      </c>
      <c r="E305">
        <v>8292.31</v>
      </c>
      <c r="F305">
        <v>43</v>
      </c>
      <c r="G305" t="s">
        <v>29</v>
      </c>
      <c r="H305">
        <v>3105.24</v>
      </c>
      <c r="I305">
        <v>3246.33</v>
      </c>
      <c r="J305" t="s">
        <v>30</v>
      </c>
      <c r="K305">
        <v>0.25</v>
      </c>
      <c r="L305" t="s">
        <v>18</v>
      </c>
      <c r="M305" t="s">
        <v>19</v>
      </c>
      <c r="N305" t="s">
        <v>49</v>
      </c>
    </row>
    <row r="306" spans="1:14" x14ac:dyDescent="0.35">
      <c r="A306">
        <v>1054</v>
      </c>
      <c r="B306" s="1">
        <v>45120</v>
      </c>
      <c r="C306" t="s">
        <v>42</v>
      </c>
      <c r="D306" t="s">
        <v>25</v>
      </c>
      <c r="E306">
        <v>7002.37</v>
      </c>
      <c r="F306">
        <v>47</v>
      </c>
      <c r="G306" t="s">
        <v>26</v>
      </c>
      <c r="H306">
        <v>4429.8</v>
      </c>
      <c r="I306">
        <v>4694.21</v>
      </c>
      <c r="J306" t="s">
        <v>30</v>
      </c>
      <c r="K306">
        <v>0.25</v>
      </c>
      <c r="L306" t="s">
        <v>27</v>
      </c>
      <c r="M306" t="s">
        <v>19</v>
      </c>
      <c r="N306" t="s">
        <v>43</v>
      </c>
    </row>
    <row r="307" spans="1:14" x14ac:dyDescent="0.35">
      <c r="A307">
        <v>1033</v>
      </c>
      <c r="B307" s="1">
        <v>45039</v>
      </c>
      <c r="C307" t="s">
        <v>33</v>
      </c>
      <c r="D307" t="s">
        <v>34</v>
      </c>
      <c r="E307">
        <v>7171.83</v>
      </c>
      <c r="F307">
        <v>44</v>
      </c>
      <c r="G307" t="s">
        <v>35</v>
      </c>
      <c r="H307">
        <v>1195.22</v>
      </c>
      <c r="I307">
        <v>1320.06</v>
      </c>
      <c r="J307" t="s">
        <v>17</v>
      </c>
      <c r="K307">
        <v>0.23</v>
      </c>
      <c r="L307" t="s">
        <v>27</v>
      </c>
      <c r="M307" t="s">
        <v>22</v>
      </c>
      <c r="N307" t="s">
        <v>36</v>
      </c>
    </row>
    <row r="308" spans="1:14" x14ac:dyDescent="0.35">
      <c r="A308">
        <v>1024</v>
      </c>
      <c r="B308" s="1">
        <v>45040</v>
      </c>
      <c r="C308" t="s">
        <v>24</v>
      </c>
      <c r="D308" t="s">
        <v>15</v>
      </c>
      <c r="E308">
        <v>4670.99</v>
      </c>
      <c r="F308">
        <v>35</v>
      </c>
      <c r="G308" t="s">
        <v>16</v>
      </c>
      <c r="H308">
        <v>2051</v>
      </c>
      <c r="I308">
        <v>2121.5500000000002</v>
      </c>
      <c r="J308" t="s">
        <v>17</v>
      </c>
      <c r="K308">
        <v>0.26</v>
      </c>
      <c r="L308" t="s">
        <v>18</v>
      </c>
      <c r="M308" t="s">
        <v>22</v>
      </c>
      <c r="N308" t="s">
        <v>45</v>
      </c>
    </row>
    <row r="309" spans="1:14" x14ac:dyDescent="0.35">
      <c r="A309">
        <v>1075</v>
      </c>
      <c r="B309" s="1">
        <v>45148</v>
      </c>
      <c r="C309" t="s">
        <v>33</v>
      </c>
      <c r="D309" t="s">
        <v>15</v>
      </c>
      <c r="E309">
        <v>9217.85</v>
      </c>
      <c r="F309">
        <v>17</v>
      </c>
      <c r="G309" t="s">
        <v>35</v>
      </c>
      <c r="H309">
        <v>4966.66</v>
      </c>
      <c r="I309">
        <v>5037.2699999999904</v>
      </c>
      <c r="J309" t="s">
        <v>17</v>
      </c>
      <c r="K309">
        <v>0.24</v>
      </c>
      <c r="L309" t="s">
        <v>27</v>
      </c>
      <c r="M309" t="s">
        <v>22</v>
      </c>
      <c r="N309" t="s">
        <v>53</v>
      </c>
    </row>
    <row r="310" spans="1:14" x14ac:dyDescent="0.35">
      <c r="A310">
        <v>1072</v>
      </c>
      <c r="B310" s="1">
        <v>45092</v>
      </c>
      <c r="C310" t="s">
        <v>24</v>
      </c>
      <c r="D310" t="s">
        <v>15</v>
      </c>
      <c r="E310">
        <v>6976.49</v>
      </c>
      <c r="F310">
        <v>35</v>
      </c>
      <c r="G310" t="s">
        <v>35</v>
      </c>
      <c r="H310">
        <v>4349.3599999999997</v>
      </c>
      <c r="I310">
        <v>4645.17</v>
      </c>
      <c r="J310" t="s">
        <v>17</v>
      </c>
      <c r="K310">
        <v>0.18</v>
      </c>
      <c r="L310" t="s">
        <v>31</v>
      </c>
      <c r="M310" t="s">
        <v>22</v>
      </c>
      <c r="N310" t="s">
        <v>45</v>
      </c>
    </row>
    <row r="311" spans="1:14" x14ac:dyDescent="0.35">
      <c r="A311">
        <v>1036</v>
      </c>
      <c r="B311" s="1">
        <v>45245</v>
      </c>
      <c r="C311" t="s">
        <v>14</v>
      </c>
      <c r="D311" t="s">
        <v>21</v>
      </c>
      <c r="E311">
        <v>7316.91</v>
      </c>
      <c r="F311">
        <v>19</v>
      </c>
      <c r="G311" t="s">
        <v>16</v>
      </c>
      <c r="H311">
        <v>2844.97</v>
      </c>
      <c r="I311">
        <v>3215</v>
      </c>
      <c r="J311" t="s">
        <v>17</v>
      </c>
      <c r="K311">
        <v>0.09</v>
      </c>
      <c r="L311" t="s">
        <v>31</v>
      </c>
      <c r="M311" t="s">
        <v>22</v>
      </c>
      <c r="N311" t="s">
        <v>23</v>
      </c>
    </row>
    <row r="312" spans="1:14" x14ac:dyDescent="0.35">
      <c r="A312">
        <v>1038</v>
      </c>
      <c r="B312" s="1">
        <v>45058</v>
      </c>
      <c r="C312" t="s">
        <v>14</v>
      </c>
      <c r="D312" t="s">
        <v>25</v>
      </c>
      <c r="E312">
        <v>8630.74</v>
      </c>
      <c r="F312">
        <v>20</v>
      </c>
      <c r="G312" t="s">
        <v>29</v>
      </c>
      <c r="H312">
        <v>2607.31</v>
      </c>
      <c r="I312">
        <v>2774.86</v>
      </c>
      <c r="J312" t="s">
        <v>30</v>
      </c>
      <c r="K312">
        <v>0.27</v>
      </c>
      <c r="L312" t="s">
        <v>31</v>
      </c>
      <c r="M312" t="s">
        <v>22</v>
      </c>
      <c r="N312" t="s">
        <v>32</v>
      </c>
    </row>
    <row r="313" spans="1:14" x14ac:dyDescent="0.35">
      <c r="A313">
        <v>1084</v>
      </c>
      <c r="B313" s="1">
        <v>45190</v>
      </c>
      <c r="C313" t="s">
        <v>38</v>
      </c>
      <c r="D313" t="s">
        <v>25</v>
      </c>
      <c r="E313">
        <v>2813.31</v>
      </c>
      <c r="F313">
        <v>36</v>
      </c>
      <c r="G313" t="s">
        <v>16</v>
      </c>
      <c r="H313">
        <v>1458.77</v>
      </c>
      <c r="I313">
        <v>1485.75</v>
      </c>
      <c r="J313" t="s">
        <v>30</v>
      </c>
      <c r="K313">
        <v>0.25</v>
      </c>
      <c r="L313" t="s">
        <v>31</v>
      </c>
      <c r="M313" t="s">
        <v>19</v>
      </c>
      <c r="N313" t="s">
        <v>39</v>
      </c>
    </row>
    <row r="314" spans="1:14" x14ac:dyDescent="0.35">
      <c r="A314">
        <v>1099</v>
      </c>
      <c r="B314" s="1">
        <v>44981</v>
      </c>
      <c r="C314" t="s">
        <v>24</v>
      </c>
      <c r="D314" t="s">
        <v>34</v>
      </c>
      <c r="E314">
        <v>8090</v>
      </c>
      <c r="F314">
        <v>35</v>
      </c>
      <c r="G314" t="s">
        <v>29</v>
      </c>
      <c r="H314">
        <v>2610.19</v>
      </c>
      <c r="I314">
        <v>2682.53</v>
      </c>
      <c r="J314" t="s">
        <v>30</v>
      </c>
      <c r="K314">
        <v>0.14000000000000001</v>
      </c>
      <c r="L314" t="s">
        <v>18</v>
      </c>
      <c r="M314" t="s">
        <v>22</v>
      </c>
      <c r="N314" t="s">
        <v>50</v>
      </c>
    </row>
    <row r="315" spans="1:14" x14ac:dyDescent="0.35">
      <c r="A315">
        <v>1089</v>
      </c>
      <c r="B315" s="1">
        <v>45285</v>
      </c>
      <c r="C315" t="s">
        <v>38</v>
      </c>
      <c r="D315" t="s">
        <v>25</v>
      </c>
      <c r="E315">
        <v>2032.88</v>
      </c>
      <c r="F315">
        <v>32</v>
      </c>
      <c r="G315" t="s">
        <v>29</v>
      </c>
      <c r="H315">
        <v>4248.5</v>
      </c>
      <c r="I315">
        <v>4706.7</v>
      </c>
      <c r="J315" t="s">
        <v>30</v>
      </c>
      <c r="K315">
        <v>0.01</v>
      </c>
      <c r="L315" t="s">
        <v>27</v>
      </c>
      <c r="M315" t="s">
        <v>22</v>
      </c>
      <c r="N315" t="s">
        <v>39</v>
      </c>
    </row>
    <row r="316" spans="1:14" x14ac:dyDescent="0.35">
      <c r="A316">
        <v>1099</v>
      </c>
      <c r="B316" s="1">
        <v>45057</v>
      </c>
      <c r="C316" t="s">
        <v>42</v>
      </c>
      <c r="D316" t="s">
        <v>25</v>
      </c>
      <c r="E316">
        <v>3518.89</v>
      </c>
      <c r="F316">
        <v>48</v>
      </c>
      <c r="G316" t="s">
        <v>26</v>
      </c>
      <c r="H316">
        <v>3441.61</v>
      </c>
      <c r="I316">
        <v>3693.45</v>
      </c>
      <c r="J316" t="s">
        <v>17</v>
      </c>
      <c r="K316">
        <v>0.19</v>
      </c>
      <c r="L316" t="s">
        <v>27</v>
      </c>
      <c r="M316" t="s">
        <v>19</v>
      </c>
      <c r="N316" t="s">
        <v>43</v>
      </c>
    </row>
    <row r="317" spans="1:14" x14ac:dyDescent="0.35">
      <c r="A317">
        <v>1025</v>
      </c>
      <c r="B317" s="1">
        <v>45214</v>
      </c>
      <c r="C317" t="s">
        <v>24</v>
      </c>
      <c r="D317" t="s">
        <v>15</v>
      </c>
      <c r="E317">
        <v>3422.54</v>
      </c>
      <c r="F317">
        <v>44</v>
      </c>
      <c r="G317" t="s">
        <v>26</v>
      </c>
      <c r="H317">
        <v>1485.72</v>
      </c>
      <c r="I317">
        <v>1717.97</v>
      </c>
      <c r="J317" t="s">
        <v>30</v>
      </c>
      <c r="K317">
        <v>0.02</v>
      </c>
      <c r="L317" t="s">
        <v>31</v>
      </c>
      <c r="M317" t="s">
        <v>22</v>
      </c>
      <c r="N317" t="s">
        <v>45</v>
      </c>
    </row>
    <row r="318" spans="1:14" x14ac:dyDescent="0.35">
      <c r="A318">
        <v>1093</v>
      </c>
      <c r="B318" s="1">
        <v>45192</v>
      </c>
      <c r="C318" t="s">
        <v>33</v>
      </c>
      <c r="D318" t="s">
        <v>15</v>
      </c>
      <c r="E318">
        <v>9787.4</v>
      </c>
      <c r="F318">
        <v>40</v>
      </c>
      <c r="G318" t="s">
        <v>16</v>
      </c>
      <c r="H318">
        <v>1047.25</v>
      </c>
      <c r="I318">
        <v>1075.8900000000001</v>
      </c>
      <c r="J318" t="s">
        <v>30</v>
      </c>
      <c r="K318">
        <v>0.28000000000000003</v>
      </c>
      <c r="L318" t="s">
        <v>31</v>
      </c>
      <c r="M318" t="s">
        <v>22</v>
      </c>
      <c r="N318" t="s">
        <v>53</v>
      </c>
    </row>
    <row r="319" spans="1:14" x14ac:dyDescent="0.35">
      <c r="A319">
        <v>1018</v>
      </c>
      <c r="B319" s="1">
        <v>45292</v>
      </c>
      <c r="C319" t="s">
        <v>42</v>
      </c>
      <c r="D319" t="s">
        <v>21</v>
      </c>
      <c r="E319">
        <v>8579.7199999999993</v>
      </c>
      <c r="F319">
        <v>24</v>
      </c>
      <c r="G319" t="s">
        <v>35</v>
      </c>
      <c r="H319">
        <v>1362.78</v>
      </c>
      <c r="I319">
        <v>1729.81</v>
      </c>
      <c r="J319" t="s">
        <v>30</v>
      </c>
      <c r="K319">
        <v>0.28999999999999998</v>
      </c>
      <c r="L319" t="s">
        <v>27</v>
      </c>
      <c r="M319" t="s">
        <v>19</v>
      </c>
      <c r="N319" t="s">
        <v>51</v>
      </c>
    </row>
    <row r="320" spans="1:14" x14ac:dyDescent="0.35">
      <c r="A320">
        <v>1082</v>
      </c>
      <c r="B320" s="1">
        <v>45088</v>
      </c>
      <c r="C320" t="s">
        <v>42</v>
      </c>
      <c r="D320" t="s">
        <v>15</v>
      </c>
      <c r="E320">
        <v>7041.58</v>
      </c>
      <c r="F320">
        <v>17</v>
      </c>
      <c r="G320" t="s">
        <v>16</v>
      </c>
      <c r="H320">
        <v>890.31</v>
      </c>
      <c r="I320">
        <v>1159.06</v>
      </c>
      <c r="J320" t="s">
        <v>17</v>
      </c>
      <c r="K320">
        <v>0.06</v>
      </c>
      <c r="L320" t="s">
        <v>18</v>
      </c>
      <c r="M320" t="s">
        <v>22</v>
      </c>
      <c r="N320" t="s">
        <v>49</v>
      </c>
    </row>
    <row r="321" spans="1:14" x14ac:dyDescent="0.35">
      <c r="A321">
        <v>1066</v>
      </c>
      <c r="B321" s="1">
        <v>45013</v>
      </c>
      <c r="C321" t="s">
        <v>33</v>
      </c>
      <c r="D321" t="s">
        <v>15</v>
      </c>
      <c r="E321">
        <v>7297.86</v>
      </c>
      <c r="F321">
        <v>7</v>
      </c>
      <c r="G321" t="s">
        <v>29</v>
      </c>
      <c r="H321">
        <v>523.41999999999996</v>
      </c>
      <c r="I321">
        <v>632.43999999999903</v>
      </c>
      <c r="J321" t="s">
        <v>30</v>
      </c>
      <c r="K321">
        <v>0.2</v>
      </c>
      <c r="L321" t="s">
        <v>27</v>
      </c>
      <c r="M321" t="s">
        <v>19</v>
      </c>
      <c r="N321" t="s">
        <v>53</v>
      </c>
    </row>
    <row r="322" spans="1:14" x14ac:dyDescent="0.35">
      <c r="A322">
        <v>1054</v>
      </c>
      <c r="B322" s="1">
        <v>44981</v>
      </c>
      <c r="C322" t="s">
        <v>42</v>
      </c>
      <c r="D322" t="s">
        <v>15</v>
      </c>
      <c r="E322">
        <v>5664.52</v>
      </c>
      <c r="F322">
        <v>43</v>
      </c>
      <c r="G322" t="s">
        <v>26</v>
      </c>
      <c r="H322">
        <v>2124.7199999999998</v>
      </c>
      <c r="I322">
        <v>2188.66</v>
      </c>
      <c r="J322" t="s">
        <v>17</v>
      </c>
      <c r="K322">
        <v>0.03</v>
      </c>
      <c r="L322" t="s">
        <v>31</v>
      </c>
      <c r="M322" t="s">
        <v>22</v>
      </c>
      <c r="N322" t="s">
        <v>49</v>
      </c>
    </row>
    <row r="323" spans="1:14" x14ac:dyDescent="0.35">
      <c r="A323">
        <v>1035</v>
      </c>
      <c r="B323" s="1">
        <v>45214</v>
      </c>
      <c r="C323" t="s">
        <v>24</v>
      </c>
      <c r="D323" t="s">
        <v>15</v>
      </c>
      <c r="E323">
        <v>9476.2000000000007</v>
      </c>
      <c r="F323">
        <v>1</v>
      </c>
      <c r="G323" t="s">
        <v>16</v>
      </c>
      <c r="H323">
        <v>610.83000000000004</v>
      </c>
      <c r="I323">
        <v>808.69</v>
      </c>
      <c r="J323" t="s">
        <v>30</v>
      </c>
      <c r="K323">
        <v>0.22</v>
      </c>
      <c r="L323" t="s">
        <v>31</v>
      </c>
      <c r="M323" t="s">
        <v>19</v>
      </c>
      <c r="N323" t="s">
        <v>45</v>
      </c>
    </row>
    <row r="324" spans="1:14" x14ac:dyDescent="0.35">
      <c r="A324">
        <v>1080</v>
      </c>
      <c r="B324" s="1">
        <v>45104</v>
      </c>
      <c r="C324" t="s">
        <v>38</v>
      </c>
      <c r="D324" t="s">
        <v>21</v>
      </c>
      <c r="E324">
        <v>5012.96</v>
      </c>
      <c r="F324">
        <v>35</v>
      </c>
      <c r="G324" t="s">
        <v>16</v>
      </c>
      <c r="H324">
        <v>900.97</v>
      </c>
      <c r="I324">
        <v>1321.18</v>
      </c>
      <c r="J324" t="s">
        <v>17</v>
      </c>
      <c r="K324">
        <v>0.1</v>
      </c>
      <c r="L324" t="s">
        <v>18</v>
      </c>
      <c r="M324" t="s">
        <v>19</v>
      </c>
      <c r="N324" t="s">
        <v>41</v>
      </c>
    </row>
    <row r="325" spans="1:14" x14ac:dyDescent="0.35">
      <c r="A325">
        <v>1061</v>
      </c>
      <c r="B325" s="1">
        <v>45275</v>
      </c>
      <c r="C325" t="s">
        <v>42</v>
      </c>
      <c r="D325" t="s">
        <v>15</v>
      </c>
      <c r="E325">
        <v>3867.13</v>
      </c>
      <c r="F325">
        <v>32</v>
      </c>
      <c r="G325" t="s">
        <v>26</v>
      </c>
      <c r="H325">
        <v>2759.26</v>
      </c>
      <c r="I325">
        <v>3193.25</v>
      </c>
      <c r="J325" t="s">
        <v>30</v>
      </c>
      <c r="K325">
        <v>0.2</v>
      </c>
      <c r="L325" t="s">
        <v>27</v>
      </c>
      <c r="M325" t="s">
        <v>19</v>
      </c>
      <c r="N325" t="s">
        <v>49</v>
      </c>
    </row>
    <row r="326" spans="1:14" x14ac:dyDescent="0.35">
      <c r="A326">
        <v>1041</v>
      </c>
      <c r="B326" s="1">
        <v>44934</v>
      </c>
      <c r="C326" t="s">
        <v>24</v>
      </c>
      <c r="D326" t="s">
        <v>34</v>
      </c>
      <c r="E326">
        <v>1714.05</v>
      </c>
      <c r="F326">
        <v>36</v>
      </c>
      <c r="G326" t="s">
        <v>26</v>
      </c>
      <c r="H326">
        <v>864.77</v>
      </c>
      <c r="I326">
        <v>1170.1599999999901</v>
      </c>
      <c r="J326" t="s">
        <v>17</v>
      </c>
      <c r="K326">
        <v>0.11</v>
      </c>
      <c r="L326" t="s">
        <v>18</v>
      </c>
      <c r="M326" t="s">
        <v>22</v>
      </c>
      <c r="N326" t="s">
        <v>50</v>
      </c>
    </row>
    <row r="327" spans="1:14" x14ac:dyDescent="0.35">
      <c r="A327">
        <v>1100</v>
      </c>
      <c r="B327" s="1">
        <v>45247</v>
      </c>
      <c r="C327" t="s">
        <v>14</v>
      </c>
      <c r="D327" t="s">
        <v>34</v>
      </c>
      <c r="E327">
        <v>7883.44</v>
      </c>
      <c r="F327">
        <v>13</v>
      </c>
      <c r="G327" t="s">
        <v>26</v>
      </c>
      <c r="H327">
        <v>366.2</v>
      </c>
      <c r="I327">
        <v>732.69</v>
      </c>
      <c r="J327" t="s">
        <v>30</v>
      </c>
      <c r="K327">
        <v>0.04</v>
      </c>
      <c r="L327" t="s">
        <v>18</v>
      </c>
      <c r="M327" t="s">
        <v>22</v>
      </c>
      <c r="N327" t="s">
        <v>46</v>
      </c>
    </row>
    <row r="328" spans="1:14" x14ac:dyDescent="0.35">
      <c r="A328">
        <v>1033</v>
      </c>
      <c r="B328" s="1">
        <v>45239</v>
      </c>
      <c r="C328" t="s">
        <v>24</v>
      </c>
      <c r="D328" t="s">
        <v>34</v>
      </c>
      <c r="E328">
        <v>7370.99</v>
      </c>
      <c r="F328">
        <v>6</v>
      </c>
      <c r="G328" t="s">
        <v>29</v>
      </c>
      <c r="H328">
        <v>1621.07</v>
      </c>
      <c r="I328">
        <v>1687.5</v>
      </c>
      <c r="J328" t="s">
        <v>17</v>
      </c>
      <c r="K328">
        <v>0.12</v>
      </c>
      <c r="L328" t="s">
        <v>31</v>
      </c>
      <c r="M328" t="s">
        <v>19</v>
      </c>
      <c r="N328" t="s">
        <v>50</v>
      </c>
    </row>
    <row r="329" spans="1:14" x14ac:dyDescent="0.35">
      <c r="A329">
        <v>1068</v>
      </c>
      <c r="B329" s="1">
        <v>45173</v>
      </c>
      <c r="C329" t="s">
        <v>38</v>
      </c>
      <c r="D329" t="s">
        <v>34</v>
      </c>
      <c r="E329">
        <v>3905.11</v>
      </c>
      <c r="F329">
        <v>14</v>
      </c>
      <c r="G329" t="s">
        <v>26</v>
      </c>
      <c r="H329">
        <v>1140.58</v>
      </c>
      <c r="I329">
        <v>1438.76</v>
      </c>
      <c r="J329" t="s">
        <v>17</v>
      </c>
      <c r="K329">
        <v>0.03</v>
      </c>
      <c r="L329" t="s">
        <v>27</v>
      </c>
      <c r="M329" t="s">
        <v>19</v>
      </c>
      <c r="N329" t="s">
        <v>48</v>
      </c>
    </row>
    <row r="330" spans="1:14" x14ac:dyDescent="0.35">
      <c r="A330">
        <v>1033</v>
      </c>
      <c r="B330" s="1">
        <v>45249</v>
      </c>
      <c r="C330" t="s">
        <v>24</v>
      </c>
      <c r="D330" t="s">
        <v>15</v>
      </c>
      <c r="E330">
        <v>349.41</v>
      </c>
      <c r="F330">
        <v>37</v>
      </c>
      <c r="G330" t="s">
        <v>35</v>
      </c>
      <c r="H330">
        <v>2600.7600000000002</v>
      </c>
      <c r="I330">
        <v>2937.57</v>
      </c>
      <c r="J330" t="s">
        <v>30</v>
      </c>
      <c r="K330">
        <v>0.17</v>
      </c>
      <c r="L330" t="s">
        <v>31</v>
      </c>
      <c r="M330" t="s">
        <v>22</v>
      </c>
      <c r="N330" t="s">
        <v>45</v>
      </c>
    </row>
    <row r="331" spans="1:14" x14ac:dyDescent="0.35">
      <c r="A331">
        <v>1014</v>
      </c>
      <c r="B331" s="1">
        <v>45181</v>
      </c>
      <c r="C331" t="s">
        <v>33</v>
      </c>
      <c r="D331" t="s">
        <v>34</v>
      </c>
      <c r="E331">
        <v>8406.07</v>
      </c>
      <c r="F331">
        <v>48</v>
      </c>
      <c r="G331" t="s">
        <v>16</v>
      </c>
      <c r="H331">
        <v>556.72</v>
      </c>
      <c r="I331">
        <v>665.07</v>
      </c>
      <c r="J331" t="s">
        <v>17</v>
      </c>
      <c r="K331">
        <v>0.01</v>
      </c>
      <c r="L331" t="s">
        <v>27</v>
      </c>
      <c r="M331" t="s">
        <v>22</v>
      </c>
      <c r="N331" t="s">
        <v>36</v>
      </c>
    </row>
    <row r="332" spans="1:14" x14ac:dyDescent="0.35">
      <c r="A332">
        <v>1021</v>
      </c>
      <c r="B332" s="1">
        <v>45254</v>
      </c>
      <c r="C332" t="s">
        <v>38</v>
      </c>
      <c r="D332" t="s">
        <v>15</v>
      </c>
      <c r="E332">
        <v>213.04</v>
      </c>
      <c r="F332">
        <v>15</v>
      </c>
      <c r="G332" t="s">
        <v>26</v>
      </c>
      <c r="H332">
        <v>3771.27</v>
      </c>
      <c r="I332">
        <v>4212.55</v>
      </c>
      <c r="J332" t="s">
        <v>17</v>
      </c>
      <c r="K332">
        <v>0.16</v>
      </c>
      <c r="L332" t="s">
        <v>31</v>
      </c>
      <c r="M332" t="s">
        <v>22</v>
      </c>
      <c r="N332" t="s">
        <v>40</v>
      </c>
    </row>
    <row r="333" spans="1:14" x14ac:dyDescent="0.35">
      <c r="A333">
        <v>1048</v>
      </c>
      <c r="B333" s="1">
        <v>44980</v>
      </c>
      <c r="C333" t="s">
        <v>14</v>
      </c>
      <c r="D333" t="s">
        <v>21</v>
      </c>
      <c r="E333">
        <v>7066.63</v>
      </c>
      <c r="F333">
        <v>47</v>
      </c>
      <c r="G333" t="s">
        <v>26</v>
      </c>
      <c r="H333">
        <v>4535.8599999999997</v>
      </c>
      <c r="I333">
        <v>4641.41</v>
      </c>
      <c r="J333" t="s">
        <v>30</v>
      </c>
      <c r="K333">
        <v>0.27</v>
      </c>
      <c r="L333" t="s">
        <v>31</v>
      </c>
      <c r="M333" t="s">
        <v>22</v>
      </c>
      <c r="N333" t="s">
        <v>23</v>
      </c>
    </row>
    <row r="334" spans="1:14" x14ac:dyDescent="0.35">
      <c r="A334">
        <v>1020</v>
      </c>
      <c r="B334" s="1">
        <v>45175</v>
      </c>
      <c r="C334" t="s">
        <v>33</v>
      </c>
      <c r="D334" t="s">
        <v>34</v>
      </c>
      <c r="E334">
        <v>9705.5499999999993</v>
      </c>
      <c r="F334">
        <v>4</v>
      </c>
      <c r="G334" t="s">
        <v>29</v>
      </c>
      <c r="H334">
        <v>3730</v>
      </c>
      <c r="I334">
        <v>3893.6</v>
      </c>
      <c r="J334" t="s">
        <v>30</v>
      </c>
      <c r="K334">
        <v>0.25</v>
      </c>
      <c r="L334" t="s">
        <v>27</v>
      </c>
      <c r="M334" t="s">
        <v>22</v>
      </c>
      <c r="N334" t="s">
        <v>36</v>
      </c>
    </row>
    <row r="335" spans="1:14" x14ac:dyDescent="0.35">
      <c r="A335">
        <v>1008</v>
      </c>
      <c r="B335" s="1">
        <v>45165</v>
      </c>
      <c r="C335" t="s">
        <v>24</v>
      </c>
      <c r="D335" t="s">
        <v>25</v>
      </c>
      <c r="E335">
        <v>4432.8500000000004</v>
      </c>
      <c r="F335">
        <v>40</v>
      </c>
      <c r="G335" t="s">
        <v>29</v>
      </c>
      <c r="H335">
        <v>2687.49</v>
      </c>
      <c r="I335">
        <v>3001.56</v>
      </c>
      <c r="J335" t="s">
        <v>17</v>
      </c>
      <c r="K335">
        <v>0.26</v>
      </c>
      <c r="L335" t="s">
        <v>27</v>
      </c>
      <c r="M335" t="s">
        <v>19</v>
      </c>
      <c r="N335" t="s">
        <v>28</v>
      </c>
    </row>
    <row r="336" spans="1:14" x14ac:dyDescent="0.35">
      <c r="A336">
        <v>1007</v>
      </c>
      <c r="B336" s="1">
        <v>45155</v>
      </c>
      <c r="C336" t="s">
        <v>38</v>
      </c>
      <c r="D336" t="s">
        <v>34</v>
      </c>
      <c r="E336">
        <v>2426.2399999999998</v>
      </c>
      <c r="F336">
        <v>16</v>
      </c>
      <c r="G336" t="s">
        <v>16</v>
      </c>
      <c r="H336">
        <v>4310.3100000000004</v>
      </c>
      <c r="I336">
        <v>4633.1000000000004</v>
      </c>
      <c r="J336" t="s">
        <v>30</v>
      </c>
      <c r="K336">
        <v>0.28000000000000003</v>
      </c>
      <c r="L336" t="s">
        <v>31</v>
      </c>
      <c r="M336" t="s">
        <v>22</v>
      </c>
      <c r="N336" t="s">
        <v>48</v>
      </c>
    </row>
    <row r="337" spans="1:14" x14ac:dyDescent="0.35">
      <c r="A337">
        <v>1067</v>
      </c>
      <c r="B337" s="1">
        <v>44993</v>
      </c>
      <c r="C337" t="s">
        <v>14</v>
      </c>
      <c r="D337" t="s">
        <v>34</v>
      </c>
      <c r="E337">
        <v>7078.22</v>
      </c>
      <c r="F337">
        <v>28</v>
      </c>
      <c r="G337" t="s">
        <v>35</v>
      </c>
      <c r="H337">
        <v>3489.85</v>
      </c>
      <c r="I337">
        <v>3842.5499999999902</v>
      </c>
      <c r="J337" t="s">
        <v>30</v>
      </c>
      <c r="K337">
        <v>0.03</v>
      </c>
      <c r="L337" t="s">
        <v>27</v>
      </c>
      <c r="M337" t="s">
        <v>19</v>
      </c>
      <c r="N337" t="s">
        <v>46</v>
      </c>
    </row>
    <row r="338" spans="1:14" x14ac:dyDescent="0.35">
      <c r="A338">
        <v>1017</v>
      </c>
      <c r="B338" s="1">
        <v>44977</v>
      </c>
      <c r="C338" t="s">
        <v>33</v>
      </c>
      <c r="D338" t="s">
        <v>15</v>
      </c>
      <c r="E338">
        <v>8189.57</v>
      </c>
      <c r="F338">
        <v>16</v>
      </c>
      <c r="G338" t="s">
        <v>16</v>
      </c>
      <c r="H338">
        <v>102.23</v>
      </c>
      <c r="I338">
        <v>167.12</v>
      </c>
      <c r="J338" t="s">
        <v>30</v>
      </c>
      <c r="K338">
        <v>0.04</v>
      </c>
      <c r="L338" t="s">
        <v>31</v>
      </c>
      <c r="M338" t="s">
        <v>22</v>
      </c>
      <c r="N338" t="s">
        <v>53</v>
      </c>
    </row>
    <row r="339" spans="1:14" x14ac:dyDescent="0.35">
      <c r="A339">
        <v>1033</v>
      </c>
      <c r="B339" s="1">
        <v>45023</v>
      </c>
      <c r="C339" t="s">
        <v>14</v>
      </c>
      <c r="D339" t="s">
        <v>34</v>
      </c>
      <c r="E339">
        <v>5509.66</v>
      </c>
      <c r="F339">
        <v>4</v>
      </c>
      <c r="G339" t="s">
        <v>26</v>
      </c>
      <c r="H339">
        <v>2000.75</v>
      </c>
      <c r="I339">
        <v>2426.9899999999998</v>
      </c>
      <c r="J339" t="s">
        <v>17</v>
      </c>
      <c r="K339">
        <v>0.17</v>
      </c>
      <c r="L339" t="s">
        <v>27</v>
      </c>
      <c r="M339" t="s">
        <v>19</v>
      </c>
      <c r="N339" t="s">
        <v>46</v>
      </c>
    </row>
    <row r="340" spans="1:14" x14ac:dyDescent="0.35">
      <c r="A340">
        <v>1048</v>
      </c>
      <c r="B340" s="1">
        <v>45018</v>
      </c>
      <c r="C340" t="s">
        <v>24</v>
      </c>
      <c r="D340" t="s">
        <v>25</v>
      </c>
      <c r="E340">
        <v>9673.65</v>
      </c>
      <c r="F340">
        <v>45</v>
      </c>
      <c r="G340" t="s">
        <v>35</v>
      </c>
      <c r="H340">
        <v>4262.21</v>
      </c>
      <c r="I340">
        <v>4533.3100000000004</v>
      </c>
      <c r="J340" t="s">
        <v>17</v>
      </c>
      <c r="K340">
        <v>0.27</v>
      </c>
      <c r="L340" t="s">
        <v>31</v>
      </c>
      <c r="M340" t="s">
        <v>19</v>
      </c>
      <c r="N340" t="s">
        <v>28</v>
      </c>
    </row>
    <row r="341" spans="1:14" x14ac:dyDescent="0.35">
      <c r="A341">
        <v>1076</v>
      </c>
      <c r="B341" s="1">
        <v>45190</v>
      </c>
      <c r="C341" t="s">
        <v>14</v>
      </c>
      <c r="D341" t="s">
        <v>15</v>
      </c>
      <c r="E341">
        <v>611.52</v>
      </c>
      <c r="F341">
        <v>26</v>
      </c>
      <c r="G341" t="s">
        <v>35</v>
      </c>
      <c r="H341">
        <v>1762</v>
      </c>
      <c r="I341">
        <v>2002.95</v>
      </c>
      <c r="J341" t="s">
        <v>17</v>
      </c>
      <c r="K341">
        <v>0.28999999999999998</v>
      </c>
      <c r="L341" t="s">
        <v>31</v>
      </c>
      <c r="M341" t="s">
        <v>22</v>
      </c>
      <c r="N341" t="s">
        <v>20</v>
      </c>
    </row>
    <row r="342" spans="1:14" x14ac:dyDescent="0.35">
      <c r="A342">
        <v>1059</v>
      </c>
      <c r="B342" s="1">
        <v>45217</v>
      </c>
      <c r="C342" t="s">
        <v>42</v>
      </c>
      <c r="D342" t="s">
        <v>15</v>
      </c>
      <c r="E342">
        <v>5097.4799999999996</v>
      </c>
      <c r="F342">
        <v>28</v>
      </c>
      <c r="G342" t="s">
        <v>35</v>
      </c>
      <c r="H342">
        <v>224.32</v>
      </c>
      <c r="I342">
        <v>715.06</v>
      </c>
      <c r="J342" t="s">
        <v>17</v>
      </c>
      <c r="K342">
        <v>0.01</v>
      </c>
      <c r="L342" t="s">
        <v>31</v>
      </c>
      <c r="M342" t="s">
        <v>19</v>
      </c>
      <c r="N342" t="s">
        <v>49</v>
      </c>
    </row>
    <row r="343" spans="1:14" x14ac:dyDescent="0.35">
      <c r="A343">
        <v>1086</v>
      </c>
      <c r="B343" s="1">
        <v>45022</v>
      </c>
      <c r="C343" t="s">
        <v>33</v>
      </c>
      <c r="D343" t="s">
        <v>21</v>
      </c>
      <c r="E343">
        <v>7212.69</v>
      </c>
      <c r="F343">
        <v>32</v>
      </c>
      <c r="G343" t="s">
        <v>35</v>
      </c>
      <c r="H343">
        <v>3743.59</v>
      </c>
      <c r="I343">
        <v>4116.38</v>
      </c>
      <c r="J343" t="s">
        <v>17</v>
      </c>
      <c r="K343">
        <v>0.11</v>
      </c>
      <c r="L343" t="s">
        <v>18</v>
      </c>
      <c r="M343" t="s">
        <v>19</v>
      </c>
      <c r="N343" t="s">
        <v>37</v>
      </c>
    </row>
    <row r="344" spans="1:14" x14ac:dyDescent="0.35">
      <c r="A344">
        <v>1022</v>
      </c>
      <c r="B344" s="1">
        <v>45014</v>
      </c>
      <c r="C344" t="s">
        <v>14</v>
      </c>
      <c r="D344" t="s">
        <v>21</v>
      </c>
      <c r="E344">
        <v>8640.14</v>
      </c>
      <c r="F344">
        <v>45</v>
      </c>
      <c r="G344" t="s">
        <v>16</v>
      </c>
      <c r="H344">
        <v>4020.09</v>
      </c>
      <c r="I344">
        <v>4087.91</v>
      </c>
      <c r="J344" t="s">
        <v>17</v>
      </c>
      <c r="K344">
        <v>0.06</v>
      </c>
      <c r="L344" t="s">
        <v>27</v>
      </c>
      <c r="M344" t="s">
        <v>19</v>
      </c>
      <c r="N344" t="s">
        <v>23</v>
      </c>
    </row>
    <row r="345" spans="1:14" x14ac:dyDescent="0.35">
      <c r="A345">
        <v>1030</v>
      </c>
      <c r="B345" s="1">
        <v>45004</v>
      </c>
      <c r="C345" t="s">
        <v>24</v>
      </c>
      <c r="D345" t="s">
        <v>34</v>
      </c>
      <c r="E345">
        <v>1874.63</v>
      </c>
      <c r="F345">
        <v>2</v>
      </c>
      <c r="G345" t="s">
        <v>29</v>
      </c>
      <c r="H345">
        <v>844.94</v>
      </c>
      <c r="I345">
        <v>1225.6400000000001</v>
      </c>
      <c r="J345" t="s">
        <v>17</v>
      </c>
      <c r="K345">
        <v>0.23</v>
      </c>
      <c r="L345" t="s">
        <v>31</v>
      </c>
      <c r="M345" t="s">
        <v>19</v>
      </c>
      <c r="N345" t="s">
        <v>50</v>
      </c>
    </row>
    <row r="346" spans="1:14" x14ac:dyDescent="0.35">
      <c r="A346">
        <v>1038</v>
      </c>
      <c r="B346" s="1">
        <v>45214</v>
      </c>
      <c r="C346" t="s">
        <v>24</v>
      </c>
      <c r="D346" t="s">
        <v>21</v>
      </c>
      <c r="E346">
        <v>8020.03</v>
      </c>
      <c r="F346">
        <v>31</v>
      </c>
      <c r="G346" t="s">
        <v>29</v>
      </c>
      <c r="H346">
        <v>2709.84</v>
      </c>
      <c r="I346">
        <v>2766.51</v>
      </c>
      <c r="J346" t="s">
        <v>30</v>
      </c>
      <c r="K346">
        <v>0.19</v>
      </c>
      <c r="L346" t="s">
        <v>18</v>
      </c>
      <c r="M346" t="s">
        <v>22</v>
      </c>
      <c r="N346" t="s">
        <v>47</v>
      </c>
    </row>
    <row r="347" spans="1:14" x14ac:dyDescent="0.35">
      <c r="A347">
        <v>1051</v>
      </c>
      <c r="B347" s="1">
        <v>45046</v>
      </c>
      <c r="C347" t="s">
        <v>14</v>
      </c>
      <c r="D347" t="s">
        <v>21</v>
      </c>
      <c r="E347">
        <v>5571.8</v>
      </c>
      <c r="F347">
        <v>3</v>
      </c>
      <c r="G347" t="s">
        <v>26</v>
      </c>
      <c r="H347">
        <v>1000.18</v>
      </c>
      <c r="I347">
        <v>1023.64</v>
      </c>
      <c r="J347" t="s">
        <v>17</v>
      </c>
      <c r="K347">
        <v>0.04</v>
      </c>
      <c r="L347" t="s">
        <v>31</v>
      </c>
      <c r="M347" t="s">
        <v>19</v>
      </c>
      <c r="N347" t="s">
        <v>23</v>
      </c>
    </row>
    <row r="348" spans="1:14" x14ac:dyDescent="0.35">
      <c r="A348">
        <v>1054</v>
      </c>
      <c r="B348" s="1">
        <v>45228</v>
      </c>
      <c r="C348" t="s">
        <v>24</v>
      </c>
      <c r="D348" t="s">
        <v>21</v>
      </c>
      <c r="E348">
        <v>4025.88</v>
      </c>
      <c r="F348">
        <v>8</v>
      </c>
      <c r="G348" t="s">
        <v>29</v>
      </c>
      <c r="H348">
        <v>3610.21</v>
      </c>
      <c r="I348">
        <v>3817.99</v>
      </c>
      <c r="J348" t="s">
        <v>17</v>
      </c>
      <c r="K348">
        <v>0.15</v>
      </c>
      <c r="L348" t="s">
        <v>18</v>
      </c>
      <c r="M348" t="s">
        <v>22</v>
      </c>
      <c r="N348" t="s">
        <v>47</v>
      </c>
    </row>
    <row r="349" spans="1:14" x14ac:dyDescent="0.35">
      <c r="A349">
        <v>1008</v>
      </c>
      <c r="B349" s="1">
        <v>45091</v>
      </c>
      <c r="C349" t="s">
        <v>38</v>
      </c>
      <c r="D349" t="s">
        <v>15</v>
      </c>
      <c r="E349">
        <v>1403.98</v>
      </c>
      <c r="F349">
        <v>24</v>
      </c>
      <c r="G349" t="s">
        <v>29</v>
      </c>
      <c r="H349">
        <v>1394.17</v>
      </c>
      <c r="I349">
        <v>1891.02</v>
      </c>
      <c r="J349" t="s">
        <v>30</v>
      </c>
      <c r="K349">
        <v>0.21</v>
      </c>
      <c r="L349" t="s">
        <v>31</v>
      </c>
      <c r="M349" t="s">
        <v>19</v>
      </c>
      <c r="N349" t="s">
        <v>40</v>
      </c>
    </row>
    <row r="350" spans="1:14" x14ac:dyDescent="0.35">
      <c r="A350">
        <v>1027</v>
      </c>
      <c r="B350" s="1">
        <v>45108</v>
      </c>
      <c r="C350" t="s">
        <v>38</v>
      </c>
      <c r="D350" t="s">
        <v>15</v>
      </c>
      <c r="E350">
        <v>8666.43</v>
      </c>
      <c r="F350">
        <v>15</v>
      </c>
      <c r="G350" t="s">
        <v>29</v>
      </c>
      <c r="H350">
        <v>1615.26</v>
      </c>
      <c r="I350">
        <v>1710.95</v>
      </c>
      <c r="J350" t="s">
        <v>30</v>
      </c>
      <c r="K350">
        <v>0.23</v>
      </c>
      <c r="L350" t="s">
        <v>31</v>
      </c>
      <c r="M350" t="s">
        <v>22</v>
      </c>
      <c r="N350" t="s">
        <v>40</v>
      </c>
    </row>
    <row r="351" spans="1:14" x14ac:dyDescent="0.35">
      <c r="A351">
        <v>1027</v>
      </c>
      <c r="B351" s="1">
        <v>45149</v>
      </c>
      <c r="C351" t="s">
        <v>38</v>
      </c>
      <c r="D351" t="s">
        <v>15</v>
      </c>
      <c r="E351">
        <v>1657</v>
      </c>
      <c r="F351">
        <v>43</v>
      </c>
      <c r="G351" t="s">
        <v>29</v>
      </c>
      <c r="H351">
        <v>4232.6099999999997</v>
      </c>
      <c r="I351">
        <v>4572.21</v>
      </c>
      <c r="J351" t="s">
        <v>30</v>
      </c>
      <c r="K351">
        <v>0.01</v>
      </c>
      <c r="L351" t="s">
        <v>18</v>
      </c>
      <c r="M351" t="s">
        <v>22</v>
      </c>
      <c r="N351" t="s">
        <v>40</v>
      </c>
    </row>
    <row r="352" spans="1:14" x14ac:dyDescent="0.35">
      <c r="A352">
        <v>1098</v>
      </c>
      <c r="B352" s="1">
        <v>45237</v>
      </c>
      <c r="C352" t="s">
        <v>42</v>
      </c>
      <c r="D352" t="s">
        <v>21</v>
      </c>
      <c r="E352">
        <v>3166.9</v>
      </c>
      <c r="F352">
        <v>31</v>
      </c>
      <c r="G352" t="s">
        <v>26</v>
      </c>
      <c r="H352">
        <v>2407.8000000000002</v>
      </c>
      <c r="I352">
        <v>2502.7600000000002</v>
      </c>
      <c r="J352" t="s">
        <v>17</v>
      </c>
      <c r="K352">
        <v>0.27</v>
      </c>
      <c r="L352" t="s">
        <v>18</v>
      </c>
      <c r="M352" t="s">
        <v>22</v>
      </c>
      <c r="N352" t="s">
        <v>51</v>
      </c>
    </row>
    <row r="353" spans="1:14" x14ac:dyDescent="0.35">
      <c r="A353">
        <v>1021</v>
      </c>
      <c r="B353" s="1">
        <v>44933</v>
      </c>
      <c r="C353" t="s">
        <v>14</v>
      </c>
      <c r="D353" t="s">
        <v>15</v>
      </c>
      <c r="E353">
        <v>2971.45</v>
      </c>
      <c r="F353">
        <v>9</v>
      </c>
      <c r="G353" t="s">
        <v>16</v>
      </c>
      <c r="H353">
        <v>3365.28</v>
      </c>
      <c r="I353">
        <v>3730.43</v>
      </c>
      <c r="J353" t="s">
        <v>30</v>
      </c>
      <c r="K353">
        <v>0.17</v>
      </c>
      <c r="L353" t="s">
        <v>27</v>
      </c>
      <c r="M353" t="s">
        <v>19</v>
      </c>
      <c r="N353" t="s">
        <v>20</v>
      </c>
    </row>
    <row r="354" spans="1:14" x14ac:dyDescent="0.35">
      <c r="A354">
        <v>1030</v>
      </c>
      <c r="B354" s="1">
        <v>45256</v>
      </c>
      <c r="C354" t="s">
        <v>42</v>
      </c>
      <c r="D354" t="s">
        <v>21</v>
      </c>
      <c r="E354">
        <v>8727</v>
      </c>
      <c r="F354">
        <v>39</v>
      </c>
      <c r="G354" t="s">
        <v>35</v>
      </c>
      <c r="H354">
        <v>2041.75</v>
      </c>
      <c r="I354">
        <v>2299.37</v>
      </c>
      <c r="J354" t="s">
        <v>17</v>
      </c>
      <c r="K354">
        <v>0.24</v>
      </c>
      <c r="L354" t="s">
        <v>27</v>
      </c>
      <c r="M354" t="s">
        <v>22</v>
      </c>
      <c r="N354" t="s">
        <v>51</v>
      </c>
    </row>
    <row r="355" spans="1:14" x14ac:dyDescent="0.35">
      <c r="A355">
        <v>1097</v>
      </c>
      <c r="B355" s="1">
        <v>45189</v>
      </c>
      <c r="C355" t="s">
        <v>24</v>
      </c>
      <c r="D355" t="s">
        <v>15</v>
      </c>
      <c r="E355">
        <v>6759.76</v>
      </c>
      <c r="F355">
        <v>45</v>
      </c>
      <c r="G355" t="s">
        <v>29</v>
      </c>
      <c r="H355">
        <v>1525.13</v>
      </c>
      <c r="I355">
        <v>1868.32</v>
      </c>
      <c r="J355" t="s">
        <v>17</v>
      </c>
      <c r="K355">
        <v>0.24</v>
      </c>
      <c r="L355" t="s">
        <v>18</v>
      </c>
      <c r="M355" t="s">
        <v>22</v>
      </c>
      <c r="N355" t="s">
        <v>45</v>
      </c>
    </row>
    <row r="356" spans="1:14" x14ac:dyDescent="0.35">
      <c r="A356">
        <v>1028</v>
      </c>
      <c r="B356" s="1">
        <v>45087</v>
      </c>
      <c r="C356" t="s">
        <v>42</v>
      </c>
      <c r="D356" t="s">
        <v>15</v>
      </c>
      <c r="E356">
        <v>7987.15</v>
      </c>
      <c r="F356">
        <v>2</v>
      </c>
      <c r="G356" t="s">
        <v>16</v>
      </c>
      <c r="H356">
        <v>3146.12</v>
      </c>
      <c r="I356">
        <v>3255.5299999999902</v>
      </c>
      <c r="J356" t="s">
        <v>17</v>
      </c>
      <c r="K356">
        <v>0.06</v>
      </c>
      <c r="L356" t="s">
        <v>27</v>
      </c>
      <c r="M356" t="s">
        <v>19</v>
      </c>
      <c r="N356" t="s">
        <v>49</v>
      </c>
    </row>
    <row r="357" spans="1:14" x14ac:dyDescent="0.35">
      <c r="A357">
        <v>1064</v>
      </c>
      <c r="B357" s="1">
        <v>45077</v>
      </c>
      <c r="C357" t="s">
        <v>24</v>
      </c>
      <c r="D357" t="s">
        <v>25</v>
      </c>
      <c r="E357">
        <v>2579.63</v>
      </c>
      <c r="F357">
        <v>8</v>
      </c>
      <c r="G357" t="s">
        <v>29</v>
      </c>
      <c r="H357">
        <v>816.54</v>
      </c>
      <c r="I357">
        <v>1191.9000000000001</v>
      </c>
      <c r="J357" t="s">
        <v>30</v>
      </c>
      <c r="K357">
        <v>0.03</v>
      </c>
      <c r="L357" t="s">
        <v>18</v>
      </c>
      <c r="M357" t="s">
        <v>22</v>
      </c>
      <c r="N357" t="s">
        <v>28</v>
      </c>
    </row>
    <row r="358" spans="1:14" x14ac:dyDescent="0.35">
      <c r="A358">
        <v>1097</v>
      </c>
      <c r="B358" s="1">
        <v>45011</v>
      </c>
      <c r="C358" t="s">
        <v>24</v>
      </c>
      <c r="D358" t="s">
        <v>34</v>
      </c>
      <c r="E358">
        <v>6286.25</v>
      </c>
      <c r="F358">
        <v>7</v>
      </c>
      <c r="G358" t="s">
        <v>29</v>
      </c>
      <c r="H358">
        <v>1896.35</v>
      </c>
      <c r="I358">
        <v>2394.1999999999998</v>
      </c>
      <c r="J358" t="s">
        <v>30</v>
      </c>
      <c r="K358">
        <v>0.22</v>
      </c>
      <c r="L358" t="s">
        <v>27</v>
      </c>
      <c r="M358" t="s">
        <v>19</v>
      </c>
      <c r="N358" t="s">
        <v>50</v>
      </c>
    </row>
    <row r="359" spans="1:14" x14ac:dyDescent="0.35">
      <c r="A359">
        <v>1069</v>
      </c>
      <c r="B359" s="1">
        <v>45073</v>
      </c>
      <c r="C359" t="s">
        <v>33</v>
      </c>
      <c r="D359" t="s">
        <v>21</v>
      </c>
      <c r="E359">
        <v>5760.29</v>
      </c>
      <c r="F359">
        <v>44</v>
      </c>
      <c r="G359" t="s">
        <v>35</v>
      </c>
      <c r="H359">
        <v>1084.73</v>
      </c>
      <c r="I359">
        <v>1420.9</v>
      </c>
      <c r="J359" t="s">
        <v>17</v>
      </c>
      <c r="K359">
        <v>0.05</v>
      </c>
      <c r="L359" t="s">
        <v>31</v>
      </c>
      <c r="M359" t="s">
        <v>19</v>
      </c>
      <c r="N359" t="s">
        <v>37</v>
      </c>
    </row>
    <row r="360" spans="1:14" x14ac:dyDescent="0.35">
      <c r="A360">
        <v>1061</v>
      </c>
      <c r="B360" s="1">
        <v>45038</v>
      </c>
      <c r="C360" t="s">
        <v>38</v>
      </c>
      <c r="D360" t="s">
        <v>25</v>
      </c>
      <c r="E360">
        <v>8345.02</v>
      </c>
      <c r="F360">
        <v>39</v>
      </c>
      <c r="G360" t="s">
        <v>35</v>
      </c>
      <c r="H360">
        <v>3494.19</v>
      </c>
      <c r="I360">
        <v>3746</v>
      </c>
      <c r="J360" t="s">
        <v>17</v>
      </c>
      <c r="K360">
        <v>0.25</v>
      </c>
      <c r="L360" t="s">
        <v>27</v>
      </c>
      <c r="M360" t="s">
        <v>22</v>
      </c>
      <c r="N360" t="s">
        <v>39</v>
      </c>
    </row>
    <row r="361" spans="1:14" x14ac:dyDescent="0.35">
      <c r="A361">
        <v>1048</v>
      </c>
      <c r="B361" s="1">
        <v>44962</v>
      </c>
      <c r="C361" t="s">
        <v>24</v>
      </c>
      <c r="D361" t="s">
        <v>15</v>
      </c>
      <c r="E361">
        <v>9070.26</v>
      </c>
      <c r="F361">
        <v>42</v>
      </c>
      <c r="G361" t="s">
        <v>35</v>
      </c>
      <c r="H361">
        <v>4723.83</v>
      </c>
      <c r="I361">
        <v>5186.1899999999996</v>
      </c>
      <c r="J361" t="s">
        <v>17</v>
      </c>
      <c r="K361">
        <v>0.22</v>
      </c>
      <c r="L361" t="s">
        <v>31</v>
      </c>
      <c r="M361" t="s">
        <v>19</v>
      </c>
      <c r="N361" t="s">
        <v>45</v>
      </c>
    </row>
    <row r="362" spans="1:14" x14ac:dyDescent="0.35">
      <c r="A362">
        <v>1019</v>
      </c>
      <c r="B362" s="1">
        <v>45211</v>
      </c>
      <c r="C362" t="s">
        <v>33</v>
      </c>
      <c r="D362" t="s">
        <v>21</v>
      </c>
      <c r="E362">
        <v>220.35</v>
      </c>
      <c r="F362">
        <v>16</v>
      </c>
      <c r="G362" t="s">
        <v>29</v>
      </c>
      <c r="H362">
        <v>4977.78</v>
      </c>
      <c r="I362">
        <v>4995.55</v>
      </c>
      <c r="J362" t="s">
        <v>30</v>
      </c>
      <c r="K362">
        <v>0.25</v>
      </c>
      <c r="L362" t="s">
        <v>31</v>
      </c>
      <c r="M362" t="s">
        <v>19</v>
      </c>
      <c r="N362" t="s">
        <v>37</v>
      </c>
    </row>
    <row r="363" spans="1:14" x14ac:dyDescent="0.35">
      <c r="A363">
        <v>1004</v>
      </c>
      <c r="B363" s="1">
        <v>45114</v>
      </c>
      <c r="C363" t="s">
        <v>38</v>
      </c>
      <c r="D363" t="s">
        <v>15</v>
      </c>
      <c r="E363">
        <v>6772.8</v>
      </c>
      <c r="F363">
        <v>35</v>
      </c>
      <c r="G363" t="s">
        <v>29</v>
      </c>
      <c r="H363">
        <v>2278.87</v>
      </c>
      <c r="I363">
        <v>2646.5299999999902</v>
      </c>
      <c r="J363" t="s">
        <v>17</v>
      </c>
      <c r="K363">
        <v>0.09</v>
      </c>
      <c r="L363" t="s">
        <v>27</v>
      </c>
      <c r="M363" t="s">
        <v>19</v>
      </c>
      <c r="N363" t="s">
        <v>40</v>
      </c>
    </row>
    <row r="364" spans="1:14" x14ac:dyDescent="0.35">
      <c r="A364">
        <v>1035</v>
      </c>
      <c r="B364" s="1">
        <v>45008</v>
      </c>
      <c r="C364" t="s">
        <v>24</v>
      </c>
      <c r="D364" t="s">
        <v>34</v>
      </c>
      <c r="E364">
        <v>613.16999999999996</v>
      </c>
      <c r="F364">
        <v>30</v>
      </c>
      <c r="G364" t="s">
        <v>29</v>
      </c>
      <c r="H364">
        <v>1300.03</v>
      </c>
      <c r="I364">
        <v>1745.52</v>
      </c>
      <c r="J364" t="s">
        <v>30</v>
      </c>
      <c r="K364">
        <v>0.09</v>
      </c>
      <c r="L364" t="s">
        <v>18</v>
      </c>
      <c r="M364" t="s">
        <v>22</v>
      </c>
      <c r="N364" t="s">
        <v>50</v>
      </c>
    </row>
    <row r="365" spans="1:14" x14ac:dyDescent="0.35">
      <c r="A365">
        <v>1064</v>
      </c>
      <c r="B365" s="1">
        <v>44928</v>
      </c>
      <c r="C365" t="s">
        <v>24</v>
      </c>
      <c r="D365" t="s">
        <v>25</v>
      </c>
      <c r="E365">
        <v>5533.7</v>
      </c>
      <c r="F365">
        <v>10</v>
      </c>
      <c r="G365" t="s">
        <v>35</v>
      </c>
      <c r="H365">
        <v>2242.0100000000002</v>
      </c>
      <c r="I365">
        <v>2282.23</v>
      </c>
      <c r="J365" t="s">
        <v>17</v>
      </c>
      <c r="K365">
        <v>0.2</v>
      </c>
      <c r="L365" t="s">
        <v>31</v>
      </c>
      <c r="M365" t="s">
        <v>19</v>
      </c>
      <c r="N365" t="s">
        <v>28</v>
      </c>
    </row>
    <row r="366" spans="1:14" x14ac:dyDescent="0.35">
      <c r="A366">
        <v>1049</v>
      </c>
      <c r="B366" s="1">
        <v>45229</v>
      </c>
      <c r="C366" t="s">
        <v>42</v>
      </c>
      <c r="D366" t="s">
        <v>34</v>
      </c>
      <c r="E366">
        <v>2947.56</v>
      </c>
      <c r="F366">
        <v>38</v>
      </c>
      <c r="G366" t="s">
        <v>26</v>
      </c>
      <c r="H366">
        <v>4243.9799999999996</v>
      </c>
      <c r="I366">
        <v>4474.5099999999902</v>
      </c>
      <c r="J366" t="s">
        <v>30</v>
      </c>
      <c r="K366">
        <v>0.01</v>
      </c>
      <c r="L366" t="s">
        <v>31</v>
      </c>
      <c r="M366" t="s">
        <v>19</v>
      </c>
      <c r="N366" t="s">
        <v>52</v>
      </c>
    </row>
    <row r="367" spans="1:14" x14ac:dyDescent="0.35">
      <c r="A367">
        <v>1017</v>
      </c>
      <c r="B367" s="1">
        <v>45123</v>
      </c>
      <c r="C367" t="s">
        <v>42</v>
      </c>
      <c r="D367" t="s">
        <v>25</v>
      </c>
      <c r="E367">
        <v>3137.09</v>
      </c>
      <c r="F367">
        <v>18</v>
      </c>
      <c r="G367" t="s">
        <v>16</v>
      </c>
      <c r="H367">
        <v>1069.73</v>
      </c>
      <c r="I367">
        <v>1180.04</v>
      </c>
      <c r="J367" t="s">
        <v>17</v>
      </c>
      <c r="K367">
        <v>0.22</v>
      </c>
      <c r="L367" t="s">
        <v>27</v>
      </c>
      <c r="M367" t="s">
        <v>19</v>
      </c>
      <c r="N367" t="s">
        <v>43</v>
      </c>
    </row>
    <row r="368" spans="1:14" x14ac:dyDescent="0.35">
      <c r="A368">
        <v>1044</v>
      </c>
      <c r="B368" s="1">
        <v>44937</v>
      </c>
      <c r="C368" t="s">
        <v>38</v>
      </c>
      <c r="D368" t="s">
        <v>15</v>
      </c>
      <c r="E368">
        <v>3594.29</v>
      </c>
      <c r="F368">
        <v>5</v>
      </c>
      <c r="G368" t="s">
        <v>26</v>
      </c>
      <c r="H368">
        <v>4762.87</v>
      </c>
      <c r="I368">
        <v>5050.46</v>
      </c>
      <c r="J368" t="s">
        <v>30</v>
      </c>
      <c r="K368">
        <v>0.25</v>
      </c>
      <c r="L368" t="s">
        <v>18</v>
      </c>
      <c r="M368" t="s">
        <v>22</v>
      </c>
      <c r="N368" t="s">
        <v>40</v>
      </c>
    </row>
    <row r="369" spans="1:14" x14ac:dyDescent="0.35">
      <c r="A369">
        <v>1092</v>
      </c>
      <c r="B369" s="1">
        <v>45160</v>
      </c>
      <c r="C369" t="s">
        <v>24</v>
      </c>
      <c r="D369" t="s">
        <v>34</v>
      </c>
      <c r="E369">
        <v>6250.8</v>
      </c>
      <c r="F369">
        <v>29</v>
      </c>
      <c r="G369" t="s">
        <v>29</v>
      </c>
      <c r="H369">
        <v>1742.24</v>
      </c>
      <c r="I369">
        <v>2070.52</v>
      </c>
      <c r="J369" t="s">
        <v>30</v>
      </c>
      <c r="K369">
        <v>0.12</v>
      </c>
      <c r="L369" t="s">
        <v>18</v>
      </c>
      <c r="M369" t="s">
        <v>19</v>
      </c>
      <c r="N369" t="s">
        <v>50</v>
      </c>
    </row>
    <row r="370" spans="1:14" x14ac:dyDescent="0.35">
      <c r="A370">
        <v>1030</v>
      </c>
      <c r="B370" s="1">
        <v>45121</v>
      </c>
      <c r="C370" t="s">
        <v>14</v>
      </c>
      <c r="D370" t="s">
        <v>34</v>
      </c>
      <c r="E370">
        <v>3407.09</v>
      </c>
      <c r="F370">
        <v>39</v>
      </c>
      <c r="G370" t="s">
        <v>29</v>
      </c>
      <c r="H370">
        <v>4929.7299999999996</v>
      </c>
      <c r="I370">
        <v>5088.0199999999904</v>
      </c>
      <c r="J370" t="s">
        <v>30</v>
      </c>
      <c r="K370">
        <v>0.23</v>
      </c>
      <c r="L370" t="s">
        <v>27</v>
      </c>
      <c r="M370" t="s">
        <v>22</v>
      </c>
      <c r="N370" t="s">
        <v>46</v>
      </c>
    </row>
    <row r="371" spans="1:14" x14ac:dyDescent="0.35">
      <c r="A371">
        <v>1093</v>
      </c>
      <c r="B371" s="1">
        <v>45045</v>
      </c>
      <c r="C371" t="s">
        <v>42</v>
      </c>
      <c r="D371" t="s">
        <v>15</v>
      </c>
      <c r="E371">
        <v>7353.72</v>
      </c>
      <c r="F371">
        <v>34</v>
      </c>
      <c r="G371" t="s">
        <v>26</v>
      </c>
      <c r="H371">
        <v>4201.1099999999997</v>
      </c>
      <c r="I371">
        <v>4436.5</v>
      </c>
      <c r="J371" t="s">
        <v>30</v>
      </c>
      <c r="K371">
        <v>0.05</v>
      </c>
      <c r="L371" t="s">
        <v>18</v>
      </c>
      <c r="M371" t="s">
        <v>19</v>
      </c>
      <c r="N371" t="s">
        <v>49</v>
      </c>
    </row>
    <row r="372" spans="1:14" x14ac:dyDescent="0.35">
      <c r="A372">
        <v>1046</v>
      </c>
      <c r="B372" s="1">
        <v>44946</v>
      </c>
      <c r="C372" t="s">
        <v>38</v>
      </c>
      <c r="D372" t="s">
        <v>34</v>
      </c>
      <c r="E372">
        <v>4104.82</v>
      </c>
      <c r="F372">
        <v>43</v>
      </c>
      <c r="G372" t="s">
        <v>29</v>
      </c>
      <c r="H372">
        <v>4052.42</v>
      </c>
      <c r="I372">
        <v>4199.3</v>
      </c>
      <c r="J372" t="s">
        <v>30</v>
      </c>
      <c r="K372">
        <v>0.1</v>
      </c>
      <c r="L372" t="s">
        <v>27</v>
      </c>
      <c r="M372" t="s">
        <v>22</v>
      </c>
      <c r="N372" t="s">
        <v>48</v>
      </c>
    </row>
    <row r="373" spans="1:14" x14ac:dyDescent="0.35">
      <c r="A373">
        <v>1006</v>
      </c>
      <c r="B373" s="1">
        <v>45187</v>
      </c>
      <c r="C373" t="s">
        <v>24</v>
      </c>
      <c r="D373" t="s">
        <v>21</v>
      </c>
      <c r="E373">
        <v>776.7</v>
      </c>
      <c r="F373">
        <v>45</v>
      </c>
      <c r="G373" t="s">
        <v>16</v>
      </c>
      <c r="H373">
        <v>1623.63</v>
      </c>
      <c r="I373">
        <v>1814.63</v>
      </c>
      <c r="J373" t="s">
        <v>30</v>
      </c>
      <c r="K373">
        <v>0.28999999999999998</v>
      </c>
      <c r="L373" t="s">
        <v>27</v>
      </c>
      <c r="M373" t="s">
        <v>22</v>
      </c>
      <c r="N373" t="s">
        <v>47</v>
      </c>
    </row>
    <row r="374" spans="1:14" x14ac:dyDescent="0.35">
      <c r="A374">
        <v>1099</v>
      </c>
      <c r="B374" s="1">
        <v>45219</v>
      </c>
      <c r="C374" t="s">
        <v>24</v>
      </c>
      <c r="D374" t="s">
        <v>25</v>
      </c>
      <c r="E374">
        <v>7859.22</v>
      </c>
      <c r="F374">
        <v>23</v>
      </c>
      <c r="G374" t="s">
        <v>29</v>
      </c>
      <c r="H374">
        <v>93.45</v>
      </c>
      <c r="I374">
        <v>181.62</v>
      </c>
      <c r="J374" t="s">
        <v>17</v>
      </c>
      <c r="K374">
        <v>0.3</v>
      </c>
      <c r="L374" t="s">
        <v>27</v>
      </c>
      <c r="M374" t="s">
        <v>22</v>
      </c>
      <c r="N374" t="s">
        <v>28</v>
      </c>
    </row>
    <row r="375" spans="1:14" x14ac:dyDescent="0.35">
      <c r="A375">
        <v>1037</v>
      </c>
      <c r="B375" s="1">
        <v>45182</v>
      </c>
      <c r="C375" t="s">
        <v>14</v>
      </c>
      <c r="D375" t="s">
        <v>25</v>
      </c>
      <c r="E375">
        <v>2929.01</v>
      </c>
      <c r="F375">
        <v>5</v>
      </c>
      <c r="G375" t="s">
        <v>16</v>
      </c>
      <c r="H375">
        <v>1941.56</v>
      </c>
      <c r="I375">
        <v>2385.48</v>
      </c>
      <c r="J375" t="s">
        <v>17</v>
      </c>
      <c r="K375">
        <v>0.15</v>
      </c>
      <c r="L375" t="s">
        <v>31</v>
      </c>
      <c r="M375" t="s">
        <v>19</v>
      </c>
      <c r="N375" t="s">
        <v>32</v>
      </c>
    </row>
    <row r="376" spans="1:14" x14ac:dyDescent="0.35">
      <c r="A376">
        <v>1024</v>
      </c>
      <c r="B376" s="1">
        <v>45148</v>
      </c>
      <c r="C376" t="s">
        <v>38</v>
      </c>
      <c r="D376" t="s">
        <v>25</v>
      </c>
      <c r="E376">
        <v>4384.3900000000003</v>
      </c>
      <c r="F376">
        <v>30</v>
      </c>
      <c r="G376" t="s">
        <v>26</v>
      </c>
      <c r="H376">
        <v>1543.96</v>
      </c>
      <c r="I376">
        <v>1558.87</v>
      </c>
      <c r="J376" t="s">
        <v>17</v>
      </c>
      <c r="K376">
        <v>0.28000000000000003</v>
      </c>
      <c r="L376" t="s">
        <v>31</v>
      </c>
      <c r="M376" t="s">
        <v>19</v>
      </c>
      <c r="N376" t="s">
        <v>39</v>
      </c>
    </row>
    <row r="377" spans="1:14" x14ac:dyDescent="0.35">
      <c r="A377">
        <v>1093</v>
      </c>
      <c r="B377" s="1">
        <v>45152</v>
      </c>
      <c r="C377" t="s">
        <v>24</v>
      </c>
      <c r="D377" t="s">
        <v>21</v>
      </c>
      <c r="E377">
        <v>6885.89</v>
      </c>
      <c r="F377">
        <v>6</v>
      </c>
      <c r="G377" t="s">
        <v>26</v>
      </c>
      <c r="H377">
        <v>235.12</v>
      </c>
      <c r="I377">
        <v>677.5</v>
      </c>
      <c r="J377" t="s">
        <v>17</v>
      </c>
      <c r="K377">
        <v>0.16</v>
      </c>
      <c r="L377" t="s">
        <v>31</v>
      </c>
      <c r="M377" t="s">
        <v>19</v>
      </c>
      <c r="N377" t="s">
        <v>47</v>
      </c>
    </row>
    <row r="378" spans="1:14" x14ac:dyDescent="0.35">
      <c r="A378">
        <v>1046</v>
      </c>
      <c r="B378" s="1">
        <v>44979</v>
      </c>
      <c r="C378" t="s">
        <v>42</v>
      </c>
      <c r="D378" t="s">
        <v>25</v>
      </c>
      <c r="E378">
        <v>3391.32</v>
      </c>
      <c r="F378">
        <v>46</v>
      </c>
      <c r="G378" t="s">
        <v>29</v>
      </c>
      <c r="H378">
        <v>2551.56</v>
      </c>
      <c r="I378">
        <v>2841.68</v>
      </c>
      <c r="J378" t="s">
        <v>30</v>
      </c>
      <c r="K378">
        <v>0.09</v>
      </c>
      <c r="L378" t="s">
        <v>27</v>
      </c>
      <c r="M378" t="s">
        <v>22</v>
      </c>
      <c r="N378" t="s">
        <v>43</v>
      </c>
    </row>
    <row r="379" spans="1:14" x14ac:dyDescent="0.35">
      <c r="A379">
        <v>1053</v>
      </c>
      <c r="B379" s="1">
        <v>45281</v>
      </c>
      <c r="C379" t="s">
        <v>14</v>
      </c>
      <c r="D379" t="s">
        <v>15</v>
      </c>
      <c r="E379">
        <v>660.2</v>
      </c>
      <c r="F379">
        <v>44</v>
      </c>
      <c r="G379" t="s">
        <v>16</v>
      </c>
      <c r="H379">
        <v>2045</v>
      </c>
      <c r="I379">
        <v>2217.5100000000002</v>
      </c>
      <c r="J379" t="s">
        <v>17</v>
      </c>
      <c r="K379">
        <v>0.08</v>
      </c>
      <c r="L379" t="s">
        <v>31</v>
      </c>
      <c r="M379" t="s">
        <v>19</v>
      </c>
      <c r="N379" t="s">
        <v>20</v>
      </c>
    </row>
    <row r="380" spans="1:14" x14ac:dyDescent="0.35">
      <c r="A380">
        <v>1095</v>
      </c>
      <c r="B380" s="1">
        <v>45268</v>
      </c>
      <c r="C380" t="s">
        <v>38</v>
      </c>
      <c r="D380" t="s">
        <v>34</v>
      </c>
      <c r="E380">
        <v>3801.82</v>
      </c>
      <c r="F380">
        <v>4</v>
      </c>
      <c r="G380" t="s">
        <v>29</v>
      </c>
      <c r="H380">
        <v>3191.05</v>
      </c>
      <c r="I380">
        <v>3555.35</v>
      </c>
      <c r="J380" t="s">
        <v>30</v>
      </c>
      <c r="K380">
        <v>0.28000000000000003</v>
      </c>
      <c r="L380" t="s">
        <v>31</v>
      </c>
      <c r="M380" t="s">
        <v>19</v>
      </c>
      <c r="N380" t="s">
        <v>48</v>
      </c>
    </row>
    <row r="381" spans="1:14" x14ac:dyDescent="0.35">
      <c r="A381">
        <v>1099</v>
      </c>
      <c r="B381" s="1">
        <v>45290</v>
      </c>
      <c r="C381" t="s">
        <v>14</v>
      </c>
      <c r="D381" t="s">
        <v>21</v>
      </c>
      <c r="E381">
        <v>9450.0400000000009</v>
      </c>
      <c r="F381">
        <v>29</v>
      </c>
      <c r="G381" t="s">
        <v>35</v>
      </c>
      <c r="H381">
        <v>3124.87</v>
      </c>
      <c r="I381">
        <v>3383.67</v>
      </c>
      <c r="J381" t="s">
        <v>30</v>
      </c>
      <c r="K381">
        <v>0.05</v>
      </c>
      <c r="L381" t="s">
        <v>31</v>
      </c>
      <c r="M381" t="s">
        <v>22</v>
      </c>
      <c r="N381" t="s">
        <v>23</v>
      </c>
    </row>
    <row r="382" spans="1:14" x14ac:dyDescent="0.35">
      <c r="A382">
        <v>1060</v>
      </c>
      <c r="B382" s="1">
        <v>45206</v>
      </c>
      <c r="C382" t="s">
        <v>42</v>
      </c>
      <c r="D382" t="s">
        <v>25</v>
      </c>
      <c r="E382">
        <v>6453.17</v>
      </c>
      <c r="F382">
        <v>23</v>
      </c>
      <c r="G382" t="s">
        <v>35</v>
      </c>
      <c r="H382">
        <v>647.70000000000005</v>
      </c>
      <c r="I382">
        <v>902.26</v>
      </c>
      <c r="J382" t="s">
        <v>30</v>
      </c>
      <c r="K382">
        <v>0.17</v>
      </c>
      <c r="L382" t="s">
        <v>27</v>
      </c>
      <c r="M382" t="s">
        <v>19</v>
      </c>
      <c r="N382" t="s">
        <v>43</v>
      </c>
    </row>
    <row r="383" spans="1:14" x14ac:dyDescent="0.35">
      <c r="A383">
        <v>1097</v>
      </c>
      <c r="B383" s="1">
        <v>45007</v>
      </c>
      <c r="C383" t="s">
        <v>38</v>
      </c>
      <c r="D383" t="s">
        <v>15</v>
      </c>
      <c r="E383">
        <v>6747.64</v>
      </c>
      <c r="F383">
        <v>6</v>
      </c>
      <c r="G383" t="s">
        <v>35</v>
      </c>
      <c r="H383">
        <v>4885.9799999999996</v>
      </c>
      <c r="I383">
        <v>4949.95</v>
      </c>
      <c r="J383" t="s">
        <v>17</v>
      </c>
      <c r="K383">
        <v>0.17</v>
      </c>
      <c r="L383" t="s">
        <v>27</v>
      </c>
      <c r="M383" t="s">
        <v>19</v>
      </c>
      <c r="N383" t="s">
        <v>40</v>
      </c>
    </row>
    <row r="384" spans="1:14" x14ac:dyDescent="0.35">
      <c r="A384">
        <v>1063</v>
      </c>
      <c r="B384" s="1">
        <v>45128</v>
      </c>
      <c r="C384" t="s">
        <v>14</v>
      </c>
      <c r="D384" t="s">
        <v>34</v>
      </c>
      <c r="E384">
        <v>6359.59</v>
      </c>
      <c r="F384">
        <v>32</v>
      </c>
      <c r="G384" t="s">
        <v>35</v>
      </c>
      <c r="H384">
        <v>975.31</v>
      </c>
      <c r="I384">
        <v>1176.17</v>
      </c>
      <c r="J384" t="s">
        <v>30</v>
      </c>
      <c r="K384">
        <v>0.22</v>
      </c>
      <c r="L384" t="s">
        <v>27</v>
      </c>
      <c r="M384" t="s">
        <v>22</v>
      </c>
      <c r="N384" t="s">
        <v>46</v>
      </c>
    </row>
    <row r="385" spans="1:14" x14ac:dyDescent="0.35">
      <c r="A385">
        <v>1085</v>
      </c>
      <c r="B385" s="1">
        <v>45084</v>
      </c>
      <c r="C385" t="s">
        <v>33</v>
      </c>
      <c r="D385" t="s">
        <v>34</v>
      </c>
      <c r="E385">
        <v>2070.02</v>
      </c>
      <c r="F385">
        <v>42</v>
      </c>
      <c r="G385" t="s">
        <v>29</v>
      </c>
      <c r="H385">
        <v>2254.11</v>
      </c>
      <c r="I385">
        <v>2382.23</v>
      </c>
      <c r="J385" t="s">
        <v>17</v>
      </c>
      <c r="K385">
        <v>0.15</v>
      </c>
      <c r="L385" t="s">
        <v>31</v>
      </c>
      <c r="M385" t="s">
        <v>22</v>
      </c>
      <c r="N385" t="s">
        <v>36</v>
      </c>
    </row>
    <row r="386" spans="1:14" x14ac:dyDescent="0.35">
      <c r="A386">
        <v>1032</v>
      </c>
      <c r="B386" s="1">
        <v>45046</v>
      </c>
      <c r="C386" t="s">
        <v>42</v>
      </c>
      <c r="D386" t="s">
        <v>21</v>
      </c>
      <c r="E386">
        <v>4241.51</v>
      </c>
      <c r="F386">
        <v>18</v>
      </c>
      <c r="G386" t="s">
        <v>35</v>
      </c>
      <c r="H386">
        <v>2466.1799999999998</v>
      </c>
      <c r="I386">
        <v>2483.87</v>
      </c>
      <c r="J386" t="s">
        <v>17</v>
      </c>
      <c r="K386">
        <v>0.08</v>
      </c>
      <c r="L386" t="s">
        <v>18</v>
      </c>
      <c r="M386" t="s">
        <v>19</v>
      </c>
      <c r="N386" t="s">
        <v>51</v>
      </c>
    </row>
    <row r="387" spans="1:14" x14ac:dyDescent="0.35">
      <c r="A387">
        <v>1087</v>
      </c>
      <c r="B387" s="1">
        <v>44985</v>
      </c>
      <c r="C387" t="s">
        <v>42</v>
      </c>
      <c r="D387" t="s">
        <v>21</v>
      </c>
      <c r="E387">
        <v>7534.3</v>
      </c>
      <c r="F387">
        <v>15</v>
      </c>
      <c r="G387" t="s">
        <v>16</v>
      </c>
      <c r="H387">
        <v>4074.66</v>
      </c>
      <c r="I387">
        <v>4261.1099999999997</v>
      </c>
      <c r="J387" t="s">
        <v>17</v>
      </c>
      <c r="K387">
        <v>0.05</v>
      </c>
      <c r="L387" t="s">
        <v>31</v>
      </c>
      <c r="M387" t="s">
        <v>22</v>
      </c>
      <c r="N387" t="s">
        <v>51</v>
      </c>
    </row>
    <row r="388" spans="1:14" x14ac:dyDescent="0.35">
      <c r="A388">
        <v>1033</v>
      </c>
      <c r="B388" s="1">
        <v>45141</v>
      </c>
      <c r="C388" t="s">
        <v>42</v>
      </c>
      <c r="D388" t="s">
        <v>21</v>
      </c>
      <c r="E388">
        <v>1103.5899999999999</v>
      </c>
      <c r="F388">
        <v>40</v>
      </c>
      <c r="G388" t="s">
        <v>26</v>
      </c>
      <c r="H388">
        <v>541.19000000000005</v>
      </c>
      <c r="I388">
        <v>595.20000000000005</v>
      </c>
      <c r="J388" t="s">
        <v>17</v>
      </c>
      <c r="K388">
        <v>0.19</v>
      </c>
      <c r="L388" t="s">
        <v>31</v>
      </c>
      <c r="M388" t="s">
        <v>19</v>
      </c>
      <c r="N388" t="s">
        <v>51</v>
      </c>
    </row>
    <row r="389" spans="1:14" x14ac:dyDescent="0.35">
      <c r="A389">
        <v>1067</v>
      </c>
      <c r="B389" s="1">
        <v>45054</v>
      </c>
      <c r="C389" t="s">
        <v>33</v>
      </c>
      <c r="D389" t="s">
        <v>15</v>
      </c>
      <c r="E389">
        <v>2850.74</v>
      </c>
      <c r="F389">
        <v>32</v>
      </c>
      <c r="G389" t="s">
        <v>26</v>
      </c>
      <c r="H389">
        <v>2171.79</v>
      </c>
      <c r="I389">
        <v>2307.64</v>
      </c>
      <c r="J389" t="s">
        <v>17</v>
      </c>
      <c r="K389">
        <v>0.22</v>
      </c>
      <c r="L389" t="s">
        <v>27</v>
      </c>
      <c r="M389" t="s">
        <v>19</v>
      </c>
      <c r="N389" t="s">
        <v>53</v>
      </c>
    </row>
    <row r="390" spans="1:14" x14ac:dyDescent="0.35">
      <c r="A390">
        <v>1018</v>
      </c>
      <c r="B390" s="1">
        <v>45150</v>
      </c>
      <c r="C390" t="s">
        <v>33</v>
      </c>
      <c r="D390" t="s">
        <v>15</v>
      </c>
      <c r="E390">
        <v>2835.56</v>
      </c>
      <c r="F390">
        <v>9</v>
      </c>
      <c r="G390" t="s">
        <v>35</v>
      </c>
      <c r="H390">
        <v>3161.09</v>
      </c>
      <c r="I390">
        <v>3216.42</v>
      </c>
      <c r="J390" t="s">
        <v>30</v>
      </c>
      <c r="K390">
        <v>0.17</v>
      </c>
      <c r="L390" t="s">
        <v>27</v>
      </c>
      <c r="M390" t="s">
        <v>19</v>
      </c>
      <c r="N390" t="s">
        <v>53</v>
      </c>
    </row>
    <row r="391" spans="1:14" x14ac:dyDescent="0.35">
      <c r="A391">
        <v>1025</v>
      </c>
      <c r="B391" s="1">
        <v>45135</v>
      </c>
      <c r="C391" t="s">
        <v>24</v>
      </c>
      <c r="D391" t="s">
        <v>21</v>
      </c>
      <c r="E391">
        <v>4376.99</v>
      </c>
      <c r="F391">
        <v>37</v>
      </c>
      <c r="G391" t="s">
        <v>35</v>
      </c>
      <c r="H391">
        <v>1115.02</v>
      </c>
      <c r="I391">
        <v>1174.48</v>
      </c>
      <c r="J391" t="s">
        <v>30</v>
      </c>
      <c r="K391">
        <v>0.22</v>
      </c>
      <c r="L391" t="s">
        <v>31</v>
      </c>
      <c r="M391" t="s">
        <v>19</v>
      </c>
      <c r="N391" t="s">
        <v>47</v>
      </c>
    </row>
    <row r="392" spans="1:14" x14ac:dyDescent="0.35">
      <c r="A392">
        <v>1095</v>
      </c>
      <c r="B392" s="1">
        <v>45041</v>
      </c>
      <c r="C392" t="s">
        <v>14</v>
      </c>
      <c r="D392" t="s">
        <v>25</v>
      </c>
      <c r="E392">
        <v>9805.65</v>
      </c>
      <c r="F392">
        <v>10</v>
      </c>
      <c r="G392" t="s">
        <v>35</v>
      </c>
      <c r="H392">
        <v>3155.97</v>
      </c>
      <c r="I392">
        <v>3263.49</v>
      </c>
      <c r="J392" t="s">
        <v>17</v>
      </c>
      <c r="K392">
        <v>0.04</v>
      </c>
      <c r="L392" t="s">
        <v>31</v>
      </c>
      <c r="M392" t="s">
        <v>19</v>
      </c>
      <c r="N392" t="s">
        <v>32</v>
      </c>
    </row>
    <row r="393" spans="1:14" x14ac:dyDescent="0.35">
      <c r="A393">
        <v>1054</v>
      </c>
      <c r="B393" s="1">
        <v>45135</v>
      </c>
      <c r="C393" t="s">
        <v>24</v>
      </c>
      <c r="D393" t="s">
        <v>34</v>
      </c>
      <c r="E393">
        <v>768.28</v>
      </c>
      <c r="F393">
        <v>20</v>
      </c>
      <c r="G393" t="s">
        <v>29</v>
      </c>
      <c r="H393">
        <v>4622.1400000000003</v>
      </c>
      <c r="I393">
        <v>5122.07</v>
      </c>
      <c r="J393" t="s">
        <v>30</v>
      </c>
      <c r="K393">
        <v>0.26</v>
      </c>
      <c r="L393" t="s">
        <v>18</v>
      </c>
      <c r="M393" t="s">
        <v>22</v>
      </c>
      <c r="N393" t="s">
        <v>50</v>
      </c>
    </row>
    <row r="394" spans="1:14" x14ac:dyDescent="0.35">
      <c r="A394">
        <v>1058</v>
      </c>
      <c r="B394" s="1">
        <v>44940</v>
      </c>
      <c r="C394" t="s">
        <v>14</v>
      </c>
      <c r="D394" t="s">
        <v>34</v>
      </c>
      <c r="E394">
        <v>5235.1400000000003</v>
      </c>
      <c r="F394">
        <v>6</v>
      </c>
      <c r="G394" t="s">
        <v>26</v>
      </c>
      <c r="H394">
        <v>4987.71</v>
      </c>
      <c r="I394">
        <v>4998.78</v>
      </c>
      <c r="J394" t="s">
        <v>17</v>
      </c>
      <c r="K394">
        <v>0.17</v>
      </c>
      <c r="L394" t="s">
        <v>18</v>
      </c>
      <c r="M394" t="s">
        <v>22</v>
      </c>
      <c r="N394" t="s">
        <v>46</v>
      </c>
    </row>
    <row r="395" spans="1:14" x14ac:dyDescent="0.35">
      <c r="A395">
        <v>1067</v>
      </c>
      <c r="B395" s="1">
        <v>44935</v>
      </c>
      <c r="C395" t="s">
        <v>33</v>
      </c>
      <c r="D395" t="s">
        <v>15</v>
      </c>
      <c r="E395">
        <v>1875.71</v>
      </c>
      <c r="F395">
        <v>48</v>
      </c>
      <c r="G395" t="s">
        <v>35</v>
      </c>
      <c r="H395">
        <v>210.63</v>
      </c>
      <c r="I395">
        <v>533.57999999999902</v>
      </c>
      <c r="J395" t="s">
        <v>30</v>
      </c>
      <c r="K395">
        <v>0.04</v>
      </c>
      <c r="L395" t="s">
        <v>27</v>
      </c>
      <c r="M395" t="s">
        <v>19</v>
      </c>
      <c r="N395" t="s">
        <v>53</v>
      </c>
    </row>
    <row r="396" spans="1:14" x14ac:dyDescent="0.35">
      <c r="A396">
        <v>1046</v>
      </c>
      <c r="B396" s="1">
        <v>44966</v>
      </c>
      <c r="C396" t="s">
        <v>33</v>
      </c>
      <c r="D396" t="s">
        <v>34</v>
      </c>
      <c r="E396">
        <v>9709.7000000000007</v>
      </c>
      <c r="F396">
        <v>3</v>
      </c>
      <c r="G396" t="s">
        <v>16</v>
      </c>
      <c r="H396">
        <v>1216.1600000000001</v>
      </c>
      <c r="I396">
        <v>1295.3699999999999</v>
      </c>
      <c r="J396" t="s">
        <v>30</v>
      </c>
      <c r="K396">
        <v>0.14000000000000001</v>
      </c>
      <c r="L396" t="s">
        <v>18</v>
      </c>
      <c r="M396" t="s">
        <v>22</v>
      </c>
      <c r="N396" t="s">
        <v>36</v>
      </c>
    </row>
    <row r="397" spans="1:14" x14ac:dyDescent="0.35">
      <c r="A397">
        <v>1024</v>
      </c>
      <c r="B397" s="1">
        <v>45163</v>
      </c>
      <c r="C397" t="s">
        <v>24</v>
      </c>
      <c r="D397" t="s">
        <v>25</v>
      </c>
      <c r="E397">
        <v>1221.7</v>
      </c>
      <c r="F397">
        <v>42</v>
      </c>
      <c r="G397" t="s">
        <v>35</v>
      </c>
      <c r="H397">
        <v>1586.02</v>
      </c>
      <c r="I397">
        <v>2047.13</v>
      </c>
      <c r="J397" t="s">
        <v>30</v>
      </c>
      <c r="K397">
        <v>0.25</v>
      </c>
      <c r="L397" t="s">
        <v>18</v>
      </c>
      <c r="M397" t="s">
        <v>22</v>
      </c>
      <c r="N397" t="s">
        <v>28</v>
      </c>
    </row>
    <row r="398" spans="1:14" x14ac:dyDescent="0.35">
      <c r="A398">
        <v>1032</v>
      </c>
      <c r="B398" s="1">
        <v>45207</v>
      </c>
      <c r="C398" t="s">
        <v>38</v>
      </c>
      <c r="D398" t="s">
        <v>34</v>
      </c>
      <c r="E398">
        <v>4095.65</v>
      </c>
      <c r="F398">
        <v>11</v>
      </c>
      <c r="G398" t="s">
        <v>26</v>
      </c>
      <c r="H398">
        <v>2025.67</v>
      </c>
      <c r="I398">
        <v>2081.5500000000002</v>
      </c>
      <c r="J398" t="s">
        <v>30</v>
      </c>
      <c r="K398">
        <v>0.27</v>
      </c>
      <c r="L398" t="s">
        <v>27</v>
      </c>
      <c r="M398" t="s">
        <v>19</v>
      </c>
      <c r="N398" t="s">
        <v>48</v>
      </c>
    </row>
    <row r="399" spans="1:14" x14ac:dyDescent="0.35">
      <c r="A399">
        <v>1047</v>
      </c>
      <c r="B399" s="1">
        <v>45285</v>
      </c>
      <c r="C399" t="s">
        <v>24</v>
      </c>
      <c r="D399" t="s">
        <v>15</v>
      </c>
      <c r="E399">
        <v>7405.06</v>
      </c>
      <c r="F399">
        <v>43</v>
      </c>
      <c r="G399" t="s">
        <v>35</v>
      </c>
      <c r="H399">
        <v>1249.17</v>
      </c>
      <c r="I399">
        <v>1727.15</v>
      </c>
      <c r="J399" t="s">
        <v>30</v>
      </c>
      <c r="K399">
        <v>0.08</v>
      </c>
      <c r="L399" t="s">
        <v>18</v>
      </c>
      <c r="M399" t="s">
        <v>22</v>
      </c>
      <c r="N399" t="s">
        <v>45</v>
      </c>
    </row>
    <row r="400" spans="1:14" x14ac:dyDescent="0.35">
      <c r="A400">
        <v>1086</v>
      </c>
      <c r="B400" s="1">
        <v>45127</v>
      </c>
      <c r="C400" t="s">
        <v>14</v>
      </c>
      <c r="D400" t="s">
        <v>15</v>
      </c>
      <c r="E400">
        <v>7075.09</v>
      </c>
      <c r="F400">
        <v>17</v>
      </c>
      <c r="G400" t="s">
        <v>26</v>
      </c>
      <c r="H400">
        <v>1057.27</v>
      </c>
      <c r="I400">
        <v>1366.62</v>
      </c>
      <c r="J400" t="s">
        <v>30</v>
      </c>
      <c r="K400">
        <v>0.21</v>
      </c>
      <c r="L400" t="s">
        <v>31</v>
      </c>
      <c r="M400" t="s">
        <v>22</v>
      </c>
      <c r="N400" t="s">
        <v>20</v>
      </c>
    </row>
    <row r="401" spans="1:14" x14ac:dyDescent="0.35">
      <c r="A401">
        <v>1023</v>
      </c>
      <c r="B401" s="1">
        <v>45172</v>
      </c>
      <c r="C401" t="s">
        <v>24</v>
      </c>
      <c r="D401" t="s">
        <v>25</v>
      </c>
      <c r="E401">
        <v>4285.01</v>
      </c>
      <c r="F401">
        <v>32</v>
      </c>
      <c r="G401" t="s">
        <v>35</v>
      </c>
      <c r="H401">
        <v>4775.04</v>
      </c>
      <c r="I401">
        <v>4785.66</v>
      </c>
      <c r="J401" t="s">
        <v>30</v>
      </c>
      <c r="K401">
        <v>0.03</v>
      </c>
      <c r="L401" t="s">
        <v>18</v>
      </c>
      <c r="M401" t="s">
        <v>19</v>
      </c>
      <c r="N401" t="s">
        <v>28</v>
      </c>
    </row>
    <row r="402" spans="1:14" x14ac:dyDescent="0.35">
      <c r="A402">
        <v>1066</v>
      </c>
      <c r="B402" s="1">
        <v>45204</v>
      </c>
      <c r="C402" t="s">
        <v>42</v>
      </c>
      <c r="D402" t="s">
        <v>25</v>
      </c>
      <c r="E402">
        <v>3530.59</v>
      </c>
      <c r="F402">
        <v>4</v>
      </c>
      <c r="G402" t="s">
        <v>16</v>
      </c>
      <c r="H402">
        <v>4596.68</v>
      </c>
      <c r="I402">
        <v>5044.74</v>
      </c>
      <c r="J402" t="s">
        <v>30</v>
      </c>
      <c r="K402">
        <v>0.01</v>
      </c>
      <c r="L402" t="s">
        <v>27</v>
      </c>
      <c r="M402" t="s">
        <v>19</v>
      </c>
      <c r="N402" t="s">
        <v>43</v>
      </c>
    </row>
    <row r="403" spans="1:14" x14ac:dyDescent="0.35">
      <c r="A403">
        <v>1027</v>
      </c>
      <c r="B403" s="1">
        <v>45161</v>
      </c>
      <c r="C403" t="s">
        <v>14</v>
      </c>
      <c r="D403" t="s">
        <v>34</v>
      </c>
      <c r="E403">
        <v>4036.36</v>
      </c>
      <c r="F403">
        <v>4</v>
      </c>
      <c r="G403" t="s">
        <v>35</v>
      </c>
      <c r="H403">
        <v>282.61</v>
      </c>
      <c r="I403">
        <v>548.25</v>
      </c>
      <c r="J403" t="s">
        <v>30</v>
      </c>
      <c r="K403">
        <v>0.17</v>
      </c>
      <c r="L403" t="s">
        <v>31</v>
      </c>
      <c r="M403" t="s">
        <v>19</v>
      </c>
      <c r="N403" t="s">
        <v>46</v>
      </c>
    </row>
    <row r="404" spans="1:14" x14ac:dyDescent="0.35">
      <c r="A404">
        <v>1002</v>
      </c>
      <c r="B404" s="1">
        <v>44930</v>
      </c>
      <c r="C404" t="s">
        <v>14</v>
      </c>
      <c r="D404" t="s">
        <v>34</v>
      </c>
      <c r="E404">
        <v>2716.34</v>
      </c>
      <c r="F404">
        <v>17</v>
      </c>
      <c r="G404" t="s">
        <v>16</v>
      </c>
      <c r="H404">
        <v>1727.12</v>
      </c>
      <c r="I404">
        <v>1865.83</v>
      </c>
      <c r="J404" t="s">
        <v>30</v>
      </c>
      <c r="K404">
        <v>0.21</v>
      </c>
      <c r="L404" t="s">
        <v>18</v>
      </c>
      <c r="M404" t="s">
        <v>19</v>
      </c>
      <c r="N404" t="s">
        <v>46</v>
      </c>
    </row>
    <row r="405" spans="1:14" x14ac:dyDescent="0.35">
      <c r="A405">
        <v>1090</v>
      </c>
      <c r="B405" s="1">
        <v>45080</v>
      </c>
      <c r="C405" t="s">
        <v>38</v>
      </c>
      <c r="D405" t="s">
        <v>15</v>
      </c>
      <c r="E405">
        <v>2132.8000000000002</v>
      </c>
      <c r="F405">
        <v>41</v>
      </c>
      <c r="G405" t="s">
        <v>16</v>
      </c>
      <c r="H405">
        <v>2055.4899999999998</v>
      </c>
      <c r="I405">
        <v>2441.46</v>
      </c>
      <c r="J405" t="s">
        <v>30</v>
      </c>
      <c r="K405">
        <v>0.24</v>
      </c>
      <c r="L405" t="s">
        <v>31</v>
      </c>
      <c r="M405" t="s">
        <v>19</v>
      </c>
      <c r="N405" t="s">
        <v>40</v>
      </c>
    </row>
    <row r="406" spans="1:14" x14ac:dyDescent="0.35">
      <c r="A406">
        <v>1017</v>
      </c>
      <c r="B406" s="1">
        <v>44955</v>
      </c>
      <c r="C406" t="s">
        <v>33</v>
      </c>
      <c r="D406" t="s">
        <v>25</v>
      </c>
      <c r="E406">
        <v>4882.09</v>
      </c>
      <c r="F406">
        <v>19</v>
      </c>
      <c r="G406" t="s">
        <v>35</v>
      </c>
      <c r="H406">
        <v>1233.1199999999999</v>
      </c>
      <c r="I406">
        <v>1697.1899999999901</v>
      </c>
      <c r="J406" t="s">
        <v>30</v>
      </c>
      <c r="K406">
        <v>0.1</v>
      </c>
      <c r="L406" t="s">
        <v>31</v>
      </c>
      <c r="M406" t="s">
        <v>19</v>
      </c>
      <c r="N406" t="s">
        <v>44</v>
      </c>
    </row>
    <row r="407" spans="1:14" x14ac:dyDescent="0.35">
      <c r="A407">
        <v>1033</v>
      </c>
      <c r="B407" s="1">
        <v>45035</v>
      </c>
      <c r="C407" t="s">
        <v>14</v>
      </c>
      <c r="D407" t="s">
        <v>25</v>
      </c>
      <c r="E407">
        <v>2758.48</v>
      </c>
      <c r="F407">
        <v>5</v>
      </c>
      <c r="G407" t="s">
        <v>16</v>
      </c>
      <c r="H407">
        <v>3162.92</v>
      </c>
      <c r="I407">
        <v>3409.93</v>
      </c>
      <c r="J407" t="s">
        <v>30</v>
      </c>
      <c r="K407">
        <v>0</v>
      </c>
      <c r="L407" t="s">
        <v>18</v>
      </c>
      <c r="M407" t="s">
        <v>19</v>
      </c>
      <c r="N407" t="s">
        <v>32</v>
      </c>
    </row>
    <row r="408" spans="1:14" x14ac:dyDescent="0.35">
      <c r="A408">
        <v>1009</v>
      </c>
      <c r="B408" s="1">
        <v>45024</v>
      </c>
      <c r="C408" t="s">
        <v>33</v>
      </c>
      <c r="D408" t="s">
        <v>25</v>
      </c>
      <c r="E408">
        <v>2945.87</v>
      </c>
      <c r="F408">
        <v>32</v>
      </c>
      <c r="G408" t="s">
        <v>29</v>
      </c>
      <c r="H408">
        <v>3219.88</v>
      </c>
      <c r="I408">
        <v>3384.5</v>
      </c>
      <c r="J408" t="s">
        <v>17</v>
      </c>
      <c r="K408">
        <v>0.14000000000000001</v>
      </c>
      <c r="L408" t="s">
        <v>18</v>
      </c>
      <c r="M408" t="s">
        <v>22</v>
      </c>
      <c r="N408" t="s">
        <v>44</v>
      </c>
    </row>
    <row r="409" spans="1:14" x14ac:dyDescent="0.35">
      <c r="A409">
        <v>1043</v>
      </c>
      <c r="B409" s="1">
        <v>45141</v>
      </c>
      <c r="C409" t="s">
        <v>24</v>
      </c>
      <c r="D409" t="s">
        <v>34</v>
      </c>
      <c r="E409">
        <v>6601.89</v>
      </c>
      <c r="F409">
        <v>22</v>
      </c>
      <c r="G409" t="s">
        <v>35</v>
      </c>
      <c r="H409">
        <v>4260</v>
      </c>
      <c r="I409">
        <v>4656.58</v>
      </c>
      <c r="J409" t="s">
        <v>30</v>
      </c>
      <c r="K409">
        <v>0</v>
      </c>
      <c r="L409" t="s">
        <v>27</v>
      </c>
      <c r="M409" t="s">
        <v>19</v>
      </c>
      <c r="N409" t="s">
        <v>50</v>
      </c>
    </row>
    <row r="410" spans="1:14" x14ac:dyDescent="0.35">
      <c r="A410">
        <v>1048</v>
      </c>
      <c r="B410" s="1">
        <v>45219</v>
      </c>
      <c r="C410" t="s">
        <v>42</v>
      </c>
      <c r="D410" t="s">
        <v>25</v>
      </c>
      <c r="E410">
        <v>9688.52</v>
      </c>
      <c r="F410">
        <v>6</v>
      </c>
      <c r="G410" t="s">
        <v>35</v>
      </c>
      <c r="H410">
        <v>3717.3</v>
      </c>
      <c r="I410">
        <v>4061.37</v>
      </c>
      <c r="J410" t="s">
        <v>30</v>
      </c>
      <c r="K410">
        <v>0.03</v>
      </c>
      <c r="L410" t="s">
        <v>27</v>
      </c>
      <c r="M410" t="s">
        <v>22</v>
      </c>
      <c r="N410" t="s">
        <v>43</v>
      </c>
    </row>
    <row r="411" spans="1:14" x14ac:dyDescent="0.35">
      <c r="A411">
        <v>1039</v>
      </c>
      <c r="B411" s="1">
        <v>45001</v>
      </c>
      <c r="C411" t="s">
        <v>38</v>
      </c>
      <c r="D411" t="s">
        <v>15</v>
      </c>
      <c r="E411">
        <v>6076.01</v>
      </c>
      <c r="F411">
        <v>35</v>
      </c>
      <c r="G411" t="s">
        <v>16</v>
      </c>
      <c r="H411">
        <v>2735.74</v>
      </c>
      <c r="I411">
        <v>3181.22999999999</v>
      </c>
      <c r="J411" t="s">
        <v>30</v>
      </c>
      <c r="K411">
        <v>0.1</v>
      </c>
      <c r="L411" t="s">
        <v>31</v>
      </c>
      <c r="M411" t="s">
        <v>22</v>
      </c>
      <c r="N411" t="s">
        <v>40</v>
      </c>
    </row>
    <row r="412" spans="1:14" x14ac:dyDescent="0.35">
      <c r="A412">
        <v>1093</v>
      </c>
      <c r="B412" s="1">
        <v>45252</v>
      </c>
      <c r="C412" t="s">
        <v>33</v>
      </c>
      <c r="D412" t="s">
        <v>15</v>
      </c>
      <c r="E412">
        <v>862.1</v>
      </c>
      <c r="F412">
        <v>22</v>
      </c>
      <c r="G412" t="s">
        <v>16</v>
      </c>
      <c r="H412">
        <v>3285.25</v>
      </c>
      <c r="I412">
        <v>3634.58</v>
      </c>
      <c r="J412" t="s">
        <v>30</v>
      </c>
      <c r="K412">
        <v>0.13</v>
      </c>
      <c r="L412" t="s">
        <v>27</v>
      </c>
      <c r="M412" t="s">
        <v>19</v>
      </c>
      <c r="N412" t="s">
        <v>53</v>
      </c>
    </row>
    <row r="413" spans="1:14" x14ac:dyDescent="0.35">
      <c r="A413">
        <v>1042</v>
      </c>
      <c r="B413" s="1">
        <v>45072</v>
      </c>
      <c r="C413" t="s">
        <v>14</v>
      </c>
      <c r="D413" t="s">
        <v>34</v>
      </c>
      <c r="E413">
        <v>848.28</v>
      </c>
      <c r="F413">
        <v>1</v>
      </c>
      <c r="G413" t="s">
        <v>35</v>
      </c>
      <c r="H413">
        <v>1406.24</v>
      </c>
      <c r="I413">
        <v>1535.57</v>
      </c>
      <c r="J413" t="s">
        <v>30</v>
      </c>
      <c r="K413">
        <v>0.08</v>
      </c>
      <c r="L413" t="s">
        <v>31</v>
      </c>
      <c r="M413" t="s">
        <v>22</v>
      </c>
      <c r="N413" t="s">
        <v>46</v>
      </c>
    </row>
    <row r="414" spans="1:14" x14ac:dyDescent="0.35">
      <c r="A414">
        <v>1026</v>
      </c>
      <c r="B414" s="1">
        <v>45054</v>
      </c>
      <c r="C414" t="s">
        <v>33</v>
      </c>
      <c r="D414" t="s">
        <v>21</v>
      </c>
      <c r="E414">
        <v>9519.09</v>
      </c>
      <c r="F414">
        <v>20</v>
      </c>
      <c r="G414" t="s">
        <v>29</v>
      </c>
      <c r="H414">
        <v>2985.63</v>
      </c>
      <c r="I414">
        <v>3452.14</v>
      </c>
      <c r="J414" t="s">
        <v>30</v>
      </c>
      <c r="K414">
        <v>0.17</v>
      </c>
      <c r="L414" t="s">
        <v>31</v>
      </c>
      <c r="M414" t="s">
        <v>22</v>
      </c>
      <c r="N414" t="s">
        <v>37</v>
      </c>
    </row>
    <row r="415" spans="1:14" x14ac:dyDescent="0.35">
      <c r="A415">
        <v>1099</v>
      </c>
      <c r="B415" s="1">
        <v>45267</v>
      </c>
      <c r="C415" t="s">
        <v>14</v>
      </c>
      <c r="D415" t="s">
        <v>34</v>
      </c>
      <c r="E415">
        <v>3043.18</v>
      </c>
      <c r="F415">
        <v>22</v>
      </c>
      <c r="G415" t="s">
        <v>16</v>
      </c>
      <c r="H415">
        <v>2471.67</v>
      </c>
      <c r="I415">
        <v>2533.04</v>
      </c>
      <c r="J415" t="s">
        <v>17</v>
      </c>
      <c r="K415">
        <v>0.02</v>
      </c>
      <c r="L415" t="s">
        <v>27</v>
      </c>
      <c r="M415" t="s">
        <v>22</v>
      </c>
      <c r="N415" t="s">
        <v>46</v>
      </c>
    </row>
    <row r="416" spans="1:14" x14ac:dyDescent="0.35">
      <c r="A416">
        <v>1050</v>
      </c>
      <c r="B416" s="1">
        <v>44968</v>
      </c>
      <c r="C416" t="s">
        <v>33</v>
      </c>
      <c r="D416" t="s">
        <v>21</v>
      </c>
      <c r="E416">
        <v>1011.46</v>
      </c>
      <c r="F416">
        <v>48</v>
      </c>
      <c r="G416" t="s">
        <v>16</v>
      </c>
      <c r="H416">
        <v>710.06</v>
      </c>
      <c r="I416">
        <v>851.349999999999</v>
      </c>
      <c r="J416" t="s">
        <v>17</v>
      </c>
      <c r="K416">
        <v>0.04</v>
      </c>
      <c r="L416" t="s">
        <v>27</v>
      </c>
      <c r="M416" t="s">
        <v>19</v>
      </c>
      <c r="N416" t="s">
        <v>37</v>
      </c>
    </row>
    <row r="417" spans="1:14" x14ac:dyDescent="0.35">
      <c r="A417">
        <v>1025</v>
      </c>
      <c r="B417" s="1">
        <v>45282</v>
      </c>
      <c r="C417" t="s">
        <v>14</v>
      </c>
      <c r="D417" t="s">
        <v>25</v>
      </c>
      <c r="E417">
        <v>6030.54</v>
      </c>
      <c r="F417">
        <v>11</v>
      </c>
      <c r="G417" t="s">
        <v>26</v>
      </c>
      <c r="H417">
        <v>1250.5899999999999</v>
      </c>
      <c r="I417">
        <v>1515.48999999999</v>
      </c>
      <c r="J417" t="s">
        <v>17</v>
      </c>
      <c r="K417">
        <v>0.21</v>
      </c>
      <c r="L417" t="s">
        <v>27</v>
      </c>
      <c r="M417" t="s">
        <v>22</v>
      </c>
      <c r="N417" t="s">
        <v>32</v>
      </c>
    </row>
    <row r="418" spans="1:14" x14ac:dyDescent="0.35">
      <c r="A418">
        <v>1024</v>
      </c>
      <c r="B418" s="1">
        <v>44967</v>
      </c>
      <c r="C418" t="s">
        <v>24</v>
      </c>
      <c r="D418" t="s">
        <v>34</v>
      </c>
      <c r="E418">
        <v>6274.12</v>
      </c>
      <c r="F418">
        <v>13</v>
      </c>
      <c r="G418" t="s">
        <v>29</v>
      </c>
      <c r="H418">
        <v>1493.88</v>
      </c>
      <c r="I418">
        <v>1781.09</v>
      </c>
      <c r="J418" t="s">
        <v>30</v>
      </c>
      <c r="K418">
        <v>0.04</v>
      </c>
      <c r="L418" t="s">
        <v>18</v>
      </c>
      <c r="M418" t="s">
        <v>22</v>
      </c>
      <c r="N418" t="s">
        <v>50</v>
      </c>
    </row>
    <row r="419" spans="1:14" x14ac:dyDescent="0.35">
      <c r="A419">
        <v>1013</v>
      </c>
      <c r="B419" s="1">
        <v>44960</v>
      </c>
      <c r="C419" t="s">
        <v>14</v>
      </c>
      <c r="D419" t="s">
        <v>15</v>
      </c>
      <c r="E419">
        <v>6520.2</v>
      </c>
      <c r="F419">
        <v>42</v>
      </c>
      <c r="G419" t="s">
        <v>29</v>
      </c>
      <c r="H419">
        <v>4625.33</v>
      </c>
      <c r="I419">
        <v>4642.83</v>
      </c>
      <c r="J419" t="s">
        <v>30</v>
      </c>
      <c r="K419">
        <v>0.19</v>
      </c>
      <c r="L419" t="s">
        <v>31</v>
      </c>
      <c r="M419" t="s">
        <v>19</v>
      </c>
      <c r="N419" t="s">
        <v>20</v>
      </c>
    </row>
    <row r="420" spans="1:14" x14ac:dyDescent="0.35">
      <c r="A420">
        <v>1060</v>
      </c>
      <c r="B420" s="1">
        <v>44943</v>
      </c>
      <c r="C420" t="s">
        <v>14</v>
      </c>
      <c r="D420" t="s">
        <v>25</v>
      </c>
      <c r="E420">
        <v>2747.28</v>
      </c>
      <c r="F420">
        <v>3</v>
      </c>
      <c r="G420" t="s">
        <v>35</v>
      </c>
      <c r="H420">
        <v>1190.4100000000001</v>
      </c>
      <c r="I420">
        <v>1582.89</v>
      </c>
      <c r="J420" t="s">
        <v>30</v>
      </c>
      <c r="K420">
        <v>0.02</v>
      </c>
      <c r="L420" t="s">
        <v>31</v>
      </c>
      <c r="M420" t="s">
        <v>22</v>
      </c>
      <c r="N420" t="s">
        <v>32</v>
      </c>
    </row>
    <row r="421" spans="1:14" x14ac:dyDescent="0.35">
      <c r="A421">
        <v>1007</v>
      </c>
      <c r="B421" s="1">
        <v>45091</v>
      </c>
      <c r="C421" t="s">
        <v>42</v>
      </c>
      <c r="D421" t="s">
        <v>15</v>
      </c>
      <c r="E421">
        <v>249.6</v>
      </c>
      <c r="F421">
        <v>9</v>
      </c>
      <c r="G421" t="s">
        <v>29</v>
      </c>
      <c r="H421">
        <v>1481.76</v>
      </c>
      <c r="I421">
        <v>1668.95</v>
      </c>
      <c r="J421" t="s">
        <v>17</v>
      </c>
      <c r="K421">
        <v>0.12</v>
      </c>
      <c r="L421" t="s">
        <v>31</v>
      </c>
      <c r="M421" t="s">
        <v>22</v>
      </c>
      <c r="N421" t="s">
        <v>49</v>
      </c>
    </row>
    <row r="422" spans="1:14" x14ac:dyDescent="0.35">
      <c r="A422">
        <v>1057</v>
      </c>
      <c r="B422" s="1">
        <v>45079</v>
      </c>
      <c r="C422" t="s">
        <v>14</v>
      </c>
      <c r="D422" t="s">
        <v>25</v>
      </c>
      <c r="E422">
        <v>9653.65</v>
      </c>
      <c r="F422">
        <v>12</v>
      </c>
      <c r="G422" t="s">
        <v>35</v>
      </c>
      <c r="H422">
        <v>1878.3</v>
      </c>
      <c r="I422">
        <v>2087.4499999999998</v>
      </c>
      <c r="J422" t="s">
        <v>30</v>
      </c>
      <c r="K422">
        <v>0.05</v>
      </c>
      <c r="L422" t="s">
        <v>27</v>
      </c>
      <c r="M422" t="s">
        <v>22</v>
      </c>
      <c r="N422" t="s">
        <v>32</v>
      </c>
    </row>
    <row r="423" spans="1:14" x14ac:dyDescent="0.35">
      <c r="A423">
        <v>1036</v>
      </c>
      <c r="B423" s="1">
        <v>45002</v>
      </c>
      <c r="C423" t="s">
        <v>42</v>
      </c>
      <c r="D423" t="s">
        <v>34</v>
      </c>
      <c r="E423">
        <v>2583.84</v>
      </c>
      <c r="F423">
        <v>23</v>
      </c>
      <c r="G423" t="s">
        <v>26</v>
      </c>
      <c r="H423">
        <v>3335.53</v>
      </c>
      <c r="I423">
        <v>3742.12</v>
      </c>
      <c r="J423" t="s">
        <v>30</v>
      </c>
      <c r="K423">
        <v>0.03</v>
      </c>
      <c r="L423" t="s">
        <v>27</v>
      </c>
      <c r="M423" t="s">
        <v>22</v>
      </c>
      <c r="N423" t="s">
        <v>52</v>
      </c>
    </row>
    <row r="424" spans="1:14" x14ac:dyDescent="0.35">
      <c r="A424">
        <v>1045</v>
      </c>
      <c r="B424" s="1">
        <v>45013</v>
      </c>
      <c r="C424" t="s">
        <v>38</v>
      </c>
      <c r="D424" t="s">
        <v>21</v>
      </c>
      <c r="E424">
        <v>6792.66</v>
      </c>
      <c r="F424">
        <v>14</v>
      </c>
      <c r="G424" t="s">
        <v>29</v>
      </c>
      <c r="H424">
        <v>635.28</v>
      </c>
      <c r="I424">
        <v>831.13</v>
      </c>
      <c r="J424" t="s">
        <v>17</v>
      </c>
      <c r="K424">
        <v>0.17</v>
      </c>
      <c r="L424" t="s">
        <v>27</v>
      </c>
      <c r="M424" t="s">
        <v>22</v>
      </c>
      <c r="N424" t="s">
        <v>41</v>
      </c>
    </row>
    <row r="425" spans="1:14" x14ac:dyDescent="0.35">
      <c r="A425">
        <v>1020</v>
      </c>
      <c r="B425" s="1">
        <v>45043</v>
      </c>
      <c r="C425" t="s">
        <v>42</v>
      </c>
      <c r="D425" t="s">
        <v>25</v>
      </c>
      <c r="E425">
        <v>7095.64</v>
      </c>
      <c r="F425">
        <v>33</v>
      </c>
      <c r="G425" t="s">
        <v>16</v>
      </c>
      <c r="H425">
        <v>4772.03</v>
      </c>
      <c r="I425">
        <v>4805.17</v>
      </c>
      <c r="J425" t="s">
        <v>17</v>
      </c>
      <c r="K425">
        <v>0.28000000000000003</v>
      </c>
      <c r="L425" t="s">
        <v>27</v>
      </c>
      <c r="M425" t="s">
        <v>19</v>
      </c>
      <c r="N425" t="s">
        <v>43</v>
      </c>
    </row>
    <row r="426" spans="1:14" x14ac:dyDescent="0.35">
      <c r="A426">
        <v>1065</v>
      </c>
      <c r="B426" s="1">
        <v>45288</v>
      </c>
      <c r="C426" t="s">
        <v>24</v>
      </c>
      <c r="D426" t="s">
        <v>21</v>
      </c>
      <c r="E426">
        <v>6139.07</v>
      </c>
      <c r="F426">
        <v>18</v>
      </c>
      <c r="G426" t="s">
        <v>26</v>
      </c>
      <c r="H426">
        <v>4334.58</v>
      </c>
      <c r="I426">
        <v>4431.04</v>
      </c>
      <c r="J426" t="s">
        <v>30</v>
      </c>
      <c r="K426">
        <v>0.02</v>
      </c>
      <c r="L426" t="s">
        <v>27</v>
      </c>
      <c r="M426" t="s">
        <v>22</v>
      </c>
      <c r="N426" t="s">
        <v>47</v>
      </c>
    </row>
    <row r="427" spans="1:14" x14ac:dyDescent="0.35">
      <c r="A427">
        <v>1008</v>
      </c>
      <c r="B427" s="1">
        <v>45268</v>
      </c>
      <c r="C427" t="s">
        <v>42</v>
      </c>
      <c r="D427" t="s">
        <v>25</v>
      </c>
      <c r="E427">
        <v>3197.78</v>
      </c>
      <c r="F427">
        <v>49</v>
      </c>
      <c r="G427" t="s">
        <v>35</v>
      </c>
      <c r="H427">
        <v>2907.22</v>
      </c>
      <c r="I427">
        <v>3385.6099999999901</v>
      </c>
      <c r="J427" t="s">
        <v>30</v>
      </c>
      <c r="K427">
        <v>0.13</v>
      </c>
      <c r="L427" t="s">
        <v>18</v>
      </c>
      <c r="M427" t="s">
        <v>19</v>
      </c>
      <c r="N427" t="s">
        <v>43</v>
      </c>
    </row>
    <row r="428" spans="1:14" x14ac:dyDescent="0.35">
      <c r="A428">
        <v>1016</v>
      </c>
      <c r="B428" s="1">
        <v>44953</v>
      </c>
      <c r="C428" t="s">
        <v>38</v>
      </c>
      <c r="D428" t="s">
        <v>15</v>
      </c>
      <c r="E428">
        <v>2783.85</v>
      </c>
      <c r="F428">
        <v>41</v>
      </c>
      <c r="G428" t="s">
        <v>26</v>
      </c>
      <c r="H428">
        <v>3386.49</v>
      </c>
      <c r="I428">
        <v>3430.99</v>
      </c>
      <c r="J428" t="s">
        <v>30</v>
      </c>
      <c r="K428">
        <v>0.21</v>
      </c>
      <c r="L428" t="s">
        <v>27</v>
      </c>
      <c r="M428" t="s">
        <v>22</v>
      </c>
      <c r="N428" t="s">
        <v>40</v>
      </c>
    </row>
    <row r="429" spans="1:14" x14ac:dyDescent="0.35">
      <c r="A429">
        <v>1014</v>
      </c>
      <c r="B429" s="1">
        <v>45239</v>
      </c>
      <c r="C429" t="s">
        <v>24</v>
      </c>
      <c r="D429" t="s">
        <v>15</v>
      </c>
      <c r="E429">
        <v>6016.92</v>
      </c>
      <c r="F429">
        <v>9</v>
      </c>
      <c r="G429" t="s">
        <v>35</v>
      </c>
      <c r="H429">
        <v>132.47</v>
      </c>
      <c r="I429">
        <v>316.39</v>
      </c>
      <c r="J429" t="s">
        <v>30</v>
      </c>
      <c r="K429">
        <v>0.14000000000000001</v>
      </c>
      <c r="L429" t="s">
        <v>31</v>
      </c>
      <c r="M429" t="s">
        <v>19</v>
      </c>
      <c r="N429" t="s">
        <v>45</v>
      </c>
    </row>
    <row r="430" spans="1:14" x14ac:dyDescent="0.35">
      <c r="A430">
        <v>1076</v>
      </c>
      <c r="B430" s="1">
        <v>45213</v>
      </c>
      <c r="C430" t="s">
        <v>33</v>
      </c>
      <c r="D430" t="s">
        <v>25</v>
      </c>
      <c r="E430">
        <v>8674.35</v>
      </c>
      <c r="F430">
        <v>23</v>
      </c>
      <c r="G430" t="s">
        <v>26</v>
      </c>
      <c r="H430">
        <v>1727.78</v>
      </c>
      <c r="I430">
        <v>1984.34</v>
      </c>
      <c r="J430" t="s">
        <v>17</v>
      </c>
      <c r="K430">
        <v>0.24</v>
      </c>
      <c r="L430" t="s">
        <v>27</v>
      </c>
      <c r="M430" t="s">
        <v>19</v>
      </c>
      <c r="N430" t="s">
        <v>44</v>
      </c>
    </row>
    <row r="431" spans="1:14" x14ac:dyDescent="0.35">
      <c r="A431">
        <v>1087</v>
      </c>
      <c r="B431" s="1">
        <v>45060</v>
      </c>
      <c r="C431" t="s">
        <v>33</v>
      </c>
      <c r="D431" t="s">
        <v>21</v>
      </c>
      <c r="E431">
        <v>9472.66</v>
      </c>
      <c r="F431">
        <v>10</v>
      </c>
      <c r="G431" t="s">
        <v>35</v>
      </c>
      <c r="H431">
        <v>3988.52</v>
      </c>
      <c r="I431">
        <v>4240.2299999999996</v>
      </c>
      <c r="J431" t="s">
        <v>30</v>
      </c>
      <c r="K431">
        <v>0.05</v>
      </c>
      <c r="L431" t="s">
        <v>31</v>
      </c>
      <c r="M431" t="s">
        <v>19</v>
      </c>
      <c r="N431" t="s">
        <v>37</v>
      </c>
    </row>
    <row r="432" spans="1:14" x14ac:dyDescent="0.35">
      <c r="A432">
        <v>1015</v>
      </c>
      <c r="B432" s="1">
        <v>45145</v>
      </c>
      <c r="C432" t="s">
        <v>42</v>
      </c>
      <c r="D432" t="s">
        <v>34</v>
      </c>
      <c r="E432">
        <v>1148.47</v>
      </c>
      <c r="F432">
        <v>19</v>
      </c>
      <c r="G432" t="s">
        <v>29</v>
      </c>
      <c r="H432">
        <v>433.54</v>
      </c>
      <c r="I432">
        <v>445.48</v>
      </c>
      <c r="J432" t="s">
        <v>30</v>
      </c>
      <c r="K432">
        <v>0.28999999999999998</v>
      </c>
      <c r="L432" t="s">
        <v>27</v>
      </c>
      <c r="M432" t="s">
        <v>22</v>
      </c>
      <c r="N432" t="s">
        <v>52</v>
      </c>
    </row>
    <row r="433" spans="1:14" x14ac:dyDescent="0.35">
      <c r="A433">
        <v>1092</v>
      </c>
      <c r="B433" s="1">
        <v>45094</v>
      </c>
      <c r="C433" t="s">
        <v>42</v>
      </c>
      <c r="D433" t="s">
        <v>34</v>
      </c>
      <c r="E433">
        <v>1632.8</v>
      </c>
      <c r="F433">
        <v>47</v>
      </c>
      <c r="G433" t="s">
        <v>16</v>
      </c>
      <c r="H433">
        <v>1447.45</v>
      </c>
      <c r="I433">
        <v>1703.02</v>
      </c>
      <c r="J433" t="s">
        <v>17</v>
      </c>
      <c r="K433">
        <v>0.12</v>
      </c>
      <c r="L433" t="s">
        <v>27</v>
      </c>
      <c r="M433" t="s">
        <v>22</v>
      </c>
      <c r="N433" t="s">
        <v>52</v>
      </c>
    </row>
    <row r="434" spans="1:14" x14ac:dyDescent="0.35">
      <c r="A434">
        <v>1098</v>
      </c>
      <c r="B434" s="1">
        <v>45024</v>
      </c>
      <c r="C434" t="s">
        <v>38</v>
      </c>
      <c r="D434" t="s">
        <v>15</v>
      </c>
      <c r="E434">
        <v>9452.89</v>
      </c>
      <c r="F434">
        <v>5</v>
      </c>
      <c r="G434" t="s">
        <v>35</v>
      </c>
      <c r="H434">
        <v>2947.22</v>
      </c>
      <c r="I434">
        <v>3145.27</v>
      </c>
      <c r="J434" t="s">
        <v>30</v>
      </c>
      <c r="K434">
        <v>0.1</v>
      </c>
      <c r="L434" t="s">
        <v>31</v>
      </c>
      <c r="M434" t="s">
        <v>22</v>
      </c>
      <c r="N434" t="s">
        <v>40</v>
      </c>
    </row>
    <row r="435" spans="1:14" x14ac:dyDescent="0.35">
      <c r="A435">
        <v>1066</v>
      </c>
      <c r="B435" s="1">
        <v>45194</v>
      </c>
      <c r="C435" t="s">
        <v>38</v>
      </c>
      <c r="D435" t="s">
        <v>34</v>
      </c>
      <c r="E435">
        <v>7391.7</v>
      </c>
      <c r="F435">
        <v>47</v>
      </c>
      <c r="G435" t="s">
        <v>26</v>
      </c>
      <c r="H435">
        <v>1319.24</v>
      </c>
      <c r="I435">
        <v>1805.56</v>
      </c>
      <c r="J435" t="s">
        <v>30</v>
      </c>
      <c r="K435">
        <v>0.26</v>
      </c>
      <c r="L435" t="s">
        <v>31</v>
      </c>
      <c r="M435" t="s">
        <v>22</v>
      </c>
      <c r="N435" t="s">
        <v>48</v>
      </c>
    </row>
    <row r="436" spans="1:14" x14ac:dyDescent="0.35">
      <c r="A436">
        <v>1032</v>
      </c>
      <c r="B436" s="1">
        <v>45163</v>
      </c>
      <c r="C436" t="s">
        <v>14</v>
      </c>
      <c r="D436" t="s">
        <v>15</v>
      </c>
      <c r="E436">
        <v>8841.64</v>
      </c>
      <c r="F436">
        <v>23</v>
      </c>
      <c r="G436" t="s">
        <v>35</v>
      </c>
      <c r="H436">
        <v>4673.1899999999996</v>
      </c>
      <c r="I436">
        <v>4761.1799999999903</v>
      </c>
      <c r="J436" t="s">
        <v>17</v>
      </c>
      <c r="K436">
        <v>0.17</v>
      </c>
      <c r="L436" t="s">
        <v>31</v>
      </c>
      <c r="M436" t="s">
        <v>22</v>
      </c>
      <c r="N436" t="s">
        <v>20</v>
      </c>
    </row>
    <row r="437" spans="1:14" x14ac:dyDescent="0.35">
      <c r="A437">
        <v>1087</v>
      </c>
      <c r="B437" s="1">
        <v>45235</v>
      </c>
      <c r="C437" t="s">
        <v>38</v>
      </c>
      <c r="D437" t="s">
        <v>34</v>
      </c>
      <c r="E437">
        <v>2106.06</v>
      </c>
      <c r="F437">
        <v>30</v>
      </c>
      <c r="G437" t="s">
        <v>35</v>
      </c>
      <c r="H437">
        <v>698.74</v>
      </c>
      <c r="I437">
        <v>882.28</v>
      </c>
      <c r="J437" t="s">
        <v>17</v>
      </c>
      <c r="K437">
        <v>0.15</v>
      </c>
      <c r="L437" t="s">
        <v>31</v>
      </c>
      <c r="M437" t="s">
        <v>19</v>
      </c>
      <c r="N437" t="s">
        <v>48</v>
      </c>
    </row>
    <row r="438" spans="1:14" x14ac:dyDescent="0.35">
      <c r="A438">
        <v>1063</v>
      </c>
      <c r="B438" s="1">
        <v>45099</v>
      </c>
      <c r="C438" t="s">
        <v>14</v>
      </c>
      <c r="D438" t="s">
        <v>25</v>
      </c>
      <c r="E438">
        <v>5917.1</v>
      </c>
      <c r="F438">
        <v>25</v>
      </c>
      <c r="G438" t="s">
        <v>35</v>
      </c>
      <c r="H438">
        <v>3997.1</v>
      </c>
      <c r="I438">
        <v>4212.6499999999996</v>
      </c>
      <c r="J438" t="s">
        <v>30</v>
      </c>
      <c r="K438">
        <v>0.22</v>
      </c>
      <c r="L438" t="s">
        <v>18</v>
      </c>
      <c r="M438" t="s">
        <v>19</v>
      </c>
      <c r="N438" t="s">
        <v>32</v>
      </c>
    </row>
    <row r="439" spans="1:14" x14ac:dyDescent="0.35">
      <c r="A439">
        <v>1086</v>
      </c>
      <c r="B439" s="1">
        <v>45116</v>
      </c>
      <c r="C439" t="s">
        <v>24</v>
      </c>
      <c r="D439" t="s">
        <v>15</v>
      </c>
      <c r="E439">
        <v>7041.28</v>
      </c>
      <c r="F439">
        <v>28</v>
      </c>
      <c r="G439" t="s">
        <v>26</v>
      </c>
      <c r="H439">
        <v>2564.35</v>
      </c>
      <c r="I439">
        <v>2765.79</v>
      </c>
      <c r="J439" t="s">
        <v>17</v>
      </c>
      <c r="K439">
        <v>0.17</v>
      </c>
      <c r="L439" t="s">
        <v>31</v>
      </c>
      <c r="M439" t="s">
        <v>19</v>
      </c>
      <c r="N439" t="s">
        <v>45</v>
      </c>
    </row>
    <row r="440" spans="1:14" x14ac:dyDescent="0.35">
      <c r="A440">
        <v>1051</v>
      </c>
      <c r="B440" s="1">
        <v>45048</v>
      </c>
      <c r="C440" t="s">
        <v>42</v>
      </c>
      <c r="D440" t="s">
        <v>15</v>
      </c>
      <c r="E440">
        <v>6833.11</v>
      </c>
      <c r="F440">
        <v>34</v>
      </c>
      <c r="G440" t="s">
        <v>16</v>
      </c>
      <c r="H440">
        <v>3764.14</v>
      </c>
      <c r="I440">
        <v>4100.3999999999996</v>
      </c>
      <c r="J440" t="s">
        <v>17</v>
      </c>
      <c r="K440">
        <v>0.05</v>
      </c>
      <c r="L440" t="s">
        <v>27</v>
      </c>
      <c r="M440" t="s">
        <v>22</v>
      </c>
      <c r="N440" t="s">
        <v>49</v>
      </c>
    </row>
    <row r="441" spans="1:14" x14ac:dyDescent="0.35">
      <c r="A441">
        <v>1025</v>
      </c>
      <c r="B441" s="1">
        <v>44972</v>
      </c>
      <c r="C441" t="s">
        <v>24</v>
      </c>
      <c r="D441" t="s">
        <v>25</v>
      </c>
      <c r="E441">
        <v>4140.7</v>
      </c>
      <c r="F441">
        <v>45</v>
      </c>
      <c r="G441" t="s">
        <v>29</v>
      </c>
      <c r="H441">
        <v>1588.04</v>
      </c>
      <c r="I441">
        <v>1703.6399999999901</v>
      </c>
      <c r="J441" t="s">
        <v>30</v>
      </c>
      <c r="K441">
        <v>0.2</v>
      </c>
      <c r="L441" t="s">
        <v>27</v>
      </c>
      <c r="M441" t="s">
        <v>22</v>
      </c>
      <c r="N441" t="s">
        <v>28</v>
      </c>
    </row>
    <row r="442" spans="1:14" x14ac:dyDescent="0.35">
      <c r="A442">
        <v>1058</v>
      </c>
      <c r="B442" s="1">
        <v>44990</v>
      </c>
      <c r="C442" t="s">
        <v>38</v>
      </c>
      <c r="D442" t="s">
        <v>15</v>
      </c>
      <c r="E442">
        <v>252.41</v>
      </c>
      <c r="F442">
        <v>48</v>
      </c>
      <c r="G442" t="s">
        <v>16</v>
      </c>
      <c r="H442">
        <v>2596.7199999999998</v>
      </c>
      <c r="I442">
        <v>2715.0499999999902</v>
      </c>
      <c r="J442" t="s">
        <v>17</v>
      </c>
      <c r="K442">
        <v>0.04</v>
      </c>
      <c r="L442" t="s">
        <v>18</v>
      </c>
      <c r="M442" t="s">
        <v>19</v>
      </c>
      <c r="N442" t="s">
        <v>40</v>
      </c>
    </row>
    <row r="443" spans="1:14" x14ac:dyDescent="0.35">
      <c r="A443">
        <v>1063</v>
      </c>
      <c r="B443" s="1">
        <v>45056</v>
      </c>
      <c r="C443" t="s">
        <v>24</v>
      </c>
      <c r="D443" t="s">
        <v>34</v>
      </c>
      <c r="E443">
        <v>5870.97</v>
      </c>
      <c r="F443">
        <v>47</v>
      </c>
      <c r="G443" t="s">
        <v>35</v>
      </c>
      <c r="H443">
        <v>4291.33</v>
      </c>
      <c r="I443">
        <v>4658.6400000000003</v>
      </c>
      <c r="J443" t="s">
        <v>30</v>
      </c>
      <c r="K443">
        <v>0.24</v>
      </c>
      <c r="L443" t="s">
        <v>31</v>
      </c>
      <c r="M443" t="s">
        <v>22</v>
      </c>
      <c r="N443" t="s">
        <v>50</v>
      </c>
    </row>
    <row r="444" spans="1:14" x14ac:dyDescent="0.35">
      <c r="A444">
        <v>1062</v>
      </c>
      <c r="B444" s="1">
        <v>45236</v>
      </c>
      <c r="C444" t="s">
        <v>24</v>
      </c>
      <c r="D444" t="s">
        <v>34</v>
      </c>
      <c r="E444">
        <v>2605.71</v>
      </c>
      <c r="F444">
        <v>25</v>
      </c>
      <c r="G444" t="s">
        <v>26</v>
      </c>
      <c r="H444">
        <v>2361.0500000000002</v>
      </c>
      <c r="I444">
        <v>2616.19</v>
      </c>
      <c r="J444" t="s">
        <v>30</v>
      </c>
      <c r="K444">
        <v>0.3</v>
      </c>
      <c r="L444" t="s">
        <v>27</v>
      </c>
      <c r="M444" t="s">
        <v>22</v>
      </c>
      <c r="N444" t="s">
        <v>50</v>
      </c>
    </row>
    <row r="445" spans="1:14" x14ac:dyDescent="0.35">
      <c r="A445">
        <v>1022</v>
      </c>
      <c r="B445" s="1">
        <v>45289</v>
      </c>
      <c r="C445" t="s">
        <v>24</v>
      </c>
      <c r="D445" t="s">
        <v>15</v>
      </c>
      <c r="E445">
        <v>4557.5200000000004</v>
      </c>
      <c r="F445">
        <v>10</v>
      </c>
      <c r="G445" t="s">
        <v>16</v>
      </c>
      <c r="H445">
        <v>1830.61</v>
      </c>
      <c r="I445">
        <v>2044.04</v>
      </c>
      <c r="J445" t="s">
        <v>30</v>
      </c>
      <c r="K445">
        <v>0.11</v>
      </c>
      <c r="L445" t="s">
        <v>18</v>
      </c>
      <c r="M445" t="s">
        <v>19</v>
      </c>
      <c r="N445" t="s">
        <v>45</v>
      </c>
    </row>
    <row r="446" spans="1:14" x14ac:dyDescent="0.35">
      <c r="A446">
        <v>1058</v>
      </c>
      <c r="B446" s="1">
        <v>45119</v>
      </c>
      <c r="C446" t="s">
        <v>38</v>
      </c>
      <c r="D446" t="s">
        <v>34</v>
      </c>
      <c r="E446">
        <v>9580.0499999999993</v>
      </c>
      <c r="F446">
        <v>14</v>
      </c>
      <c r="G446" t="s">
        <v>35</v>
      </c>
      <c r="H446">
        <v>2703.97</v>
      </c>
      <c r="I446">
        <v>2796.8799999999901</v>
      </c>
      <c r="J446" t="s">
        <v>30</v>
      </c>
      <c r="K446">
        <v>0.13</v>
      </c>
      <c r="L446" t="s">
        <v>27</v>
      </c>
      <c r="M446" t="s">
        <v>19</v>
      </c>
      <c r="N446" t="s">
        <v>48</v>
      </c>
    </row>
    <row r="447" spans="1:14" x14ac:dyDescent="0.35">
      <c r="A447">
        <v>1058</v>
      </c>
      <c r="B447" s="1">
        <v>45233</v>
      </c>
      <c r="C447" t="s">
        <v>24</v>
      </c>
      <c r="D447" t="s">
        <v>21</v>
      </c>
      <c r="E447">
        <v>4050.45</v>
      </c>
      <c r="F447">
        <v>42</v>
      </c>
      <c r="G447" t="s">
        <v>29</v>
      </c>
      <c r="H447">
        <v>3600.95</v>
      </c>
      <c r="I447">
        <v>3702.8399999999901</v>
      </c>
      <c r="J447" t="s">
        <v>17</v>
      </c>
      <c r="K447">
        <v>0.01</v>
      </c>
      <c r="L447" t="s">
        <v>18</v>
      </c>
      <c r="M447" t="s">
        <v>22</v>
      </c>
      <c r="N447" t="s">
        <v>47</v>
      </c>
    </row>
    <row r="448" spans="1:14" x14ac:dyDescent="0.35">
      <c r="A448">
        <v>1086</v>
      </c>
      <c r="B448" s="1">
        <v>45107</v>
      </c>
      <c r="C448" t="s">
        <v>14</v>
      </c>
      <c r="D448" t="s">
        <v>15</v>
      </c>
      <c r="E448">
        <v>8414.0400000000009</v>
      </c>
      <c r="F448">
        <v>46</v>
      </c>
      <c r="G448" t="s">
        <v>29</v>
      </c>
      <c r="H448">
        <v>2245.64</v>
      </c>
      <c r="I448">
        <v>2260.81</v>
      </c>
      <c r="J448" t="s">
        <v>30</v>
      </c>
      <c r="K448">
        <v>0</v>
      </c>
      <c r="L448" t="s">
        <v>18</v>
      </c>
      <c r="M448" t="s">
        <v>22</v>
      </c>
      <c r="N448" t="s">
        <v>20</v>
      </c>
    </row>
    <row r="449" spans="1:14" x14ac:dyDescent="0.35">
      <c r="A449">
        <v>1049</v>
      </c>
      <c r="B449" s="1">
        <v>45218</v>
      </c>
      <c r="C449" t="s">
        <v>38</v>
      </c>
      <c r="D449" t="s">
        <v>25</v>
      </c>
      <c r="E449">
        <v>1966.55</v>
      </c>
      <c r="F449">
        <v>30</v>
      </c>
      <c r="G449" t="s">
        <v>29</v>
      </c>
      <c r="H449">
        <v>4697.4399999999996</v>
      </c>
      <c r="I449">
        <v>4752.24</v>
      </c>
      <c r="J449" t="s">
        <v>30</v>
      </c>
      <c r="K449">
        <v>0.28000000000000003</v>
      </c>
      <c r="L449" t="s">
        <v>31</v>
      </c>
      <c r="M449" t="s">
        <v>19</v>
      </c>
      <c r="N449" t="s">
        <v>39</v>
      </c>
    </row>
    <row r="450" spans="1:14" x14ac:dyDescent="0.35">
      <c r="A450">
        <v>1052</v>
      </c>
      <c r="B450" s="1">
        <v>45208</v>
      </c>
      <c r="C450" t="s">
        <v>24</v>
      </c>
      <c r="D450" t="s">
        <v>21</v>
      </c>
      <c r="E450">
        <v>6757.36</v>
      </c>
      <c r="F450">
        <v>41</v>
      </c>
      <c r="G450" t="s">
        <v>35</v>
      </c>
      <c r="H450">
        <v>1509.98</v>
      </c>
      <c r="I450">
        <v>1792.83</v>
      </c>
      <c r="J450" t="s">
        <v>30</v>
      </c>
      <c r="K450">
        <v>0.04</v>
      </c>
      <c r="L450" t="s">
        <v>18</v>
      </c>
      <c r="M450" t="s">
        <v>22</v>
      </c>
      <c r="N450" t="s">
        <v>47</v>
      </c>
    </row>
    <row r="451" spans="1:14" x14ac:dyDescent="0.35">
      <c r="A451">
        <v>1042</v>
      </c>
      <c r="B451" s="1">
        <v>44955</v>
      </c>
      <c r="C451" t="s">
        <v>38</v>
      </c>
      <c r="D451" t="s">
        <v>15</v>
      </c>
      <c r="E451">
        <v>9772.3700000000008</v>
      </c>
      <c r="F451">
        <v>25</v>
      </c>
      <c r="G451" t="s">
        <v>26</v>
      </c>
      <c r="H451">
        <v>2403.54</v>
      </c>
      <c r="I451">
        <v>2850.56</v>
      </c>
      <c r="J451" t="s">
        <v>30</v>
      </c>
      <c r="K451">
        <v>0.13</v>
      </c>
      <c r="L451" t="s">
        <v>27</v>
      </c>
      <c r="M451" t="s">
        <v>19</v>
      </c>
      <c r="N451" t="s">
        <v>40</v>
      </c>
    </row>
    <row r="452" spans="1:14" x14ac:dyDescent="0.35">
      <c r="A452">
        <v>1070</v>
      </c>
      <c r="B452" s="1">
        <v>45075</v>
      </c>
      <c r="C452" t="s">
        <v>33</v>
      </c>
      <c r="D452" t="s">
        <v>25</v>
      </c>
      <c r="E452">
        <v>1108.74</v>
      </c>
      <c r="F452">
        <v>14</v>
      </c>
      <c r="G452" t="s">
        <v>16</v>
      </c>
      <c r="H452">
        <v>3796.79</v>
      </c>
      <c r="I452">
        <v>3947.5</v>
      </c>
      <c r="J452" t="s">
        <v>17</v>
      </c>
      <c r="K452">
        <v>0.24</v>
      </c>
      <c r="L452" t="s">
        <v>27</v>
      </c>
      <c r="M452" t="s">
        <v>19</v>
      </c>
      <c r="N452" t="s">
        <v>44</v>
      </c>
    </row>
    <row r="453" spans="1:14" x14ac:dyDescent="0.35">
      <c r="A453">
        <v>1015</v>
      </c>
      <c r="B453" s="1">
        <v>45193</v>
      </c>
      <c r="C453" t="s">
        <v>14</v>
      </c>
      <c r="D453" t="s">
        <v>34</v>
      </c>
      <c r="E453">
        <v>182.37</v>
      </c>
      <c r="F453">
        <v>35</v>
      </c>
      <c r="G453" t="s">
        <v>29</v>
      </c>
      <c r="H453">
        <v>3461.15</v>
      </c>
      <c r="I453">
        <v>3631.75</v>
      </c>
      <c r="J453" t="s">
        <v>17</v>
      </c>
      <c r="K453">
        <v>0.27</v>
      </c>
      <c r="L453" t="s">
        <v>31</v>
      </c>
      <c r="M453" t="s">
        <v>19</v>
      </c>
      <c r="N453" t="s">
        <v>46</v>
      </c>
    </row>
    <row r="454" spans="1:14" x14ac:dyDescent="0.35">
      <c r="A454">
        <v>1054</v>
      </c>
      <c r="B454" s="1">
        <v>45222</v>
      </c>
      <c r="C454" t="s">
        <v>24</v>
      </c>
      <c r="D454" t="s">
        <v>25</v>
      </c>
      <c r="E454">
        <v>4392.47</v>
      </c>
      <c r="F454">
        <v>48</v>
      </c>
      <c r="G454" t="s">
        <v>35</v>
      </c>
      <c r="H454">
        <v>4325.0200000000004</v>
      </c>
      <c r="I454">
        <v>4391.67</v>
      </c>
      <c r="J454" t="s">
        <v>17</v>
      </c>
      <c r="K454">
        <v>0.16</v>
      </c>
      <c r="L454" t="s">
        <v>31</v>
      </c>
      <c r="M454" t="s">
        <v>22</v>
      </c>
      <c r="N454" t="s">
        <v>28</v>
      </c>
    </row>
    <row r="455" spans="1:14" x14ac:dyDescent="0.35">
      <c r="A455">
        <v>1060</v>
      </c>
      <c r="B455" s="1">
        <v>44937</v>
      </c>
      <c r="C455" t="s">
        <v>33</v>
      </c>
      <c r="D455" t="s">
        <v>21</v>
      </c>
      <c r="E455">
        <v>1016.99</v>
      </c>
      <c r="F455">
        <v>34</v>
      </c>
      <c r="G455" t="s">
        <v>35</v>
      </c>
      <c r="H455">
        <v>4984.21</v>
      </c>
      <c r="I455">
        <v>5184.6400000000003</v>
      </c>
      <c r="J455" t="s">
        <v>30</v>
      </c>
      <c r="K455">
        <v>0.17</v>
      </c>
      <c r="L455" t="s">
        <v>18</v>
      </c>
      <c r="M455" t="s">
        <v>19</v>
      </c>
      <c r="N455" t="s">
        <v>37</v>
      </c>
    </row>
    <row r="456" spans="1:14" x14ac:dyDescent="0.35">
      <c r="A456">
        <v>1097</v>
      </c>
      <c r="B456" s="1">
        <v>45090</v>
      </c>
      <c r="C456" t="s">
        <v>33</v>
      </c>
      <c r="D456" t="s">
        <v>34</v>
      </c>
      <c r="E456">
        <v>7509.01</v>
      </c>
      <c r="F456">
        <v>10</v>
      </c>
      <c r="G456" t="s">
        <v>16</v>
      </c>
      <c r="H456">
        <v>2162.9499999999998</v>
      </c>
      <c r="I456">
        <v>2191.1899999999901</v>
      </c>
      <c r="J456" t="s">
        <v>17</v>
      </c>
      <c r="K456">
        <v>0.2</v>
      </c>
      <c r="L456" t="s">
        <v>31</v>
      </c>
      <c r="M456" t="s">
        <v>19</v>
      </c>
      <c r="N456" t="s">
        <v>36</v>
      </c>
    </row>
    <row r="457" spans="1:14" x14ac:dyDescent="0.35">
      <c r="A457">
        <v>1008</v>
      </c>
      <c r="B457" s="1">
        <v>45039</v>
      </c>
      <c r="C457" t="s">
        <v>38</v>
      </c>
      <c r="D457" t="s">
        <v>15</v>
      </c>
      <c r="E457">
        <v>9154.0300000000007</v>
      </c>
      <c r="F457">
        <v>35</v>
      </c>
      <c r="G457" t="s">
        <v>29</v>
      </c>
      <c r="H457">
        <v>600.20000000000005</v>
      </c>
      <c r="I457">
        <v>1059.82</v>
      </c>
      <c r="J457" t="s">
        <v>17</v>
      </c>
      <c r="K457">
        <v>0.28999999999999998</v>
      </c>
      <c r="L457" t="s">
        <v>27</v>
      </c>
      <c r="M457" t="s">
        <v>22</v>
      </c>
      <c r="N457" t="s">
        <v>40</v>
      </c>
    </row>
    <row r="458" spans="1:14" x14ac:dyDescent="0.35">
      <c r="A458">
        <v>1053</v>
      </c>
      <c r="B458" s="1">
        <v>45113</v>
      </c>
      <c r="C458" t="s">
        <v>33</v>
      </c>
      <c r="D458" t="s">
        <v>34</v>
      </c>
      <c r="E458">
        <v>4396.8100000000004</v>
      </c>
      <c r="F458">
        <v>11</v>
      </c>
      <c r="G458" t="s">
        <v>35</v>
      </c>
      <c r="H458">
        <v>200.56</v>
      </c>
      <c r="I458">
        <v>540.38</v>
      </c>
      <c r="J458" t="s">
        <v>30</v>
      </c>
      <c r="K458">
        <v>0.18</v>
      </c>
      <c r="L458" t="s">
        <v>27</v>
      </c>
      <c r="M458" t="s">
        <v>19</v>
      </c>
      <c r="N458" t="s">
        <v>36</v>
      </c>
    </row>
    <row r="459" spans="1:14" x14ac:dyDescent="0.35">
      <c r="A459">
        <v>1060</v>
      </c>
      <c r="B459" s="1">
        <v>45221</v>
      </c>
      <c r="C459" t="s">
        <v>14</v>
      </c>
      <c r="D459" t="s">
        <v>15</v>
      </c>
      <c r="E459">
        <v>2661.25</v>
      </c>
      <c r="F459">
        <v>11</v>
      </c>
      <c r="G459" t="s">
        <v>16</v>
      </c>
      <c r="H459">
        <v>3648.04</v>
      </c>
      <c r="I459">
        <v>4143.51</v>
      </c>
      <c r="J459" t="s">
        <v>17</v>
      </c>
      <c r="K459">
        <v>0.17</v>
      </c>
      <c r="L459" t="s">
        <v>31</v>
      </c>
      <c r="M459" t="s">
        <v>22</v>
      </c>
      <c r="N459" t="s">
        <v>20</v>
      </c>
    </row>
    <row r="460" spans="1:14" x14ac:dyDescent="0.35">
      <c r="A460">
        <v>1005</v>
      </c>
      <c r="B460" s="1">
        <v>45158</v>
      </c>
      <c r="C460" t="s">
        <v>14</v>
      </c>
      <c r="D460" t="s">
        <v>15</v>
      </c>
      <c r="E460">
        <v>4400.59</v>
      </c>
      <c r="F460">
        <v>21</v>
      </c>
      <c r="G460" t="s">
        <v>26</v>
      </c>
      <c r="H460">
        <v>4376.37</v>
      </c>
      <c r="I460">
        <v>4818.95</v>
      </c>
      <c r="J460" t="s">
        <v>30</v>
      </c>
      <c r="K460">
        <v>0</v>
      </c>
      <c r="L460" t="s">
        <v>31</v>
      </c>
      <c r="M460" t="s">
        <v>22</v>
      </c>
      <c r="N460" t="s">
        <v>20</v>
      </c>
    </row>
    <row r="461" spans="1:14" x14ac:dyDescent="0.35">
      <c r="A461">
        <v>1068</v>
      </c>
      <c r="B461" s="1">
        <v>45153</v>
      </c>
      <c r="C461" t="s">
        <v>42</v>
      </c>
      <c r="D461" t="s">
        <v>25</v>
      </c>
      <c r="E461">
        <v>7262.13</v>
      </c>
      <c r="F461">
        <v>21</v>
      </c>
      <c r="G461" t="s">
        <v>26</v>
      </c>
      <c r="H461">
        <v>1142.53</v>
      </c>
      <c r="I461">
        <v>1384.3</v>
      </c>
      <c r="J461" t="s">
        <v>17</v>
      </c>
      <c r="K461">
        <v>0.02</v>
      </c>
      <c r="L461" t="s">
        <v>31</v>
      </c>
      <c r="M461" t="s">
        <v>22</v>
      </c>
      <c r="N461" t="s">
        <v>43</v>
      </c>
    </row>
    <row r="462" spans="1:14" x14ac:dyDescent="0.35">
      <c r="A462">
        <v>1006</v>
      </c>
      <c r="B462" s="1">
        <v>45236</v>
      </c>
      <c r="C462" t="s">
        <v>14</v>
      </c>
      <c r="D462" t="s">
        <v>25</v>
      </c>
      <c r="E462">
        <v>189.64</v>
      </c>
      <c r="F462">
        <v>22</v>
      </c>
      <c r="G462" t="s">
        <v>26</v>
      </c>
      <c r="H462">
        <v>834.32</v>
      </c>
      <c r="I462">
        <v>1098.97</v>
      </c>
      <c r="J462" t="s">
        <v>17</v>
      </c>
      <c r="K462">
        <v>0.17</v>
      </c>
      <c r="L462" t="s">
        <v>18</v>
      </c>
      <c r="M462" t="s">
        <v>19</v>
      </c>
      <c r="N462" t="s">
        <v>32</v>
      </c>
    </row>
    <row r="463" spans="1:14" x14ac:dyDescent="0.35">
      <c r="A463">
        <v>1096</v>
      </c>
      <c r="B463" s="1">
        <v>45024</v>
      </c>
      <c r="C463" t="s">
        <v>33</v>
      </c>
      <c r="D463" t="s">
        <v>25</v>
      </c>
      <c r="E463">
        <v>5935.59</v>
      </c>
      <c r="F463">
        <v>45</v>
      </c>
      <c r="G463" t="s">
        <v>29</v>
      </c>
      <c r="H463">
        <v>357.92</v>
      </c>
      <c r="I463">
        <v>461.3</v>
      </c>
      <c r="J463" t="s">
        <v>17</v>
      </c>
      <c r="K463">
        <v>0.28000000000000003</v>
      </c>
      <c r="L463" t="s">
        <v>18</v>
      </c>
      <c r="M463" t="s">
        <v>19</v>
      </c>
      <c r="N463" t="s">
        <v>44</v>
      </c>
    </row>
    <row r="464" spans="1:14" x14ac:dyDescent="0.35">
      <c r="A464">
        <v>1094</v>
      </c>
      <c r="B464" s="1">
        <v>44981</v>
      </c>
      <c r="C464" t="s">
        <v>14</v>
      </c>
      <c r="D464" t="s">
        <v>21</v>
      </c>
      <c r="E464">
        <v>6171.59</v>
      </c>
      <c r="F464">
        <v>7</v>
      </c>
      <c r="G464" t="s">
        <v>16</v>
      </c>
      <c r="H464">
        <v>4122.38</v>
      </c>
      <c r="I464">
        <v>4358.78</v>
      </c>
      <c r="J464" t="s">
        <v>17</v>
      </c>
      <c r="K464">
        <v>0.26</v>
      </c>
      <c r="L464" t="s">
        <v>27</v>
      </c>
      <c r="M464" t="s">
        <v>22</v>
      </c>
      <c r="N464" t="s">
        <v>23</v>
      </c>
    </row>
    <row r="465" spans="1:14" x14ac:dyDescent="0.35">
      <c r="A465">
        <v>1047</v>
      </c>
      <c r="B465" s="1">
        <v>45037</v>
      </c>
      <c r="C465" t="s">
        <v>38</v>
      </c>
      <c r="D465" t="s">
        <v>21</v>
      </c>
      <c r="E465">
        <v>6413.11</v>
      </c>
      <c r="F465">
        <v>17</v>
      </c>
      <c r="G465" t="s">
        <v>16</v>
      </c>
      <c r="H465">
        <v>1591.34</v>
      </c>
      <c r="I465">
        <v>2043.82</v>
      </c>
      <c r="J465" t="s">
        <v>30</v>
      </c>
      <c r="K465">
        <v>0.28999999999999998</v>
      </c>
      <c r="L465" t="s">
        <v>18</v>
      </c>
      <c r="M465" t="s">
        <v>22</v>
      </c>
      <c r="N465" t="s">
        <v>41</v>
      </c>
    </row>
    <row r="466" spans="1:14" x14ac:dyDescent="0.35">
      <c r="A466">
        <v>1099</v>
      </c>
      <c r="B466" s="1">
        <v>45078</v>
      </c>
      <c r="C466" t="s">
        <v>42</v>
      </c>
      <c r="D466" t="s">
        <v>25</v>
      </c>
      <c r="E466">
        <v>2496.02</v>
      </c>
      <c r="F466">
        <v>2</v>
      </c>
      <c r="G466" t="s">
        <v>35</v>
      </c>
      <c r="H466">
        <v>2038.4</v>
      </c>
      <c r="I466">
        <v>2073.3200000000002</v>
      </c>
      <c r="J466" t="s">
        <v>30</v>
      </c>
      <c r="K466">
        <v>0.16</v>
      </c>
      <c r="L466" t="s">
        <v>18</v>
      </c>
      <c r="M466" t="s">
        <v>22</v>
      </c>
      <c r="N466" t="s">
        <v>43</v>
      </c>
    </row>
    <row r="467" spans="1:14" x14ac:dyDescent="0.35">
      <c r="A467">
        <v>1055</v>
      </c>
      <c r="B467" s="1">
        <v>45172</v>
      </c>
      <c r="C467" t="s">
        <v>33</v>
      </c>
      <c r="D467" t="s">
        <v>21</v>
      </c>
      <c r="E467">
        <v>7169.12</v>
      </c>
      <c r="F467">
        <v>12</v>
      </c>
      <c r="G467" t="s">
        <v>35</v>
      </c>
      <c r="H467">
        <v>2538.61</v>
      </c>
      <c r="I467">
        <v>2971.75</v>
      </c>
      <c r="J467" t="s">
        <v>17</v>
      </c>
      <c r="K467">
        <v>0.24</v>
      </c>
      <c r="L467" t="s">
        <v>18</v>
      </c>
      <c r="M467" t="s">
        <v>19</v>
      </c>
      <c r="N467" t="s">
        <v>37</v>
      </c>
    </row>
    <row r="468" spans="1:14" x14ac:dyDescent="0.35">
      <c r="A468">
        <v>1040</v>
      </c>
      <c r="B468" s="1">
        <v>44995</v>
      </c>
      <c r="C468" t="s">
        <v>42</v>
      </c>
      <c r="D468" t="s">
        <v>34</v>
      </c>
      <c r="E468">
        <v>1004.78</v>
      </c>
      <c r="F468">
        <v>42</v>
      </c>
      <c r="G468" t="s">
        <v>35</v>
      </c>
      <c r="H468">
        <v>4205.29</v>
      </c>
      <c r="I468">
        <v>4382.3500000000004</v>
      </c>
      <c r="J468" t="s">
        <v>30</v>
      </c>
      <c r="K468">
        <v>0.25</v>
      </c>
      <c r="L468" t="s">
        <v>18</v>
      </c>
      <c r="M468" t="s">
        <v>22</v>
      </c>
      <c r="N468" t="s">
        <v>52</v>
      </c>
    </row>
    <row r="469" spans="1:14" x14ac:dyDescent="0.35">
      <c r="A469">
        <v>1052</v>
      </c>
      <c r="B469" s="1">
        <v>45238</v>
      </c>
      <c r="C469" t="s">
        <v>33</v>
      </c>
      <c r="D469" t="s">
        <v>34</v>
      </c>
      <c r="E469">
        <v>2072.7800000000002</v>
      </c>
      <c r="F469">
        <v>18</v>
      </c>
      <c r="G469" t="s">
        <v>16</v>
      </c>
      <c r="H469">
        <v>3271.62</v>
      </c>
      <c r="I469">
        <v>3722.38</v>
      </c>
      <c r="J469" t="s">
        <v>17</v>
      </c>
      <c r="K469">
        <v>0.19</v>
      </c>
      <c r="L469" t="s">
        <v>27</v>
      </c>
      <c r="M469" t="s">
        <v>22</v>
      </c>
      <c r="N469" t="s">
        <v>36</v>
      </c>
    </row>
    <row r="470" spans="1:14" x14ac:dyDescent="0.35">
      <c r="A470">
        <v>1016</v>
      </c>
      <c r="B470" s="1">
        <v>45215</v>
      </c>
      <c r="C470" t="s">
        <v>38</v>
      </c>
      <c r="D470" t="s">
        <v>21</v>
      </c>
      <c r="E470">
        <v>8786.9500000000007</v>
      </c>
      <c r="F470">
        <v>11</v>
      </c>
      <c r="G470" t="s">
        <v>35</v>
      </c>
      <c r="H470">
        <v>3094.57</v>
      </c>
      <c r="I470">
        <v>3565.6</v>
      </c>
      <c r="J470" t="s">
        <v>17</v>
      </c>
      <c r="K470">
        <v>0.1</v>
      </c>
      <c r="L470" t="s">
        <v>31</v>
      </c>
      <c r="M470" t="s">
        <v>22</v>
      </c>
      <c r="N470" t="s">
        <v>41</v>
      </c>
    </row>
    <row r="471" spans="1:14" x14ac:dyDescent="0.35">
      <c r="A471">
        <v>1013</v>
      </c>
      <c r="B471" s="1">
        <v>45176</v>
      </c>
      <c r="C471" t="s">
        <v>42</v>
      </c>
      <c r="D471" t="s">
        <v>21</v>
      </c>
      <c r="E471">
        <v>7413.36</v>
      </c>
      <c r="F471">
        <v>16</v>
      </c>
      <c r="G471" t="s">
        <v>16</v>
      </c>
      <c r="H471">
        <v>919.58</v>
      </c>
      <c r="I471">
        <v>1258.3</v>
      </c>
      <c r="J471" t="s">
        <v>17</v>
      </c>
      <c r="K471">
        <v>0.14000000000000001</v>
      </c>
      <c r="L471" t="s">
        <v>27</v>
      </c>
      <c r="M471" t="s">
        <v>19</v>
      </c>
      <c r="N471" t="s">
        <v>51</v>
      </c>
    </row>
    <row r="472" spans="1:14" x14ac:dyDescent="0.35">
      <c r="A472">
        <v>1030</v>
      </c>
      <c r="B472" s="1">
        <v>44962</v>
      </c>
      <c r="C472" t="s">
        <v>24</v>
      </c>
      <c r="D472" t="s">
        <v>34</v>
      </c>
      <c r="E472">
        <v>236.08</v>
      </c>
      <c r="F472">
        <v>49</v>
      </c>
      <c r="G472" t="s">
        <v>16</v>
      </c>
      <c r="H472">
        <v>2590.29</v>
      </c>
      <c r="I472">
        <v>2925.86</v>
      </c>
      <c r="J472" t="s">
        <v>17</v>
      </c>
      <c r="K472">
        <v>0.26</v>
      </c>
      <c r="L472" t="s">
        <v>18</v>
      </c>
      <c r="M472" t="s">
        <v>22</v>
      </c>
      <c r="N472" t="s">
        <v>50</v>
      </c>
    </row>
    <row r="473" spans="1:14" x14ac:dyDescent="0.35">
      <c r="A473">
        <v>1019</v>
      </c>
      <c r="B473" s="1">
        <v>45165</v>
      </c>
      <c r="C473" t="s">
        <v>33</v>
      </c>
      <c r="D473" t="s">
        <v>15</v>
      </c>
      <c r="E473">
        <v>2558.92</v>
      </c>
      <c r="F473">
        <v>18</v>
      </c>
      <c r="G473" t="s">
        <v>26</v>
      </c>
      <c r="H473">
        <v>3591.14</v>
      </c>
      <c r="I473">
        <v>3822.99</v>
      </c>
      <c r="J473" t="s">
        <v>17</v>
      </c>
      <c r="K473">
        <v>0.09</v>
      </c>
      <c r="L473" t="s">
        <v>31</v>
      </c>
      <c r="M473" t="s">
        <v>19</v>
      </c>
      <c r="N473" t="s">
        <v>53</v>
      </c>
    </row>
    <row r="474" spans="1:14" x14ac:dyDescent="0.35">
      <c r="A474">
        <v>1017</v>
      </c>
      <c r="B474" s="1">
        <v>45074</v>
      </c>
      <c r="C474" t="s">
        <v>24</v>
      </c>
      <c r="D474" t="s">
        <v>34</v>
      </c>
      <c r="E474">
        <v>2222.62</v>
      </c>
      <c r="F474">
        <v>35</v>
      </c>
      <c r="G474" t="s">
        <v>35</v>
      </c>
      <c r="H474">
        <v>4867.6400000000003</v>
      </c>
      <c r="I474">
        <v>5287.05</v>
      </c>
      <c r="J474" t="s">
        <v>17</v>
      </c>
      <c r="K474">
        <v>0.28000000000000003</v>
      </c>
      <c r="L474" t="s">
        <v>31</v>
      </c>
      <c r="M474" t="s">
        <v>19</v>
      </c>
      <c r="N474" t="s">
        <v>50</v>
      </c>
    </row>
    <row r="475" spans="1:14" x14ac:dyDescent="0.35">
      <c r="A475">
        <v>1063</v>
      </c>
      <c r="B475" s="1">
        <v>45153</v>
      </c>
      <c r="C475" t="s">
        <v>42</v>
      </c>
      <c r="D475" t="s">
        <v>34</v>
      </c>
      <c r="E475">
        <v>2780.98</v>
      </c>
      <c r="F475">
        <v>26</v>
      </c>
      <c r="G475" t="s">
        <v>26</v>
      </c>
      <c r="H475">
        <v>1046.96</v>
      </c>
      <c r="I475">
        <v>1528.15</v>
      </c>
      <c r="J475" t="s">
        <v>30</v>
      </c>
      <c r="K475">
        <v>7.0000000000000007E-2</v>
      </c>
      <c r="L475" t="s">
        <v>31</v>
      </c>
      <c r="M475" t="s">
        <v>22</v>
      </c>
      <c r="N475" t="s">
        <v>52</v>
      </c>
    </row>
    <row r="476" spans="1:14" x14ac:dyDescent="0.35">
      <c r="A476">
        <v>1019</v>
      </c>
      <c r="B476" s="1">
        <v>45170</v>
      </c>
      <c r="C476" t="s">
        <v>24</v>
      </c>
      <c r="D476" t="s">
        <v>21</v>
      </c>
      <c r="E476">
        <v>2550.84</v>
      </c>
      <c r="F476">
        <v>16</v>
      </c>
      <c r="G476" t="s">
        <v>29</v>
      </c>
      <c r="H476">
        <v>97.24</v>
      </c>
      <c r="I476">
        <v>487.03</v>
      </c>
      <c r="J476" t="s">
        <v>30</v>
      </c>
      <c r="K476">
        <v>0.22</v>
      </c>
      <c r="L476" t="s">
        <v>27</v>
      </c>
      <c r="M476" t="s">
        <v>22</v>
      </c>
      <c r="N476" t="s">
        <v>47</v>
      </c>
    </row>
    <row r="477" spans="1:14" x14ac:dyDescent="0.35">
      <c r="A477">
        <v>1092</v>
      </c>
      <c r="B477" s="1">
        <v>45263</v>
      </c>
      <c r="C477" t="s">
        <v>24</v>
      </c>
      <c r="D477" t="s">
        <v>34</v>
      </c>
      <c r="E477">
        <v>719.01</v>
      </c>
      <c r="F477">
        <v>6</v>
      </c>
      <c r="G477" t="s">
        <v>29</v>
      </c>
      <c r="H477">
        <v>422.74</v>
      </c>
      <c r="I477">
        <v>737.49</v>
      </c>
      <c r="J477" t="s">
        <v>17</v>
      </c>
      <c r="K477">
        <v>0.19</v>
      </c>
      <c r="L477" t="s">
        <v>31</v>
      </c>
      <c r="M477" t="s">
        <v>22</v>
      </c>
      <c r="N477" t="s">
        <v>50</v>
      </c>
    </row>
    <row r="478" spans="1:14" x14ac:dyDescent="0.35">
      <c r="A478">
        <v>1058</v>
      </c>
      <c r="B478" s="1">
        <v>45291</v>
      </c>
      <c r="C478" t="s">
        <v>42</v>
      </c>
      <c r="D478" t="s">
        <v>21</v>
      </c>
      <c r="E478">
        <v>4643.51</v>
      </c>
      <c r="F478">
        <v>44</v>
      </c>
      <c r="G478" t="s">
        <v>29</v>
      </c>
      <c r="H478">
        <v>1910.47</v>
      </c>
      <c r="I478">
        <v>2217.8000000000002</v>
      </c>
      <c r="J478" t="s">
        <v>30</v>
      </c>
      <c r="K478">
        <v>0.22</v>
      </c>
      <c r="L478" t="s">
        <v>27</v>
      </c>
      <c r="M478" t="s">
        <v>19</v>
      </c>
      <c r="N478" t="s">
        <v>51</v>
      </c>
    </row>
    <row r="479" spans="1:14" x14ac:dyDescent="0.35">
      <c r="A479">
        <v>1055</v>
      </c>
      <c r="B479" s="1">
        <v>45127</v>
      </c>
      <c r="C479" t="s">
        <v>38</v>
      </c>
      <c r="D479" t="s">
        <v>21</v>
      </c>
      <c r="E479">
        <v>7354.06</v>
      </c>
      <c r="F479">
        <v>43</v>
      </c>
      <c r="G479" t="s">
        <v>16</v>
      </c>
      <c r="H479">
        <v>4111.7</v>
      </c>
      <c r="I479">
        <v>4537.9399999999996</v>
      </c>
      <c r="J479" t="s">
        <v>17</v>
      </c>
      <c r="K479">
        <v>0.13</v>
      </c>
      <c r="L479" t="s">
        <v>27</v>
      </c>
      <c r="M479" t="s">
        <v>19</v>
      </c>
      <c r="N479" t="s">
        <v>41</v>
      </c>
    </row>
    <row r="480" spans="1:14" x14ac:dyDescent="0.35">
      <c r="A480">
        <v>1090</v>
      </c>
      <c r="B480" s="1">
        <v>45080</v>
      </c>
      <c r="C480" t="s">
        <v>24</v>
      </c>
      <c r="D480" t="s">
        <v>25</v>
      </c>
      <c r="E480">
        <v>6106.64</v>
      </c>
      <c r="F480">
        <v>47</v>
      </c>
      <c r="G480" t="s">
        <v>16</v>
      </c>
      <c r="H480">
        <v>85.35</v>
      </c>
      <c r="I480">
        <v>360.539999999999</v>
      </c>
      <c r="J480" t="s">
        <v>30</v>
      </c>
      <c r="K480">
        <v>0.28000000000000003</v>
      </c>
      <c r="L480" t="s">
        <v>18</v>
      </c>
      <c r="M480" t="s">
        <v>19</v>
      </c>
      <c r="N480" t="s">
        <v>28</v>
      </c>
    </row>
    <row r="481" spans="1:14" x14ac:dyDescent="0.35">
      <c r="A481">
        <v>1090</v>
      </c>
      <c r="B481" s="1">
        <v>44999</v>
      </c>
      <c r="C481" t="s">
        <v>24</v>
      </c>
      <c r="D481" t="s">
        <v>34</v>
      </c>
      <c r="E481">
        <v>6761.43</v>
      </c>
      <c r="F481">
        <v>47</v>
      </c>
      <c r="G481" t="s">
        <v>16</v>
      </c>
      <c r="H481">
        <v>2310.8200000000002</v>
      </c>
      <c r="I481">
        <v>2714.71</v>
      </c>
      <c r="J481" t="s">
        <v>30</v>
      </c>
      <c r="K481">
        <v>0.19</v>
      </c>
      <c r="L481" t="s">
        <v>18</v>
      </c>
      <c r="M481" t="s">
        <v>22</v>
      </c>
      <c r="N481" t="s">
        <v>50</v>
      </c>
    </row>
    <row r="482" spans="1:14" x14ac:dyDescent="0.35">
      <c r="A482">
        <v>1062</v>
      </c>
      <c r="B482" s="1">
        <v>45127</v>
      </c>
      <c r="C482" t="s">
        <v>38</v>
      </c>
      <c r="D482" t="s">
        <v>15</v>
      </c>
      <c r="E482">
        <v>903.38</v>
      </c>
      <c r="F482">
        <v>48</v>
      </c>
      <c r="G482" t="s">
        <v>35</v>
      </c>
      <c r="H482">
        <v>1679.69</v>
      </c>
      <c r="I482">
        <v>1939.04</v>
      </c>
      <c r="J482" t="s">
        <v>30</v>
      </c>
      <c r="K482">
        <v>0.09</v>
      </c>
      <c r="L482" t="s">
        <v>31</v>
      </c>
      <c r="M482" t="s">
        <v>19</v>
      </c>
      <c r="N482" t="s">
        <v>40</v>
      </c>
    </row>
    <row r="483" spans="1:14" x14ac:dyDescent="0.35">
      <c r="A483">
        <v>1023</v>
      </c>
      <c r="B483" s="1">
        <v>45222</v>
      </c>
      <c r="C483" t="s">
        <v>24</v>
      </c>
      <c r="D483" t="s">
        <v>25</v>
      </c>
      <c r="E483">
        <v>9519.76</v>
      </c>
      <c r="F483">
        <v>42</v>
      </c>
      <c r="G483" t="s">
        <v>26</v>
      </c>
      <c r="H483">
        <v>309.77999999999997</v>
      </c>
      <c r="I483">
        <v>350.38</v>
      </c>
      <c r="J483" t="s">
        <v>17</v>
      </c>
      <c r="K483">
        <v>0.19</v>
      </c>
      <c r="L483" t="s">
        <v>31</v>
      </c>
      <c r="M483" t="s">
        <v>22</v>
      </c>
      <c r="N483" t="s">
        <v>28</v>
      </c>
    </row>
    <row r="484" spans="1:14" x14ac:dyDescent="0.35">
      <c r="A484">
        <v>1009</v>
      </c>
      <c r="B484" s="1">
        <v>44943</v>
      </c>
      <c r="C484" t="s">
        <v>24</v>
      </c>
      <c r="D484" t="s">
        <v>21</v>
      </c>
      <c r="E484">
        <v>8401.07</v>
      </c>
      <c r="F484">
        <v>12</v>
      </c>
      <c r="G484" t="s">
        <v>16</v>
      </c>
      <c r="H484">
        <v>2278.67</v>
      </c>
      <c r="I484">
        <v>2476.8000000000002</v>
      </c>
      <c r="J484" t="s">
        <v>30</v>
      </c>
      <c r="K484">
        <v>0.09</v>
      </c>
      <c r="L484" t="s">
        <v>18</v>
      </c>
      <c r="M484" t="s">
        <v>22</v>
      </c>
      <c r="N484" t="s">
        <v>47</v>
      </c>
    </row>
    <row r="485" spans="1:14" x14ac:dyDescent="0.35">
      <c r="A485">
        <v>1012</v>
      </c>
      <c r="B485" s="1">
        <v>45055</v>
      </c>
      <c r="C485" t="s">
        <v>24</v>
      </c>
      <c r="D485" t="s">
        <v>21</v>
      </c>
      <c r="E485">
        <v>8070.39</v>
      </c>
      <c r="F485">
        <v>13</v>
      </c>
      <c r="G485" t="s">
        <v>26</v>
      </c>
      <c r="H485">
        <v>1311.01</v>
      </c>
      <c r="I485">
        <v>1538.79</v>
      </c>
      <c r="J485" t="s">
        <v>17</v>
      </c>
      <c r="K485">
        <v>0.09</v>
      </c>
      <c r="L485" t="s">
        <v>27</v>
      </c>
      <c r="M485" t="s">
        <v>22</v>
      </c>
      <c r="N485" t="s">
        <v>47</v>
      </c>
    </row>
    <row r="486" spans="1:14" x14ac:dyDescent="0.35">
      <c r="A486">
        <v>1001</v>
      </c>
      <c r="B486" s="1">
        <v>45143</v>
      </c>
      <c r="C486" t="s">
        <v>14</v>
      </c>
      <c r="D486" t="s">
        <v>15</v>
      </c>
      <c r="E486">
        <v>8247.5400000000009</v>
      </c>
      <c r="F486">
        <v>4</v>
      </c>
      <c r="G486" t="s">
        <v>26</v>
      </c>
      <c r="H486">
        <v>1791.83</v>
      </c>
      <c r="I486">
        <v>1871.22</v>
      </c>
      <c r="J486" t="s">
        <v>17</v>
      </c>
      <c r="K486">
        <v>0.12</v>
      </c>
      <c r="L486" t="s">
        <v>27</v>
      </c>
      <c r="M486" t="s">
        <v>19</v>
      </c>
      <c r="N486" t="s">
        <v>20</v>
      </c>
    </row>
    <row r="487" spans="1:14" x14ac:dyDescent="0.35">
      <c r="A487">
        <v>1058</v>
      </c>
      <c r="B487" s="1">
        <v>44987</v>
      </c>
      <c r="C487" t="s">
        <v>38</v>
      </c>
      <c r="D487" t="s">
        <v>21</v>
      </c>
      <c r="E487">
        <v>9333.83</v>
      </c>
      <c r="F487">
        <v>39</v>
      </c>
      <c r="G487" t="s">
        <v>26</v>
      </c>
      <c r="H487">
        <v>3542.8</v>
      </c>
      <c r="I487">
        <v>3603.02</v>
      </c>
      <c r="J487" t="s">
        <v>17</v>
      </c>
      <c r="K487">
        <v>0.26</v>
      </c>
      <c r="L487" t="s">
        <v>18</v>
      </c>
      <c r="M487" t="s">
        <v>19</v>
      </c>
      <c r="N487" t="s">
        <v>41</v>
      </c>
    </row>
    <row r="488" spans="1:14" x14ac:dyDescent="0.35">
      <c r="A488">
        <v>1001</v>
      </c>
      <c r="B488" s="1">
        <v>45030</v>
      </c>
      <c r="C488" t="s">
        <v>24</v>
      </c>
      <c r="D488" t="s">
        <v>34</v>
      </c>
      <c r="E488">
        <v>5488.11</v>
      </c>
      <c r="F488">
        <v>2</v>
      </c>
      <c r="G488" t="s">
        <v>35</v>
      </c>
      <c r="H488">
        <v>2631.68</v>
      </c>
      <c r="I488">
        <v>2904.06</v>
      </c>
      <c r="J488" t="s">
        <v>30</v>
      </c>
      <c r="K488">
        <v>0.15</v>
      </c>
      <c r="L488" t="s">
        <v>27</v>
      </c>
      <c r="M488" t="s">
        <v>19</v>
      </c>
      <c r="N488" t="s">
        <v>50</v>
      </c>
    </row>
    <row r="489" spans="1:14" x14ac:dyDescent="0.35">
      <c r="A489">
        <v>1034</v>
      </c>
      <c r="B489" s="1">
        <v>44968</v>
      </c>
      <c r="C489" t="s">
        <v>38</v>
      </c>
      <c r="D489" t="s">
        <v>25</v>
      </c>
      <c r="E489">
        <v>2082.79</v>
      </c>
      <c r="F489">
        <v>26</v>
      </c>
      <c r="G489" t="s">
        <v>35</v>
      </c>
      <c r="H489">
        <v>667</v>
      </c>
      <c r="I489">
        <v>718.72</v>
      </c>
      <c r="J489" t="s">
        <v>30</v>
      </c>
      <c r="K489">
        <v>0.2</v>
      </c>
      <c r="L489" t="s">
        <v>18</v>
      </c>
      <c r="M489" t="s">
        <v>22</v>
      </c>
      <c r="N489" t="s">
        <v>39</v>
      </c>
    </row>
    <row r="490" spans="1:14" x14ac:dyDescent="0.35">
      <c r="A490">
        <v>1096</v>
      </c>
      <c r="B490" s="1">
        <v>44951</v>
      </c>
      <c r="C490" t="s">
        <v>33</v>
      </c>
      <c r="D490" t="s">
        <v>21</v>
      </c>
      <c r="E490">
        <v>6206.16</v>
      </c>
      <c r="F490">
        <v>27</v>
      </c>
      <c r="G490" t="s">
        <v>29</v>
      </c>
      <c r="H490">
        <v>4809</v>
      </c>
      <c r="I490">
        <v>4967.4399999999996</v>
      </c>
      <c r="J490" t="s">
        <v>30</v>
      </c>
      <c r="K490">
        <v>0.12</v>
      </c>
      <c r="L490" t="s">
        <v>18</v>
      </c>
      <c r="M490" t="s">
        <v>19</v>
      </c>
      <c r="N490" t="s">
        <v>37</v>
      </c>
    </row>
    <row r="491" spans="1:14" x14ac:dyDescent="0.35">
      <c r="A491">
        <v>1048</v>
      </c>
      <c r="B491" s="1">
        <v>44965</v>
      </c>
      <c r="C491" t="s">
        <v>33</v>
      </c>
      <c r="D491" t="s">
        <v>21</v>
      </c>
      <c r="E491">
        <v>7454.53</v>
      </c>
      <c r="F491">
        <v>27</v>
      </c>
      <c r="G491" t="s">
        <v>29</v>
      </c>
      <c r="H491">
        <v>3197.76</v>
      </c>
      <c r="I491">
        <v>3572.61</v>
      </c>
      <c r="J491" t="s">
        <v>17</v>
      </c>
      <c r="K491">
        <v>0.08</v>
      </c>
      <c r="L491" t="s">
        <v>31</v>
      </c>
      <c r="M491" t="s">
        <v>19</v>
      </c>
      <c r="N491" t="s">
        <v>37</v>
      </c>
    </row>
    <row r="492" spans="1:14" x14ac:dyDescent="0.35">
      <c r="A492">
        <v>1089</v>
      </c>
      <c r="B492" s="1">
        <v>45217</v>
      </c>
      <c r="C492" t="s">
        <v>24</v>
      </c>
      <c r="D492" t="s">
        <v>15</v>
      </c>
      <c r="E492">
        <v>7405.38</v>
      </c>
      <c r="F492">
        <v>15</v>
      </c>
      <c r="G492" t="s">
        <v>26</v>
      </c>
      <c r="H492">
        <v>3841.05</v>
      </c>
      <c r="I492">
        <v>4323.62</v>
      </c>
      <c r="J492" t="s">
        <v>17</v>
      </c>
      <c r="K492">
        <v>0.28999999999999998</v>
      </c>
      <c r="L492" t="s">
        <v>31</v>
      </c>
      <c r="M492" t="s">
        <v>22</v>
      </c>
      <c r="N492" t="s">
        <v>45</v>
      </c>
    </row>
    <row r="493" spans="1:14" x14ac:dyDescent="0.35">
      <c r="A493">
        <v>1001</v>
      </c>
      <c r="B493" s="1">
        <v>45057</v>
      </c>
      <c r="C493" t="s">
        <v>38</v>
      </c>
      <c r="D493" t="s">
        <v>34</v>
      </c>
      <c r="E493">
        <v>5262.35</v>
      </c>
      <c r="F493">
        <v>8</v>
      </c>
      <c r="G493" t="s">
        <v>29</v>
      </c>
      <c r="H493">
        <v>442.11</v>
      </c>
      <c r="I493">
        <v>803.87</v>
      </c>
      <c r="J493" t="s">
        <v>30</v>
      </c>
      <c r="K493">
        <v>0.18</v>
      </c>
      <c r="L493" t="s">
        <v>18</v>
      </c>
      <c r="M493" t="s">
        <v>22</v>
      </c>
      <c r="N493" t="s">
        <v>48</v>
      </c>
    </row>
    <row r="494" spans="1:14" x14ac:dyDescent="0.35">
      <c r="A494">
        <v>1016</v>
      </c>
      <c r="B494" s="1">
        <v>45155</v>
      </c>
      <c r="C494" t="s">
        <v>38</v>
      </c>
      <c r="D494" t="s">
        <v>21</v>
      </c>
      <c r="E494">
        <v>777.74</v>
      </c>
      <c r="F494">
        <v>7</v>
      </c>
      <c r="G494" t="s">
        <v>26</v>
      </c>
      <c r="H494">
        <v>282.94</v>
      </c>
      <c r="I494">
        <v>779.32999999999902</v>
      </c>
      <c r="J494" t="s">
        <v>17</v>
      </c>
      <c r="K494">
        <v>0.28000000000000003</v>
      </c>
      <c r="L494" t="s">
        <v>31</v>
      </c>
      <c r="M494" t="s">
        <v>19</v>
      </c>
      <c r="N494" t="s">
        <v>41</v>
      </c>
    </row>
    <row r="495" spans="1:14" x14ac:dyDescent="0.35">
      <c r="A495">
        <v>1061</v>
      </c>
      <c r="B495" s="1">
        <v>45034</v>
      </c>
      <c r="C495" t="s">
        <v>38</v>
      </c>
      <c r="D495" t="s">
        <v>15</v>
      </c>
      <c r="E495">
        <v>3774.02</v>
      </c>
      <c r="F495">
        <v>47</v>
      </c>
      <c r="G495" t="s">
        <v>35</v>
      </c>
      <c r="H495">
        <v>146.27000000000001</v>
      </c>
      <c r="I495">
        <v>498.46</v>
      </c>
      <c r="J495" t="s">
        <v>30</v>
      </c>
      <c r="K495">
        <v>0.06</v>
      </c>
      <c r="L495" t="s">
        <v>18</v>
      </c>
      <c r="M495" t="s">
        <v>22</v>
      </c>
      <c r="N495" t="s">
        <v>40</v>
      </c>
    </row>
    <row r="496" spans="1:14" x14ac:dyDescent="0.35">
      <c r="A496">
        <v>1064</v>
      </c>
      <c r="B496" s="1">
        <v>45098</v>
      </c>
      <c r="C496" t="s">
        <v>14</v>
      </c>
      <c r="D496" t="s">
        <v>21</v>
      </c>
      <c r="E496">
        <v>9215.59</v>
      </c>
      <c r="F496">
        <v>46</v>
      </c>
      <c r="G496" t="s">
        <v>35</v>
      </c>
      <c r="H496">
        <v>984.53</v>
      </c>
      <c r="I496">
        <v>1138.49</v>
      </c>
      <c r="J496" t="s">
        <v>30</v>
      </c>
      <c r="K496">
        <v>0.04</v>
      </c>
      <c r="L496" t="s">
        <v>27</v>
      </c>
      <c r="M496" t="s">
        <v>19</v>
      </c>
      <c r="N496" t="s">
        <v>23</v>
      </c>
    </row>
    <row r="497" spans="1:14" x14ac:dyDescent="0.35">
      <c r="A497">
        <v>1063</v>
      </c>
      <c r="B497" s="1">
        <v>45028</v>
      </c>
      <c r="C497" t="s">
        <v>33</v>
      </c>
      <c r="D497" t="s">
        <v>15</v>
      </c>
      <c r="E497">
        <v>5886.04</v>
      </c>
      <c r="F497">
        <v>40</v>
      </c>
      <c r="G497" t="s">
        <v>35</v>
      </c>
      <c r="H497">
        <v>2101.3200000000002</v>
      </c>
      <c r="I497">
        <v>2440.63</v>
      </c>
      <c r="J497" t="s">
        <v>30</v>
      </c>
      <c r="K497">
        <v>0.26</v>
      </c>
      <c r="L497" t="s">
        <v>27</v>
      </c>
      <c r="M497" t="s">
        <v>22</v>
      </c>
      <c r="N497" t="s">
        <v>53</v>
      </c>
    </row>
    <row r="498" spans="1:14" x14ac:dyDescent="0.35">
      <c r="A498">
        <v>1069</v>
      </c>
      <c r="B498" s="1">
        <v>45280</v>
      </c>
      <c r="C498" t="s">
        <v>38</v>
      </c>
      <c r="D498" t="s">
        <v>15</v>
      </c>
      <c r="E498">
        <v>5429.49</v>
      </c>
      <c r="F498">
        <v>12</v>
      </c>
      <c r="G498" t="s">
        <v>16</v>
      </c>
      <c r="H498">
        <v>4682.34</v>
      </c>
      <c r="I498">
        <v>5036.3999999999996</v>
      </c>
      <c r="J498" t="s">
        <v>30</v>
      </c>
      <c r="K498">
        <v>0.2</v>
      </c>
      <c r="L498" t="s">
        <v>27</v>
      </c>
      <c r="M498" t="s">
        <v>22</v>
      </c>
      <c r="N498" t="s">
        <v>40</v>
      </c>
    </row>
    <row r="499" spans="1:14" x14ac:dyDescent="0.35">
      <c r="A499">
        <v>1022</v>
      </c>
      <c r="B499" s="1">
        <v>44938</v>
      </c>
      <c r="C499" t="s">
        <v>38</v>
      </c>
      <c r="D499" t="s">
        <v>34</v>
      </c>
      <c r="E499">
        <v>2761.65</v>
      </c>
      <c r="F499">
        <v>13</v>
      </c>
      <c r="G499" t="s">
        <v>26</v>
      </c>
      <c r="H499">
        <v>2312.4499999999998</v>
      </c>
      <c r="I499">
        <v>2504.6</v>
      </c>
      <c r="J499" t="s">
        <v>17</v>
      </c>
      <c r="K499">
        <v>0.06</v>
      </c>
      <c r="L499" t="s">
        <v>27</v>
      </c>
      <c r="M499" t="s">
        <v>19</v>
      </c>
      <c r="N499" t="s">
        <v>48</v>
      </c>
    </row>
    <row r="500" spans="1:14" x14ac:dyDescent="0.35">
      <c r="A500">
        <v>1093</v>
      </c>
      <c r="B500" s="1">
        <v>45201</v>
      </c>
      <c r="C500" t="s">
        <v>14</v>
      </c>
      <c r="D500" t="s">
        <v>21</v>
      </c>
      <c r="E500">
        <v>3747.64</v>
      </c>
      <c r="F500">
        <v>43</v>
      </c>
      <c r="G500" t="s">
        <v>35</v>
      </c>
      <c r="H500">
        <v>1486.76</v>
      </c>
      <c r="I500">
        <v>1505.44</v>
      </c>
      <c r="J500" t="s">
        <v>30</v>
      </c>
      <c r="K500">
        <v>0.08</v>
      </c>
      <c r="L500" t="s">
        <v>18</v>
      </c>
      <c r="M500" t="s">
        <v>22</v>
      </c>
      <c r="N500" t="s">
        <v>23</v>
      </c>
    </row>
    <row r="501" spans="1:14" x14ac:dyDescent="0.35">
      <c r="A501">
        <v>1067</v>
      </c>
      <c r="B501" s="1">
        <v>45027</v>
      </c>
      <c r="C501" t="s">
        <v>14</v>
      </c>
      <c r="D501" t="s">
        <v>34</v>
      </c>
      <c r="E501">
        <v>8963.93</v>
      </c>
      <c r="F501">
        <v>17</v>
      </c>
      <c r="G501" t="s">
        <v>26</v>
      </c>
      <c r="H501">
        <v>2831.58</v>
      </c>
      <c r="I501">
        <v>3186.15</v>
      </c>
      <c r="J501" t="s">
        <v>30</v>
      </c>
      <c r="K501">
        <v>0.24</v>
      </c>
      <c r="L501" t="s">
        <v>27</v>
      </c>
      <c r="M501" t="s">
        <v>22</v>
      </c>
      <c r="N501" t="s">
        <v>46</v>
      </c>
    </row>
    <row r="502" spans="1:14" x14ac:dyDescent="0.35">
      <c r="A502">
        <v>1076</v>
      </c>
      <c r="B502" s="1">
        <v>44970</v>
      </c>
      <c r="C502" t="s">
        <v>38</v>
      </c>
      <c r="D502" t="s">
        <v>15</v>
      </c>
      <c r="E502">
        <v>6697.98</v>
      </c>
      <c r="F502">
        <v>17</v>
      </c>
      <c r="G502" t="s">
        <v>29</v>
      </c>
      <c r="H502">
        <v>604.08000000000004</v>
      </c>
      <c r="I502">
        <v>624.71</v>
      </c>
      <c r="J502" t="s">
        <v>30</v>
      </c>
      <c r="K502">
        <v>0.14000000000000001</v>
      </c>
      <c r="L502" t="s">
        <v>27</v>
      </c>
      <c r="M502" t="s">
        <v>22</v>
      </c>
      <c r="N502" t="s">
        <v>40</v>
      </c>
    </row>
    <row r="503" spans="1:14" x14ac:dyDescent="0.35">
      <c r="A503">
        <v>1026</v>
      </c>
      <c r="B503" s="1">
        <v>45231</v>
      </c>
      <c r="C503" t="s">
        <v>42</v>
      </c>
      <c r="D503" t="s">
        <v>25</v>
      </c>
      <c r="E503">
        <v>7895.13</v>
      </c>
      <c r="F503">
        <v>36</v>
      </c>
      <c r="G503" t="s">
        <v>29</v>
      </c>
      <c r="H503">
        <v>3067.05</v>
      </c>
      <c r="I503">
        <v>3386.33</v>
      </c>
      <c r="J503" t="s">
        <v>30</v>
      </c>
      <c r="K503">
        <v>0.2</v>
      </c>
      <c r="L503" t="s">
        <v>27</v>
      </c>
      <c r="M503" t="s">
        <v>19</v>
      </c>
      <c r="N503" t="s">
        <v>43</v>
      </c>
    </row>
    <row r="504" spans="1:14" x14ac:dyDescent="0.35">
      <c r="A504">
        <v>1016</v>
      </c>
      <c r="B504" s="1">
        <v>44943</v>
      </c>
      <c r="C504" t="s">
        <v>38</v>
      </c>
      <c r="D504" t="s">
        <v>21</v>
      </c>
      <c r="E504">
        <v>4598.0200000000004</v>
      </c>
      <c r="F504">
        <v>21</v>
      </c>
      <c r="G504" t="s">
        <v>35</v>
      </c>
      <c r="H504">
        <v>2863.74</v>
      </c>
      <c r="I504">
        <v>2953.91</v>
      </c>
      <c r="J504" t="s">
        <v>30</v>
      </c>
      <c r="K504">
        <v>0.1</v>
      </c>
      <c r="L504" t="s">
        <v>27</v>
      </c>
      <c r="M504" t="s">
        <v>22</v>
      </c>
      <c r="N504" t="s">
        <v>41</v>
      </c>
    </row>
    <row r="505" spans="1:14" x14ac:dyDescent="0.35">
      <c r="A505">
        <v>1051</v>
      </c>
      <c r="B505" s="1">
        <v>45256</v>
      </c>
      <c r="C505" t="s">
        <v>38</v>
      </c>
      <c r="D505" t="s">
        <v>25</v>
      </c>
      <c r="E505">
        <v>6339.45</v>
      </c>
      <c r="F505">
        <v>8</v>
      </c>
      <c r="G505" t="s">
        <v>26</v>
      </c>
      <c r="H505">
        <v>3970.37</v>
      </c>
      <c r="I505">
        <v>4257.5199999999904</v>
      </c>
      <c r="J505" t="s">
        <v>30</v>
      </c>
      <c r="K505">
        <v>0.11</v>
      </c>
      <c r="L505" t="s">
        <v>18</v>
      </c>
      <c r="M505" t="s">
        <v>22</v>
      </c>
      <c r="N505" t="s">
        <v>39</v>
      </c>
    </row>
    <row r="506" spans="1:14" x14ac:dyDescent="0.35">
      <c r="A506">
        <v>1086</v>
      </c>
      <c r="B506" s="1">
        <v>44983</v>
      </c>
      <c r="C506" t="s">
        <v>14</v>
      </c>
      <c r="D506" t="s">
        <v>21</v>
      </c>
      <c r="E506">
        <v>2559</v>
      </c>
      <c r="F506">
        <v>5</v>
      </c>
      <c r="G506" t="s">
        <v>35</v>
      </c>
      <c r="H506">
        <v>4934.1000000000004</v>
      </c>
      <c r="I506">
        <v>5191.0200000000004</v>
      </c>
      <c r="J506" t="s">
        <v>30</v>
      </c>
      <c r="K506">
        <v>0.3</v>
      </c>
      <c r="L506" t="s">
        <v>27</v>
      </c>
      <c r="M506" t="s">
        <v>19</v>
      </c>
      <c r="N506" t="s">
        <v>23</v>
      </c>
    </row>
    <row r="507" spans="1:14" x14ac:dyDescent="0.35">
      <c r="A507">
        <v>1057</v>
      </c>
      <c r="B507" s="1">
        <v>45237</v>
      </c>
      <c r="C507" t="s">
        <v>14</v>
      </c>
      <c r="D507" t="s">
        <v>34</v>
      </c>
      <c r="E507">
        <v>7084.06</v>
      </c>
      <c r="F507">
        <v>26</v>
      </c>
      <c r="G507" t="s">
        <v>29</v>
      </c>
      <c r="H507">
        <v>1291.82</v>
      </c>
      <c r="I507">
        <v>1308.4399999999901</v>
      </c>
      <c r="J507" t="s">
        <v>17</v>
      </c>
      <c r="K507">
        <v>7.0000000000000007E-2</v>
      </c>
      <c r="L507" t="s">
        <v>31</v>
      </c>
      <c r="M507" t="s">
        <v>19</v>
      </c>
      <c r="N507" t="s">
        <v>46</v>
      </c>
    </row>
    <row r="508" spans="1:14" x14ac:dyDescent="0.35">
      <c r="A508">
        <v>1029</v>
      </c>
      <c r="B508" s="1">
        <v>45229</v>
      </c>
      <c r="C508" t="s">
        <v>38</v>
      </c>
      <c r="D508" t="s">
        <v>34</v>
      </c>
      <c r="E508">
        <v>4333.25</v>
      </c>
      <c r="F508">
        <v>16</v>
      </c>
      <c r="G508" t="s">
        <v>35</v>
      </c>
      <c r="H508">
        <v>2572.8000000000002</v>
      </c>
      <c r="I508">
        <v>2760.6</v>
      </c>
      <c r="J508" t="s">
        <v>17</v>
      </c>
      <c r="K508">
        <v>0.15</v>
      </c>
      <c r="L508" t="s">
        <v>31</v>
      </c>
      <c r="M508" t="s">
        <v>22</v>
      </c>
      <c r="N508" t="s">
        <v>48</v>
      </c>
    </row>
    <row r="509" spans="1:14" x14ac:dyDescent="0.35">
      <c r="A509">
        <v>1078</v>
      </c>
      <c r="B509" s="1">
        <v>44938</v>
      </c>
      <c r="C509" t="s">
        <v>38</v>
      </c>
      <c r="D509" t="s">
        <v>34</v>
      </c>
      <c r="E509">
        <v>4481.2</v>
      </c>
      <c r="F509">
        <v>36</v>
      </c>
      <c r="G509" t="s">
        <v>26</v>
      </c>
      <c r="H509">
        <v>4548.88</v>
      </c>
      <c r="I509">
        <v>4853.41</v>
      </c>
      <c r="J509" t="s">
        <v>17</v>
      </c>
      <c r="K509">
        <v>0.25</v>
      </c>
      <c r="L509" t="s">
        <v>31</v>
      </c>
      <c r="M509" t="s">
        <v>22</v>
      </c>
      <c r="N509" t="s">
        <v>48</v>
      </c>
    </row>
    <row r="510" spans="1:14" x14ac:dyDescent="0.35">
      <c r="A510">
        <v>1092</v>
      </c>
      <c r="B510" s="1">
        <v>45244</v>
      </c>
      <c r="C510" t="s">
        <v>38</v>
      </c>
      <c r="D510" t="s">
        <v>34</v>
      </c>
      <c r="E510">
        <v>6528.29</v>
      </c>
      <c r="F510">
        <v>28</v>
      </c>
      <c r="G510" t="s">
        <v>29</v>
      </c>
      <c r="H510">
        <v>3936.69</v>
      </c>
      <c r="I510">
        <v>4362.51</v>
      </c>
      <c r="J510" t="s">
        <v>17</v>
      </c>
      <c r="K510">
        <v>7.0000000000000007E-2</v>
      </c>
      <c r="L510" t="s">
        <v>31</v>
      </c>
      <c r="M510" t="s">
        <v>22</v>
      </c>
      <c r="N510" t="s">
        <v>48</v>
      </c>
    </row>
    <row r="511" spans="1:14" x14ac:dyDescent="0.35">
      <c r="A511">
        <v>1069</v>
      </c>
      <c r="B511" s="1">
        <v>45006</v>
      </c>
      <c r="C511" t="s">
        <v>14</v>
      </c>
      <c r="D511" t="s">
        <v>34</v>
      </c>
      <c r="E511">
        <v>9369.18</v>
      </c>
      <c r="F511">
        <v>29</v>
      </c>
      <c r="G511" t="s">
        <v>16</v>
      </c>
      <c r="H511">
        <v>2462.66</v>
      </c>
      <c r="I511">
        <v>2908.0899999999901</v>
      </c>
      <c r="J511" t="s">
        <v>30</v>
      </c>
      <c r="K511">
        <v>0.12</v>
      </c>
      <c r="L511" t="s">
        <v>31</v>
      </c>
      <c r="M511" t="s">
        <v>19</v>
      </c>
      <c r="N511" t="s">
        <v>46</v>
      </c>
    </row>
    <row r="512" spans="1:14" x14ac:dyDescent="0.35">
      <c r="A512">
        <v>1047</v>
      </c>
      <c r="B512" s="1">
        <v>45142</v>
      </c>
      <c r="C512" t="s">
        <v>38</v>
      </c>
      <c r="D512" t="s">
        <v>25</v>
      </c>
      <c r="E512">
        <v>733.66</v>
      </c>
      <c r="F512">
        <v>47</v>
      </c>
      <c r="G512" t="s">
        <v>29</v>
      </c>
      <c r="H512">
        <v>4729.59</v>
      </c>
      <c r="I512">
        <v>4976.68</v>
      </c>
      <c r="J512" t="s">
        <v>17</v>
      </c>
      <c r="K512">
        <v>0.18</v>
      </c>
      <c r="L512" t="s">
        <v>31</v>
      </c>
      <c r="M512" t="s">
        <v>22</v>
      </c>
      <c r="N512" t="s">
        <v>39</v>
      </c>
    </row>
    <row r="513" spans="1:14" x14ac:dyDescent="0.35">
      <c r="A513">
        <v>1094</v>
      </c>
      <c r="B513" s="1">
        <v>45265</v>
      </c>
      <c r="C513" t="s">
        <v>38</v>
      </c>
      <c r="D513" t="s">
        <v>34</v>
      </c>
      <c r="E513">
        <v>8264.9599999999991</v>
      </c>
      <c r="F513">
        <v>12</v>
      </c>
      <c r="G513" t="s">
        <v>16</v>
      </c>
      <c r="H513">
        <v>333.32</v>
      </c>
      <c r="I513">
        <v>700.25</v>
      </c>
      <c r="J513" t="s">
        <v>17</v>
      </c>
      <c r="K513">
        <v>0.14000000000000001</v>
      </c>
      <c r="L513" t="s">
        <v>18</v>
      </c>
      <c r="M513" t="s">
        <v>19</v>
      </c>
      <c r="N513" t="s">
        <v>48</v>
      </c>
    </row>
    <row r="514" spans="1:14" x14ac:dyDescent="0.35">
      <c r="A514">
        <v>1062</v>
      </c>
      <c r="B514" s="1">
        <v>45190</v>
      </c>
      <c r="C514" t="s">
        <v>24</v>
      </c>
      <c r="D514" t="s">
        <v>15</v>
      </c>
      <c r="E514">
        <v>2994.59</v>
      </c>
      <c r="F514">
        <v>37</v>
      </c>
      <c r="G514" t="s">
        <v>35</v>
      </c>
      <c r="H514">
        <v>4658.4399999999996</v>
      </c>
      <c r="I514">
        <v>4823.5</v>
      </c>
      <c r="J514" t="s">
        <v>17</v>
      </c>
      <c r="K514">
        <v>0.14000000000000001</v>
      </c>
      <c r="L514" t="s">
        <v>31</v>
      </c>
      <c r="M514" t="s">
        <v>19</v>
      </c>
      <c r="N514" t="s">
        <v>45</v>
      </c>
    </row>
    <row r="515" spans="1:14" x14ac:dyDescent="0.35">
      <c r="A515">
        <v>1069</v>
      </c>
      <c r="B515" s="1">
        <v>45075</v>
      </c>
      <c r="C515" t="s">
        <v>42</v>
      </c>
      <c r="D515" t="s">
        <v>15</v>
      </c>
      <c r="E515">
        <v>4494.8</v>
      </c>
      <c r="F515">
        <v>30</v>
      </c>
      <c r="G515" t="s">
        <v>35</v>
      </c>
      <c r="H515">
        <v>300.01</v>
      </c>
      <c r="I515">
        <v>477.67999999999898</v>
      </c>
      <c r="J515" t="s">
        <v>30</v>
      </c>
      <c r="K515">
        <v>0.11</v>
      </c>
      <c r="L515" t="s">
        <v>27</v>
      </c>
      <c r="M515" t="s">
        <v>22</v>
      </c>
      <c r="N515" t="s">
        <v>49</v>
      </c>
    </row>
    <row r="516" spans="1:14" x14ac:dyDescent="0.35">
      <c r="A516">
        <v>1076</v>
      </c>
      <c r="B516" s="1">
        <v>45007</v>
      </c>
      <c r="C516" t="s">
        <v>33</v>
      </c>
      <c r="D516" t="s">
        <v>25</v>
      </c>
      <c r="E516">
        <v>316.94</v>
      </c>
      <c r="F516">
        <v>23</v>
      </c>
      <c r="G516" t="s">
        <v>26</v>
      </c>
      <c r="H516">
        <v>2759.16</v>
      </c>
      <c r="I516">
        <v>2864.45</v>
      </c>
      <c r="J516" t="s">
        <v>17</v>
      </c>
      <c r="K516">
        <v>0.18</v>
      </c>
      <c r="L516" t="s">
        <v>31</v>
      </c>
      <c r="M516" t="s">
        <v>22</v>
      </c>
      <c r="N516" t="s">
        <v>44</v>
      </c>
    </row>
    <row r="517" spans="1:14" x14ac:dyDescent="0.35">
      <c r="A517">
        <v>1016</v>
      </c>
      <c r="B517" s="1">
        <v>45141</v>
      </c>
      <c r="C517" t="s">
        <v>42</v>
      </c>
      <c r="D517" t="s">
        <v>21</v>
      </c>
      <c r="E517">
        <v>3080.36</v>
      </c>
      <c r="F517">
        <v>16</v>
      </c>
      <c r="G517" t="s">
        <v>16</v>
      </c>
      <c r="H517">
        <v>4457.68</v>
      </c>
      <c r="I517">
        <v>4743.03</v>
      </c>
      <c r="J517" t="s">
        <v>17</v>
      </c>
      <c r="K517">
        <v>0.19</v>
      </c>
      <c r="L517" t="s">
        <v>18</v>
      </c>
      <c r="M517" t="s">
        <v>19</v>
      </c>
      <c r="N517" t="s">
        <v>51</v>
      </c>
    </row>
    <row r="518" spans="1:14" x14ac:dyDescent="0.35">
      <c r="A518">
        <v>1090</v>
      </c>
      <c r="B518" s="1">
        <v>45124</v>
      </c>
      <c r="C518" t="s">
        <v>24</v>
      </c>
      <c r="D518" t="s">
        <v>15</v>
      </c>
      <c r="E518">
        <v>5076.05</v>
      </c>
      <c r="F518">
        <v>14</v>
      </c>
      <c r="G518" t="s">
        <v>35</v>
      </c>
      <c r="H518">
        <v>1350.47</v>
      </c>
      <c r="I518">
        <v>1514.61</v>
      </c>
      <c r="J518" t="s">
        <v>30</v>
      </c>
      <c r="K518">
        <v>0.2</v>
      </c>
      <c r="L518" t="s">
        <v>31</v>
      </c>
      <c r="M518" t="s">
        <v>22</v>
      </c>
      <c r="N518" t="s">
        <v>45</v>
      </c>
    </row>
    <row r="519" spans="1:14" x14ac:dyDescent="0.35">
      <c r="A519">
        <v>1090</v>
      </c>
      <c r="B519" s="1">
        <v>45126</v>
      </c>
      <c r="C519" t="s">
        <v>33</v>
      </c>
      <c r="D519" t="s">
        <v>21</v>
      </c>
      <c r="E519">
        <v>656.14</v>
      </c>
      <c r="F519">
        <v>10</v>
      </c>
      <c r="G519" t="s">
        <v>16</v>
      </c>
      <c r="H519">
        <v>2387.63</v>
      </c>
      <c r="I519">
        <v>2438.9699999999998</v>
      </c>
      <c r="J519" t="s">
        <v>17</v>
      </c>
      <c r="K519">
        <v>0.02</v>
      </c>
      <c r="L519" t="s">
        <v>27</v>
      </c>
      <c r="M519" t="s">
        <v>22</v>
      </c>
      <c r="N519" t="s">
        <v>37</v>
      </c>
    </row>
    <row r="520" spans="1:14" x14ac:dyDescent="0.35">
      <c r="A520">
        <v>1048</v>
      </c>
      <c r="B520" s="1">
        <v>44951</v>
      </c>
      <c r="C520" t="s">
        <v>38</v>
      </c>
      <c r="D520" t="s">
        <v>25</v>
      </c>
      <c r="E520">
        <v>4961.8500000000004</v>
      </c>
      <c r="F520">
        <v>7</v>
      </c>
      <c r="G520" t="s">
        <v>35</v>
      </c>
      <c r="H520">
        <v>1655.43</v>
      </c>
      <c r="I520">
        <v>2001.08</v>
      </c>
      <c r="J520" t="s">
        <v>30</v>
      </c>
      <c r="K520">
        <v>0.19</v>
      </c>
      <c r="L520" t="s">
        <v>27</v>
      </c>
      <c r="M520" t="s">
        <v>19</v>
      </c>
      <c r="N520" t="s">
        <v>39</v>
      </c>
    </row>
    <row r="521" spans="1:14" x14ac:dyDescent="0.35">
      <c r="A521">
        <v>1085</v>
      </c>
      <c r="B521" s="1">
        <v>45015</v>
      </c>
      <c r="C521" t="s">
        <v>24</v>
      </c>
      <c r="D521" t="s">
        <v>21</v>
      </c>
      <c r="E521">
        <v>9278.4</v>
      </c>
      <c r="F521">
        <v>45</v>
      </c>
      <c r="G521" t="s">
        <v>29</v>
      </c>
      <c r="H521">
        <v>4763.1099999999997</v>
      </c>
      <c r="I521">
        <v>5119.91</v>
      </c>
      <c r="J521" t="s">
        <v>17</v>
      </c>
      <c r="K521">
        <v>0.28999999999999998</v>
      </c>
      <c r="L521" t="s">
        <v>18</v>
      </c>
      <c r="M521" t="s">
        <v>22</v>
      </c>
      <c r="N521" t="s">
        <v>47</v>
      </c>
    </row>
    <row r="522" spans="1:14" x14ac:dyDescent="0.35">
      <c r="A522">
        <v>1039</v>
      </c>
      <c r="B522" s="1">
        <v>45194</v>
      </c>
      <c r="C522" t="s">
        <v>38</v>
      </c>
      <c r="D522" t="s">
        <v>21</v>
      </c>
      <c r="E522">
        <v>1143.3900000000001</v>
      </c>
      <c r="F522">
        <v>37</v>
      </c>
      <c r="G522" t="s">
        <v>35</v>
      </c>
      <c r="H522">
        <v>4127.05</v>
      </c>
      <c r="I522">
        <v>4313.45</v>
      </c>
      <c r="J522" t="s">
        <v>30</v>
      </c>
      <c r="K522">
        <v>0.16</v>
      </c>
      <c r="L522" t="s">
        <v>18</v>
      </c>
      <c r="M522" t="s">
        <v>19</v>
      </c>
      <c r="N522" t="s">
        <v>41</v>
      </c>
    </row>
    <row r="523" spans="1:14" x14ac:dyDescent="0.35">
      <c r="A523">
        <v>1100</v>
      </c>
      <c r="B523" s="1">
        <v>45069</v>
      </c>
      <c r="C523" t="s">
        <v>14</v>
      </c>
      <c r="D523" t="s">
        <v>21</v>
      </c>
      <c r="E523">
        <v>7667.96</v>
      </c>
      <c r="F523">
        <v>29</v>
      </c>
      <c r="G523" t="s">
        <v>26</v>
      </c>
      <c r="H523">
        <v>3559.56</v>
      </c>
      <c r="I523">
        <v>3607.15</v>
      </c>
      <c r="J523" t="s">
        <v>17</v>
      </c>
      <c r="K523">
        <v>0.21</v>
      </c>
      <c r="L523" t="s">
        <v>18</v>
      </c>
      <c r="M523" t="s">
        <v>22</v>
      </c>
      <c r="N523" t="s">
        <v>23</v>
      </c>
    </row>
    <row r="524" spans="1:14" x14ac:dyDescent="0.35">
      <c r="A524">
        <v>1033</v>
      </c>
      <c r="B524" s="1">
        <v>44985</v>
      </c>
      <c r="C524" t="s">
        <v>24</v>
      </c>
      <c r="D524" t="s">
        <v>21</v>
      </c>
      <c r="E524">
        <v>4155.74</v>
      </c>
      <c r="F524">
        <v>3</v>
      </c>
      <c r="G524" t="s">
        <v>29</v>
      </c>
      <c r="H524">
        <v>2958.75</v>
      </c>
      <c r="I524">
        <v>3177.64</v>
      </c>
      <c r="J524" t="s">
        <v>17</v>
      </c>
      <c r="K524">
        <v>0.17</v>
      </c>
      <c r="L524" t="s">
        <v>18</v>
      </c>
      <c r="M524" t="s">
        <v>19</v>
      </c>
      <c r="N524" t="s">
        <v>47</v>
      </c>
    </row>
    <row r="525" spans="1:14" x14ac:dyDescent="0.35">
      <c r="A525">
        <v>1094</v>
      </c>
      <c r="B525" s="1">
        <v>45291</v>
      </c>
      <c r="C525" t="s">
        <v>14</v>
      </c>
      <c r="D525" t="s">
        <v>25</v>
      </c>
      <c r="E525">
        <v>6586.22</v>
      </c>
      <c r="F525">
        <v>15</v>
      </c>
      <c r="G525" t="s">
        <v>26</v>
      </c>
      <c r="H525">
        <v>4111.93</v>
      </c>
      <c r="I525">
        <v>4338.67</v>
      </c>
      <c r="J525" t="s">
        <v>17</v>
      </c>
      <c r="K525">
        <v>0.26</v>
      </c>
      <c r="L525" t="s">
        <v>31</v>
      </c>
      <c r="M525" t="s">
        <v>19</v>
      </c>
      <c r="N525" t="s">
        <v>32</v>
      </c>
    </row>
    <row r="526" spans="1:14" x14ac:dyDescent="0.35">
      <c r="A526">
        <v>1023</v>
      </c>
      <c r="B526" s="1">
        <v>44952</v>
      </c>
      <c r="C526" t="s">
        <v>24</v>
      </c>
      <c r="D526" t="s">
        <v>15</v>
      </c>
      <c r="E526">
        <v>2676.34</v>
      </c>
      <c r="F526">
        <v>36</v>
      </c>
      <c r="G526" t="s">
        <v>29</v>
      </c>
      <c r="H526">
        <v>1991.72</v>
      </c>
      <c r="I526">
        <v>2329.37</v>
      </c>
      <c r="J526" t="s">
        <v>30</v>
      </c>
      <c r="K526">
        <v>0.28000000000000003</v>
      </c>
      <c r="L526" t="s">
        <v>31</v>
      </c>
      <c r="M526" t="s">
        <v>22</v>
      </c>
      <c r="N526" t="s">
        <v>45</v>
      </c>
    </row>
    <row r="527" spans="1:14" x14ac:dyDescent="0.35">
      <c r="A527">
        <v>1010</v>
      </c>
      <c r="B527" s="1">
        <v>44973</v>
      </c>
      <c r="C527" t="s">
        <v>24</v>
      </c>
      <c r="D527" t="s">
        <v>34</v>
      </c>
      <c r="E527">
        <v>1678.97</v>
      </c>
      <c r="F527">
        <v>47</v>
      </c>
      <c r="G527" t="s">
        <v>16</v>
      </c>
      <c r="H527">
        <v>2265.38</v>
      </c>
      <c r="I527">
        <v>2429.9299999999998</v>
      </c>
      <c r="J527" t="s">
        <v>17</v>
      </c>
      <c r="K527">
        <v>0.06</v>
      </c>
      <c r="L527" t="s">
        <v>27</v>
      </c>
      <c r="M527" t="s">
        <v>19</v>
      </c>
      <c r="N527" t="s">
        <v>50</v>
      </c>
    </row>
    <row r="528" spans="1:14" x14ac:dyDescent="0.35">
      <c r="A528">
        <v>1069</v>
      </c>
      <c r="B528" s="1">
        <v>45214</v>
      </c>
      <c r="C528" t="s">
        <v>14</v>
      </c>
      <c r="D528" t="s">
        <v>21</v>
      </c>
      <c r="E528">
        <v>1688.58</v>
      </c>
      <c r="F528">
        <v>46</v>
      </c>
      <c r="G528" t="s">
        <v>26</v>
      </c>
      <c r="H528">
        <v>3663.51</v>
      </c>
      <c r="I528">
        <v>4007.98</v>
      </c>
      <c r="J528" t="s">
        <v>30</v>
      </c>
      <c r="K528">
        <v>0.13</v>
      </c>
      <c r="L528" t="s">
        <v>18</v>
      </c>
      <c r="M528" t="s">
        <v>19</v>
      </c>
      <c r="N528" t="s">
        <v>23</v>
      </c>
    </row>
    <row r="529" spans="1:14" x14ac:dyDescent="0.35">
      <c r="A529">
        <v>1100</v>
      </c>
      <c r="B529" s="1">
        <v>45192</v>
      </c>
      <c r="C529" t="s">
        <v>33</v>
      </c>
      <c r="D529" t="s">
        <v>15</v>
      </c>
      <c r="E529">
        <v>797.87</v>
      </c>
      <c r="F529">
        <v>19</v>
      </c>
      <c r="G529" t="s">
        <v>35</v>
      </c>
      <c r="H529">
        <v>1820.89</v>
      </c>
      <c r="I529">
        <v>2257.92</v>
      </c>
      <c r="J529" t="s">
        <v>30</v>
      </c>
      <c r="K529">
        <v>0.12</v>
      </c>
      <c r="L529" t="s">
        <v>18</v>
      </c>
      <c r="M529" t="s">
        <v>22</v>
      </c>
      <c r="N529" t="s">
        <v>53</v>
      </c>
    </row>
    <row r="530" spans="1:14" x14ac:dyDescent="0.35">
      <c r="A530">
        <v>1034</v>
      </c>
      <c r="B530" s="1">
        <v>44942</v>
      </c>
      <c r="C530" t="s">
        <v>42</v>
      </c>
      <c r="D530" t="s">
        <v>15</v>
      </c>
      <c r="E530">
        <v>1937.9</v>
      </c>
      <c r="F530">
        <v>13</v>
      </c>
      <c r="G530" t="s">
        <v>16</v>
      </c>
      <c r="H530">
        <v>366.31</v>
      </c>
      <c r="I530">
        <v>492.68</v>
      </c>
      <c r="J530" t="s">
        <v>30</v>
      </c>
      <c r="K530">
        <v>0.12</v>
      </c>
      <c r="L530" t="s">
        <v>31</v>
      </c>
      <c r="M530" t="s">
        <v>22</v>
      </c>
      <c r="N530" t="s">
        <v>49</v>
      </c>
    </row>
    <row r="531" spans="1:14" x14ac:dyDescent="0.35">
      <c r="A531">
        <v>1052</v>
      </c>
      <c r="B531" s="1">
        <v>45125</v>
      </c>
      <c r="C531" t="s">
        <v>38</v>
      </c>
      <c r="D531" t="s">
        <v>25</v>
      </c>
      <c r="E531">
        <v>6675.77</v>
      </c>
      <c r="F531">
        <v>42</v>
      </c>
      <c r="G531" t="s">
        <v>35</v>
      </c>
      <c r="H531">
        <v>417.96</v>
      </c>
      <c r="I531">
        <v>907.63</v>
      </c>
      <c r="J531" t="s">
        <v>30</v>
      </c>
      <c r="K531">
        <v>0.04</v>
      </c>
      <c r="L531" t="s">
        <v>18</v>
      </c>
      <c r="M531" t="s">
        <v>22</v>
      </c>
      <c r="N531" t="s">
        <v>39</v>
      </c>
    </row>
    <row r="532" spans="1:14" x14ac:dyDescent="0.35">
      <c r="A532">
        <v>1095</v>
      </c>
      <c r="B532" s="1">
        <v>45208</v>
      </c>
      <c r="C532" t="s">
        <v>24</v>
      </c>
      <c r="D532" t="s">
        <v>15</v>
      </c>
      <c r="E532">
        <v>8828.74</v>
      </c>
      <c r="F532">
        <v>21</v>
      </c>
      <c r="G532" t="s">
        <v>29</v>
      </c>
      <c r="H532">
        <v>621.04999999999995</v>
      </c>
      <c r="I532">
        <v>820.36999999999898</v>
      </c>
      <c r="J532" t="s">
        <v>17</v>
      </c>
      <c r="K532">
        <v>0.24</v>
      </c>
      <c r="L532" t="s">
        <v>27</v>
      </c>
      <c r="M532" t="s">
        <v>19</v>
      </c>
      <c r="N532" t="s">
        <v>45</v>
      </c>
    </row>
    <row r="533" spans="1:14" x14ac:dyDescent="0.35">
      <c r="A533">
        <v>1010</v>
      </c>
      <c r="B533" s="1">
        <v>45012</v>
      </c>
      <c r="C533" t="s">
        <v>38</v>
      </c>
      <c r="D533" t="s">
        <v>25</v>
      </c>
      <c r="E533">
        <v>8159.84</v>
      </c>
      <c r="F533">
        <v>37</v>
      </c>
      <c r="G533" t="s">
        <v>29</v>
      </c>
      <c r="H533">
        <v>4354.92</v>
      </c>
      <c r="I533">
        <v>4495.88</v>
      </c>
      <c r="J533" t="s">
        <v>17</v>
      </c>
      <c r="K533">
        <v>0.01</v>
      </c>
      <c r="L533" t="s">
        <v>27</v>
      </c>
      <c r="M533" t="s">
        <v>19</v>
      </c>
      <c r="N533" t="s">
        <v>39</v>
      </c>
    </row>
    <row r="534" spans="1:14" x14ac:dyDescent="0.35">
      <c r="A534">
        <v>1019</v>
      </c>
      <c r="B534" s="1">
        <v>45176</v>
      </c>
      <c r="C534" t="s">
        <v>14</v>
      </c>
      <c r="D534" t="s">
        <v>21</v>
      </c>
      <c r="E534">
        <v>6882.83</v>
      </c>
      <c r="F534">
        <v>27</v>
      </c>
      <c r="G534" t="s">
        <v>35</v>
      </c>
      <c r="H534">
        <v>2387.52</v>
      </c>
      <c r="I534">
        <v>2604.06</v>
      </c>
      <c r="J534" t="s">
        <v>17</v>
      </c>
      <c r="K534">
        <v>0.16</v>
      </c>
      <c r="L534" t="s">
        <v>18</v>
      </c>
      <c r="M534" t="s">
        <v>19</v>
      </c>
      <c r="N534" t="s">
        <v>23</v>
      </c>
    </row>
    <row r="535" spans="1:14" x14ac:dyDescent="0.35">
      <c r="A535">
        <v>1058</v>
      </c>
      <c r="B535" s="1">
        <v>45196</v>
      </c>
      <c r="C535" t="s">
        <v>38</v>
      </c>
      <c r="D535" t="s">
        <v>21</v>
      </c>
      <c r="E535">
        <v>1193.28</v>
      </c>
      <c r="F535">
        <v>29</v>
      </c>
      <c r="G535" t="s">
        <v>35</v>
      </c>
      <c r="H535">
        <v>3578.77</v>
      </c>
      <c r="I535">
        <v>3635.02</v>
      </c>
      <c r="J535" t="s">
        <v>30</v>
      </c>
      <c r="K535">
        <v>0.2</v>
      </c>
      <c r="L535" t="s">
        <v>27</v>
      </c>
      <c r="M535" t="s">
        <v>22</v>
      </c>
      <c r="N535" t="s">
        <v>41</v>
      </c>
    </row>
    <row r="536" spans="1:14" x14ac:dyDescent="0.35">
      <c r="A536">
        <v>1096</v>
      </c>
      <c r="B536" s="1">
        <v>45261</v>
      </c>
      <c r="C536" t="s">
        <v>14</v>
      </c>
      <c r="D536" t="s">
        <v>34</v>
      </c>
      <c r="E536">
        <v>2962.96</v>
      </c>
      <c r="F536">
        <v>20</v>
      </c>
      <c r="G536" t="s">
        <v>16</v>
      </c>
      <c r="H536">
        <v>1994.9</v>
      </c>
      <c r="I536">
        <v>2066.5</v>
      </c>
      <c r="J536" t="s">
        <v>17</v>
      </c>
      <c r="K536">
        <v>0.06</v>
      </c>
      <c r="L536" t="s">
        <v>27</v>
      </c>
      <c r="M536" t="s">
        <v>19</v>
      </c>
      <c r="N536" t="s">
        <v>46</v>
      </c>
    </row>
    <row r="537" spans="1:14" x14ac:dyDescent="0.35">
      <c r="A537">
        <v>1001</v>
      </c>
      <c r="B537" s="1">
        <v>45043</v>
      </c>
      <c r="C537" t="s">
        <v>38</v>
      </c>
      <c r="D537" t="s">
        <v>34</v>
      </c>
      <c r="E537">
        <v>3167.09</v>
      </c>
      <c r="F537">
        <v>25</v>
      </c>
      <c r="G537" t="s">
        <v>35</v>
      </c>
      <c r="H537">
        <v>1330.62</v>
      </c>
      <c r="I537">
        <v>1543.6899999999901</v>
      </c>
      <c r="J537" t="s">
        <v>30</v>
      </c>
      <c r="K537">
        <v>0.27</v>
      </c>
      <c r="L537" t="s">
        <v>31</v>
      </c>
      <c r="M537" t="s">
        <v>19</v>
      </c>
      <c r="N537" t="s">
        <v>48</v>
      </c>
    </row>
    <row r="538" spans="1:14" x14ac:dyDescent="0.35">
      <c r="A538">
        <v>1069</v>
      </c>
      <c r="B538" s="1">
        <v>44933</v>
      </c>
      <c r="C538" t="s">
        <v>42</v>
      </c>
      <c r="D538" t="s">
        <v>34</v>
      </c>
      <c r="E538">
        <v>2574.5700000000002</v>
      </c>
      <c r="F538">
        <v>6</v>
      </c>
      <c r="G538" t="s">
        <v>26</v>
      </c>
      <c r="H538">
        <v>1768.6</v>
      </c>
      <c r="I538">
        <v>2152.1999999999998</v>
      </c>
      <c r="J538" t="s">
        <v>30</v>
      </c>
      <c r="K538">
        <v>0.25</v>
      </c>
      <c r="L538" t="s">
        <v>27</v>
      </c>
      <c r="M538" t="s">
        <v>22</v>
      </c>
      <c r="N538" t="s">
        <v>52</v>
      </c>
    </row>
    <row r="539" spans="1:14" x14ac:dyDescent="0.35">
      <c r="A539">
        <v>1004</v>
      </c>
      <c r="B539" s="1">
        <v>45063</v>
      </c>
      <c r="C539" t="s">
        <v>42</v>
      </c>
      <c r="D539" t="s">
        <v>15</v>
      </c>
      <c r="E539">
        <v>5198.5600000000004</v>
      </c>
      <c r="F539">
        <v>36</v>
      </c>
      <c r="G539" t="s">
        <v>26</v>
      </c>
      <c r="H539">
        <v>3981.2</v>
      </c>
      <c r="I539">
        <v>4432.3499999999904</v>
      </c>
      <c r="J539" t="s">
        <v>30</v>
      </c>
      <c r="K539">
        <v>0.14000000000000001</v>
      </c>
      <c r="L539" t="s">
        <v>18</v>
      </c>
      <c r="M539" t="s">
        <v>19</v>
      </c>
      <c r="N539" t="s">
        <v>49</v>
      </c>
    </row>
    <row r="540" spans="1:14" x14ac:dyDescent="0.35">
      <c r="A540">
        <v>1016</v>
      </c>
      <c r="B540" s="1">
        <v>45102</v>
      </c>
      <c r="C540" t="s">
        <v>42</v>
      </c>
      <c r="D540" t="s">
        <v>21</v>
      </c>
      <c r="E540">
        <v>5401.98</v>
      </c>
      <c r="F540">
        <v>2</v>
      </c>
      <c r="G540" t="s">
        <v>35</v>
      </c>
      <c r="H540">
        <v>3144.82</v>
      </c>
      <c r="I540">
        <v>3480.58</v>
      </c>
      <c r="J540" t="s">
        <v>17</v>
      </c>
      <c r="K540">
        <v>0.12</v>
      </c>
      <c r="L540" t="s">
        <v>18</v>
      </c>
      <c r="M540" t="s">
        <v>22</v>
      </c>
      <c r="N540" t="s">
        <v>51</v>
      </c>
    </row>
    <row r="541" spans="1:14" x14ac:dyDescent="0.35">
      <c r="A541">
        <v>1024</v>
      </c>
      <c r="B541" s="1">
        <v>45254</v>
      </c>
      <c r="C541" t="s">
        <v>42</v>
      </c>
      <c r="D541" t="s">
        <v>25</v>
      </c>
      <c r="E541">
        <v>3633.17</v>
      </c>
      <c r="F541">
        <v>22</v>
      </c>
      <c r="G541" t="s">
        <v>26</v>
      </c>
      <c r="H541">
        <v>4691.32</v>
      </c>
      <c r="I541">
        <v>4752.88</v>
      </c>
      <c r="J541" t="s">
        <v>17</v>
      </c>
      <c r="K541">
        <v>7.0000000000000007E-2</v>
      </c>
      <c r="L541" t="s">
        <v>27</v>
      </c>
      <c r="M541" t="s">
        <v>22</v>
      </c>
      <c r="N541" t="s">
        <v>43</v>
      </c>
    </row>
    <row r="542" spans="1:14" x14ac:dyDescent="0.35">
      <c r="A542">
        <v>1080</v>
      </c>
      <c r="B542" s="1">
        <v>45241</v>
      </c>
      <c r="C542" t="s">
        <v>42</v>
      </c>
      <c r="D542" t="s">
        <v>34</v>
      </c>
      <c r="E542">
        <v>3602.51</v>
      </c>
      <c r="F542">
        <v>32</v>
      </c>
      <c r="G542" t="s">
        <v>35</v>
      </c>
      <c r="H542">
        <v>3414.54</v>
      </c>
      <c r="I542">
        <v>3753.83</v>
      </c>
      <c r="J542" t="s">
        <v>30</v>
      </c>
      <c r="K542">
        <v>0.22</v>
      </c>
      <c r="L542" t="s">
        <v>18</v>
      </c>
      <c r="M542" t="s">
        <v>22</v>
      </c>
      <c r="N542" t="s">
        <v>52</v>
      </c>
    </row>
    <row r="543" spans="1:14" x14ac:dyDescent="0.35">
      <c r="A543">
        <v>1002</v>
      </c>
      <c r="B543" s="1">
        <v>45141</v>
      </c>
      <c r="C543" t="s">
        <v>42</v>
      </c>
      <c r="D543" t="s">
        <v>25</v>
      </c>
      <c r="E543">
        <v>8302.7000000000007</v>
      </c>
      <c r="F543">
        <v>16</v>
      </c>
      <c r="G543" t="s">
        <v>16</v>
      </c>
      <c r="H543">
        <v>2872.4</v>
      </c>
      <c r="I543">
        <v>3193.76</v>
      </c>
      <c r="J543" t="s">
        <v>17</v>
      </c>
      <c r="K543">
        <v>0.04</v>
      </c>
      <c r="L543" t="s">
        <v>31</v>
      </c>
      <c r="M543" t="s">
        <v>19</v>
      </c>
      <c r="N543" t="s">
        <v>43</v>
      </c>
    </row>
    <row r="544" spans="1:14" x14ac:dyDescent="0.35">
      <c r="A544">
        <v>1092</v>
      </c>
      <c r="B544" s="1">
        <v>45008</v>
      </c>
      <c r="C544" t="s">
        <v>14</v>
      </c>
      <c r="D544" t="s">
        <v>25</v>
      </c>
      <c r="E544">
        <v>7914</v>
      </c>
      <c r="F544">
        <v>18</v>
      </c>
      <c r="G544" t="s">
        <v>26</v>
      </c>
      <c r="H544">
        <v>3070.47</v>
      </c>
      <c r="I544">
        <v>3475.29</v>
      </c>
      <c r="J544" t="s">
        <v>17</v>
      </c>
      <c r="K544">
        <v>0.2</v>
      </c>
      <c r="L544" t="s">
        <v>27</v>
      </c>
      <c r="M544" t="s">
        <v>19</v>
      </c>
      <c r="N544" t="s">
        <v>32</v>
      </c>
    </row>
    <row r="545" spans="1:14" x14ac:dyDescent="0.35">
      <c r="A545">
        <v>1032</v>
      </c>
      <c r="B545" s="1">
        <v>45149</v>
      </c>
      <c r="C545" t="s">
        <v>24</v>
      </c>
      <c r="D545" t="s">
        <v>34</v>
      </c>
      <c r="E545">
        <v>3147.18</v>
      </c>
      <c r="F545">
        <v>5</v>
      </c>
      <c r="G545" t="s">
        <v>26</v>
      </c>
      <c r="H545">
        <v>4714.74</v>
      </c>
      <c r="I545">
        <v>5129.1099999999997</v>
      </c>
      <c r="J545" t="s">
        <v>30</v>
      </c>
      <c r="K545">
        <v>0.25</v>
      </c>
      <c r="L545" t="s">
        <v>27</v>
      </c>
      <c r="M545" t="s">
        <v>19</v>
      </c>
      <c r="N545" t="s">
        <v>50</v>
      </c>
    </row>
    <row r="546" spans="1:14" x14ac:dyDescent="0.35">
      <c r="A546">
        <v>1091</v>
      </c>
      <c r="B546" s="1">
        <v>45029</v>
      </c>
      <c r="C546" t="s">
        <v>38</v>
      </c>
      <c r="D546" t="s">
        <v>21</v>
      </c>
      <c r="E546">
        <v>9146.51</v>
      </c>
      <c r="F546">
        <v>36</v>
      </c>
      <c r="G546" t="s">
        <v>35</v>
      </c>
      <c r="H546">
        <v>3951.59</v>
      </c>
      <c r="I546">
        <v>4387.01</v>
      </c>
      <c r="J546" t="s">
        <v>30</v>
      </c>
      <c r="K546">
        <v>7.0000000000000007E-2</v>
      </c>
      <c r="L546" t="s">
        <v>27</v>
      </c>
      <c r="M546" t="s">
        <v>22</v>
      </c>
      <c r="N546" t="s">
        <v>41</v>
      </c>
    </row>
    <row r="547" spans="1:14" x14ac:dyDescent="0.35">
      <c r="A547">
        <v>1084</v>
      </c>
      <c r="B547" s="1">
        <v>45199</v>
      </c>
      <c r="C547" t="s">
        <v>42</v>
      </c>
      <c r="D547" t="s">
        <v>34</v>
      </c>
      <c r="E547">
        <v>9532.8700000000008</v>
      </c>
      <c r="F547">
        <v>30</v>
      </c>
      <c r="G547" t="s">
        <v>26</v>
      </c>
      <c r="H547">
        <v>169</v>
      </c>
      <c r="I547">
        <v>381.91999999999899</v>
      </c>
      <c r="J547" t="s">
        <v>17</v>
      </c>
      <c r="K547">
        <v>0.26</v>
      </c>
      <c r="L547" t="s">
        <v>18</v>
      </c>
      <c r="M547" t="s">
        <v>22</v>
      </c>
      <c r="N547" t="s">
        <v>52</v>
      </c>
    </row>
    <row r="548" spans="1:14" x14ac:dyDescent="0.35">
      <c r="A548">
        <v>1024</v>
      </c>
      <c r="B548" s="1">
        <v>44940</v>
      </c>
      <c r="C548" t="s">
        <v>14</v>
      </c>
      <c r="D548" t="s">
        <v>25</v>
      </c>
      <c r="E548">
        <v>3334.75</v>
      </c>
      <c r="F548">
        <v>45</v>
      </c>
      <c r="G548" t="s">
        <v>29</v>
      </c>
      <c r="H548">
        <v>2693.99</v>
      </c>
      <c r="I548">
        <v>3045.9399999999901</v>
      </c>
      <c r="J548" t="s">
        <v>30</v>
      </c>
      <c r="K548">
        <v>0.01</v>
      </c>
      <c r="L548" t="s">
        <v>18</v>
      </c>
      <c r="M548" t="s">
        <v>22</v>
      </c>
      <c r="N548" t="s">
        <v>32</v>
      </c>
    </row>
    <row r="549" spans="1:14" x14ac:dyDescent="0.35">
      <c r="A549">
        <v>1012</v>
      </c>
      <c r="B549" s="1">
        <v>45085</v>
      </c>
      <c r="C549" t="s">
        <v>14</v>
      </c>
      <c r="D549" t="s">
        <v>34</v>
      </c>
      <c r="E549">
        <v>3608.81</v>
      </c>
      <c r="F549">
        <v>19</v>
      </c>
      <c r="G549" t="s">
        <v>16</v>
      </c>
      <c r="H549">
        <v>3457.28</v>
      </c>
      <c r="I549">
        <v>3598.72</v>
      </c>
      <c r="J549" t="s">
        <v>30</v>
      </c>
      <c r="K549">
        <v>0.27</v>
      </c>
      <c r="L549" t="s">
        <v>27</v>
      </c>
      <c r="M549" t="s">
        <v>19</v>
      </c>
      <c r="N549" t="s">
        <v>46</v>
      </c>
    </row>
    <row r="550" spans="1:14" x14ac:dyDescent="0.35">
      <c r="A550">
        <v>1050</v>
      </c>
      <c r="B550" s="1">
        <v>45078</v>
      </c>
      <c r="C550" t="s">
        <v>14</v>
      </c>
      <c r="D550" t="s">
        <v>25</v>
      </c>
      <c r="E550">
        <v>5105.78</v>
      </c>
      <c r="F550">
        <v>23</v>
      </c>
      <c r="G550" t="s">
        <v>16</v>
      </c>
      <c r="H550">
        <v>3756.06</v>
      </c>
      <c r="I550">
        <v>4255.7299999999996</v>
      </c>
      <c r="J550" t="s">
        <v>17</v>
      </c>
      <c r="K550">
        <v>0.04</v>
      </c>
      <c r="L550" t="s">
        <v>18</v>
      </c>
      <c r="M550" t="s">
        <v>19</v>
      </c>
      <c r="N550" t="s">
        <v>32</v>
      </c>
    </row>
    <row r="551" spans="1:14" x14ac:dyDescent="0.35">
      <c r="A551">
        <v>1035</v>
      </c>
      <c r="B551" s="1">
        <v>45034</v>
      </c>
      <c r="C551" t="s">
        <v>24</v>
      </c>
      <c r="D551" t="s">
        <v>25</v>
      </c>
      <c r="E551">
        <v>9417.1</v>
      </c>
      <c r="F551">
        <v>34</v>
      </c>
      <c r="G551" t="s">
        <v>26</v>
      </c>
      <c r="H551">
        <v>1105.05</v>
      </c>
      <c r="I551">
        <v>1200.96</v>
      </c>
      <c r="J551" t="s">
        <v>17</v>
      </c>
      <c r="K551">
        <v>0.19</v>
      </c>
      <c r="L551" t="s">
        <v>18</v>
      </c>
      <c r="M551" t="s">
        <v>19</v>
      </c>
      <c r="N551" t="s">
        <v>28</v>
      </c>
    </row>
    <row r="552" spans="1:14" x14ac:dyDescent="0.35">
      <c r="A552">
        <v>1033</v>
      </c>
      <c r="B552" s="1">
        <v>45114</v>
      </c>
      <c r="C552" t="s">
        <v>38</v>
      </c>
      <c r="D552" t="s">
        <v>34</v>
      </c>
      <c r="E552">
        <v>8775.56</v>
      </c>
      <c r="F552">
        <v>13</v>
      </c>
      <c r="G552" t="s">
        <v>26</v>
      </c>
      <c r="H552">
        <v>4342.53</v>
      </c>
      <c r="I552">
        <v>4357.49</v>
      </c>
      <c r="J552" t="s">
        <v>30</v>
      </c>
      <c r="K552">
        <v>0.08</v>
      </c>
      <c r="L552" t="s">
        <v>27</v>
      </c>
      <c r="M552" t="s">
        <v>19</v>
      </c>
      <c r="N552" t="s">
        <v>48</v>
      </c>
    </row>
    <row r="553" spans="1:14" x14ac:dyDescent="0.35">
      <c r="A553">
        <v>1033</v>
      </c>
      <c r="B553" s="1">
        <v>45227</v>
      </c>
      <c r="C553" t="s">
        <v>24</v>
      </c>
      <c r="D553" t="s">
        <v>15</v>
      </c>
      <c r="E553">
        <v>1115.42</v>
      </c>
      <c r="F553">
        <v>43</v>
      </c>
      <c r="G553" t="s">
        <v>29</v>
      </c>
      <c r="H553">
        <v>4781.42</v>
      </c>
      <c r="I553">
        <v>4864.34</v>
      </c>
      <c r="J553" t="s">
        <v>17</v>
      </c>
      <c r="K553">
        <v>0.25</v>
      </c>
      <c r="L553" t="s">
        <v>27</v>
      </c>
      <c r="M553" t="s">
        <v>19</v>
      </c>
      <c r="N553" t="s">
        <v>45</v>
      </c>
    </row>
    <row r="554" spans="1:14" x14ac:dyDescent="0.35">
      <c r="A554">
        <v>1061</v>
      </c>
      <c r="B554" s="1">
        <v>45024</v>
      </c>
      <c r="C554" t="s">
        <v>33</v>
      </c>
      <c r="D554" t="s">
        <v>34</v>
      </c>
      <c r="E554">
        <v>3988.03</v>
      </c>
      <c r="F554">
        <v>29</v>
      </c>
      <c r="G554" t="s">
        <v>29</v>
      </c>
      <c r="H554">
        <v>1221.74</v>
      </c>
      <c r="I554">
        <v>1611.92</v>
      </c>
      <c r="J554" t="s">
        <v>30</v>
      </c>
      <c r="K554">
        <v>0.15</v>
      </c>
      <c r="L554" t="s">
        <v>18</v>
      </c>
      <c r="M554" t="s">
        <v>22</v>
      </c>
      <c r="N554" t="s">
        <v>36</v>
      </c>
    </row>
    <row r="555" spans="1:14" x14ac:dyDescent="0.35">
      <c r="A555">
        <v>1051</v>
      </c>
      <c r="B555" s="1">
        <v>45057</v>
      </c>
      <c r="C555" t="s">
        <v>14</v>
      </c>
      <c r="D555" t="s">
        <v>15</v>
      </c>
      <c r="E555">
        <v>5578.37</v>
      </c>
      <c r="F555">
        <v>36</v>
      </c>
      <c r="G555" t="s">
        <v>26</v>
      </c>
      <c r="H555">
        <v>4418.95</v>
      </c>
      <c r="I555">
        <v>4647.87</v>
      </c>
      <c r="J555" t="s">
        <v>30</v>
      </c>
      <c r="K555">
        <v>0.04</v>
      </c>
      <c r="L555" t="s">
        <v>27</v>
      </c>
      <c r="M555" t="s">
        <v>19</v>
      </c>
      <c r="N555" t="s">
        <v>20</v>
      </c>
    </row>
    <row r="556" spans="1:14" x14ac:dyDescent="0.35">
      <c r="A556">
        <v>1043</v>
      </c>
      <c r="B556" s="1">
        <v>45219</v>
      </c>
      <c r="C556" t="s">
        <v>33</v>
      </c>
      <c r="D556" t="s">
        <v>25</v>
      </c>
      <c r="E556">
        <v>5081.01</v>
      </c>
      <c r="F556">
        <v>22</v>
      </c>
      <c r="G556" t="s">
        <v>26</v>
      </c>
      <c r="H556">
        <v>530.04</v>
      </c>
      <c r="I556">
        <v>759.31999999999903</v>
      </c>
      <c r="J556" t="s">
        <v>17</v>
      </c>
      <c r="K556">
        <v>0.17</v>
      </c>
      <c r="L556" t="s">
        <v>27</v>
      </c>
      <c r="M556" t="s">
        <v>22</v>
      </c>
      <c r="N556" t="s">
        <v>44</v>
      </c>
    </row>
    <row r="557" spans="1:14" x14ac:dyDescent="0.35">
      <c r="A557">
        <v>1012</v>
      </c>
      <c r="B557" s="1">
        <v>45097</v>
      </c>
      <c r="C557" t="s">
        <v>42</v>
      </c>
      <c r="D557" t="s">
        <v>25</v>
      </c>
      <c r="E557">
        <v>2019.24</v>
      </c>
      <c r="F557">
        <v>47</v>
      </c>
      <c r="G557" t="s">
        <v>29</v>
      </c>
      <c r="H557">
        <v>325.75</v>
      </c>
      <c r="I557">
        <v>803.71</v>
      </c>
      <c r="J557" t="s">
        <v>30</v>
      </c>
      <c r="K557">
        <v>0.12</v>
      </c>
      <c r="L557" t="s">
        <v>27</v>
      </c>
      <c r="M557" t="s">
        <v>22</v>
      </c>
      <c r="N557" t="s">
        <v>43</v>
      </c>
    </row>
    <row r="558" spans="1:14" x14ac:dyDescent="0.35">
      <c r="A558">
        <v>1067</v>
      </c>
      <c r="B558" s="1">
        <v>45109</v>
      </c>
      <c r="C558" t="s">
        <v>42</v>
      </c>
      <c r="D558" t="s">
        <v>15</v>
      </c>
      <c r="E558">
        <v>8602.2900000000009</v>
      </c>
      <c r="F558">
        <v>36</v>
      </c>
      <c r="G558" t="s">
        <v>35</v>
      </c>
      <c r="H558">
        <v>689.66</v>
      </c>
      <c r="I558">
        <v>1150.28</v>
      </c>
      <c r="J558" t="s">
        <v>30</v>
      </c>
      <c r="K558">
        <v>0.2</v>
      </c>
      <c r="L558" t="s">
        <v>27</v>
      </c>
      <c r="M558" t="s">
        <v>19</v>
      </c>
      <c r="N558" t="s">
        <v>49</v>
      </c>
    </row>
    <row r="559" spans="1:14" x14ac:dyDescent="0.35">
      <c r="A559">
        <v>1065</v>
      </c>
      <c r="B559" s="1">
        <v>45290</v>
      </c>
      <c r="C559" t="s">
        <v>24</v>
      </c>
      <c r="D559" t="s">
        <v>25</v>
      </c>
      <c r="E559">
        <v>6801.71</v>
      </c>
      <c r="F559">
        <v>9</v>
      </c>
      <c r="G559" t="s">
        <v>29</v>
      </c>
      <c r="H559">
        <v>335.82</v>
      </c>
      <c r="I559">
        <v>498.31</v>
      </c>
      <c r="J559" t="s">
        <v>30</v>
      </c>
      <c r="K559">
        <v>0.26</v>
      </c>
      <c r="L559" t="s">
        <v>18</v>
      </c>
      <c r="M559" t="s">
        <v>22</v>
      </c>
      <c r="N559" t="s">
        <v>28</v>
      </c>
    </row>
    <row r="560" spans="1:14" x14ac:dyDescent="0.35">
      <c r="A560">
        <v>1033</v>
      </c>
      <c r="B560" s="1">
        <v>44965</v>
      </c>
      <c r="C560" t="s">
        <v>38</v>
      </c>
      <c r="D560" t="s">
        <v>15</v>
      </c>
      <c r="E560">
        <v>8395.2900000000009</v>
      </c>
      <c r="F560">
        <v>39</v>
      </c>
      <c r="G560" t="s">
        <v>35</v>
      </c>
      <c r="H560">
        <v>4232.8100000000004</v>
      </c>
      <c r="I560">
        <v>4345.25</v>
      </c>
      <c r="J560" t="s">
        <v>17</v>
      </c>
      <c r="K560">
        <v>0.12</v>
      </c>
      <c r="L560" t="s">
        <v>27</v>
      </c>
      <c r="M560" t="s">
        <v>19</v>
      </c>
      <c r="N560" t="s">
        <v>40</v>
      </c>
    </row>
    <row r="561" spans="1:14" x14ac:dyDescent="0.35">
      <c r="A561">
        <v>1040</v>
      </c>
      <c r="B561" s="1">
        <v>44941</v>
      </c>
      <c r="C561" t="s">
        <v>33</v>
      </c>
      <c r="D561" t="s">
        <v>15</v>
      </c>
      <c r="E561">
        <v>8601.77</v>
      </c>
      <c r="F561">
        <v>19</v>
      </c>
      <c r="G561" t="s">
        <v>16</v>
      </c>
      <c r="H561">
        <v>342.3</v>
      </c>
      <c r="I561">
        <v>768.06</v>
      </c>
      <c r="J561" t="s">
        <v>17</v>
      </c>
      <c r="K561">
        <v>0.09</v>
      </c>
      <c r="L561" t="s">
        <v>31</v>
      </c>
      <c r="M561" t="s">
        <v>19</v>
      </c>
      <c r="N561" t="s">
        <v>53</v>
      </c>
    </row>
    <row r="562" spans="1:14" x14ac:dyDescent="0.35">
      <c r="A562">
        <v>1074</v>
      </c>
      <c r="B562" s="1">
        <v>44930</v>
      </c>
      <c r="C562" t="s">
        <v>38</v>
      </c>
      <c r="D562" t="s">
        <v>25</v>
      </c>
      <c r="E562">
        <v>7508.72</v>
      </c>
      <c r="F562">
        <v>38</v>
      </c>
      <c r="G562" t="s">
        <v>16</v>
      </c>
      <c r="H562">
        <v>1394.74</v>
      </c>
      <c r="I562">
        <v>1848.69</v>
      </c>
      <c r="J562" t="s">
        <v>17</v>
      </c>
      <c r="K562">
        <v>0</v>
      </c>
      <c r="L562" t="s">
        <v>27</v>
      </c>
      <c r="M562" t="s">
        <v>22</v>
      </c>
      <c r="N562" t="s">
        <v>39</v>
      </c>
    </row>
    <row r="563" spans="1:14" x14ac:dyDescent="0.35">
      <c r="A563">
        <v>1043</v>
      </c>
      <c r="B563" s="1">
        <v>45275</v>
      </c>
      <c r="C563" t="s">
        <v>24</v>
      </c>
      <c r="D563" t="s">
        <v>21</v>
      </c>
      <c r="E563">
        <v>4448.18</v>
      </c>
      <c r="F563">
        <v>6</v>
      </c>
      <c r="G563" t="s">
        <v>29</v>
      </c>
      <c r="H563">
        <v>563.59</v>
      </c>
      <c r="I563">
        <v>838.97</v>
      </c>
      <c r="J563" t="s">
        <v>30</v>
      </c>
      <c r="K563">
        <v>0.17</v>
      </c>
      <c r="L563" t="s">
        <v>31</v>
      </c>
      <c r="M563" t="s">
        <v>19</v>
      </c>
      <c r="N563" t="s">
        <v>47</v>
      </c>
    </row>
    <row r="564" spans="1:14" x14ac:dyDescent="0.35">
      <c r="A564">
        <v>1044</v>
      </c>
      <c r="B564" s="1">
        <v>45136</v>
      </c>
      <c r="C564" t="s">
        <v>42</v>
      </c>
      <c r="D564" t="s">
        <v>15</v>
      </c>
      <c r="E564">
        <v>6144.41</v>
      </c>
      <c r="F564">
        <v>47</v>
      </c>
      <c r="G564" t="s">
        <v>35</v>
      </c>
      <c r="H564">
        <v>1512.34</v>
      </c>
      <c r="I564">
        <v>1830.76</v>
      </c>
      <c r="J564" t="s">
        <v>30</v>
      </c>
      <c r="K564">
        <v>0.12</v>
      </c>
      <c r="L564" t="s">
        <v>27</v>
      </c>
      <c r="M564" t="s">
        <v>19</v>
      </c>
      <c r="N564" t="s">
        <v>49</v>
      </c>
    </row>
    <row r="565" spans="1:14" x14ac:dyDescent="0.35">
      <c r="A565">
        <v>1029</v>
      </c>
      <c r="B565" s="1">
        <v>45087</v>
      </c>
      <c r="C565" t="s">
        <v>38</v>
      </c>
      <c r="D565" t="s">
        <v>34</v>
      </c>
      <c r="E565">
        <v>1687.62</v>
      </c>
      <c r="F565">
        <v>15</v>
      </c>
      <c r="G565" t="s">
        <v>29</v>
      </c>
      <c r="H565">
        <v>498.27</v>
      </c>
      <c r="I565">
        <v>634.16</v>
      </c>
      <c r="J565" t="s">
        <v>17</v>
      </c>
      <c r="K565">
        <v>0.11</v>
      </c>
      <c r="L565" t="s">
        <v>31</v>
      </c>
      <c r="M565" t="s">
        <v>22</v>
      </c>
      <c r="N565" t="s">
        <v>48</v>
      </c>
    </row>
    <row r="566" spans="1:14" x14ac:dyDescent="0.35">
      <c r="A566">
        <v>1013</v>
      </c>
      <c r="B566" s="1">
        <v>44942</v>
      </c>
      <c r="C566" t="s">
        <v>38</v>
      </c>
      <c r="D566" t="s">
        <v>34</v>
      </c>
      <c r="E566">
        <v>6769.09</v>
      </c>
      <c r="F566">
        <v>20</v>
      </c>
      <c r="G566" t="s">
        <v>29</v>
      </c>
      <c r="H566">
        <v>3356.62</v>
      </c>
      <c r="I566">
        <v>3759.0099999999902</v>
      </c>
      <c r="J566" t="s">
        <v>17</v>
      </c>
      <c r="K566">
        <v>0.05</v>
      </c>
      <c r="L566" t="s">
        <v>31</v>
      </c>
      <c r="M566" t="s">
        <v>22</v>
      </c>
      <c r="N566" t="s">
        <v>48</v>
      </c>
    </row>
    <row r="567" spans="1:14" x14ac:dyDescent="0.35">
      <c r="A567">
        <v>1012</v>
      </c>
      <c r="B567" s="1">
        <v>45034</v>
      </c>
      <c r="C567" t="s">
        <v>42</v>
      </c>
      <c r="D567" t="s">
        <v>25</v>
      </c>
      <c r="E567">
        <v>1874.61</v>
      </c>
      <c r="F567">
        <v>9</v>
      </c>
      <c r="G567" t="s">
        <v>35</v>
      </c>
      <c r="H567">
        <v>709.97</v>
      </c>
      <c r="I567">
        <v>1029.71</v>
      </c>
      <c r="J567" t="s">
        <v>17</v>
      </c>
      <c r="K567">
        <v>0.13</v>
      </c>
      <c r="L567" t="s">
        <v>27</v>
      </c>
      <c r="M567" t="s">
        <v>22</v>
      </c>
      <c r="N567" t="s">
        <v>43</v>
      </c>
    </row>
    <row r="568" spans="1:14" x14ac:dyDescent="0.35">
      <c r="A568">
        <v>1095</v>
      </c>
      <c r="B568" s="1">
        <v>45237</v>
      </c>
      <c r="C568" t="s">
        <v>33</v>
      </c>
      <c r="D568" t="s">
        <v>21</v>
      </c>
      <c r="E568">
        <v>6970.1</v>
      </c>
      <c r="F568">
        <v>32</v>
      </c>
      <c r="G568" t="s">
        <v>29</v>
      </c>
      <c r="H568">
        <v>4266.6400000000003</v>
      </c>
      <c r="I568">
        <v>4523.3599999999997</v>
      </c>
      <c r="J568" t="s">
        <v>30</v>
      </c>
      <c r="K568">
        <v>0.3</v>
      </c>
      <c r="L568" t="s">
        <v>27</v>
      </c>
      <c r="M568" t="s">
        <v>22</v>
      </c>
      <c r="N568" t="s">
        <v>37</v>
      </c>
    </row>
    <row r="569" spans="1:14" x14ac:dyDescent="0.35">
      <c r="A569">
        <v>1046</v>
      </c>
      <c r="B569" s="1">
        <v>45153</v>
      </c>
      <c r="C569" t="s">
        <v>42</v>
      </c>
      <c r="D569" t="s">
        <v>25</v>
      </c>
      <c r="E569">
        <v>2373.02</v>
      </c>
      <c r="F569">
        <v>4</v>
      </c>
      <c r="G569" t="s">
        <v>16</v>
      </c>
      <c r="H569">
        <v>4095.1</v>
      </c>
      <c r="I569">
        <v>4134.55</v>
      </c>
      <c r="J569" t="s">
        <v>17</v>
      </c>
      <c r="K569">
        <v>0.09</v>
      </c>
      <c r="L569" t="s">
        <v>27</v>
      </c>
      <c r="M569" t="s">
        <v>22</v>
      </c>
      <c r="N569" t="s">
        <v>43</v>
      </c>
    </row>
    <row r="570" spans="1:14" x14ac:dyDescent="0.35">
      <c r="A570">
        <v>1002</v>
      </c>
      <c r="B570" s="1">
        <v>45096</v>
      </c>
      <c r="C570" t="s">
        <v>38</v>
      </c>
      <c r="D570" t="s">
        <v>21</v>
      </c>
      <c r="E570">
        <v>1263.76</v>
      </c>
      <c r="F570">
        <v>18</v>
      </c>
      <c r="G570" t="s">
        <v>26</v>
      </c>
      <c r="H570">
        <v>117.63</v>
      </c>
      <c r="I570">
        <v>576.44000000000005</v>
      </c>
      <c r="J570" t="s">
        <v>30</v>
      </c>
      <c r="K570">
        <v>0.18</v>
      </c>
      <c r="L570" t="s">
        <v>31</v>
      </c>
      <c r="M570" t="s">
        <v>22</v>
      </c>
      <c r="N570" t="s">
        <v>41</v>
      </c>
    </row>
    <row r="571" spans="1:14" x14ac:dyDescent="0.35">
      <c r="A571">
        <v>1035</v>
      </c>
      <c r="B571" s="1">
        <v>44960</v>
      </c>
      <c r="C571" t="s">
        <v>33</v>
      </c>
      <c r="D571" t="s">
        <v>15</v>
      </c>
      <c r="E571">
        <v>1736.32</v>
      </c>
      <c r="F571">
        <v>5</v>
      </c>
      <c r="G571" t="s">
        <v>26</v>
      </c>
      <c r="H571">
        <v>4483.8500000000004</v>
      </c>
      <c r="I571">
        <v>4795.42</v>
      </c>
      <c r="J571" t="s">
        <v>17</v>
      </c>
      <c r="K571">
        <v>0.23</v>
      </c>
      <c r="L571" t="s">
        <v>18</v>
      </c>
      <c r="M571" t="s">
        <v>19</v>
      </c>
      <c r="N571" t="s">
        <v>53</v>
      </c>
    </row>
    <row r="572" spans="1:14" x14ac:dyDescent="0.35">
      <c r="A572">
        <v>1087</v>
      </c>
      <c r="B572" s="1">
        <v>45177</v>
      </c>
      <c r="C572" t="s">
        <v>33</v>
      </c>
      <c r="D572" t="s">
        <v>15</v>
      </c>
      <c r="E572">
        <v>119.72</v>
      </c>
      <c r="F572">
        <v>20</v>
      </c>
      <c r="G572" t="s">
        <v>29</v>
      </c>
      <c r="H572">
        <v>193.27</v>
      </c>
      <c r="I572">
        <v>297.69</v>
      </c>
      <c r="J572" t="s">
        <v>30</v>
      </c>
      <c r="K572">
        <v>0.22</v>
      </c>
      <c r="L572" t="s">
        <v>18</v>
      </c>
      <c r="M572" t="s">
        <v>19</v>
      </c>
      <c r="N572" t="s">
        <v>53</v>
      </c>
    </row>
    <row r="573" spans="1:14" x14ac:dyDescent="0.35">
      <c r="A573">
        <v>1081</v>
      </c>
      <c r="B573" s="1">
        <v>45173</v>
      </c>
      <c r="C573" t="s">
        <v>42</v>
      </c>
      <c r="D573" t="s">
        <v>15</v>
      </c>
      <c r="E573">
        <v>7215.52</v>
      </c>
      <c r="F573">
        <v>23</v>
      </c>
      <c r="G573" t="s">
        <v>35</v>
      </c>
      <c r="H573">
        <v>1236.25</v>
      </c>
      <c r="I573">
        <v>1543.38</v>
      </c>
      <c r="J573" t="s">
        <v>30</v>
      </c>
      <c r="K573">
        <v>0.1</v>
      </c>
      <c r="L573" t="s">
        <v>27</v>
      </c>
      <c r="M573" t="s">
        <v>19</v>
      </c>
      <c r="N573" t="s">
        <v>49</v>
      </c>
    </row>
    <row r="574" spans="1:14" x14ac:dyDescent="0.35">
      <c r="A574">
        <v>1090</v>
      </c>
      <c r="B574" s="1">
        <v>45195</v>
      </c>
      <c r="C574" t="s">
        <v>38</v>
      </c>
      <c r="D574" t="s">
        <v>15</v>
      </c>
      <c r="E574">
        <v>7350.77</v>
      </c>
      <c r="F574">
        <v>11</v>
      </c>
      <c r="G574" t="s">
        <v>35</v>
      </c>
      <c r="H574">
        <v>210.33</v>
      </c>
      <c r="I574">
        <v>552.29</v>
      </c>
      <c r="J574" t="s">
        <v>17</v>
      </c>
      <c r="K574">
        <v>0.18</v>
      </c>
      <c r="L574" t="s">
        <v>18</v>
      </c>
      <c r="M574" t="s">
        <v>22</v>
      </c>
      <c r="N574" t="s">
        <v>40</v>
      </c>
    </row>
    <row r="575" spans="1:14" x14ac:dyDescent="0.35">
      <c r="A575">
        <v>1008</v>
      </c>
      <c r="B575" s="1">
        <v>45067</v>
      </c>
      <c r="C575" t="s">
        <v>24</v>
      </c>
      <c r="D575" t="s">
        <v>34</v>
      </c>
      <c r="E575">
        <v>5197.84</v>
      </c>
      <c r="F575">
        <v>37</v>
      </c>
      <c r="G575" t="s">
        <v>16</v>
      </c>
      <c r="H575">
        <v>1712.43</v>
      </c>
      <c r="I575">
        <v>1980.06</v>
      </c>
      <c r="J575" t="s">
        <v>30</v>
      </c>
      <c r="K575">
        <v>0.26</v>
      </c>
      <c r="L575" t="s">
        <v>18</v>
      </c>
      <c r="M575" t="s">
        <v>19</v>
      </c>
      <c r="N575" t="s">
        <v>50</v>
      </c>
    </row>
    <row r="576" spans="1:14" x14ac:dyDescent="0.35">
      <c r="A576">
        <v>1093</v>
      </c>
      <c r="B576" s="1">
        <v>45200</v>
      </c>
      <c r="C576" t="s">
        <v>38</v>
      </c>
      <c r="D576" t="s">
        <v>34</v>
      </c>
      <c r="E576">
        <v>1697.49</v>
      </c>
      <c r="F576">
        <v>22</v>
      </c>
      <c r="G576" t="s">
        <v>35</v>
      </c>
      <c r="H576">
        <v>2593.64</v>
      </c>
      <c r="I576">
        <v>2955.5099999999902</v>
      </c>
      <c r="J576" t="s">
        <v>17</v>
      </c>
      <c r="K576">
        <v>0</v>
      </c>
      <c r="L576" t="s">
        <v>27</v>
      </c>
      <c r="M576" t="s">
        <v>22</v>
      </c>
      <c r="N576" t="s">
        <v>48</v>
      </c>
    </row>
    <row r="577" spans="1:14" x14ac:dyDescent="0.35">
      <c r="A577">
        <v>1026</v>
      </c>
      <c r="B577" s="1">
        <v>45022</v>
      </c>
      <c r="C577" t="s">
        <v>14</v>
      </c>
      <c r="D577" t="s">
        <v>25</v>
      </c>
      <c r="E577">
        <v>927.19</v>
      </c>
      <c r="F577">
        <v>4</v>
      </c>
      <c r="G577" t="s">
        <v>35</v>
      </c>
      <c r="H577">
        <v>3993.39</v>
      </c>
      <c r="I577">
        <v>4288.3</v>
      </c>
      <c r="J577" t="s">
        <v>30</v>
      </c>
      <c r="K577">
        <v>0.13</v>
      </c>
      <c r="L577" t="s">
        <v>31</v>
      </c>
      <c r="M577" t="s">
        <v>19</v>
      </c>
      <c r="N577" t="s">
        <v>32</v>
      </c>
    </row>
    <row r="578" spans="1:14" x14ac:dyDescent="0.35">
      <c r="A578">
        <v>1074</v>
      </c>
      <c r="B578" s="1">
        <v>45153</v>
      </c>
      <c r="C578" t="s">
        <v>24</v>
      </c>
      <c r="D578" t="s">
        <v>21</v>
      </c>
      <c r="E578">
        <v>289.38</v>
      </c>
      <c r="F578">
        <v>29</v>
      </c>
      <c r="G578" t="s">
        <v>16</v>
      </c>
      <c r="H578">
        <v>1723.01</v>
      </c>
      <c r="I578">
        <v>2197.42</v>
      </c>
      <c r="J578" t="s">
        <v>30</v>
      </c>
      <c r="K578">
        <v>7.0000000000000007E-2</v>
      </c>
      <c r="L578" t="s">
        <v>27</v>
      </c>
      <c r="M578" t="s">
        <v>22</v>
      </c>
      <c r="N578" t="s">
        <v>47</v>
      </c>
    </row>
    <row r="579" spans="1:14" x14ac:dyDescent="0.35">
      <c r="A579">
        <v>1090</v>
      </c>
      <c r="B579" s="1">
        <v>44965</v>
      </c>
      <c r="C579" t="s">
        <v>33</v>
      </c>
      <c r="D579" t="s">
        <v>15</v>
      </c>
      <c r="E579">
        <v>1740.91</v>
      </c>
      <c r="F579">
        <v>44</v>
      </c>
      <c r="G579" t="s">
        <v>29</v>
      </c>
      <c r="H579">
        <v>3542.18</v>
      </c>
      <c r="I579">
        <v>3578.49</v>
      </c>
      <c r="J579" t="s">
        <v>17</v>
      </c>
      <c r="K579">
        <v>0.12</v>
      </c>
      <c r="L579" t="s">
        <v>18</v>
      </c>
      <c r="M579" t="s">
        <v>19</v>
      </c>
      <c r="N579" t="s">
        <v>53</v>
      </c>
    </row>
    <row r="580" spans="1:14" x14ac:dyDescent="0.35">
      <c r="A580">
        <v>1034</v>
      </c>
      <c r="B580" s="1">
        <v>45228</v>
      </c>
      <c r="C580" t="s">
        <v>24</v>
      </c>
      <c r="D580" t="s">
        <v>15</v>
      </c>
      <c r="E580">
        <v>8919.4699999999993</v>
      </c>
      <c r="F580">
        <v>34</v>
      </c>
      <c r="G580" t="s">
        <v>26</v>
      </c>
      <c r="H580">
        <v>978.15</v>
      </c>
      <c r="I580">
        <v>1040.21</v>
      </c>
      <c r="J580" t="s">
        <v>30</v>
      </c>
      <c r="K580">
        <v>0.12</v>
      </c>
      <c r="L580" t="s">
        <v>31</v>
      </c>
      <c r="M580" t="s">
        <v>22</v>
      </c>
      <c r="N580" t="s">
        <v>45</v>
      </c>
    </row>
    <row r="581" spans="1:14" x14ac:dyDescent="0.35">
      <c r="A581">
        <v>1007</v>
      </c>
      <c r="B581" s="1">
        <v>44955</v>
      </c>
      <c r="C581" t="s">
        <v>33</v>
      </c>
      <c r="D581" t="s">
        <v>21</v>
      </c>
      <c r="E581">
        <v>2491.21</v>
      </c>
      <c r="F581">
        <v>13</v>
      </c>
      <c r="G581" t="s">
        <v>16</v>
      </c>
      <c r="H581">
        <v>3765.46</v>
      </c>
      <c r="I581">
        <v>3860.56</v>
      </c>
      <c r="J581" t="s">
        <v>17</v>
      </c>
      <c r="K581">
        <v>0.22</v>
      </c>
      <c r="L581" t="s">
        <v>18</v>
      </c>
      <c r="M581" t="s">
        <v>22</v>
      </c>
      <c r="N581" t="s">
        <v>37</v>
      </c>
    </row>
    <row r="582" spans="1:14" x14ac:dyDescent="0.35">
      <c r="A582">
        <v>1068</v>
      </c>
      <c r="B582" s="1">
        <v>45244</v>
      </c>
      <c r="C582" t="s">
        <v>33</v>
      </c>
      <c r="D582" t="s">
        <v>21</v>
      </c>
      <c r="E582">
        <v>3607.29</v>
      </c>
      <c r="F582">
        <v>42</v>
      </c>
      <c r="G582" t="s">
        <v>29</v>
      </c>
      <c r="H582">
        <v>1218.18</v>
      </c>
      <c r="I582">
        <v>1566.36</v>
      </c>
      <c r="J582" t="s">
        <v>17</v>
      </c>
      <c r="K582">
        <v>0.03</v>
      </c>
      <c r="L582" t="s">
        <v>31</v>
      </c>
      <c r="M582" t="s">
        <v>22</v>
      </c>
      <c r="N582" t="s">
        <v>37</v>
      </c>
    </row>
    <row r="583" spans="1:14" x14ac:dyDescent="0.35">
      <c r="A583">
        <v>1058</v>
      </c>
      <c r="B583" s="1">
        <v>45171</v>
      </c>
      <c r="C583" t="s">
        <v>24</v>
      </c>
      <c r="D583" t="s">
        <v>25</v>
      </c>
      <c r="E583">
        <v>1142.92</v>
      </c>
      <c r="F583">
        <v>9</v>
      </c>
      <c r="G583" t="s">
        <v>16</v>
      </c>
      <c r="H583">
        <v>760.55</v>
      </c>
      <c r="I583">
        <v>1086.8899999999901</v>
      </c>
      <c r="J583" t="s">
        <v>17</v>
      </c>
      <c r="K583">
        <v>0.15</v>
      </c>
      <c r="L583" t="s">
        <v>18</v>
      </c>
      <c r="M583" t="s">
        <v>22</v>
      </c>
      <c r="N583" t="s">
        <v>28</v>
      </c>
    </row>
    <row r="584" spans="1:14" x14ac:dyDescent="0.35">
      <c r="A584">
        <v>1075</v>
      </c>
      <c r="B584" s="1">
        <v>45162</v>
      </c>
      <c r="C584" t="s">
        <v>33</v>
      </c>
      <c r="D584" t="s">
        <v>21</v>
      </c>
      <c r="E584">
        <v>2301.38</v>
      </c>
      <c r="F584">
        <v>42</v>
      </c>
      <c r="G584" t="s">
        <v>29</v>
      </c>
      <c r="H584">
        <v>967.77</v>
      </c>
      <c r="I584">
        <v>1414.88</v>
      </c>
      <c r="J584" t="s">
        <v>30</v>
      </c>
      <c r="K584">
        <v>0.17</v>
      </c>
      <c r="L584" t="s">
        <v>27</v>
      </c>
      <c r="M584" t="s">
        <v>19</v>
      </c>
      <c r="N584" t="s">
        <v>37</v>
      </c>
    </row>
    <row r="585" spans="1:14" x14ac:dyDescent="0.35">
      <c r="A585">
        <v>1029</v>
      </c>
      <c r="B585" s="1">
        <v>45111</v>
      </c>
      <c r="C585" t="s">
        <v>33</v>
      </c>
      <c r="D585" t="s">
        <v>15</v>
      </c>
      <c r="E585">
        <v>5240.32</v>
      </c>
      <c r="F585">
        <v>31</v>
      </c>
      <c r="G585" t="s">
        <v>16</v>
      </c>
      <c r="H585">
        <v>951.21</v>
      </c>
      <c r="I585">
        <v>1320.32</v>
      </c>
      <c r="J585" t="s">
        <v>30</v>
      </c>
      <c r="K585">
        <v>0.15</v>
      </c>
      <c r="L585" t="s">
        <v>18</v>
      </c>
      <c r="M585" t="s">
        <v>19</v>
      </c>
      <c r="N585" t="s">
        <v>53</v>
      </c>
    </row>
    <row r="586" spans="1:14" x14ac:dyDescent="0.35">
      <c r="A586">
        <v>1036</v>
      </c>
      <c r="B586" s="1">
        <v>45198</v>
      </c>
      <c r="C586" t="s">
        <v>14</v>
      </c>
      <c r="D586" t="s">
        <v>15</v>
      </c>
      <c r="E586">
        <v>6116.75</v>
      </c>
      <c r="F586">
        <v>7</v>
      </c>
      <c r="G586" t="s">
        <v>29</v>
      </c>
      <c r="H586">
        <v>2588.67</v>
      </c>
      <c r="I586">
        <v>2847.76</v>
      </c>
      <c r="J586" t="s">
        <v>30</v>
      </c>
      <c r="K586">
        <v>0.22</v>
      </c>
      <c r="L586" t="s">
        <v>18</v>
      </c>
      <c r="M586" t="s">
        <v>22</v>
      </c>
      <c r="N586" t="s">
        <v>20</v>
      </c>
    </row>
    <row r="587" spans="1:14" x14ac:dyDescent="0.35">
      <c r="A587">
        <v>1089</v>
      </c>
      <c r="B587" s="1">
        <v>45162</v>
      </c>
      <c r="C587" t="s">
        <v>38</v>
      </c>
      <c r="D587" t="s">
        <v>15</v>
      </c>
      <c r="E587">
        <v>2528.9899999999998</v>
      </c>
      <c r="F587">
        <v>4</v>
      </c>
      <c r="G587" t="s">
        <v>16</v>
      </c>
      <c r="H587">
        <v>4231.75</v>
      </c>
      <c r="I587">
        <v>4727.75</v>
      </c>
      <c r="J587" t="s">
        <v>17</v>
      </c>
      <c r="K587">
        <v>0.12</v>
      </c>
      <c r="L587" t="s">
        <v>31</v>
      </c>
      <c r="M587" t="s">
        <v>22</v>
      </c>
      <c r="N587" t="s">
        <v>40</v>
      </c>
    </row>
    <row r="588" spans="1:14" x14ac:dyDescent="0.35">
      <c r="A588">
        <v>1021</v>
      </c>
      <c r="B588" s="1">
        <v>45165</v>
      </c>
      <c r="C588" t="s">
        <v>38</v>
      </c>
      <c r="D588" t="s">
        <v>15</v>
      </c>
      <c r="E588">
        <v>671.55</v>
      </c>
      <c r="F588">
        <v>19</v>
      </c>
      <c r="G588" t="s">
        <v>29</v>
      </c>
      <c r="H588">
        <v>444.05</v>
      </c>
      <c r="I588">
        <v>584.44000000000005</v>
      </c>
      <c r="J588" t="s">
        <v>17</v>
      </c>
      <c r="K588">
        <v>0.28000000000000003</v>
      </c>
      <c r="L588" t="s">
        <v>18</v>
      </c>
      <c r="M588" t="s">
        <v>22</v>
      </c>
      <c r="N588" t="s">
        <v>40</v>
      </c>
    </row>
    <row r="589" spans="1:14" x14ac:dyDescent="0.35">
      <c r="A589">
        <v>1036</v>
      </c>
      <c r="B589" s="1">
        <v>45192</v>
      </c>
      <c r="C589" t="s">
        <v>14</v>
      </c>
      <c r="D589" t="s">
        <v>15</v>
      </c>
      <c r="E589">
        <v>3971.23</v>
      </c>
      <c r="F589">
        <v>42</v>
      </c>
      <c r="G589" t="s">
        <v>16</v>
      </c>
      <c r="H589">
        <v>3549.43</v>
      </c>
      <c r="I589">
        <v>3967.6899999999901</v>
      </c>
      <c r="J589" t="s">
        <v>30</v>
      </c>
      <c r="K589">
        <v>0.14000000000000001</v>
      </c>
      <c r="L589" t="s">
        <v>27</v>
      </c>
      <c r="M589" t="s">
        <v>19</v>
      </c>
      <c r="N589" t="s">
        <v>20</v>
      </c>
    </row>
    <row r="590" spans="1:14" x14ac:dyDescent="0.35">
      <c r="A590">
        <v>1010</v>
      </c>
      <c r="B590" s="1">
        <v>45285</v>
      </c>
      <c r="C590" t="s">
        <v>24</v>
      </c>
      <c r="D590" t="s">
        <v>25</v>
      </c>
      <c r="E590">
        <v>2418.61</v>
      </c>
      <c r="F590">
        <v>30</v>
      </c>
      <c r="G590" t="s">
        <v>26</v>
      </c>
      <c r="H590">
        <v>3289.01</v>
      </c>
      <c r="I590">
        <v>3508.14</v>
      </c>
      <c r="J590" t="s">
        <v>30</v>
      </c>
      <c r="K590">
        <v>0.17</v>
      </c>
      <c r="L590" t="s">
        <v>27</v>
      </c>
      <c r="M590" t="s">
        <v>22</v>
      </c>
      <c r="N590" t="s">
        <v>28</v>
      </c>
    </row>
    <row r="591" spans="1:14" x14ac:dyDescent="0.35">
      <c r="A591">
        <v>1073</v>
      </c>
      <c r="B591" s="1">
        <v>45266</v>
      </c>
      <c r="C591" t="s">
        <v>42</v>
      </c>
      <c r="D591" t="s">
        <v>15</v>
      </c>
      <c r="E591">
        <v>2273.58</v>
      </c>
      <c r="F591">
        <v>31</v>
      </c>
      <c r="G591" t="s">
        <v>26</v>
      </c>
      <c r="H591">
        <v>4368.97</v>
      </c>
      <c r="I591">
        <v>4696.8500000000004</v>
      </c>
      <c r="J591" t="s">
        <v>17</v>
      </c>
      <c r="K591">
        <v>0.25</v>
      </c>
      <c r="L591" t="s">
        <v>27</v>
      </c>
      <c r="M591" t="s">
        <v>22</v>
      </c>
      <c r="N591" t="s">
        <v>49</v>
      </c>
    </row>
    <row r="592" spans="1:14" x14ac:dyDescent="0.35">
      <c r="A592">
        <v>1024</v>
      </c>
      <c r="B592" s="1">
        <v>44991</v>
      </c>
      <c r="C592" t="s">
        <v>42</v>
      </c>
      <c r="D592" t="s">
        <v>25</v>
      </c>
      <c r="E592">
        <v>9602.64</v>
      </c>
      <c r="F592">
        <v>35</v>
      </c>
      <c r="G592" t="s">
        <v>35</v>
      </c>
      <c r="H592">
        <v>1258.53</v>
      </c>
      <c r="I592">
        <v>1624.8899999999901</v>
      </c>
      <c r="J592" t="s">
        <v>30</v>
      </c>
      <c r="K592">
        <v>0.08</v>
      </c>
      <c r="L592" t="s">
        <v>31</v>
      </c>
      <c r="M592" t="s">
        <v>19</v>
      </c>
      <c r="N592" t="s">
        <v>43</v>
      </c>
    </row>
    <row r="593" spans="1:14" x14ac:dyDescent="0.35">
      <c r="A593">
        <v>1064</v>
      </c>
      <c r="B593" s="1">
        <v>45103</v>
      </c>
      <c r="C593" t="s">
        <v>42</v>
      </c>
      <c r="D593" t="s">
        <v>15</v>
      </c>
      <c r="E593">
        <v>6201.37</v>
      </c>
      <c r="F593">
        <v>21</v>
      </c>
      <c r="G593" t="s">
        <v>29</v>
      </c>
      <c r="H593">
        <v>2278.04</v>
      </c>
      <c r="I593">
        <v>2598.58</v>
      </c>
      <c r="J593" t="s">
        <v>17</v>
      </c>
      <c r="K593">
        <v>0.02</v>
      </c>
      <c r="L593" t="s">
        <v>31</v>
      </c>
      <c r="M593" t="s">
        <v>22</v>
      </c>
      <c r="N593" t="s">
        <v>49</v>
      </c>
    </row>
    <row r="594" spans="1:14" x14ac:dyDescent="0.35">
      <c r="A594">
        <v>1099</v>
      </c>
      <c r="B594" s="1">
        <v>44929</v>
      </c>
      <c r="C594" t="s">
        <v>14</v>
      </c>
      <c r="D594" t="s">
        <v>34</v>
      </c>
      <c r="E594">
        <v>5613.1</v>
      </c>
      <c r="F594">
        <v>31</v>
      </c>
      <c r="G594" t="s">
        <v>16</v>
      </c>
      <c r="H594">
        <v>4632.8500000000004</v>
      </c>
      <c r="I594">
        <v>4711.7</v>
      </c>
      <c r="J594" t="s">
        <v>30</v>
      </c>
      <c r="K594">
        <v>0.21</v>
      </c>
      <c r="L594" t="s">
        <v>18</v>
      </c>
      <c r="M594" t="s">
        <v>22</v>
      </c>
      <c r="N594" t="s">
        <v>46</v>
      </c>
    </row>
    <row r="595" spans="1:14" x14ac:dyDescent="0.35">
      <c r="A595">
        <v>1049</v>
      </c>
      <c r="B595" s="1">
        <v>45068</v>
      </c>
      <c r="C595" t="s">
        <v>14</v>
      </c>
      <c r="D595" t="s">
        <v>34</v>
      </c>
      <c r="E595">
        <v>4216.17</v>
      </c>
      <c r="F595">
        <v>19</v>
      </c>
      <c r="G595" t="s">
        <v>29</v>
      </c>
      <c r="H595">
        <v>3316.97</v>
      </c>
      <c r="I595">
        <v>3544.02</v>
      </c>
      <c r="J595" t="s">
        <v>17</v>
      </c>
      <c r="K595">
        <v>0.14000000000000001</v>
      </c>
      <c r="L595" t="s">
        <v>18</v>
      </c>
      <c r="M595" t="s">
        <v>19</v>
      </c>
      <c r="N595" t="s">
        <v>46</v>
      </c>
    </row>
    <row r="596" spans="1:14" x14ac:dyDescent="0.35">
      <c r="A596">
        <v>1099</v>
      </c>
      <c r="B596" s="1">
        <v>45084</v>
      </c>
      <c r="C596" t="s">
        <v>33</v>
      </c>
      <c r="D596" t="s">
        <v>34</v>
      </c>
      <c r="E596">
        <v>4346.55</v>
      </c>
      <c r="F596">
        <v>31</v>
      </c>
      <c r="G596" t="s">
        <v>26</v>
      </c>
      <c r="H596">
        <v>1974.4</v>
      </c>
      <c r="I596">
        <v>2259.5</v>
      </c>
      <c r="J596" t="s">
        <v>30</v>
      </c>
      <c r="K596">
        <v>0.27</v>
      </c>
      <c r="L596" t="s">
        <v>18</v>
      </c>
      <c r="M596" t="s">
        <v>22</v>
      </c>
      <c r="N596" t="s">
        <v>36</v>
      </c>
    </row>
    <row r="597" spans="1:14" x14ac:dyDescent="0.35">
      <c r="A597">
        <v>1036</v>
      </c>
      <c r="B597" s="1">
        <v>45250</v>
      </c>
      <c r="C597" t="s">
        <v>42</v>
      </c>
      <c r="D597" t="s">
        <v>34</v>
      </c>
      <c r="E597">
        <v>5454.96</v>
      </c>
      <c r="F597">
        <v>32</v>
      </c>
      <c r="G597" t="s">
        <v>29</v>
      </c>
      <c r="H597">
        <v>700.49</v>
      </c>
      <c r="I597">
        <v>1126.52</v>
      </c>
      <c r="J597" t="s">
        <v>30</v>
      </c>
      <c r="K597">
        <v>0.28999999999999998</v>
      </c>
      <c r="L597" t="s">
        <v>31</v>
      </c>
      <c r="M597" t="s">
        <v>22</v>
      </c>
      <c r="N597" t="s">
        <v>52</v>
      </c>
    </row>
    <row r="598" spans="1:14" x14ac:dyDescent="0.35">
      <c r="A598">
        <v>1082</v>
      </c>
      <c r="B598" s="1">
        <v>45072</v>
      </c>
      <c r="C598" t="s">
        <v>24</v>
      </c>
      <c r="D598" t="s">
        <v>25</v>
      </c>
      <c r="E598">
        <v>6994.66</v>
      </c>
      <c r="F598">
        <v>2</v>
      </c>
      <c r="G598" t="s">
        <v>16</v>
      </c>
      <c r="H598">
        <v>1349.3</v>
      </c>
      <c r="I598">
        <v>1576.69</v>
      </c>
      <c r="J598" t="s">
        <v>17</v>
      </c>
      <c r="K598">
        <v>0.12</v>
      </c>
      <c r="L598" t="s">
        <v>31</v>
      </c>
      <c r="M598" t="s">
        <v>19</v>
      </c>
      <c r="N598" t="s">
        <v>28</v>
      </c>
    </row>
    <row r="599" spans="1:14" x14ac:dyDescent="0.35">
      <c r="A599">
        <v>1096</v>
      </c>
      <c r="B599" s="1">
        <v>45219</v>
      </c>
      <c r="C599" t="s">
        <v>24</v>
      </c>
      <c r="D599" t="s">
        <v>25</v>
      </c>
      <c r="E599">
        <v>7051.25</v>
      </c>
      <c r="F599">
        <v>10</v>
      </c>
      <c r="G599" t="s">
        <v>29</v>
      </c>
      <c r="H599">
        <v>2927.02</v>
      </c>
      <c r="I599">
        <v>3387.21</v>
      </c>
      <c r="J599" t="s">
        <v>17</v>
      </c>
      <c r="K599">
        <v>0.12</v>
      </c>
      <c r="L599" t="s">
        <v>18</v>
      </c>
      <c r="M599" t="s">
        <v>22</v>
      </c>
      <c r="N599" t="s">
        <v>28</v>
      </c>
    </row>
    <row r="600" spans="1:14" x14ac:dyDescent="0.35">
      <c r="A600">
        <v>1024</v>
      </c>
      <c r="B600" s="1">
        <v>45079</v>
      </c>
      <c r="C600" t="s">
        <v>42</v>
      </c>
      <c r="D600" t="s">
        <v>21</v>
      </c>
      <c r="E600">
        <v>1799.77</v>
      </c>
      <c r="F600">
        <v>2</v>
      </c>
      <c r="G600" t="s">
        <v>16</v>
      </c>
      <c r="H600">
        <v>3604.93</v>
      </c>
      <c r="I600">
        <v>3830.71</v>
      </c>
      <c r="J600" t="s">
        <v>17</v>
      </c>
      <c r="K600">
        <v>0.12</v>
      </c>
      <c r="L600" t="s">
        <v>31</v>
      </c>
      <c r="M600" t="s">
        <v>19</v>
      </c>
      <c r="N600" t="s">
        <v>51</v>
      </c>
    </row>
    <row r="601" spans="1:14" x14ac:dyDescent="0.35">
      <c r="A601">
        <v>1023</v>
      </c>
      <c r="B601" s="1">
        <v>45119</v>
      </c>
      <c r="C601" t="s">
        <v>42</v>
      </c>
      <c r="D601" t="s">
        <v>15</v>
      </c>
      <c r="E601">
        <v>5051.12</v>
      </c>
      <c r="F601">
        <v>2</v>
      </c>
      <c r="G601" t="s">
        <v>26</v>
      </c>
      <c r="H601">
        <v>665.89</v>
      </c>
      <c r="I601">
        <v>944.79</v>
      </c>
      <c r="J601" t="s">
        <v>30</v>
      </c>
      <c r="K601">
        <v>0.1</v>
      </c>
      <c r="L601" t="s">
        <v>31</v>
      </c>
      <c r="M601" t="s">
        <v>22</v>
      </c>
      <c r="N601" t="s">
        <v>49</v>
      </c>
    </row>
    <row r="602" spans="1:14" x14ac:dyDescent="0.35">
      <c r="A602">
        <v>1062</v>
      </c>
      <c r="B602" s="1">
        <v>44999</v>
      </c>
      <c r="C602" t="s">
        <v>42</v>
      </c>
      <c r="D602" t="s">
        <v>34</v>
      </c>
      <c r="E602">
        <v>4178.3900000000003</v>
      </c>
      <c r="F602">
        <v>24</v>
      </c>
      <c r="G602" t="s">
        <v>26</v>
      </c>
      <c r="H602">
        <v>3018.01</v>
      </c>
      <c r="I602">
        <v>3418.19</v>
      </c>
      <c r="J602" t="s">
        <v>17</v>
      </c>
      <c r="K602">
        <v>0.23</v>
      </c>
      <c r="L602" t="s">
        <v>27</v>
      </c>
      <c r="M602" t="s">
        <v>22</v>
      </c>
      <c r="N602" t="s">
        <v>52</v>
      </c>
    </row>
    <row r="603" spans="1:14" x14ac:dyDescent="0.35">
      <c r="A603">
        <v>1096</v>
      </c>
      <c r="B603" s="1">
        <v>45231</v>
      </c>
      <c r="C603" t="s">
        <v>14</v>
      </c>
      <c r="D603" t="s">
        <v>25</v>
      </c>
      <c r="E603">
        <v>8718.2199999999993</v>
      </c>
      <c r="F603">
        <v>17</v>
      </c>
      <c r="G603" t="s">
        <v>26</v>
      </c>
      <c r="H603">
        <v>2774.24</v>
      </c>
      <c r="I603">
        <v>3069.9399999999901</v>
      </c>
      <c r="J603" t="s">
        <v>17</v>
      </c>
      <c r="K603">
        <v>0.23</v>
      </c>
      <c r="L603" t="s">
        <v>27</v>
      </c>
      <c r="M603" t="s">
        <v>22</v>
      </c>
      <c r="N603" t="s">
        <v>32</v>
      </c>
    </row>
    <row r="604" spans="1:14" x14ac:dyDescent="0.35">
      <c r="A604">
        <v>1037</v>
      </c>
      <c r="B604" s="1">
        <v>45270</v>
      </c>
      <c r="C604" t="s">
        <v>14</v>
      </c>
      <c r="D604" t="s">
        <v>15</v>
      </c>
      <c r="E604">
        <v>6351.05</v>
      </c>
      <c r="F604">
        <v>32</v>
      </c>
      <c r="G604" t="s">
        <v>35</v>
      </c>
      <c r="H604">
        <v>2594.08</v>
      </c>
      <c r="I604">
        <v>3074.59</v>
      </c>
      <c r="J604" t="s">
        <v>30</v>
      </c>
      <c r="K604">
        <v>0.14000000000000001</v>
      </c>
      <c r="L604" t="s">
        <v>18</v>
      </c>
      <c r="M604" t="s">
        <v>22</v>
      </c>
      <c r="N604" t="s">
        <v>20</v>
      </c>
    </row>
    <row r="605" spans="1:14" x14ac:dyDescent="0.35">
      <c r="A605">
        <v>1012</v>
      </c>
      <c r="B605" s="1">
        <v>45066</v>
      </c>
      <c r="C605" t="s">
        <v>14</v>
      </c>
      <c r="D605" t="s">
        <v>15</v>
      </c>
      <c r="E605">
        <v>5371.79</v>
      </c>
      <c r="F605">
        <v>16</v>
      </c>
      <c r="G605" t="s">
        <v>26</v>
      </c>
      <c r="H605">
        <v>3466.11</v>
      </c>
      <c r="I605">
        <v>3799.67</v>
      </c>
      <c r="J605" t="s">
        <v>17</v>
      </c>
      <c r="K605">
        <v>0.01</v>
      </c>
      <c r="L605" t="s">
        <v>18</v>
      </c>
      <c r="M605" t="s">
        <v>22</v>
      </c>
      <c r="N605" t="s">
        <v>20</v>
      </c>
    </row>
    <row r="606" spans="1:14" x14ac:dyDescent="0.35">
      <c r="A606">
        <v>1055</v>
      </c>
      <c r="B606" s="1">
        <v>45113</v>
      </c>
      <c r="C606" t="s">
        <v>38</v>
      </c>
      <c r="D606" t="s">
        <v>25</v>
      </c>
      <c r="E606">
        <v>1242.4100000000001</v>
      </c>
      <c r="F606">
        <v>16</v>
      </c>
      <c r="G606" t="s">
        <v>29</v>
      </c>
      <c r="H606">
        <v>4195.38</v>
      </c>
      <c r="I606">
        <v>4461.51</v>
      </c>
      <c r="J606" t="s">
        <v>17</v>
      </c>
      <c r="K606">
        <v>0.09</v>
      </c>
      <c r="L606" t="s">
        <v>27</v>
      </c>
      <c r="M606" t="s">
        <v>19</v>
      </c>
      <c r="N606" t="s">
        <v>39</v>
      </c>
    </row>
    <row r="607" spans="1:14" x14ac:dyDescent="0.35">
      <c r="A607">
        <v>1013</v>
      </c>
      <c r="B607" s="1">
        <v>45219</v>
      </c>
      <c r="C607" t="s">
        <v>24</v>
      </c>
      <c r="D607" t="s">
        <v>34</v>
      </c>
      <c r="E607">
        <v>6095.82</v>
      </c>
      <c r="F607">
        <v>46</v>
      </c>
      <c r="G607" t="s">
        <v>35</v>
      </c>
      <c r="H607">
        <v>1648.8</v>
      </c>
      <c r="I607">
        <v>1670.36</v>
      </c>
      <c r="J607" t="s">
        <v>17</v>
      </c>
      <c r="K607">
        <v>0.09</v>
      </c>
      <c r="L607" t="s">
        <v>31</v>
      </c>
      <c r="M607" t="s">
        <v>22</v>
      </c>
      <c r="N607" t="s">
        <v>50</v>
      </c>
    </row>
    <row r="608" spans="1:14" x14ac:dyDescent="0.35">
      <c r="A608">
        <v>1023</v>
      </c>
      <c r="B608" s="1">
        <v>44987</v>
      </c>
      <c r="C608" t="s">
        <v>24</v>
      </c>
      <c r="D608" t="s">
        <v>21</v>
      </c>
      <c r="E608">
        <v>1260.32</v>
      </c>
      <c r="F608">
        <v>39</v>
      </c>
      <c r="G608" t="s">
        <v>26</v>
      </c>
      <c r="H608">
        <v>4450.6099999999997</v>
      </c>
      <c r="I608">
        <v>4663.3399999999901</v>
      </c>
      <c r="J608" t="s">
        <v>30</v>
      </c>
      <c r="K608">
        <v>0.24</v>
      </c>
      <c r="L608" t="s">
        <v>18</v>
      </c>
      <c r="M608" t="s">
        <v>22</v>
      </c>
      <c r="N608" t="s">
        <v>47</v>
      </c>
    </row>
    <row r="609" spans="1:14" x14ac:dyDescent="0.35">
      <c r="A609">
        <v>1089</v>
      </c>
      <c r="B609" s="1">
        <v>45124</v>
      </c>
      <c r="C609" t="s">
        <v>33</v>
      </c>
      <c r="D609" t="s">
        <v>15</v>
      </c>
      <c r="E609">
        <v>3438.35</v>
      </c>
      <c r="F609">
        <v>31</v>
      </c>
      <c r="G609" t="s">
        <v>29</v>
      </c>
      <c r="H609">
        <v>845.14</v>
      </c>
      <c r="I609">
        <v>1001.77</v>
      </c>
      <c r="J609" t="s">
        <v>30</v>
      </c>
      <c r="K609">
        <v>0.03</v>
      </c>
      <c r="L609" t="s">
        <v>18</v>
      </c>
      <c r="M609" t="s">
        <v>19</v>
      </c>
      <c r="N609" t="s">
        <v>53</v>
      </c>
    </row>
    <row r="610" spans="1:14" x14ac:dyDescent="0.35">
      <c r="A610">
        <v>1099</v>
      </c>
      <c r="B610" s="1">
        <v>45221</v>
      </c>
      <c r="C610" t="s">
        <v>14</v>
      </c>
      <c r="D610" t="s">
        <v>21</v>
      </c>
      <c r="E610">
        <v>1514.14</v>
      </c>
      <c r="F610">
        <v>43</v>
      </c>
      <c r="G610" t="s">
        <v>29</v>
      </c>
      <c r="H610">
        <v>906.47</v>
      </c>
      <c r="I610">
        <v>1283.04</v>
      </c>
      <c r="J610" t="s">
        <v>30</v>
      </c>
      <c r="K610">
        <v>0.24</v>
      </c>
      <c r="L610" t="s">
        <v>18</v>
      </c>
      <c r="M610" t="s">
        <v>19</v>
      </c>
      <c r="N610" t="s">
        <v>23</v>
      </c>
    </row>
    <row r="611" spans="1:14" x14ac:dyDescent="0.35">
      <c r="A611">
        <v>1030</v>
      </c>
      <c r="B611" s="1">
        <v>45245</v>
      </c>
      <c r="C611" t="s">
        <v>38</v>
      </c>
      <c r="D611" t="s">
        <v>34</v>
      </c>
      <c r="E611">
        <v>6951.53</v>
      </c>
      <c r="F611">
        <v>24</v>
      </c>
      <c r="G611" t="s">
        <v>29</v>
      </c>
      <c r="H611">
        <v>1370.52</v>
      </c>
      <c r="I611">
        <v>1482.58</v>
      </c>
      <c r="J611" t="s">
        <v>17</v>
      </c>
      <c r="K611">
        <v>0.2</v>
      </c>
      <c r="L611" t="s">
        <v>31</v>
      </c>
      <c r="M611" t="s">
        <v>22</v>
      </c>
      <c r="N611" t="s">
        <v>48</v>
      </c>
    </row>
    <row r="612" spans="1:14" x14ac:dyDescent="0.35">
      <c r="A612">
        <v>1017</v>
      </c>
      <c r="B612" s="1">
        <v>45228</v>
      </c>
      <c r="C612" t="s">
        <v>38</v>
      </c>
      <c r="D612" t="s">
        <v>34</v>
      </c>
      <c r="E612">
        <v>2141.9</v>
      </c>
      <c r="F612">
        <v>1</v>
      </c>
      <c r="G612" t="s">
        <v>16</v>
      </c>
      <c r="H612">
        <v>641.67999999999995</v>
      </c>
      <c r="I612">
        <v>752.24</v>
      </c>
      <c r="J612" t="s">
        <v>30</v>
      </c>
      <c r="K612">
        <v>0.22</v>
      </c>
      <c r="L612" t="s">
        <v>27</v>
      </c>
      <c r="M612" t="s">
        <v>19</v>
      </c>
      <c r="N612" t="s">
        <v>48</v>
      </c>
    </row>
    <row r="613" spans="1:14" x14ac:dyDescent="0.35">
      <c r="A613">
        <v>1062</v>
      </c>
      <c r="B613" s="1">
        <v>45270</v>
      </c>
      <c r="C613" t="s">
        <v>24</v>
      </c>
      <c r="D613" t="s">
        <v>21</v>
      </c>
      <c r="E613">
        <v>3979.41</v>
      </c>
      <c r="F613">
        <v>11</v>
      </c>
      <c r="G613" t="s">
        <v>35</v>
      </c>
      <c r="H613">
        <v>1190.08</v>
      </c>
      <c r="I613">
        <v>1292.9399999999901</v>
      </c>
      <c r="J613" t="s">
        <v>17</v>
      </c>
      <c r="K613">
        <v>0.13</v>
      </c>
      <c r="L613" t="s">
        <v>18</v>
      </c>
      <c r="M613" t="s">
        <v>22</v>
      </c>
      <c r="N613" t="s">
        <v>47</v>
      </c>
    </row>
    <row r="614" spans="1:14" x14ac:dyDescent="0.35">
      <c r="A614">
        <v>1084</v>
      </c>
      <c r="B614" s="1">
        <v>44937</v>
      </c>
      <c r="C614" t="s">
        <v>14</v>
      </c>
      <c r="D614" t="s">
        <v>34</v>
      </c>
      <c r="E614">
        <v>8967.18</v>
      </c>
      <c r="F614">
        <v>21</v>
      </c>
      <c r="G614" t="s">
        <v>29</v>
      </c>
      <c r="H614">
        <v>576.74</v>
      </c>
      <c r="I614">
        <v>648.29</v>
      </c>
      <c r="J614" t="s">
        <v>17</v>
      </c>
      <c r="K614">
        <v>0.2</v>
      </c>
      <c r="L614" t="s">
        <v>27</v>
      </c>
      <c r="M614" t="s">
        <v>19</v>
      </c>
      <c r="N614" t="s">
        <v>46</v>
      </c>
    </row>
    <row r="615" spans="1:14" x14ac:dyDescent="0.35">
      <c r="A615">
        <v>1089</v>
      </c>
      <c r="B615" s="1">
        <v>44988</v>
      </c>
      <c r="C615" t="s">
        <v>33</v>
      </c>
      <c r="D615" t="s">
        <v>15</v>
      </c>
      <c r="E615">
        <v>2122.73</v>
      </c>
      <c r="F615">
        <v>4</v>
      </c>
      <c r="G615" t="s">
        <v>16</v>
      </c>
      <c r="H615">
        <v>4117.67</v>
      </c>
      <c r="I615">
        <v>4280.0600000000004</v>
      </c>
      <c r="J615" t="s">
        <v>17</v>
      </c>
      <c r="K615">
        <v>0.18</v>
      </c>
      <c r="L615" t="s">
        <v>27</v>
      </c>
      <c r="M615" t="s">
        <v>19</v>
      </c>
      <c r="N615" t="s">
        <v>53</v>
      </c>
    </row>
    <row r="616" spans="1:14" x14ac:dyDescent="0.35">
      <c r="A616">
        <v>1086</v>
      </c>
      <c r="B616" s="1">
        <v>45259</v>
      </c>
      <c r="C616" t="s">
        <v>14</v>
      </c>
      <c r="D616" t="s">
        <v>21</v>
      </c>
      <c r="E616">
        <v>5127.2700000000004</v>
      </c>
      <c r="F616">
        <v>7</v>
      </c>
      <c r="G616" t="s">
        <v>26</v>
      </c>
      <c r="H616">
        <v>737.9</v>
      </c>
      <c r="I616">
        <v>1182</v>
      </c>
      <c r="J616" t="s">
        <v>30</v>
      </c>
      <c r="K616">
        <v>0.23</v>
      </c>
      <c r="L616" t="s">
        <v>31</v>
      </c>
      <c r="M616" t="s">
        <v>22</v>
      </c>
      <c r="N616" t="s">
        <v>23</v>
      </c>
    </row>
    <row r="617" spans="1:14" x14ac:dyDescent="0.35">
      <c r="A617">
        <v>1013</v>
      </c>
      <c r="B617" s="1">
        <v>45152</v>
      </c>
      <c r="C617" t="s">
        <v>42</v>
      </c>
      <c r="D617" t="s">
        <v>34</v>
      </c>
      <c r="E617">
        <v>4250.79</v>
      </c>
      <c r="F617">
        <v>26</v>
      </c>
      <c r="G617" t="s">
        <v>29</v>
      </c>
      <c r="H617">
        <v>3749.12</v>
      </c>
      <c r="I617">
        <v>4138.83</v>
      </c>
      <c r="J617" t="s">
        <v>30</v>
      </c>
      <c r="K617">
        <v>0.13</v>
      </c>
      <c r="L617" t="s">
        <v>31</v>
      </c>
      <c r="M617" t="s">
        <v>19</v>
      </c>
      <c r="N617" t="s">
        <v>52</v>
      </c>
    </row>
    <row r="618" spans="1:14" x14ac:dyDescent="0.35">
      <c r="A618">
        <v>1059</v>
      </c>
      <c r="B618" s="1">
        <v>45079</v>
      </c>
      <c r="C618" t="s">
        <v>14</v>
      </c>
      <c r="D618" t="s">
        <v>21</v>
      </c>
      <c r="E618">
        <v>279.43</v>
      </c>
      <c r="F618">
        <v>47</v>
      </c>
      <c r="G618" t="s">
        <v>16</v>
      </c>
      <c r="H618">
        <v>287.17</v>
      </c>
      <c r="I618">
        <v>657.44</v>
      </c>
      <c r="J618" t="s">
        <v>17</v>
      </c>
      <c r="K618">
        <v>0.14000000000000001</v>
      </c>
      <c r="L618" t="s">
        <v>31</v>
      </c>
      <c r="M618" t="s">
        <v>22</v>
      </c>
      <c r="N618" t="s">
        <v>23</v>
      </c>
    </row>
    <row r="619" spans="1:14" x14ac:dyDescent="0.35">
      <c r="A619">
        <v>1019</v>
      </c>
      <c r="B619" s="1">
        <v>45125</v>
      </c>
      <c r="C619" t="s">
        <v>42</v>
      </c>
      <c r="D619" t="s">
        <v>15</v>
      </c>
      <c r="E619">
        <v>7948.31</v>
      </c>
      <c r="F619">
        <v>12</v>
      </c>
      <c r="G619" t="s">
        <v>29</v>
      </c>
      <c r="H619">
        <v>4745.18</v>
      </c>
      <c r="I619">
        <v>5145.88</v>
      </c>
      <c r="J619" t="s">
        <v>17</v>
      </c>
      <c r="K619">
        <v>0.19</v>
      </c>
      <c r="L619" t="s">
        <v>31</v>
      </c>
      <c r="M619" t="s">
        <v>19</v>
      </c>
      <c r="N619" t="s">
        <v>49</v>
      </c>
    </row>
    <row r="620" spans="1:14" x14ac:dyDescent="0.35">
      <c r="A620">
        <v>1049</v>
      </c>
      <c r="B620" s="1">
        <v>44978</v>
      </c>
      <c r="C620" t="s">
        <v>42</v>
      </c>
      <c r="D620" t="s">
        <v>34</v>
      </c>
      <c r="E620">
        <v>783.55</v>
      </c>
      <c r="F620">
        <v>31</v>
      </c>
      <c r="G620" t="s">
        <v>35</v>
      </c>
      <c r="H620">
        <v>3570.24</v>
      </c>
      <c r="I620">
        <v>3712.25</v>
      </c>
      <c r="J620" t="s">
        <v>30</v>
      </c>
      <c r="K620">
        <v>0.03</v>
      </c>
      <c r="L620" t="s">
        <v>31</v>
      </c>
      <c r="M620" t="s">
        <v>19</v>
      </c>
      <c r="N620" t="s">
        <v>52</v>
      </c>
    </row>
    <row r="621" spans="1:14" x14ac:dyDescent="0.35">
      <c r="A621">
        <v>1100</v>
      </c>
      <c r="B621" s="1">
        <v>45186</v>
      </c>
      <c r="C621" t="s">
        <v>33</v>
      </c>
      <c r="D621" t="s">
        <v>15</v>
      </c>
      <c r="E621">
        <v>4795.12</v>
      </c>
      <c r="F621">
        <v>17</v>
      </c>
      <c r="G621" t="s">
        <v>35</v>
      </c>
      <c r="H621">
        <v>83.64</v>
      </c>
      <c r="I621">
        <v>528.49</v>
      </c>
      <c r="J621" t="s">
        <v>30</v>
      </c>
      <c r="K621">
        <v>0.13</v>
      </c>
      <c r="L621" t="s">
        <v>31</v>
      </c>
      <c r="M621" t="s">
        <v>19</v>
      </c>
      <c r="N621" t="s">
        <v>53</v>
      </c>
    </row>
    <row r="622" spans="1:14" x14ac:dyDescent="0.35">
      <c r="A622">
        <v>1012</v>
      </c>
      <c r="B622" s="1">
        <v>44985</v>
      </c>
      <c r="C622" t="s">
        <v>24</v>
      </c>
      <c r="D622" t="s">
        <v>34</v>
      </c>
      <c r="E622">
        <v>5650.72</v>
      </c>
      <c r="F622">
        <v>33</v>
      </c>
      <c r="G622" t="s">
        <v>26</v>
      </c>
      <c r="H622">
        <v>3831.09</v>
      </c>
      <c r="I622">
        <v>3908.37</v>
      </c>
      <c r="J622" t="s">
        <v>30</v>
      </c>
      <c r="K622">
        <v>0.28999999999999998</v>
      </c>
      <c r="L622" t="s">
        <v>18</v>
      </c>
      <c r="M622" t="s">
        <v>22</v>
      </c>
      <c r="N622" t="s">
        <v>50</v>
      </c>
    </row>
    <row r="623" spans="1:14" x14ac:dyDescent="0.35">
      <c r="A623">
        <v>1061</v>
      </c>
      <c r="B623" s="1">
        <v>44998</v>
      </c>
      <c r="C623" t="s">
        <v>14</v>
      </c>
      <c r="D623" t="s">
        <v>25</v>
      </c>
      <c r="E623">
        <v>6321.42</v>
      </c>
      <c r="F623">
        <v>11</v>
      </c>
      <c r="G623" t="s">
        <v>29</v>
      </c>
      <c r="H623">
        <v>2594.71</v>
      </c>
      <c r="I623">
        <v>2769.52</v>
      </c>
      <c r="J623" t="s">
        <v>17</v>
      </c>
      <c r="K623">
        <v>0.01</v>
      </c>
      <c r="L623" t="s">
        <v>27</v>
      </c>
      <c r="M623" t="s">
        <v>22</v>
      </c>
      <c r="N623" t="s">
        <v>32</v>
      </c>
    </row>
    <row r="624" spans="1:14" x14ac:dyDescent="0.35">
      <c r="A624">
        <v>1019</v>
      </c>
      <c r="B624" s="1">
        <v>45074</v>
      </c>
      <c r="C624" t="s">
        <v>42</v>
      </c>
      <c r="D624" t="s">
        <v>34</v>
      </c>
      <c r="E624">
        <v>6917.45</v>
      </c>
      <c r="F624">
        <v>28</v>
      </c>
      <c r="G624" t="s">
        <v>16</v>
      </c>
      <c r="H624">
        <v>3907.86</v>
      </c>
      <c r="I624">
        <v>4205.37</v>
      </c>
      <c r="J624" t="s">
        <v>30</v>
      </c>
      <c r="K624">
        <v>0.09</v>
      </c>
      <c r="L624" t="s">
        <v>31</v>
      </c>
      <c r="M624" t="s">
        <v>19</v>
      </c>
      <c r="N624" t="s">
        <v>52</v>
      </c>
    </row>
    <row r="625" spans="1:14" x14ac:dyDescent="0.35">
      <c r="A625">
        <v>1076</v>
      </c>
      <c r="B625" s="1">
        <v>45275</v>
      </c>
      <c r="C625" t="s">
        <v>14</v>
      </c>
      <c r="D625" t="s">
        <v>21</v>
      </c>
      <c r="E625">
        <v>2607.4</v>
      </c>
      <c r="F625">
        <v>32</v>
      </c>
      <c r="G625" t="s">
        <v>26</v>
      </c>
      <c r="H625">
        <v>2636.36</v>
      </c>
      <c r="I625">
        <v>2696.78</v>
      </c>
      <c r="J625" t="s">
        <v>30</v>
      </c>
      <c r="K625">
        <v>0.09</v>
      </c>
      <c r="L625" t="s">
        <v>18</v>
      </c>
      <c r="M625" t="s">
        <v>22</v>
      </c>
      <c r="N625" t="s">
        <v>23</v>
      </c>
    </row>
    <row r="626" spans="1:14" x14ac:dyDescent="0.35">
      <c r="A626">
        <v>1009</v>
      </c>
      <c r="B626" s="1">
        <v>44989</v>
      </c>
      <c r="C626" t="s">
        <v>24</v>
      </c>
      <c r="D626" t="s">
        <v>34</v>
      </c>
      <c r="E626">
        <v>198.79</v>
      </c>
      <c r="F626">
        <v>1</v>
      </c>
      <c r="G626" t="s">
        <v>29</v>
      </c>
      <c r="H626">
        <v>3223.07</v>
      </c>
      <c r="I626">
        <v>3590.83</v>
      </c>
      <c r="J626" t="s">
        <v>30</v>
      </c>
      <c r="K626">
        <v>0.19</v>
      </c>
      <c r="L626" t="s">
        <v>27</v>
      </c>
      <c r="M626" t="s">
        <v>22</v>
      </c>
      <c r="N626" t="s">
        <v>50</v>
      </c>
    </row>
    <row r="627" spans="1:14" x14ac:dyDescent="0.35">
      <c r="A627">
        <v>1071</v>
      </c>
      <c r="B627" s="1">
        <v>45236</v>
      </c>
      <c r="C627" t="s">
        <v>24</v>
      </c>
      <c r="D627" t="s">
        <v>15</v>
      </c>
      <c r="E627">
        <v>7262.09</v>
      </c>
      <c r="F627">
        <v>47</v>
      </c>
      <c r="G627" t="s">
        <v>26</v>
      </c>
      <c r="H627">
        <v>3942.34</v>
      </c>
      <c r="I627">
        <v>4142.09</v>
      </c>
      <c r="J627" t="s">
        <v>17</v>
      </c>
      <c r="K627">
        <v>0.03</v>
      </c>
      <c r="L627" t="s">
        <v>31</v>
      </c>
      <c r="M627" t="s">
        <v>22</v>
      </c>
      <c r="N627" t="s">
        <v>45</v>
      </c>
    </row>
    <row r="628" spans="1:14" x14ac:dyDescent="0.35">
      <c r="A628">
        <v>1028</v>
      </c>
      <c r="B628" s="1">
        <v>45169</v>
      </c>
      <c r="C628" t="s">
        <v>38</v>
      </c>
      <c r="D628" t="s">
        <v>15</v>
      </c>
      <c r="E628">
        <v>5403</v>
      </c>
      <c r="F628">
        <v>28</v>
      </c>
      <c r="G628" t="s">
        <v>16</v>
      </c>
      <c r="H628">
        <v>2055.2800000000002</v>
      </c>
      <c r="I628">
        <v>2449.64</v>
      </c>
      <c r="J628" t="s">
        <v>30</v>
      </c>
      <c r="K628">
        <v>0.19</v>
      </c>
      <c r="L628" t="s">
        <v>31</v>
      </c>
      <c r="M628" t="s">
        <v>19</v>
      </c>
      <c r="N628" t="s">
        <v>40</v>
      </c>
    </row>
    <row r="629" spans="1:14" x14ac:dyDescent="0.35">
      <c r="A629">
        <v>1078</v>
      </c>
      <c r="B629" s="1">
        <v>45292</v>
      </c>
      <c r="C629" t="s">
        <v>24</v>
      </c>
      <c r="D629" t="s">
        <v>34</v>
      </c>
      <c r="E629">
        <v>8377.57</v>
      </c>
      <c r="F629">
        <v>42</v>
      </c>
      <c r="G629" t="s">
        <v>26</v>
      </c>
      <c r="H629">
        <v>63.41</v>
      </c>
      <c r="I629">
        <v>314.93</v>
      </c>
      <c r="J629" t="s">
        <v>17</v>
      </c>
      <c r="K629">
        <v>0.03</v>
      </c>
      <c r="L629" t="s">
        <v>18</v>
      </c>
      <c r="M629" t="s">
        <v>22</v>
      </c>
      <c r="N629" t="s">
        <v>50</v>
      </c>
    </row>
    <row r="630" spans="1:14" x14ac:dyDescent="0.35">
      <c r="A630">
        <v>1095</v>
      </c>
      <c r="B630" s="1">
        <v>45256</v>
      </c>
      <c r="C630" t="s">
        <v>33</v>
      </c>
      <c r="D630" t="s">
        <v>21</v>
      </c>
      <c r="E630">
        <v>8231.74</v>
      </c>
      <c r="F630">
        <v>7</v>
      </c>
      <c r="G630" t="s">
        <v>26</v>
      </c>
      <c r="H630">
        <v>4257.24</v>
      </c>
      <c r="I630">
        <v>4355.87</v>
      </c>
      <c r="J630" t="s">
        <v>17</v>
      </c>
      <c r="K630">
        <v>0.03</v>
      </c>
      <c r="L630" t="s">
        <v>27</v>
      </c>
      <c r="M630" t="s">
        <v>19</v>
      </c>
      <c r="N630" t="s">
        <v>37</v>
      </c>
    </row>
    <row r="631" spans="1:14" x14ac:dyDescent="0.35">
      <c r="A631">
        <v>1052</v>
      </c>
      <c r="B631" s="1">
        <v>45033</v>
      </c>
      <c r="C631" t="s">
        <v>42</v>
      </c>
      <c r="D631" t="s">
        <v>25</v>
      </c>
      <c r="E631">
        <v>8448.93</v>
      </c>
      <c r="F631">
        <v>2</v>
      </c>
      <c r="G631" t="s">
        <v>26</v>
      </c>
      <c r="H631">
        <v>1935.41</v>
      </c>
      <c r="I631">
        <v>2305.44</v>
      </c>
      <c r="J631" t="s">
        <v>17</v>
      </c>
      <c r="K631">
        <v>0.22</v>
      </c>
      <c r="L631" t="s">
        <v>31</v>
      </c>
      <c r="M631" t="s">
        <v>19</v>
      </c>
      <c r="N631" t="s">
        <v>43</v>
      </c>
    </row>
    <row r="632" spans="1:14" x14ac:dyDescent="0.35">
      <c r="A632">
        <v>1083</v>
      </c>
      <c r="B632" s="1">
        <v>45152</v>
      </c>
      <c r="C632" t="s">
        <v>38</v>
      </c>
      <c r="D632" t="s">
        <v>21</v>
      </c>
      <c r="E632">
        <v>4902.4399999999996</v>
      </c>
      <c r="F632">
        <v>42</v>
      </c>
      <c r="G632" t="s">
        <v>29</v>
      </c>
      <c r="H632">
        <v>2505.41</v>
      </c>
      <c r="I632">
        <v>2638.96</v>
      </c>
      <c r="J632" t="s">
        <v>30</v>
      </c>
      <c r="K632">
        <v>0.1</v>
      </c>
      <c r="L632" t="s">
        <v>27</v>
      </c>
      <c r="M632" t="s">
        <v>19</v>
      </c>
      <c r="N632" t="s">
        <v>41</v>
      </c>
    </row>
    <row r="633" spans="1:14" x14ac:dyDescent="0.35">
      <c r="A633">
        <v>1016</v>
      </c>
      <c r="B633" s="1">
        <v>45239</v>
      </c>
      <c r="C633" t="s">
        <v>33</v>
      </c>
      <c r="D633" t="s">
        <v>25</v>
      </c>
      <c r="E633">
        <v>3402.92</v>
      </c>
      <c r="F633">
        <v>24</v>
      </c>
      <c r="G633" t="s">
        <v>16</v>
      </c>
      <c r="H633">
        <v>88.44</v>
      </c>
      <c r="I633">
        <v>338.94</v>
      </c>
      <c r="J633" t="s">
        <v>30</v>
      </c>
      <c r="K633">
        <v>0.28999999999999998</v>
      </c>
      <c r="L633" t="s">
        <v>18</v>
      </c>
      <c r="M633" t="s">
        <v>19</v>
      </c>
      <c r="N633" t="s">
        <v>44</v>
      </c>
    </row>
    <row r="634" spans="1:14" x14ac:dyDescent="0.35">
      <c r="A634">
        <v>1069</v>
      </c>
      <c r="B634" s="1">
        <v>45144</v>
      </c>
      <c r="C634" t="s">
        <v>14</v>
      </c>
      <c r="D634" t="s">
        <v>15</v>
      </c>
      <c r="E634">
        <v>7936.43</v>
      </c>
      <c r="F634">
        <v>4</v>
      </c>
      <c r="G634" t="s">
        <v>35</v>
      </c>
      <c r="H634">
        <v>2485.86</v>
      </c>
      <c r="I634">
        <v>2532.87</v>
      </c>
      <c r="J634" t="s">
        <v>30</v>
      </c>
      <c r="K634">
        <v>0.01</v>
      </c>
      <c r="L634" t="s">
        <v>31</v>
      </c>
      <c r="M634" t="s">
        <v>19</v>
      </c>
      <c r="N634" t="s">
        <v>20</v>
      </c>
    </row>
    <row r="635" spans="1:14" x14ac:dyDescent="0.35">
      <c r="A635">
        <v>1099</v>
      </c>
      <c r="B635" s="1">
        <v>45167</v>
      </c>
      <c r="C635" t="s">
        <v>42</v>
      </c>
      <c r="D635" t="s">
        <v>21</v>
      </c>
      <c r="E635">
        <v>4567.8100000000004</v>
      </c>
      <c r="F635">
        <v>44</v>
      </c>
      <c r="G635" t="s">
        <v>29</v>
      </c>
      <c r="H635">
        <v>4933.1099999999997</v>
      </c>
      <c r="I635">
        <v>5245.86</v>
      </c>
      <c r="J635" t="s">
        <v>17</v>
      </c>
      <c r="K635">
        <v>0.13</v>
      </c>
      <c r="L635" t="s">
        <v>27</v>
      </c>
      <c r="M635" t="s">
        <v>22</v>
      </c>
      <c r="N635" t="s">
        <v>51</v>
      </c>
    </row>
    <row r="636" spans="1:14" x14ac:dyDescent="0.35">
      <c r="A636">
        <v>1012</v>
      </c>
      <c r="B636" s="1">
        <v>45185</v>
      </c>
      <c r="C636" t="s">
        <v>24</v>
      </c>
      <c r="D636" t="s">
        <v>25</v>
      </c>
      <c r="E636">
        <v>1916.08</v>
      </c>
      <c r="F636">
        <v>19</v>
      </c>
      <c r="G636" t="s">
        <v>35</v>
      </c>
      <c r="H636">
        <v>1427.42</v>
      </c>
      <c r="I636">
        <v>1763.69</v>
      </c>
      <c r="J636" t="s">
        <v>30</v>
      </c>
      <c r="K636">
        <v>0.03</v>
      </c>
      <c r="L636" t="s">
        <v>18</v>
      </c>
      <c r="M636" t="s">
        <v>22</v>
      </c>
      <c r="N636" t="s">
        <v>28</v>
      </c>
    </row>
    <row r="637" spans="1:14" x14ac:dyDescent="0.35">
      <c r="A637">
        <v>1025</v>
      </c>
      <c r="B637" s="1">
        <v>45188</v>
      </c>
      <c r="C637" t="s">
        <v>42</v>
      </c>
      <c r="D637" t="s">
        <v>34</v>
      </c>
      <c r="E637">
        <v>8564.24</v>
      </c>
      <c r="F637">
        <v>26</v>
      </c>
      <c r="G637" t="s">
        <v>35</v>
      </c>
      <c r="H637">
        <v>2007.32</v>
      </c>
      <c r="I637">
        <v>2202.87</v>
      </c>
      <c r="J637" t="s">
        <v>17</v>
      </c>
      <c r="K637">
        <v>0.11</v>
      </c>
      <c r="L637" t="s">
        <v>18</v>
      </c>
      <c r="M637" t="s">
        <v>19</v>
      </c>
      <c r="N637" t="s">
        <v>52</v>
      </c>
    </row>
    <row r="638" spans="1:14" x14ac:dyDescent="0.35">
      <c r="A638">
        <v>1052</v>
      </c>
      <c r="B638" s="1">
        <v>44931</v>
      </c>
      <c r="C638" t="s">
        <v>14</v>
      </c>
      <c r="D638" t="s">
        <v>15</v>
      </c>
      <c r="E638">
        <v>8837.34</v>
      </c>
      <c r="F638">
        <v>11</v>
      </c>
      <c r="G638" t="s">
        <v>29</v>
      </c>
      <c r="H638">
        <v>3451.59</v>
      </c>
      <c r="I638">
        <v>3929.26</v>
      </c>
      <c r="J638" t="s">
        <v>30</v>
      </c>
      <c r="K638">
        <v>0.3</v>
      </c>
      <c r="L638" t="s">
        <v>31</v>
      </c>
      <c r="M638" t="s">
        <v>22</v>
      </c>
      <c r="N638" t="s">
        <v>20</v>
      </c>
    </row>
    <row r="639" spans="1:14" x14ac:dyDescent="0.35">
      <c r="A639">
        <v>1085</v>
      </c>
      <c r="B639" s="1">
        <v>45187</v>
      </c>
      <c r="C639" t="s">
        <v>38</v>
      </c>
      <c r="D639" t="s">
        <v>34</v>
      </c>
      <c r="E639">
        <v>4716.47</v>
      </c>
      <c r="F639">
        <v>40</v>
      </c>
      <c r="G639" t="s">
        <v>29</v>
      </c>
      <c r="H639">
        <v>4083.23</v>
      </c>
      <c r="I639">
        <v>4521.57</v>
      </c>
      <c r="J639" t="s">
        <v>30</v>
      </c>
      <c r="K639">
        <v>0.27</v>
      </c>
      <c r="L639" t="s">
        <v>27</v>
      </c>
      <c r="M639" t="s">
        <v>22</v>
      </c>
      <c r="N639" t="s">
        <v>48</v>
      </c>
    </row>
    <row r="640" spans="1:14" x14ac:dyDescent="0.35">
      <c r="A640">
        <v>1100</v>
      </c>
      <c r="B640" s="1">
        <v>44980</v>
      </c>
      <c r="C640" t="s">
        <v>38</v>
      </c>
      <c r="D640" t="s">
        <v>15</v>
      </c>
      <c r="E640">
        <v>849.43</v>
      </c>
      <c r="F640">
        <v>43</v>
      </c>
      <c r="G640" t="s">
        <v>16</v>
      </c>
      <c r="H640">
        <v>2116.09</v>
      </c>
      <c r="I640">
        <v>2472.98</v>
      </c>
      <c r="J640" t="s">
        <v>30</v>
      </c>
      <c r="K640">
        <v>0.01</v>
      </c>
      <c r="L640" t="s">
        <v>31</v>
      </c>
      <c r="M640" t="s">
        <v>22</v>
      </c>
      <c r="N640" t="s">
        <v>40</v>
      </c>
    </row>
    <row r="641" spans="1:14" x14ac:dyDescent="0.35">
      <c r="A641">
        <v>1053</v>
      </c>
      <c r="B641" s="1">
        <v>44973</v>
      </c>
      <c r="C641" t="s">
        <v>38</v>
      </c>
      <c r="D641" t="s">
        <v>21</v>
      </c>
      <c r="E641">
        <v>3939.48</v>
      </c>
      <c r="F641">
        <v>11</v>
      </c>
      <c r="G641" t="s">
        <v>16</v>
      </c>
      <c r="H641">
        <v>1582.86</v>
      </c>
      <c r="I641">
        <v>1942.55</v>
      </c>
      <c r="J641" t="s">
        <v>30</v>
      </c>
      <c r="K641">
        <v>0.17</v>
      </c>
      <c r="L641" t="s">
        <v>31</v>
      </c>
      <c r="M641" t="s">
        <v>22</v>
      </c>
      <c r="N641" t="s">
        <v>41</v>
      </c>
    </row>
    <row r="642" spans="1:14" x14ac:dyDescent="0.35">
      <c r="A642">
        <v>1023</v>
      </c>
      <c r="B642" s="1">
        <v>45141</v>
      </c>
      <c r="C642" t="s">
        <v>24</v>
      </c>
      <c r="D642" t="s">
        <v>21</v>
      </c>
      <c r="E642">
        <v>8055.02</v>
      </c>
      <c r="F642">
        <v>45</v>
      </c>
      <c r="G642" t="s">
        <v>26</v>
      </c>
      <c r="H642">
        <v>4692.24</v>
      </c>
      <c r="I642">
        <v>4825.92</v>
      </c>
      <c r="J642" t="s">
        <v>17</v>
      </c>
      <c r="K642">
        <v>0.19</v>
      </c>
      <c r="L642" t="s">
        <v>27</v>
      </c>
      <c r="M642" t="s">
        <v>22</v>
      </c>
      <c r="N642" t="s">
        <v>47</v>
      </c>
    </row>
    <row r="643" spans="1:14" x14ac:dyDescent="0.35">
      <c r="A643">
        <v>1016</v>
      </c>
      <c r="B643" s="1">
        <v>45103</v>
      </c>
      <c r="C643" t="s">
        <v>33</v>
      </c>
      <c r="D643" t="s">
        <v>15</v>
      </c>
      <c r="E643">
        <v>9027.56</v>
      </c>
      <c r="F643">
        <v>3</v>
      </c>
      <c r="G643" t="s">
        <v>35</v>
      </c>
      <c r="H643">
        <v>3401.87</v>
      </c>
      <c r="I643">
        <v>3733.71</v>
      </c>
      <c r="J643" t="s">
        <v>17</v>
      </c>
      <c r="K643">
        <v>0.06</v>
      </c>
      <c r="L643" t="s">
        <v>27</v>
      </c>
      <c r="M643" t="s">
        <v>22</v>
      </c>
      <c r="N643" t="s">
        <v>53</v>
      </c>
    </row>
    <row r="644" spans="1:14" x14ac:dyDescent="0.35">
      <c r="A644">
        <v>1057</v>
      </c>
      <c r="B644" s="1">
        <v>44935</v>
      </c>
      <c r="C644" t="s">
        <v>33</v>
      </c>
      <c r="D644" t="s">
        <v>15</v>
      </c>
      <c r="E644">
        <v>2114.38</v>
      </c>
      <c r="F644">
        <v>12</v>
      </c>
      <c r="G644" t="s">
        <v>16</v>
      </c>
      <c r="H644">
        <v>639.16</v>
      </c>
      <c r="I644">
        <v>746.28</v>
      </c>
      <c r="J644" t="s">
        <v>17</v>
      </c>
      <c r="K644">
        <v>0.04</v>
      </c>
      <c r="L644" t="s">
        <v>27</v>
      </c>
      <c r="M644" t="s">
        <v>22</v>
      </c>
      <c r="N644" t="s">
        <v>53</v>
      </c>
    </row>
    <row r="645" spans="1:14" x14ac:dyDescent="0.35">
      <c r="A645">
        <v>1039</v>
      </c>
      <c r="B645" s="1">
        <v>45025</v>
      </c>
      <c r="C645" t="s">
        <v>42</v>
      </c>
      <c r="D645" t="s">
        <v>15</v>
      </c>
      <c r="E645">
        <v>763.04</v>
      </c>
      <c r="F645">
        <v>3</v>
      </c>
      <c r="G645" t="s">
        <v>26</v>
      </c>
      <c r="H645">
        <v>391.19</v>
      </c>
      <c r="I645">
        <v>471.75</v>
      </c>
      <c r="J645" t="s">
        <v>17</v>
      </c>
      <c r="K645">
        <v>0.27</v>
      </c>
      <c r="L645" t="s">
        <v>18</v>
      </c>
      <c r="M645" t="s">
        <v>19</v>
      </c>
      <c r="N645" t="s">
        <v>49</v>
      </c>
    </row>
    <row r="646" spans="1:14" x14ac:dyDescent="0.35">
      <c r="A646">
        <v>1053</v>
      </c>
      <c r="B646" s="1">
        <v>44946</v>
      </c>
      <c r="C646" t="s">
        <v>24</v>
      </c>
      <c r="D646" t="s">
        <v>21</v>
      </c>
      <c r="E646">
        <v>8785.77</v>
      </c>
      <c r="F646">
        <v>42</v>
      </c>
      <c r="G646" t="s">
        <v>16</v>
      </c>
      <c r="H646">
        <v>2443.5700000000002</v>
      </c>
      <c r="I646">
        <v>2943.31</v>
      </c>
      <c r="J646" t="s">
        <v>30</v>
      </c>
      <c r="K646">
        <v>0.28999999999999998</v>
      </c>
      <c r="L646" t="s">
        <v>18</v>
      </c>
      <c r="M646" t="s">
        <v>19</v>
      </c>
      <c r="N646" t="s">
        <v>47</v>
      </c>
    </row>
    <row r="647" spans="1:14" x14ac:dyDescent="0.35">
      <c r="A647">
        <v>1042</v>
      </c>
      <c r="B647" s="1">
        <v>45167</v>
      </c>
      <c r="C647" t="s">
        <v>38</v>
      </c>
      <c r="D647" t="s">
        <v>25</v>
      </c>
      <c r="E647">
        <v>3955.11</v>
      </c>
      <c r="F647">
        <v>27</v>
      </c>
      <c r="G647" t="s">
        <v>29</v>
      </c>
      <c r="H647">
        <v>1139.45</v>
      </c>
      <c r="I647">
        <v>1454.41</v>
      </c>
      <c r="J647" t="s">
        <v>17</v>
      </c>
      <c r="K647">
        <v>0.3</v>
      </c>
      <c r="L647" t="s">
        <v>27</v>
      </c>
      <c r="M647" t="s">
        <v>19</v>
      </c>
      <c r="N647" t="s">
        <v>39</v>
      </c>
    </row>
    <row r="648" spans="1:14" x14ac:dyDescent="0.35">
      <c r="A648">
        <v>1058</v>
      </c>
      <c r="B648" s="1">
        <v>44987</v>
      </c>
      <c r="C648" t="s">
        <v>38</v>
      </c>
      <c r="D648" t="s">
        <v>34</v>
      </c>
      <c r="E648">
        <v>5463.43</v>
      </c>
      <c r="F648">
        <v>49</v>
      </c>
      <c r="G648" t="s">
        <v>16</v>
      </c>
      <c r="H648">
        <v>1307.22</v>
      </c>
      <c r="I648">
        <v>1528.4</v>
      </c>
      <c r="J648" t="s">
        <v>17</v>
      </c>
      <c r="K648">
        <v>0.24</v>
      </c>
      <c r="L648" t="s">
        <v>18</v>
      </c>
      <c r="M648" t="s">
        <v>22</v>
      </c>
      <c r="N648" t="s">
        <v>48</v>
      </c>
    </row>
    <row r="649" spans="1:14" x14ac:dyDescent="0.35">
      <c r="A649">
        <v>1039</v>
      </c>
      <c r="B649" s="1">
        <v>45104</v>
      </c>
      <c r="C649" t="s">
        <v>14</v>
      </c>
      <c r="D649" t="s">
        <v>34</v>
      </c>
      <c r="E649">
        <v>9683.85</v>
      </c>
      <c r="F649">
        <v>2</v>
      </c>
      <c r="G649" t="s">
        <v>35</v>
      </c>
      <c r="H649">
        <v>4394.58</v>
      </c>
      <c r="I649">
        <v>4545.78</v>
      </c>
      <c r="J649" t="s">
        <v>17</v>
      </c>
      <c r="K649">
        <v>0.2</v>
      </c>
      <c r="L649" t="s">
        <v>31</v>
      </c>
      <c r="M649" t="s">
        <v>22</v>
      </c>
      <c r="N649" t="s">
        <v>46</v>
      </c>
    </row>
    <row r="650" spans="1:14" x14ac:dyDescent="0.35">
      <c r="A650">
        <v>1014</v>
      </c>
      <c r="B650" s="1">
        <v>45264</v>
      </c>
      <c r="C650" t="s">
        <v>14</v>
      </c>
      <c r="D650" t="s">
        <v>21</v>
      </c>
      <c r="E650">
        <v>758.99</v>
      </c>
      <c r="F650">
        <v>49</v>
      </c>
      <c r="G650" t="s">
        <v>16</v>
      </c>
      <c r="H650">
        <v>493.35</v>
      </c>
      <c r="I650">
        <v>799.27</v>
      </c>
      <c r="J650" t="s">
        <v>30</v>
      </c>
      <c r="K650">
        <v>0.1</v>
      </c>
      <c r="L650" t="s">
        <v>27</v>
      </c>
      <c r="M650" t="s">
        <v>19</v>
      </c>
      <c r="N650" t="s">
        <v>23</v>
      </c>
    </row>
    <row r="651" spans="1:14" x14ac:dyDescent="0.35">
      <c r="A651">
        <v>1095</v>
      </c>
      <c r="B651" s="1">
        <v>44988</v>
      </c>
      <c r="C651" t="s">
        <v>38</v>
      </c>
      <c r="D651" t="s">
        <v>34</v>
      </c>
      <c r="E651">
        <v>6518.35</v>
      </c>
      <c r="F651">
        <v>16</v>
      </c>
      <c r="G651" t="s">
        <v>35</v>
      </c>
      <c r="H651">
        <v>3591.05</v>
      </c>
      <c r="I651">
        <v>3625.35</v>
      </c>
      <c r="J651" t="s">
        <v>17</v>
      </c>
      <c r="K651">
        <v>0.05</v>
      </c>
      <c r="L651" t="s">
        <v>31</v>
      </c>
      <c r="M651" t="s">
        <v>22</v>
      </c>
      <c r="N651" t="s">
        <v>48</v>
      </c>
    </row>
    <row r="652" spans="1:14" x14ac:dyDescent="0.35">
      <c r="A652">
        <v>1005</v>
      </c>
      <c r="B652" s="1">
        <v>45071</v>
      </c>
      <c r="C652" t="s">
        <v>38</v>
      </c>
      <c r="D652" t="s">
        <v>15</v>
      </c>
      <c r="E652">
        <v>833.64</v>
      </c>
      <c r="F652">
        <v>2</v>
      </c>
      <c r="G652" t="s">
        <v>29</v>
      </c>
      <c r="H652">
        <v>1392.15</v>
      </c>
      <c r="I652">
        <v>1448.54</v>
      </c>
      <c r="J652" t="s">
        <v>17</v>
      </c>
      <c r="K652">
        <v>0.02</v>
      </c>
      <c r="L652" t="s">
        <v>27</v>
      </c>
      <c r="M652" t="s">
        <v>22</v>
      </c>
      <c r="N652" t="s">
        <v>40</v>
      </c>
    </row>
    <row r="653" spans="1:14" x14ac:dyDescent="0.35">
      <c r="A653">
        <v>1035</v>
      </c>
      <c r="B653" s="1">
        <v>45142</v>
      </c>
      <c r="C653" t="s">
        <v>24</v>
      </c>
      <c r="D653" t="s">
        <v>25</v>
      </c>
      <c r="E653">
        <v>3817.14</v>
      </c>
      <c r="F653">
        <v>30</v>
      </c>
      <c r="G653" t="s">
        <v>35</v>
      </c>
      <c r="H653">
        <v>3813.62</v>
      </c>
      <c r="I653">
        <v>3839.72</v>
      </c>
      <c r="J653" t="s">
        <v>30</v>
      </c>
      <c r="K653">
        <v>0.21</v>
      </c>
      <c r="L653" t="s">
        <v>31</v>
      </c>
      <c r="M653" t="s">
        <v>19</v>
      </c>
      <c r="N653" t="s">
        <v>28</v>
      </c>
    </row>
    <row r="654" spans="1:14" x14ac:dyDescent="0.35">
      <c r="A654">
        <v>1087</v>
      </c>
      <c r="B654" s="1">
        <v>44929</v>
      </c>
      <c r="C654" t="s">
        <v>33</v>
      </c>
      <c r="D654" t="s">
        <v>34</v>
      </c>
      <c r="E654">
        <v>8057.76</v>
      </c>
      <c r="F654">
        <v>20</v>
      </c>
      <c r="G654" t="s">
        <v>16</v>
      </c>
      <c r="H654">
        <v>3625.94</v>
      </c>
      <c r="I654">
        <v>3880.53</v>
      </c>
      <c r="J654" t="s">
        <v>30</v>
      </c>
      <c r="K654">
        <v>0.24</v>
      </c>
      <c r="L654" t="s">
        <v>27</v>
      </c>
      <c r="M654" t="s">
        <v>19</v>
      </c>
      <c r="N654" t="s">
        <v>36</v>
      </c>
    </row>
    <row r="655" spans="1:14" x14ac:dyDescent="0.35">
      <c r="A655">
        <v>1093</v>
      </c>
      <c r="B655" s="1">
        <v>45086</v>
      </c>
      <c r="C655" t="s">
        <v>14</v>
      </c>
      <c r="D655" t="s">
        <v>25</v>
      </c>
      <c r="E655">
        <v>4391.38</v>
      </c>
      <c r="F655">
        <v>38</v>
      </c>
      <c r="G655" t="s">
        <v>26</v>
      </c>
      <c r="H655">
        <v>86.59</v>
      </c>
      <c r="I655">
        <v>390.89</v>
      </c>
      <c r="J655" t="s">
        <v>17</v>
      </c>
      <c r="K655">
        <v>0.25</v>
      </c>
      <c r="L655" t="s">
        <v>31</v>
      </c>
      <c r="M655" t="s">
        <v>19</v>
      </c>
      <c r="N655" t="s">
        <v>32</v>
      </c>
    </row>
    <row r="656" spans="1:14" x14ac:dyDescent="0.35">
      <c r="A656">
        <v>1075</v>
      </c>
      <c r="B656" s="1">
        <v>45153</v>
      </c>
      <c r="C656" t="s">
        <v>33</v>
      </c>
      <c r="D656" t="s">
        <v>15</v>
      </c>
      <c r="E656">
        <v>9972.11</v>
      </c>
      <c r="F656">
        <v>28</v>
      </c>
      <c r="G656" t="s">
        <v>29</v>
      </c>
      <c r="H656">
        <v>2570.2199999999998</v>
      </c>
      <c r="I656">
        <v>2610.8399999999901</v>
      </c>
      <c r="J656" t="s">
        <v>17</v>
      </c>
      <c r="K656">
        <v>0.27</v>
      </c>
      <c r="L656" t="s">
        <v>27</v>
      </c>
      <c r="M656" t="s">
        <v>22</v>
      </c>
      <c r="N656" t="s">
        <v>53</v>
      </c>
    </row>
    <row r="657" spans="1:14" x14ac:dyDescent="0.35">
      <c r="A657">
        <v>1018</v>
      </c>
      <c r="B657" s="1">
        <v>45195</v>
      </c>
      <c r="C657" t="s">
        <v>24</v>
      </c>
      <c r="D657" t="s">
        <v>34</v>
      </c>
      <c r="E657">
        <v>5634.69</v>
      </c>
      <c r="F657">
        <v>25</v>
      </c>
      <c r="G657" t="s">
        <v>16</v>
      </c>
      <c r="H657">
        <v>739.63</v>
      </c>
      <c r="I657">
        <v>1103.03</v>
      </c>
      <c r="J657" t="s">
        <v>30</v>
      </c>
      <c r="K657">
        <v>0.26</v>
      </c>
      <c r="L657" t="s">
        <v>27</v>
      </c>
      <c r="M657" t="s">
        <v>22</v>
      </c>
      <c r="N657" t="s">
        <v>50</v>
      </c>
    </row>
    <row r="658" spans="1:14" x14ac:dyDescent="0.35">
      <c r="A658">
        <v>1076</v>
      </c>
      <c r="B658" s="1">
        <v>45046</v>
      </c>
      <c r="C658" t="s">
        <v>38</v>
      </c>
      <c r="D658" t="s">
        <v>21</v>
      </c>
      <c r="E658">
        <v>3279.51</v>
      </c>
      <c r="F658">
        <v>32</v>
      </c>
      <c r="G658" t="s">
        <v>29</v>
      </c>
      <c r="H658">
        <v>4337.82</v>
      </c>
      <c r="I658">
        <v>4460.71</v>
      </c>
      <c r="J658" t="s">
        <v>17</v>
      </c>
      <c r="K658">
        <v>0.3</v>
      </c>
      <c r="L658" t="s">
        <v>18</v>
      </c>
      <c r="M658" t="s">
        <v>22</v>
      </c>
      <c r="N658" t="s">
        <v>41</v>
      </c>
    </row>
    <row r="659" spans="1:14" x14ac:dyDescent="0.35">
      <c r="A659">
        <v>1009</v>
      </c>
      <c r="B659" s="1">
        <v>45015</v>
      </c>
      <c r="C659" t="s">
        <v>33</v>
      </c>
      <c r="D659" t="s">
        <v>25</v>
      </c>
      <c r="E659">
        <v>2279.1</v>
      </c>
      <c r="F659">
        <v>10</v>
      </c>
      <c r="G659" t="s">
        <v>29</v>
      </c>
      <c r="H659">
        <v>4364.3500000000004</v>
      </c>
      <c r="I659">
        <v>4710.1000000000004</v>
      </c>
      <c r="J659" t="s">
        <v>30</v>
      </c>
      <c r="K659">
        <v>7.0000000000000007E-2</v>
      </c>
      <c r="L659" t="s">
        <v>31</v>
      </c>
      <c r="M659" t="s">
        <v>19</v>
      </c>
      <c r="N659" t="s">
        <v>44</v>
      </c>
    </row>
    <row r="660" spans="1:14" x14ac:dyDescent="0.35">
      <c r="A660">
        <v>1074</v>
      </c>
      <c r="B660" s="1">
        <v>45255</v>
      </c>
      <c r="C660" t="s">
        <v>38</v>
      </c>
      <c r="D660" t="s">
        <v>15</v>
      </c>
      <c r="E660">
        <v>3570.15</v>
      </c>
      <c r="F660">
        <v>42</v>
      </c>
      <c r="G660" t="s">
        <v>16</v>
      </c>
      <c r="H660">
        <v>2120.81</v>
      </c>
      <c r="I660">
        <v>2611.94</v>
      </c>
      <c r="J660" t="s">
        <v>17</v>
      </c>
      <c r="K660">
        <v>0.23</v>
      </c>
      <c r="L660" t="s">
        <v>18</v>
      </c>
      <c r="M660" t="s">
        <v>19</v>
      </c>
      <c r="N660" t="s">
        <v>40</v>
      </c>
    </row>
    <row r="661" spans="1:14" x14ac:dyDescent="0.35">
      <c r="A661">
        <v>1058</v>
      </c>
      <c r="B661" s="1">
        <v>44994</v>
      </c>
      <c r="C661" t="s">
        <v>38</v>
      </c>
      <c r="D661" t="s">
        <v>25</v>
      </c>
      <c r="E661">
        <v>3788.08</v>
      </c>
      <c r="F661">
        <v>40</v>
      </c>
      <c r="G661" t="s">
        <v>16</v>
      </c>
      <c r="H661">
        <v>2249.7600000000002</v>
      </c>
      <c r="I661">
        <v>2598.4</v>
      </c>
      <c r="J661" t="s">
        <v>17</v>
      </c>
      <c r="K661">
        <v>0.18</v>
      </c>
      <c r="L661" t="s">
        <v>31</v>
      </c>
      <c r="M661" t="s">
        <v>22</v>
      </c>
      <c r="N661" t="s">
        <v>39</v>
      </c>
    </row>
    <row r="662" spans="1:14" x14ac:dyDescent="0.35">
      <c r="A662">
        <v>1017</v>
      </c>
      <c r="B662" s="1">
        <v>45283</v>
      </c>
      <c r="C662" t="s">
        <v>42</v>
      </c>
      <c r="D662" t="s">
        <v>34</v>
      </c>
      <c r="E662">
        <v>780.27</v>
      </c>
      <c r="F662">
        <v>33</v>
      </c>
      <c r="G662" t="s">
        <v>26</v>
      </c>
      <c r="H662">
        <v>1551.25</v>
      </c>
      <c r="I662">
        <v>1994.01</v>
      </c>
      <c r="J662" t="s">
        <v>17</v>
      </c>
      <c r="K662">
        <v>0.08</v>
      </c>
      <c r="L662" t="s">
        <v>18</v>
      </c>
      <c r="M662" t="s">
        <v>19</v>
      </c>
      <c r="N662" t="s">
        <v>52</v>
      </c>
    </row>
    <row r="663" spans="1:14" x14ac:dyDescent="0.35">
      <c r="A663">
        <v>1007</v>
      </c>
      <c r="B663" s="1">
        <v>45024</v>
      </c>
      <c r="C663" t="s">
        <v>33</v>
      </c>
      <c r="D663" t="s">
        <v>34</v>
      </c>
      <c r="E663">
        <v>3758.78</v>
      </c>
      <c r="F663">
        <v>13</v>
      </c>
      <c r="G663" t="s">
        <v>29</v>
      </c>
      <c r="H663">
        <v>3597.2</v>
      </c>
      <c r="I663">
        <v>4071.8199999999902</v>
      </c>
      <c r="J663" t="s">
        <v>17</v>
      </c>
      <c r="K663">
        <v>0.28999999999999998</v>
      </c>
      <c r="L663" t="s">
        <v>27</v>
      </c>
      <c r="M663" t="s">
        <v>19</v>
      </c>
      <c r="N663" t="s">
        <v>36</v>
      </c>
    </row>
    <row r="664" spans="1:14" x14ac:dyDescent="0.35">
      <c r="A664">
        <v>1046</v>
      </c>
      <c r="B664" s="1">
        <v>45193</v>
      </c>
      <c r="C664" t="s">
        <v>33</v>
      </c>
      <c r="D664" t="s">
        <v>21</v>
      </c>
      <c r="E664">
        <v>4695.96</v>
      </c>
      <c r="F664">
        <v>41</v>
      </c>
      <c r="G664" t="s">
        <v>29</v>
      </c>
      <c r="H664">
        <v>1825.37</v>
      </c>
      <c r="I664">
        <v>2073.88</v>
      </c>
      <c r="J664" t="s">
        <v>17</v>
      </c>
      <c r="K664">
        <v>0.27</v>
      </c>
      <c r="L664" t="s">
        <v>18</v>
      </c>
      <c r="M664" t="s">
        <v>22</v>
      </c>
      <c r="N664" t="s">
        <v>37</v>
      </c>
    </row>
    <row r="665" spans="1:14" x14ac:dyDescent="0.35">
      <c r="A665">
        <v>1013</v>
      </c>
      <c r="B665" s="1">
        <v>45031</v>
      </c>
      <c r="C665" t="s">
        <v>38</v>
      </c>
      <c r="D665" t="s">
        <v>15</v>
      </c>
      <c r="E665">
        <v>7255.1</v>
      </c>
      <c r="F665">
        <v>42</v>
      </c>
      <c r="G665" t="s">
        <v>16</v>
      </c>
      <c r="H665">
        <v>1375.57</v>
      </c>
      <c r="I665">
        <v>1729.71</v>
      </c>
      <c r="J665" t="s">
        <v>30</v>
      </c>
      <c r="K665">
        <v>0.04</v>
      </c>
      <c r="L665" t="s">
        <v>18</v>
      </c>
      <c r="M665" t="s">
        <v>19</v>
      </c>
      <c r="N665" t="s">
        <v>40</v>
      </c>
    </row>
    <row r="666" spans="1:14" x14ac:dyDescent="0.35">
      <c r="A666">
        <v>1040</v>
      </c>
      <c r="B666" s="1">
        <v>45249</v>
      </c>
      <c r="C666" t="s">
        <v>24</v>
      </c>
      <c r="D666" t="s">
        <v>15</v>
      </c>
      <c r="E666">
        <v>6601.62</v>
      </c>
      <c r="F666">
        <v>47</v>
      </c>
      <c r="G666" t="s">
        <v>35</v>
      </c>
      <c r="H666">
        <v>2189.54</v>
      </c>
      <c r="I666">
        <v>2617</v>
      </c>
      <c r="J666" t="s">
        <v>30</v>
      </c>
      <c r="K666">
        <v>0.01</v>
      </c>
      <c r="L666" t="s">
        <v>27</v>
      </c>
      <c r="M666" t="s">
        <v>19</v>
      </c>
      <c r="N666" t="s">
        <v>45</v>
      </c>
    </row>
    <row r="667" spans="1:14" x14ac:dyDescent="0.35">
      <c r="A667">
        <v>1042</v>
      </c>
      <c r="B667" s="1">
        <v>45049</v>
      </c>
      <c r="C667" t="s">
        <v>42</v>
      </c>
      <c r="D667" t="s">
        <v>21</v>
      </c>
      <c r="E667">
        <v>7116.78</v>
      </c>
      <c r="F667">
        <v>37</v>
      </c>
      <c r="G667" t="s">
        <v>16</v>
      </c>
      <c r="H667">
        <v>502.86</v>
      </c>
      <c r="I667">
        <v>687.6</v>
      </c>
      <c r="J667" t="s">
        <v>17</v>
      </c>
      <c r="K667">
        <v>0.21</v>
      </c>
      <c r="L667" t="s">
        <v>18</v>
      </c>
      <c r="M667" t="s">
        <v>19</v>
      </c>
      <c r="N667" t="s">
        <v>51</v>
      </c>
    </row>
    <row r="668" spans="1:14" x14ac:dyDescent="0.35">
      <c r="A668">
        <v>1009</v>
      </c>
      <c r="B668" s="1">
        <v>44955</v>
      </c>
      <c r="C668" t="s">
        <v>38</v>
      </c>
      <c r="D668" t="s">
        <v>21</v>
      </c>
      <c r="E668">
        <v>182.8</v>
      </c>
      <c r="F668">
        <v>16</v>
      </c>
      <c r="G668" t="s">
        <v>29</v>
      </c>
      <c r="H668">
        <v>3745.69</v>
      </c>
      <c r="I668">
        <v>3883.77</v>
      </c>
      <c r="J668" t="s">
        <v>17</v>
      </c>
      <c r="K668">
        <v>0.18</v>
      </c>
      <c r="L668" t="s">
        <v>27</v>
      </c>
      <c r="M668" t="s">
        <v>22</v>
      </c>
      <c r="N668" t="s">
        <v>41</v>
      </c>
    </row>
    <row r="669" spans="1:14" x14ac:dyDescent="0.35">
      <c r="A669">
        <v>1050</v>
      </c>
      <c r="B669" s="1">
        <v>45063</v>
      </c>
      <c r="C669" t="s">
        <v>14</v>
      </c>
      <c r="D669" t="s">
        <v>15</v>
      </c>
      <c r="E669">
        <v>2254.91</v>
      </c>
      <c r="F669">
        <v>45</v>
      </c>
      <c r="G669" t="s">
        <v>16</v>
      </c>
      <c r="H669">
        <v>112.35</v>
      </c>
      <c r="I669">
        <v>586.17999999999995</v>
      </c>
      <c r="J669" t="s">
        <v>17</v>
      </c>
      <c r="K669">
        <v>0.28000000000000003</v>
      </c>
      <c r="L669" t="s">
        <v>31</v>
      </c>
      <c r="M669" t="s">
        <v>22</v>
      </c>
      <c r="N669" t="s">
        <v>20</v>
      </c>
    </row>
    <row r="670" spans="1:14" x14ac:dyDescent="0.35">
      <c r="A670">
        <v>1027</v>
      </c>
      <c r="B670" s="1">
        <v>45121</v>
      </c>
      <c r="C670" t="s">
        <v>14</v>
      </c>
      <c r="D670" t="s">
        <v>25</v>
      </c>
      <c r="E670">
        <v>6650.67</v>
      </c>
      <c r="F670">
        <v>22</v>
      </c>
      <c r="G670" t="s">
        <v>26</v>
      </c>
      <c r="H670">
        <v>3240.2</v>
      </c>
      <c r="I670">
        <v>3606.0899999999901</v>
      </c>
      <c r="J670" t="s">
        <v>30</v>
      </c>
      <c r="K670">
        <v>7.0000000000000007E-2</v>
      </c>
      <c r="L670" t="s">
        <v>18</v>
      </c>
      <c r="M670" t="s">
        <v>19</v>
      </c>
      <c r="N670" t="s">
        <v>32</v>
      </c>
    </row>
    <row r="671" spans="1:14" x14ac:dyDescent="0.35">
      <c r="A671">
        <v>1066</v>
      </c>
      <c r="B671" s="1">
        <v>45152</v>
      </c>
      <c r="C671" t="s">
        <v>42</v>
      </c>
      <c r="D671" t="s">
        <v>25</v>
      </c>
      <c r="E671">
        <v>4891.49</v>
      </c>
      <c r="F671">
        <v>20</v>
      </c>
      <c r="G671" t="s">
        <v>35</v>
      </c>
      <c r="H671">
        <v>955.18</v>
      </c>
      <c r="I671">
        <v>1072.82</v>
      </c>
      <c r="J671" t="s">
        <v>30</v>
      </c>
      <c r="K671">
        <v>0.03</v>
      </c>
      <c r="L671" t="s">
        <v>27</v>
      </c>
      <c r="M671" t="s">
        <v>22</v>
      </c>
      <c r="N671" t="s">
        <v>43</v>
      </c>
    </row>
    <row r="672" spans="1:14" x14ac:dyDescent="0.35">
      <c r="A672">
        <v>1005</v>
      </c>
      <c r="B672" s="1">
        <v>45258</v>
      </c>
      <c r="C672" t="s">
        <v>24</v>
      </c>
      <c r="D672" t="s">
        <v>21</v>
      </c>
      <c r="E672">
        <v>152.6</v>
      </c>
      <c r="F672">
        <v>43</v>
      </c>
      <c r="G672" t="s">
        <v>16</v>
      </c>
      <c r="H672">
        <v>1200.4000000000001</v>
      </c>
      <c r="I672">
        <v>1430.45</v>
      </c>
      <c r="J672" t="s">
        <v>30</v>
      </c>
      <c r="K672">
        <v>0.08</v>
      </c>
      <c r="L672" t="s">
        <v>27</v>
      </c>
      <c r="M672" t="s">
        <v>22</v>
      </c>
      <c r="N672" t="s">
        <v>47</v>
      </c>
    </row>
    <row r="673" spans="1:14" x14ac:dyDescent="0.35">
      <c r="A673">
        <v>1029</v>
      </c>
      <c r="B673" s="1">
        <v>45096</v>
      </c>
      <c r="C673" t="s">
        <v>38</v>
      </c>
      <c r="D673" t="s">
        <v>25</v>
      </c>
      <c r="E673">
        <v>8064.5</v>
      </c>
      <c r="F673">
        <v>27</v>
      </c>
      <c r="G673" t="s">
        <v>26</v>
      </c>
      <c r="H673">
        <v>3196.38</v>
      </c>
      <c r="I673">
        <v>3596.64</v>
      </c>
      <c r="J673" t="s">
        <v>30</v>
      </c>
      <c r="K673">
        <v>0.01</v>
      </c>
      <c r="L673" t="s">
        <v>18</v>
      </c>
      <c r="M673" t="s">
        <v>22</v>
      </c>
      <c r="N673" t="s">
        <v>39</v>
      </c>
    </row>
    <row r="674" spans="1:14" x14ac:dyDescent="0.35">
      <c r="A674">
        <v>1037</v>
      </c>
      <c r="B674" s="1">
        <v>44935</v>
      </c>
      <c r="C674" t="s">
        <v>33</v>
      </c>
      <c r="D674" t="s">
        <v>15</v>
      </c>
      <c r="E674">
        <v>7750.81</v>
      </c>
      <c r="F674">
        <v>41</v>
      </c>
      <c r="G674" t="s">
        <v>29</v>
      </c>
      <c r="H674">
        <v>4965.07</v>
      </c>
      <c r="I674">
        <v>5243.13</v>
      </c>
      <c r="J674" t="s">
        <v>30</v>
      </c>
      <c r="K674">
        <v>0.01</v>
      </c>
      <c r="L674" t="s">
        <v>31</v>
      </c>
      <c r="M674" t="s">
        <v>19</v>
      </c>
      <c r="N674" t="s">
        <v>53</v>
      </c>
    </row>
    <row r="675" spans="1:14" x14ac:dyDescent="0.35">
      <c r="A675">
        <v>1038</v>
      </c>
      <c r="B675" s="1">
        <v>44966</v>
      </c>
      <c r="C675" t="s">
        <v>42</v>
      </c>
      <c r="D675" t="s">
        <v>34</v>
      </c>
      <c r="E675">
        <v>5529.35</v>
      </c>
      <c r="F675">
        <v>16</v>
      </c>
      <c r="G675" t="s">
        <v>16</v>
      </c>
      <c r="H675">
        <v>3899.7</v>
      </c>
      <c r="I675">
        <v>4228.18</v>
      </c>
      <c r="J675" t="s">
        <v>30</v>
      </c>
      <c r="K675">
        <v>0.27</v>
      </c>
      <c r="L675" t="s">
        <v>18</v>
      </c>
      <c r="M675" t="s">
        <v>22</v>
      </c>
      <c r="N675" t="s">
        <v>52</v>
      </c>
    </row>
    <row r="676" spans="1:14" x14ac:dyDescent="0.35">
      <c r="A676">
        <v>1083</v>
      </c>
      <c r="B676" s="1">
        <v>44951</v>
      </c>
      <c r="C676" t="s">
        <v>24</v>
      </c>
      <c r="D676" t="s">
        <v>34</v>
      </c>
      <c r="E676">
        <v>757.99</v>
      </c>
      <c r="F676">
        <v>34</v>
      </c>
      <c r="G676" t="s">
        <v>29</v>
      </c>
      <c r="H676">
        <v>1167.9100000000001</v>
      </c>
      <c r="I676">
        <v>1547.26</v>
      </c>
      <c r="J676" t="s">
        <v>30</v>
      </c>
      <c r="K676">
        <v>0.11</v>
      </c>
      <c r="L676" t="s">
        <v>27</v>
      </c>
      <c r="M676" t="s">
        <v>19</v>
      </c>
      <c r="N676" t="s">
        <v>50</v>
      </c>
    </row>
    <row r="677" spans="1:14" x14ac:dyDescent="0.35">
      <c r="A677">
        <v>1008</v>
      </c>
      <c r="B677" s="1">
        <v>45187</v>
      </c>
      <c r="C677" t="s">
        <v>33</v>
      </c>
      <c r="D677" t="s">
        <v>25</v>
      </c>
      <c r="E677">
        <v>7688.5</v>
      </c>
      <c r="F677">
        <v>32</v>
      </c>
      <c r="G677" t="s">
        <v>26</v>
      </c>
      <c r="H677">
        <v>921.32</v>
      </c>
      <c r="I677">
        <v>1236.0999999999999</v>
      </c>
      <c r="J677" t="s">
        <v>30</v>
      </c>
      <c r="K677">
        <v>0.12</v>
      </c>
      <c r="L677" t="s">
        <v>31</v>
      </c>
      <c r="M677" t="s">
        <v>19</v>
      </c>
      <c r="N677" t="s">
        <v>44</v>
      </c>
    </row>
    <row r="678" spans="1:14" x14ac:dyDescent="0.35">
      <c r="A678">
        <v>1065</v>
      </c>
      <c r="B678" s="1">
        <v>45152</v>
      </c>
      <c r="C678" t="s">
        <v>14</v>
      </c>
      <c r="D678" t="s">
        <v>21</v>
      </c>
      <c r="E678">
        <v>5878.76</v>
      </c>
      <c r="F678">
        <v>26</v>
      </c>
      <c r="G678" t="s">
        <v>29</v>
      </c>
      <c r="H678">
        <v>4337.8500000000004</v>
      </c>
      <c r="I678">
        <v>4612.49</v>
      </c>
      <c r="J678" t="s">
        <v>17</v>
      </c>
      <c r="K678">
        <v>0.01</v>
      </c>
      <c r="L678" t="s">
        <v>18</v>
      </c>
      <c r="M678" t="s">
        <v>22</v>
      </c>
      <c r="N678" t="s">
        <v>23</v>
      </c>
    </row>
    <row r="679" spans="1:14" x14ac:dyDescent="0.35">
      <c r="A679">
        <v>1086</v>
      </c>
      <c r="B679" s="1">
        <v>45050</v>
      </c>
      <c r="C679" t="s">
        <v>14</v>
      </c>
      <c r="D679" t="s">
        <v>21</v>
      </c>
      <c r="E679">
        <v>7841.4</v>
      </c>
      <c r="F679">
        <v>25</v>
      </c>
      <c r="G679" t="s">
        <v>26</v>
      </c>
      <c r="H679">
        <v>2248.71</v>
      </c>
      <c r="I679">
        <v>2626.02</v>
      </c>
      <c r="J679" t="s">
        <v>30</v>
      </c>
      <c r="K679">
        <v>0.08</v>
      </c>
      <c r="L679" t="s">
        <v>27</v>
      </c>
      <c r="M679" t="s">
        <v>19</v>
      </c>
      <c r="N679" t="s">
        <v>23</v>
      </c>
    </row>
    <row r="680" spans="1:14" x14ac:dyDescent="0.35">
      <c r="A680">
        <v>1017</v>
      </c>
      <c r="B680" s="1">
        <v>44964</v>
      </c>
      <c r="C680" t="s">
        <v>33</v>
      </c>
      <c r="D680" t="s">
        <v>21</v>
      </c>
      <c r="E680">
        <v>7542.3</v>
      </c>
      <c r="F680">
        <v>2</v>
      </c>
      <c r="G680" t="s">
        <v>26</v>
      </c>
      <c r="H680">
        <v>728.41</v>
      </c>
      <c r="I680">
        <v>1094.92</v>
      </c>
      <c r="J680" t="s">
        <v>30</v>
      </c>
      <c r="K680">
        <v>0.24</v>
      </c>
      <c r="L680" t="s">
        <v>18</v>
      </c>
      <c r="M680" t="s">
        <v>22</v>
      </c>
      <c r="N680" t="s">
        <v>37</v>
      </c>
    </row>
    <row r="681" spans="1:14" x14ac:dyDescent="0.35">
      <c r="A681">
        <v>1071</v>
      </c>
      <c r="B681" s="1">
        <v>45254</v>
      </c>
      <c r="C681" t="s">
        <v>42</v>
      </c>
      <c r="D681" t="s">
        <v>21</v>
      </c>
      <c r="E681">
        <v>8049.72</v>
      </c>
      <c r="F681">
        <v>12</v>
      </c>
      <c r="G681" t="s">
        <v>26</v>
      </c>
      <c r="H681">
        <v>4317.95</v>
      </c>
      <c r="I681">
        <v>4636.59</v>
      </c>
      <c r="J681" t="s">
        <v>30</v>
      </c>
      <c r="K681">
        <v>0.18</v>
      </c>
      <c r="L681" t="s">
        <v>31</v>
      </c>
      <c r="M681" t="s">
        <v>22</v>
      </c>
      <c r="N681" t="s">
        <v>51</v>
      </c>
    </row>
    <row r="682" spans="1:14" x14ac:dyDescent="0.35">
      <c r="A682">
        <v>1089</v>
      </c>
      <c r="B682" s="1">
        <v>45177</v>
      </c>
      <c r="C682" t="s">
        <v>14</v>
      </c>
      <c r="D682" t="s">
        <v>21</v>
      </c>
      <c r="E682">
        <v>5228.28</v>
      </c>
      <c r="F682">
        <v>40</v>
      </c>
      <c r="G682" t="s">
        <v>16</v>
      </c>
      <c r="H682">
        <v>4089.66</v>
      </c>
      <c r="I682">
        <v>4275.96</v>
      </c>
      <c r="J682" t="s">
        <v>30</v>
      </c>
      <c r="K682">
        <v>0.23</v>
      </c>
      <c r="L682" t="s">
        <v>31</v>
      </c>
      <c r="M682" t="s">
        <v>19</v>
      </c>
      <c r="N682" t="s">
        <v>23</v>
      </c>
    </row>
    <row r="683" spans="1:14" x14ac:dyDescent="0.35">
      <c r="A683">
        <v>1045</v>
      </c>
      <c r="B683" s="1">
        <v>45102</v>
      </c>
      <c r="C683" t="s">
        <v>38</v>
      </c>
      <c r="D683" t="s">
        <v>25</v>
      </c>
      <c r="E683">
        <v>1489.21</v>
      </c>
      <c r="F683">
        <v>9</v>
      </c>
      <c r="G683" t="s">
        <v>29</v>
      </c>
      <c r="H683">
        <v>4920.34</v>
      </c>
      <c r="I683">
        <v>5129.1899999999996</v>
      </c>
      <c r="J683" t="s">
        <v>17</v>
      </c>
      <c r="K683">
        <v>0.13</v>
      </c>
      <c r="L683" t="s">
        <v>31</v>
      </c>
      <c r="M683" t="s">
        <v>19</v>
      </c>
      <c r="N683" t="s">
        <v>39</v>
      </c>
    </row>
    <row r="684" spans="1:14" x14ac:dyDescent="0.35">
      <c r="A684">
        <v>1004</v>
      </c>
      <c r="B684" s="1">
        <v>45016</v>
      </c>
      <c r="C684" t="s">
        <v>33</v>
      </c>
      <c r="D684" t="s">
        <v>34</v>
      </c>
      <c r="E684">
        <v>6744.46</v>
      </c>
      <c r="F684">
        <v>12</v>
      </c>
      <c r="G684" t="s">
        <v>29</v>
      </c>
      <c r="H684">
        <v>4553.2299999999996</v>
      </c>
      <c r="I684">
        <v>5038.74</v>
      </c>
      <c r="J684" t="s">
        <v>30</v>
      </c>
      <c r="K684">
        <v>0.09</v>
      </c>
      <c r="L684" t="s">
        <v>31</v>
      </c>
      <c r="M684" t="s">
        <v>22</v>
      </c>
      <c r="N684" t="s">
        <v>36</v>
      </c>
    </row>
    <row r="685" spans="1:14" x14ac:dyDescent="0.35">
      <c r="A685">
        <v>1036</v>
      </c>
      <c r="B685" s="1">
        <v>44963</v>
      </c>
      <c r="C685" t="s">
        <v>33</v>
      </c>
      <c r="D685" t="s">
        <v>34</v>
      </c>
      <c r="E685">
        <v>6242.69</v>
      </c>
      <c r="F685">
        <v>26</v>
      </c>
      <c r="G685" t="s">
        <v>35</v>
      </c>
      <c r="H685">
        <v>4266.3599999999997</v>
      </c>
      <c r="I685">
        <v>4331.4299999999903</v>
      </c>
      <c r="J685" t="s">
        <v>17</v>
      </c>
      <c r="K685">
        <v>0.14000000000000001</v>
      </c>
      <c r="L685" t="s">
        <v>31</v>
      </c>
      <c r="M685" t="s">
        <v>22</v>
      </c>
      <c r="N685" t="s">
        <v>36</v>
      </c>
    </row>
    <row r="686" spans="1:14" x14ac:dyDescent="0.35">
      <c r="A686">
        <v>1070</v>
      </c>
      <c r="B686" s="1">
        <v>45242</v>
      </c>
      <c r="C686" t="s">
        <v>14</v>
      </c>
      <c r="D686" t="s">
        <v>25</v>
      </c>
      <c r="E686">
        <v>7448.31</v>
      </c>
      <c r="F686">
        <v>9</v>
      </c>
      <c r="G686" t="s">
        <v>35</v>
      </c>
      <c r="H686">
        <v>310.24</v>
      </c>
      <c r="I686">
        <v>451.81</v>
      </c>
      <c r="J686" t="s">
        <v>17</v>
      </c>
      <c r="K686">
        <v>0.1</v>
      </c>
      <c r="L686" t="s">
        <v>18</v>
      </c>
      <c r="M686" t="s">
        <v>22</v>
      </c>
      <c r="N686" t="s">
        <v>32</v>
      </c>
    </row>
    <row r="687" spans="1:14" x14ac:dyDescent="0.35">
      <c r="A687">
        <v>1031</v>
      </c>
      <c r="B687" s="1">
        <v>45102</v>
      </c>
      <c r="C687" t="s">
        <v>42</v>
      </c>
      <c r="D687" t="s">
        <v>21</v>
      </c>
      <c r="E687">
        <v>1781.82</v>
      </c>
      <c r="F687">
        <v>10</v>
      </c>
      <c r="G687" t="s">
        <v>35</v>
      </c>
      <c r="H687">
        <v>566.86</v>
      </c>
      <c r="I687">
        <v>818.14</v>
      </c>
      <c r="J687" t="s">
        <v>17</v>
      </c>
      <c r="K687">
        <v>0.25</v>
      </c>
      <c r="L687" t="s">
        <v>31</v>
      </c>
      <c r="M687" t="s">
        <v>22</v>
      </c>
      <c r="N687" t="s">
        <v>51</v>
      </c>
    </row>
    <row r="688" spans="1:14" x14ac:dyDescent="0.35">
      <c r="A688">
        <v>1019</v>
      </c>
      <c r="B688" s="1">
        <v>45210</v>
      </c>
      <c r="C688" t="s">
        <v>38</v>
      </c>
      <c r="D688" t="s">
        <v>25</v>
      </c>
      <c r="E688">
        <v>2030.25</v>
      </c>
      <c r="F688">
        <v>32</v>
      </c>
      <c r="G688" t="s">
        <v>35</v>
      </c>
      <c r="H688">
        <v>2866.47</v>
      </c>
      <c r="I688">
        <v>3286.47</v>
      </c>
      <c r="J688" t="s">
        <v>30</v>
      </c>
      <c r="K688">
        <v>0.09</v>
      </c>
      <c r="L688" t="s">
        <v>31</v>
      </c>
      <c r="M688" t="s">
        <v>19</v>
      </c>
      <c r="N688" t="s">
        <v>39</v>
      </c>
    </row>
    <row r="689" spans="1:14" x14ac:dyDescent="0.35">
      <c r="A689">
        <v>1061</v>
      </c>
      <c r="B689" s="1">
        <v>45007</v>
      </c>
      <c r="C689" t="s">
        <v>42</v>
      </c>
      <c r="D689" t="s">
        <v>34</v>
      </c>
      <c r="E689">
        <v>8915.0499999999993</v>
      </c>
      <c r="F689">
        <v>34</v>
      </c>
      <c r="G689" t="s">
        <v>29</v>
      </c>
      <c r="H689">
        <v>2680.82</v>
      </c>
      <c r="I689">
        <v>2771.02</v>
      </c>
      <c r="J689" t="s">
        <v>30</v>
      </c>
      <c r="K689">
        <v>0.2</v>
      </c>
      <c r="L689" t="s">
        <v>27</v>
      </c>
      <c r="M689" t="s">
        <v>19</v>
      </c>
      <c r="N689" t="s">
        <v>52</v>
      </c>
    </row>
    <row r="690" spans="1:14" x14ac:dyDescent="0.35">
      <c r="A690">
        <v>1054</v>
      </c>
      <c r="B690" s="1">
        <v>45040</v>
      </c>
      <c r="C690" t="s">
        <v>24</v>
      </c>
      <c r="D690" t="s">
        <v>15</v>
      </c>
      <c r="E690">
        <v>7524.78</v>
      </c>
      <c r="F690">
        <v>48</v>
      </c>
      <c r="G690" t="s">
        <v>26</v>
      </c>
      <c r="H690">
        <v>2316.92</v>
      </c>
      <c r="I690">
        <v>2462.63</v>
      </c>
      <c r="J690" t="s">
        <v>30</v>
      </c>
      <c r="K690">
        <v>0.04</v>
      </c>
      <c r="L690" t="s">
        <v>31</v>
      </c>
      <c r="M690" t="s">
        <v>19</v>
      </c>
      <c r="N690" t="s">
        <v>45</v>
      </c>
    </row>
    <row r="691" spans="1:14" x14ac:dyDescent="0.35">
      <c r="A691">
        <v>1039</v>
      </c>
      <c r="B691" s="1">
        <v>44966</v>
      </c>
      <c r="C691" t="s">
        <v>24</v>
      </c>
      <c r="D691" t="s">
        <v>25</v>
      </c>
      <c r="E691">
        <v>9091.4599999999991</v>
      </c>
      <c r="F691">
        <v>20</v>
      </c>
      <c r="G691" t="s">
        <v>26</v>
      </c>
      <c r="H691">
        <v>2014.11</v>
      </c>
      <c r="I691">
        <v>2056.35</v>
      </c>
      <c r="J691" t="s">
        <v>17</v>
      </c>
      <c r="K691">
        <v>0.21</v>
      </c>
      <c r="L691" t="s">
        <v>27</v>
      </c>
      <c r="M691" t="s">
        <v>22</v>
      </c>
      <c r="N691" t="s">
        <v>28</v>
      </c>
    </row>
    <row r="692" spans="1:14" x14ac:dyDescent="0.35">
      <c r="A692">
        <v>1091</v>
      </c>
      <c r="B692" s="1">
        <v>45227</v>
      </c>
      <c r="C692" t="s">
        <v>14</v>
      </c>
      <c r="D692" t="s">
        <v>21</v>
      </c>
      <c r="E692">
        <v>7611.28</v>
      </c>
      <c r="F692">
        <v>39</v>
      </c>
      <c r="G692" t="s">
        <v>16</v>
      </c>
      <c r="H692">
        <v>2184.4899999999998</v>
      </c>
      <c r="I692">
        <v>2540.4199999999901</v>
      </c>
      <c r="J692" t="s">
        <v>17</v>
      </c>
      <c r="K692">
        <v>0.27</v>
      </c>
      <c r="L692" t="s">
        <v>27</v>
      </c>
      <c r="M692" t="s">
        <v>19</v>
      </c>
      <c r="N692" t="s">
        <v>23</v>
      </c>
    </row>
    <row r="693" spans="1:14" x14ac:dyDescent="0.35">
      <c r="A693">
        <v>1074</v>
      </c>
      <c r="B693" s="1">
        <v>45150</v>
      </c>
      <c r="C693" t="s">
        <v>14</v>
      </c>
      <c r="D693" t="s">
        <v>34</v>
      </c>
      <c r="E693">
        <v>6011.84</v>
      </c>
      <c r="F693">
        <v>2</v>
      </c>
      <c r="G693" t="s">
        <v>26</v>
      </c>
      <c r="H693">
        <v>2868.02</v>
      </c>
      <c r="I693">
        <v>2994.74</v>
      </c>
      <c r="J693" t="s">
        <v>17</v>
      </c>
      <c r="K693">
        <v>0.18</v>
      </c>
      <c r="L693" t="s">
        <v>27</v>
      </c>
      <c r="M693" t="s">
        <v>19</v>
      </c>
      <c r="N693" t="s">
        <v>46</v>
      </c>
    </row>
    <row r="694" spans="1:14" x14ac:dyDescent="0.35">
      <c r="A694">
        <v>1090</v>
      </c>
      <c r="B694" s="1">
        <v>45244</v>
      </c>
      <c r="C694" t="s">
        <v>14</v>
      </c>
      <c r="D694" t="s">
        <v>34</v>
      </c>
      <c r="E694">
        <v>6575.91</v>
      </c>
      <c r="F694">
        <v>1</v>
      </c>
      <c r="G694" t="s">
        <v>29</v>
      </c>
      <c r="H694">
        <v>60.28</v>
      </c>
      <c r="I694">
        <v>260.73</v>
      </c>
      <c r="J694" t="s">
        <v>17</v>
      </c>
      <c r="K694">
        <v>0.17</v>
      </c>
      <c r="L694" t="s">
        <v>18</v>
      </c>
      <c r="M694" t="s">
        <v>19</v>
      </c>
      <c r="N694" t="s">
        <v>46</v>
      </c>
    </row>
    <row r="695" spans="1:14" x14ac:dyDescent="0.35">
      <c r="A695">
        <v>1019</v>
      </c>
      <c r="B695" s="1">
        <v>45275</v>
      </c>
      <c r="C695" t="s">
        <v>24</v>
      </c>
      <c r="D695" t="s">
        <v>34</v>
      </c>
      <c r="E695">
        <v>8902.3700000000008</v>
      </c>
      <c r="F695">
        <v>36</v>
      </c>
      <c r="G695" t="s">
        <v>29</v>
      </c>
      <c r="H695">
        <v>1340.51</v>
      </c>
      <c r="I695">
        <v>1567.92</v>
      </c>
      <c r="J695" t="s">
        <v>30</v>
      </c>
      <c r="K695">
        <v>0.28999999999999998</v>
      </c>
      <c r="L695" t="s">
        <v>18</v>
      </c>
      <c r="M695" t="s">
        <v>19</v>
      </c>
      <c r="N695" t="s">
        <v>50</v>
      </c>
    </row>
    <row r="696" spans="1:14" x14ac:dyDescent="0.35">
      <c r="A696">
        <v>1039</v>
      </c>
      <c r="B696" s="1">
        <v>45041</v>
      </c>
      <c r="C696" t="s">
        <v>42</v>
      </c>
      <c r="D696" t="s">
        <v>34</v>
      </c>
      <c r="E696">
        <v>5830.19</v>
      </c>
      <c r="F696">
        <v>24</v>
      </c>
      <c r="G696" t="s">
        <v>29</v>
      </c>
      <c r="H696">
        <v>2615.48</v>
      </c>
      <c r="I696">
        <v>3062.22</v>
      </c>
      <c r="J696" t="s">
        <v>30</v>
      </c>
      <c r="K696">
        <v>0.19</v>
      </c>
      <c r="L696" t="s">
        <v>27</v>
      </c>
      <c r="M696" t="s">
        <v>22</v>
      </c>
      <c r="N696" t="s">
        <v>52</v>
      </c>
    </row>
    <row r="697" spans="1:14" x14ac:dyDescent="0.35">
      <c r="A697">
        <v>1067</v>
      </c>
      <c r="B697" s="1">
        <v>45112</v>
      </c>
      <c r="C697" t="s">
        <v>42</v>
      </c>
      <c r="D697" t="s">
        <v>21</v>
      </c>
      <c r="E697">
        <v>6360.67</v>
      </c>
      <c r="F697">
        <v>27</v>
      </c>
      <c r="G697" t="s">
        <v>16</v>
      </c>
      <c r="H697">
        <v>3624.97</v>
      </c>
      <c r="I697">
        <v>3836.52</v>
      </c>
      <c r="J697" t="s">
        <v>30</v>
      </c>
      <c r="K697">
        <v>0.08</v>
      </c>
      <c r="L697" t="s">
        <v>18</v>
      </c>
      <c r="M697" t="s">
        <v>19</v>
      </c>
      <c r="N697" t="s">
        <v>51</v>
      </c>
    </row>
    <row r="698" spans="1:14" x14ac:dyDescent="0.35">
      <c r="A698">
        <v>1045</v>
      </c>
      <c r="B698" s="1">
        <v>45249</v>
      </c>
      <c r="C698" t="s">
        <v>14</v>
      </c>
      <c r="D698" t="s">
        <v>15</v>
      </c>
      <c r="E698">
        <v>1649.12</v>
      </c>
      <c r="F698">
        <v>2</v>
      </c>
      <c r="G698" t="s">
        <v>35</v>
      </c>
      <c r="H698">
        <v>912.08</v>
      </c>
      <c r="I698">
        <v>993.24</v>
      </c>
      <c r="J698" t="s">
        <v>17</v>
      </c>
      <c r="K698">
        <v>0.09</v>
      </c>
      <c r="L698" t="s">
        <v>31</v>
      </c>
      <c r="M698" t="s">
        <v>19</v>
      </c>
      <c r="N698" t="s">
        <v>20</v>
      </c>
    </row>
    <row r="699" spans="1:14" x14ac:dyDescent="0.35">
      <c r="A699">
        <v>1013</v>
      </c>
      <c r="B699" s="1">
        <v>44982</v>
      </c>
      <c r="C699" t="s">
        <v>38</v>
      </c>
      <c r="D699" t="s">
        <v>34</v>
      </c>
      <c r="E699">
        <v>4791.82</v>
      </c>
      <c r="F699">
        <v>31</v>
      </c>
      <c r="G699" t="s">
        <v>26</v>
      </c>
      <c r="H699">
        <v>2757.06</v>
      </c>
      <c r="I699">
        <v>3023.97</v>
      </c>
      <c r="J699" t="s">
        <v>17</v>
      </c>
      <c r="K699">
        <v>0.21</v>
      </c>
      <c r="L699" t="s">
        <v>18</v>
      </c>
      <c r="M699" t="s">
        <v>19</v>
      </c>
      <c r="N699" t="s">
        <v>48</v>
      </c>
    </row>
    <row r="700" spans="1:14" x14ac:dyDescent="0.35">
      <c r="A700">
        <v>1092</v>
      </c>
      <c r="B700" s="1">
        <v>44966</v>
      </c>
      <c r="C700" t="s">
        <v>42</v>
      </c>
      <c r="D700" t="s">
        <v>25</v>
      </c>
      <c r="E700">
        <v>7192.33</v>
      </c>
      <c r="F700">
        <v>14</v>
      </c>
      <c r="G700" t="s">
        <v>29</v>
      </c>
      <c r="H700">
        <v>3586.58</v>
      </c>
      <c r="I700">
        <v>4068.43</v>
      </c>
      <c r="J700" t="s">
        <v>30</v>
      </c>
      <c r="K700">
        <v>0.22</v>
      </c>
      <c r="L700" t="s">
        <v>31</v>
      </c>
      <c r="M700" t="s">
        <v>19</v>
      </c>
      <c r="N700" t="s">
        <v>43</v>
      </c>
    </row>
    <row r="701" spans="1:14" x14ac:dyDescent="0.35">
      <c r="A701">
        <v>1058</v>
      </c>
      <c r="B701" s="1">
        <v>45280</v>
      </c>
      <c r="C701" t="s">
        <v>24</v>
      </c>
      <c r="D701" t="s">
        <v>15</v>
      </c>
      <c r="E701">
        <v>2782.33</v>
      </c>
      <c r="F701">
        <v>2</v>
      </c>
      <c r="G701" t="s">
        <v>29</v>
      </c>
      <c r="H701">
        <v>2250.91</v>
      </c>
      <c r="I701">
        <v>2558.6799999999998</v>
      </c>
      <c r="J701" t="s">
        <v>30</v>
      </c>
      <c r="K701">
        <v>0.09</v>
      </c>
      <c r="L701" t="s">
        <v>31</v>
      </c>
      <c r="M701" t="s">
        <v>22</v>
      </c>
      <c r="N701" t="s">
        <v>45</v>
      </c>
    </row>
    <row r="702" spans="1:14" x14ac:dyDescent="0.35">
      <c r="A702">
        <v>1020</v>
      </c>
      <c r="B702" s="1">
        <v>44966</v>
      </c>
      <c r="C702" t="s">
        <v>33</v>
      </c>
      <c r="D702" t="s">
        <v>34</v>
      </c>
      <c r="E702">
        <v>2102.3200000000002</v>
      </c>
      <c r="F702">
        <v>29</v>
      </c>
      <c r="G702" t="s">
        <v>35</v>
      </c>
      <c r="H702">
        <v>184.05</v>
      </c>
      <c r="I702">
        <v>675.91</v>
      </c>
      <c r="J702" t="s">
        <v>17</v>
      </c>
      <c r="K702">
        <v>0.1</v>
      </c>
      <c r="L702" t="s">
        <v>18</v>
      </c>
      <c r="M702" t="s">
        <v>22</v>
      </c>
      <c r="N702" t="s">
        <v>36</v>
      </c>
    </row>
    <row r="703" spans="1:14" x14ac:dyDescent="0.35">
      <c r="A703">
        <v>1092</v>
      </c>
      <c r="B703" s="1">
        <v>45273</v>
      </c>
      <c r="C703" t="s">
        <v>33</v>
      </c>
      <c r="D703" t="s">
        <v>15</v>
      </c>
      <c r="E703">
        <v>3206.89</v>
      </c>
      <c r="F703">
        <v>15</v>
      </c>
      <c r="G703" t="s">
        <v>29</v>
      </c>
      <c r="H703">
        <v>2273.88</v>
      </c>
      <c r="I703">
        <v>2696.02</v>
      </c>
      <c r="J703" t="s">
        <v>30</v>
      </c>
      <c r="K703">
        <v>0.3</v>
      </c>
      <c r="L703" t="s">
        <v>18</v>
      </c>
      <c r="M703" t="s">
        <v>19</v>
      </c>
      <c r="N703" t="s">
        <v>53</v>
      </c>
    </row>
    <row r="704" spans="1:14" x14ac:dyDescent="0.35">
      <c r="A704">
        <v>1072</v>
      </c>
      <c r="B704" s="1">
        <v>45163</v>
      </c>
      <c r="C704" t="s">
        <v>33</v>
      </c>
      <c r="D704" t="s">
        <v>25</v>
      </c>
      <c r="E704">
        <v>2490.86</v>
      </c>
      <c r="F704">
        <v>12</v>
      </c>
      <c r="G704" t="s">
        <v>26</v>
      </c>
      <c r="H704">
        <v>1517.4</v>
      </c>
      <c r="I704">
        <v>1545.02</v>
      </c>
      <c r="J704" t="s">
        <v>30</v>
      </c>
      <c r="K704">
        <v>0.03</v>
      </c>
      <c r="L704" t="s">
        <v>27</v>
      </c>
      <c r="M704" t="s">
        <v>22</v>
      </c>
      <c r="N704" t="s">
        <v>44</v>
      </c>
    </row>
    <row r="705" spans="1:14" x14ac:dyDescent="0.35">
      <c r="A705">
        <v>1061</v>
      </c>
      <c r="B705" s="1">
        <v>45215</v>
      </c>
      <c r="C705" t="s">
        <v>38</v>
      </c>
      <c r="D705" t="s">
        <v>34</v>
      </c>
      <c r="E705">
        <v>2227.64</v>
      </c>
      <c r="F705">
        <v>37</v>
      </c>
      <c r="G705" t="s">
        <v>16</v>
      </c>
      <c r="H705">
        <v>4651.7700000000004</v>
      </c>
      <c r="I705">
        <v>4984.3900000000003</v>
      </c>
      <c r="J705" t="s">
        <v>17</v>
      </c>
      <c r="K705">
        <v>0.12</v>
      </c>
      <c r="L705" t="s">
        <v>18</v>
      </c>
      <c r="M705" t="s">
        <v>22</v>
      </c>
      <c r="N705" t="s">
        <v>48</v>
      </c>
    </row>
    <row r="706" spans="1:14" x14ac:dyDescent="0.35">
      <c r="A706">
        <v>1039</v>
      </c>
      <c r="B706" s="1">
        <v>45188</v>
      </c>
      <c r="C706" t="s">
        <v>14</v>
      </c>
      <c r="D706" t="s">
        <v>25</v>
      </c>
      <c r="E706">
        <v>4306.0200000000004</v>
      </c>
      <c r="F706">
        <v>28</v>
      </c>
      <c r="G706" t="s">
        <v>29</v>
      </c>
      <c r="H706">
        <v>666.84</v>
      </c>
      <c r="I706">
        <v>817.36</v>
      </c>
      <c r="J706" t="s">
        <v>17</v>
      </c>
      <c r="K706">
        <v>0.02</v>
      </c>
      <c r="L706" t="s">
        <v>18</v>
      </c>
      <c r="M706" t="s">
        <v>22</v>
      </c>
      <c r="N706" t="s">
        <v>32</v>
      </c>
    </row>
    <row r="707" spans="1:14" x14ac:dyDescent="0.35">
      <c r="A707">
        <v>1001</v>
      </c>
      <c r="B707" s="1">
        <v>45142</v>
      </c>
      <c r="C707" t="s">
        <v>24</v>
      </c>
      <c r="D707" t="s">
        <v>21</v>
      </c>
      <c r="E707">
        <v>9087.6</v>
      </c>
      <c r="F707">
        <v>20</v>
      </c>
      <c r="G707" t="s">
        <v>26</v>
      </c>
      <c r="H707">
        <v>3279.76</v>
      </c>
      <c r="I707">
        <v>3563.97</v>
      </c>
      <c r="J707" t="s">
        <v>17</v>
      </c>
      <c r="K707">
        <v>0.25</v>
      </c>
      <c r="L707" t="s">
        <v>18</v>
      </c>
      <c r="M707" t="s">
        <v>22</v>
      </c>
      <c r="N707" t="s">
        <v>47</v>
      </c>
    </row>
    <row r="708" spans="1:14" x14ac:dyDescent="0.35">
      <c r="A708">
        <v>1003</v>
      </c>
      <c r="B708" s="1">
        <v>45073</v>
      </c>
      <c r="C708" t="s">
        <v>38</v>
      </c>
      <c r="D708" t="s">
        <v>34</v>
      </c>
      <c r="E708">
        <v>5119.8900000000003</v>
      </c>
      <c r="F708">
        <v>39</v>
      </c>
      <c r="G708" t="s">
        <v>29</v>
      </c>
      <c r="H708">
        <v>310.95999999999998</v>
      </c>
      <c r="I708">
        <v>457.84</v>
      </c>
      <c r="J708" t="s">
        <v>30</v>
      </c>
      <c r="K708">
        <v>0.03</v>
      </c>
      <c r="L708" t="s">
        <v>31</v>
      </c>
      <c r="M708" t="s">
        <v>19</v>
      </c>
      <c r="N708" t="s">
        <v>48</v>
      </c>
    </row>
    <row r="709" spans="1:14" x14ac:dyDescent="0.35">
      <c r="A709">
        <v>1077</v>
      </c>
      <c r="B709" s="1">
        <v>45262</v>
      </c>
      <c r="C709" t="s">
        <v>24</v>
      </c>
      <c r="D709" t="s">
        <v>34</v>
      </c>
      <c r="E709">
        <v>1960.41</v>
      </c>
      <c r="F709">
        <v>24</v>
      </c>
      <c r="G709" t="s">
        <v>35</v>
      </c>
      <c r="H709">
        <v>2258.54</v>
      </c>
      <c r="I709">
        <v>2439.4899999999998</v>
      </c>
      <c r="J709" t="s">
        <v>17</v>
      </c>
      <c r="K709">
        <v>0.2</v>
      </c>
      <c r="L709" t="s">
        <v>31</v>
      </c>
      <c r="M709" t="s">
        <v>22</v>
      </c>
      <c r="N709" t="s">
        <v>50</v>
      </c>
    </row>
    <row r="710" spans="1:14" x14ac:dyDescent="0.35">
      <c r="A710">
        <v>1092</v>
      </c>
      <c r="B710" s="1">
        <v>45094</v>
      </c>
      <c r="C710" t="s">
        <v>24</v>
      </c>
      <c r="D710" t="s">
        <v>34</v>
      </c>
      <c r="E710">
        <v>862.02</v>
      </c>
      <c r="F710">
        <v>21</v>
      </c>
      <c r="G710" t="s">
        <v>29</v>
      </c>
      <c r="H710">
        <v>2792.2</v>
      </c>
      <c r="I710">
        <v>3254.5499999999902</v>
      </c>
      <c r="J710" t="s">
        <v>30</v>
      </c>
      <c r="K710">
        <v>0.02</v>
      </c>
      <c r="L710" t="s">
        <v>31</v>
      </c>
      <c r="M710" t="s">
        <v>22</v>
      </c>
      <c r="N710" t="s">
        <v>50</v>
      </c>
    </row>
    <row r="711" spans="1:14" x14ac:dyDescent="0.35">
      <c r="A711">
        <v>1062</v>
      </c>
      <c r="B711" s="1">
        <v>45018</v>
      </c>
      <c r="C711" t="s">
        <v>14</v>
      </c>
      <c r="D711" t="s">
        <v>34</v>
      </c>
      <c r="E711">
        <v>6991.95</v>
      </c>
      <c r="F711">
        <v>10</v>
      </c>
      <c r="G711" t="s">
        <v>29</v>
      </c>
      <c r="H711">
        <v>1524.88</v>
      </c>
      <c r="I711">
        <v>1636.14</v>
      </c>
      <c r="J711" t="s">
        <v>30</v>
      </c>
      <c r="K711">
        <v>0.2</v>
      </c>
      <c r="L711" t="s">
        <v>27</v>
      </c>
      <c r="M711" t="s">
        <v>19</v>
      </c>
      <c r="N711" t="s">
        <v>46</v>
      </c>
    </row>
    <row r="712" spans="1:14" x14ac:dyDescent="0.35">
      <c r="A712">
        <v>1063</v>
      </c>
      <c r="B712" s="1">
        <v>45279</v>
      </c>
      <c r="C712" t="s">
        <v>33</v>
      </c>
      <c r="D712" t="s">
        <v>21</v>
      </c>
      <c r="E712">
        <v>3889.71</v>
      </c>
      <c r="F712">
        <v>46</v>
      </c>
      <c r="G712" t="s">
        <v>16</v>
      </c>
      <c r="H712">
        <v>2302.62</v>
      </c>
      <c r="I712">
        <v>2740.93</v>
      </c>
      <c r="J712" t="s">
        <v>17</v>
      </c>
      <c r="K712">
        <v>0.25</v>
      </c>
      <c r="L712" t="s">
        <v>27</v>
      </c>
      <c r="M712" t="s">
        <v>19</v>
      </c>
      <c r="N712" t="s">
        <v>37</v>
      </c>
    </row>
    <row r="713" spans="1:14" x14ac:dyDescent="0.35">
      <c r="A713">
        <v>1025</v>
      </c>
      <c r="B713" s="1">
        <v>44985</v>
      </c>
      <c r="C713" t="s">
        <v>14</v>
      </c>
      <c r="D713" t="s">
        <v>34</v>
      </c>
      <c r="E713">
        <v>8236.1299999999992</v>
      </c>
      <c r="F713">
        <v>14</v>
      </c>
      <c r="G713" t="s">
        <v>35</v>
      </c>
      <c r="H713">
        <v>859.59</v>
      </c>
      <c r="I713">
        <v>884.51</v>
      </c>
      <c r="J713" t="s">
        <v>30</v>
      </c>
      <c r="K713">
        <v>0.12</v>
      </c>
      <c r="L713" t="s">
        <v>27</v>
      </c>
      <c r="M713" t="s">
        <v>19</v>
      </c>
      <c r="N713" t="s">
        <v>46</v>
      </c>
    </row>
    <row r="714" spans="1:14" x14ac:dyDescent="0.35">
      <c r="A714">
        <v>1056</v>
      </c>
      <c r="B714" s="1">
        <v>44985</v>
      </c>
      <c r="C714" t="s">
        <v>38</v>
      </c>
      <c r="D714" t="s">
        <v>15</v>
      </c>
      <c r="E714">
        <v>6629.16</v>
      </c>
      <c r="F714">
        <v>37</v>
      </c>
      <c r="G714" t="s">
        <v>35</v>
      </c>
      <c r="H714">
        <v>1555.41</v>
      </c>
      <c r="I714">
        <v>1609.94</v>
      </c>
      <c r="J714" t="s">
        <v>17</v>
      </c>
      <c r="K714">
        <v>0.16</v>
      </c>
      <c r="L714" t="s">
        <v>31</v>
      </c>
      <c r="M714" t="s">
        <v>19</v>
      </c>
      <c r="N714" t="s">
        <v>40</v>
      </c>
    </row>
    <row r="715" spans="1:14" x14ac:dyDescent="0.35">
      <c r="A715">
        <v>1033</v>
      </c>
      <c r="B715" s="1">
        <v>45230</v>
      </c>
      <c r="C715" t="s">
        <v>38</v>
      </c>
      <c r="D715" t="s">
        <v>34</v>
      </c>
      <c r="E715">
        <v>7982.79</v>
      </c>
      <c r="F715">
        <v>18</v>
      </c>
      <c r="G715" t="s">
        <v>16</v>
      </c>
      <c r="H715">
        <v>3124.48</v>
      </c>
      <c r="I715">
        <v>3553.27</v>
      </c>
      <c r="J715" t="s">
        <v>17</v>
      </c>
      <c r="K715">
        <v>0.12</v>
      </c>
      <c r="L715" t="s">
        <v>18</v>
      </c>
      <c r="M715" t="s">
        <v>22</v>
      </c>
      <c r="N715" t="s">
        <v>48</v>
      </c>
    </row>
    <row r="716" spans="1:14" x14ac:dyDescent="0.35">
      <c r="A716">
        <v>1038</v>
      </c>
      <c r="B716" s="1">
        <v>45095</v>
      </c>
      <c r="C716" t="s">
        <v>38</v>
      </c>
      <c r="D716" t="s">
        <v>21</v>
      </c>
      <c r="E716">
        <v>2792.27</v>
      </c>
      <c r="F716">
        <v>24</v>
      </c>
      <c r="G716" t="s">
        <v>29</v>
      </c>
      <c r="H716">
        <v>1543.91</v>
      </c>
      <c r="I716">
        <v>1862.88</v>
      </c>
      <c r="J716" t="s">
        <v>30</v>
      </c>
      <c r="K716">
        <v>0.09</v>
      </c>
      <c r="L716" t="s">
        <v>27</v>
      </c>
      <c r="M716" t="s">
        <v>19</v>
      </c>
      <c r="N716" t="s">
        <v>41</v>
      </c>
    </row>
    <row r="717" spans="1:14" x14ac:dyDescent="0.35">
      <c r="A717">
        <v>1006</v>
      </c>
      <c r="B717" s="1">
        <v>45195</v>
      </c>
      <c r="C717" t="s">
        <v>14</v>
      </c>
      <c r="D717" t="s">
        <v>34</v>
      </c>
      <c r="E717">
        <v>6954.35</v>
      </c>
      <c r="F717">
        <v>14</v>
      </c>
      <c r="G717" t="s">
        <v>26</v>
      </c>
      <c r="H717">
        <v>4503.7299999999996</v>
      </c>
      <c r="I717">
        <v>4879.8799999999901</v>
      </c>
      <c r="J717" t="s">
        <v>30</v>
      </c>
      <c r="K717">
        <v>0.24</v>
      </c>
      <c r="L717" t="s">
        <v>27</v>
      </c>
      <c r="M717" t="s">
        <v>22</v>
      </c>
      <c r="N717" t="s">
        <v>46</v>
      </c>
    </row>
    <row r="718" spans="1:14" x14ac:dyDescent="0.35">
      <c r="A718">
        <v>1058</v>
      </c>
      <c r="B718" s="1">
        <v>45289</v>
      </c>
      <c r="C718" t="s">
        <v>24</v>
      </c>
      <c r="D718" t="s">
        <v>15</v>
      </c>
      <c r="E718">
        <v>2714.21</v>
      </c>
      <c r="F718">
        <v>34</v>
      </c>
      <c r="G718" t="s">
        <v>35</v>
      </c>
      <c r="H718">
        <v>3160.61</v>
      </c>
      <c r="I718">
        <v>3273.22</v>
      </c>
      <c r="J718" t="s">
        <v>17</v>
      </c>
      <c r="K718">
        <v>0.08</v>
      </c>
      <c r="L718" t="s">
        <v>31</v>
      </c>
      <c r="M718" t="s">
        <v>22</v>
      </c>
      <c r="N718" t="s">
        <v>45</v>
      </c>
    </row>
    <row r="719" spans="1:14" x14ac:dyDescent="0.35">
      <c r="A719">
        <v>1044</v>
      </c>
      <c r="B719" s="1">
        <v>44971</v>
      </c>
      <c r="C719" t="s">
        <v>24</v>
      </c>
      <c r="D719" t="s">
        <v>21</v>
      </c>
      <c r="E719">
        <v>9396.7800000000007</v>
      </c>
      <c r="F719">
        <v>12</v>
      </c>
      <c r="G719" t="s">
        <v>35</v>
      </c>
      <c r="H719">
        <v>2221.31</v>
      </c>
      <c r="I719">
        <v>2494.48</v>
      </c>
      <c r="J719" t="s">
        <v>17</v>
      </c>
      <c r="K719">
        <v>0.22</v>
      </c>
      <c r="L719" t="s">
        <v>27</v>
      </c>
      <c r="M719" t="s">
        <v>19</v>
      </c>
      <c r="N719" t="s">
        <v>47</v>
      </c>
    </row>
    <row r="720" spans="1:14" x14ac:dyDescent="0.35">
      <c r="A720">
        <v>1045</v>
      </c>
      <c r="B720" s="1">
        <v>45271</v>
      </c>
      <c r="C720" t="s">
        <v>42</v>
      </c>
      <c r="D720" t="s">
        <v>21</v>
      </c>
      <c r="E720">
        <v>6400.11</v>
      </c>
      <c r="F720">
        <v>22</v>
      </c>
      <c r="G720" t="s">
        <v>29</v>
      </c>
      <c r="H720">
        <v>241.85</v>
      </c>
      <c r="I720">
        <v>613.09</v>
      </c>
      <c r="J720" t="s">
        <v>17</v>
      </c>
      <c r="K720">
        <v>0.06</v>
      </c>
      <c r="L720" t="s">
        <v>18</v>
      </c>
      <c r="M720" t="s">
        <v>19</v>
      </c>
      <c r="N720" t="s">
        <v>51</v>
      </c>
    </row>
    <row r="721" spans="1:14" x14ac:dyDescent="0.35">
      <c r="A721">
        <v>1032</v>
      </c>
      <c r="B721" s="1">
        <v>45107</v>
      </c>
      <c r="C721" t="s">
        <v>38</v>
      </c>
      <c r="D721" t="s">
        <v>15</v>
      </c>
      <c r="E721">
        <v>3312.67</v>
      </c>
      <c r="F721">
        <v>6</v>
      </c>
      <c r="G721" t="s">
        <v>29</v>
      </c>
      <c r="H721">
        <v>2522.7600000000002</v>
      </c>
      <c r="I721">
        <v>2840.14</v>
      </c>
      <c r="J721" t="s">
        <v>17</v>
      </c>
      <c r="K721">
        <v>7.0000000000000007E-2</v>
      </c>
      <c r="L721" t="s">
        <v>31</v>
      </c>
      <c r="M721" t="s">
        <v>22</v>
      </c>
      <c r="N721" t="s">
        <v>40</v>
      </c>
    </row>
    <row r="722" spans="1:14" x14ac:dyDescent="0.35">
      <c r="A722">
        <v>1045</v>
      </c>
      <c r="B722" s="1">
        <v>45096</v>
      </c>
      <c r="C722" t="s">
        <v>24</v>
      </c>
      <c r="D722" t="s">
        <v>15</v>
      </c>
      <c r="E722">
        <v>2768.17</v>
      </c>
      <c r="F722">
        <v>36</v>
      </c>
      <c r="G722" t="s">
        <v>35</v>
      </c>
      <c r="H722">
        <v>3835.64</v>
      </c>
      <c r="I722">
        <v>4076.77</v>
      </c>
      <c r="J722" t="s">
        <v>17</v>
      </c>
      <c r="K722">
        <v>0.1</v>
      </c>
      <c r="L722" t="s">
        <v>31</v>
      </c>
      <c r="M722" t="s">
        <v>22</v>
      </c>
      <c r="N722" t="s">
        <v>45</v>
      </c>
    </row>
    <row r="723" spans="1:14" x14ac:dyDescent="0.35">
      <c r="A723">
        <v>1061</v>
      </c>
      <c r="B723" s="1">
        <v>45282</v>
      </c>
      <c r="C723" t="s">
        <v>42</v>
      </c>
      <c r="D723" t="s">
        <v>15</v>
      </c>
      <c r="E723">
        <v>1990.17</v>
      </c>
      <c r="F723">
        <v>45</v>
      </c>
      <c r="G723" t="s">
        <v>29</v>
      </c>
      <c r="H723">
        <v>1364.51</v>
      </c>
      <c r="I723">
        <v>1844.8</v>
      </c>
      <c r="J723" t="s">
        <v>17</v>
      </c>
      <c r="K723">
        <v>0.18</v>
      </c>
      <c r="L723" t="s">
        <v>18</v>
      </c>
      <c r="M723" t="s">
        <v>19</v>
      </c>
      <c r="N723" t="s">
        <v>49</v>
      </c>
    </row>
    <row r="724" spans="1:14" x14ac:dyDescent="0.35">
      <c r="A724">
        <v>1047</v>
      </c>
      <c r="B724" s="1">
        <v>45117</v>
      </c>
      <c r="C724" t="s">
        <v>24</v>
      </c>
      <c r="D724" t="s">
        <v>15</v>
      </c>
      <c r="E724">
        <v>6976.95</v>
      </c>
      <c r="F724">
        <v>36</v>
      </c>
      <c r="G724" t="s">
        <v>26</v>
      </c>
      <c r="H724">
        <v>4043.53</v>
      </c>
      <c r="I724">
        <v>4384.8500000000004</v>
      </c>
      <c r="J724" t="s">
        <v>30</v>
      </c>
      <c r="K724">
        <v>0.14000000000000001</v>
      </c>
      <c r="L724" t="s">
        <v>18</v>
      </c>
      <c r="M724" t="s">
        <v>19</v>
      </c>
      <c r="N724" t="s">
        <v>45</v>
      </c>
    </row>
    <row r="725" spans="1:14" x14ac:dyDescent="0.35">
      <c r="A725">
        <v>1021</v>
      </c>
      <c r="B725" s="1">
        <v>45081</v>
      </c>
      <c r="C725" t="s">
        <v>38</v>
      </c>
      <c r="D725" t="s">
        <v>15</v>
      </c>
      <c r="E725">
        <v>2265.2800000000002</v>
      </c>
      <c r="F725">
        <v>22</v>
      </c>
      <c r="G725" t="s">
        <v>35</v>
      </c>
      <c r="H725">
        <v>1296.44</v>
      </c>
      <c r="I725">
        <v>1751.24</v>
      </c>
      <c r="J725" t="s">
        <v>30</v>
      </c>
      <c r="K725">
        <v>0.22</v>
      </c>
      <c r="L725" t="s">
        <v>18</v>
      </c>
      <c r="M725" t="s">
        <v>19</v>
      </c>
      <c r="N725" t="s">
        <v>40</v>
      </c>
    </row>
    <row r="726" spans="1:14" x14ac:dyDescent="0.35">
      <c r="A726">
        <v>1080</v>
      </c>
      <c r="B726" s="1">
        <v>45114</v>
      </c>
      <c r="C726" t="s">
        <v>33</v>
      </c>
      <c r="D726" t="s">
        <v>21</v>
      </c>
      <c r="E726">
        <v>5993.5</v>
      </c>
      <c r="F726">
        <v>14</v>
      </c>
      <c r="G726" t="s">
        <v>26</v>
      </c>
      <c r="H726">
        <v>4127.54</v>
      </c>
      <c r="I726">
        <v>4495.13</v>
      </c>
      <c r="J726" t="s">
        <v>30</v>
      </c>
      <c r="K726">
        <v>0.06</v>
      </c>
      <c r="L726" t="s">
        <v>27</v>
      </c>
      <c r="M726" t="s">
        <v>22</v>
      </c>
      <c r="N726" t="s">
        <v>37</v>
      </c>
    </row>
    <row r="727" spans="1:14" x14ac:dyDescent="0.35">
      <c r="A727">
        <v>1085</v>
      </c>
      <c r="B727" s="1">
        <v>44933</v>
      </c>
      <c r="C727" t="s">
        <v>38</v>
      </c>
      <c r="D727" t="s">
        <v>21</v>
      </c>
      <c r="E727">
        <v>2719.89</v>
      </c>
      <c r="F727">
        <v>16</v>
      </c>
      <c r="G727" t="s">
        <v>26</v>
      </c>
      <c r="H727">
        <v>472.08</v>
      </c>
      <c r="I727">
        <v>842.46</v>
      </c>
      <c r="J727" t="s">
        <v>30</v>
      </c>
      <c r="K727">
        <v>0</v>
      </c>
      <c r="L727" t="s">
        <v>18</v>
      </c>
      <c r="M727" t="s">
        <v>22</v>
      </c>
      <c r="N727" t="s">
        <v>41</v>
      </c>
    </row>
    <row r="728" spans="1:14" x14ac:dyDescent="0.35">
      <c r="A728">
        <v>1075</v>
      </c>
      <c r="B728" s="1">
        <v>45059</v>
      </c>
      <c r="C728" t="s">
        <v>14</v>
      </c>
      <c r="D728" t="s">
        <v>34</v>
      </c>
      <c r="E728">
        <v>6653.49</v>
      </c>
      <c r="F728">
        <v>36</v>
      </c>
      <c r="G728" t="s">
        <v>29</v>
      </c>
      <c r="H728">
        <v>4337.6099999999997</v>
      </c>
      <c r="I728">
        <v>4386.82</v>
      </c>
      <c r="J728" t="s">
        <v>17</v>
      </c>
      <c r="K728">
        <v>0.23</v>
      </c>
      <c r="L728" t="s">
        <v>31</v>
      </c>
      <c r="M728" t="s">
        <v>19</v>
      </c>
      <c r="N728" t="s">
        <v>46</v>
      </c>
    </row>
    <row r="729" spans="1:14" x14ac:dyDescent="0.35">
      <c r="A729">
        <v>1036</v>
      </c>
      <c r="B729" s="1">
        <v>45161</v>
      </c>
      <c r="C729" t="s">
        <v>24</v>
      </c>
      <c r="D729" t="s">
        <v>34</v>
      </c>
      <c r="E729">
        <v>8167.9</v>
      </c>
      <c r="F729">
        <v>25</v>
      </c>
      <c r="G729" t="s">
        <v>26</v>
      </c>
      <c r="H729">
        <v>2520.9699999999998</v>
      </c>
      <c r="I729">
        <v>2707.1099999999901</v>
      </c>
      <c r="J729" t="s">
        <v>30</v>
      </c>
      <c r="K729">
        <v>0.25</v>
      </c>
      <c r="L729" t="s">
        <v>18</v>
      </c>
      <c r="M729" t="s">
        <v>22</v>
      </c>
      <c r="N729" t="s">
        <v>50</v>
      </c>
    </row>
    <row r="730" spans="1:14" x14ac:dyDescent="0.35">
      <c r="A730">
        <v>1099</v>
      </c>
      <c r="B730" s="1">
        <v>44971</v>
      </c>
      <c r="C730" t="s">
        <v>24</v>
      </c>
      <c r="D730" t="s">
        <v>25</v>
      </c>
      <c r="E730">
        <v>7802.45</v>
      </c>
      <c r="F730">
        <v>32</v>
      </c>
      <c r="G730" t="s">
        <v>29</v>
      </c>
      <c r="H730">
        <v>1517.86</v>
      </c>
      <c r="I730">
        <v>1948.46</v>
      </c>
      <c r="J730" t="s">
        <v>30</v>
      </c>
      <c r="K730">
        <v>0.02</v>
      </c>
      <c r="L730" t="s">
        <v>31</v>
      </c>
      <c r="M730" t="s">
        <v>19</v>
      </c>
      <c r="N730" t="s">
        <v>28</v>
      </c>
    </row>
    <row r="731" spans="1:14" x14ac:dyDescent="0.35">
      <c r="A731">
        <v>1019</v>
      </c>
      <c r="B731" s="1">
        <v>45240</v>
      </c>
      <c r="C731" t="s">
        <v>14</v>
      </c>
      <c r="D731" t="s">
        <v>34</v>
      </c>
      <c r="E731">
        <v>7632.43</v>
      </c>
      <c r="F731">
        <v>33</v>
      </c>
      <c r="G731" t="s">
        <v>16</v>
      </c>
      <c r="H731">
        <v>1362.31</v>
      </c>
      <c r="I731">
        <v>1486.29</v>
      </c>
      <c r="J731" t="s">
        <v>17</v>
      </c>
      <c r="K731">
        <v>0.18</v>
      </c>
      <c r="L731" t="s">
        <v>31</v>
      </c>
      <c r="M731" t="s">
        <v>22</v>
      </c>
      <c r="N731" t="s">
        <v>46</v>
      </c>
    </row>
    <row r="732" spans="1:14" x14ac:dyDescent="0.35">
      <c r="A732">
        <v>1020</v>
      </c>
      <c r="B732" s="1">
        <v>45175</v>
      </c>
      <c r="C732" t="s">
        <v>14</v>
      </c>
      <c r="D732" t="s">
        <v>34</v>
      </c>
      <c r="E732">
        <v>1958.45</v>
      </c>
      <c r="F732">
        <v>45</v>
      </c>
      <c r="G732" t="s">
        <v>29</v>
      </c>
      <c r="H732">
        <v>2188.4499999999998</v>
      </c>
      <c r="I732">
        <v>2255.0499999999902</v>
      </c>
      <c r="J732" t="s">
        <v>30</v>
      </c>
      <c r="K732">
        <v>0.11</v>
      </c>
      <c r="L732" t="s">
        <v>27</v>
      </c>
      <c r="M732" t="s">
        <v>22</v>
      </c>
      <c r="N732" t="s">
        <v>46</v>
      </c>
    </row>
    <row r="733" spans="1:14" x14ac:dyDescent="0.35">
      <c r="A733">
        <v>1057</v>
      </c>
      <c r="B733" s="1">
        <v>44957</v>
      </c>
      <c r="C733" t="s">
        <v>33</v>
      </c>
      <c r="D733" t="s">
        <v>15</v>
      </c>
      <c r="E733">
        <v>975.01</v>
      </c>
      <c r="F733">
        <v>36</v>
      </c>
      <c r="G733" t="s">
        <v>26</v>
      </c>
      <c r="H733">
        <v>4995.3</v>
      </c>
      <c r="I733">
        <v>5165.09</v>
      </c>
      <c r="J733" t="s">
        <v>17</v>
      </c>
      <c r="K733">
        <v>0.24</v>
      </c>
      <c r="L733" t="s">
        <v>18</v>
      </c>
      <c r="M733" t="s">
        <v>19</v>
      </c>
      <c r="N733" t="s">
        <v>53</v>
      </c>
    </row>
    <row r="734" spans="1:14" x14ac:dyDescent="0.35">
      <c r="A734">
        <v>1018</v>
      </c>
      <c r="B734" s="1">
        <v>44949</v>
      </c>
      <c r="C734" t="s">
        <v>24</v>
      </c>
      <c r="D734" t="s">
        <v>15</v>
      </c>
      <c r="E734">
        <v>7019.59</v>
      </c>
      <c r="F734">
        <v>20</v>
      </c>
      <c r="G734" t="s">
        <v>16</v>
      </c>
      <c r="H734">
        <v>1140.6199999999999</v>
      </c>
      <c r="I734">
        <v>1258.6299999999901</v>
      </c>
      <c r="J734" t="s">
        <v>17</v>
      </c>
      <c r="K734">
        <v>0.26</v>
      </c>
      <c r="L734" t="s">
        <v>27</v>
      </c>
      <c r="M734" t="s">
        <v>19</v>
      </c>
      <c r="N734" t="s">
        <v>45</v>
      </c>
    </row>
    <row r="735" spans="1:14" x14ac:dyDescent="0.35">
      <c r="A735">
        <v>1047</v>
      </c>
      <c r="B735" s="1">
        <v>45086</v>
      </c>
      <c r="C735" t="s">
        <v>24</v>
      </c>
      <c r="D735" t="s">
        <v>34</v>
      </c>
      <c r="E735">
        <v>3746.64</v>
      </c>
      <c r="F735">
        <v>18</v>
      </c>
      <c r="G735" t="s">
        <v>29</v>
      </c>
      <c r="H735">
        <v>560.91999999999996</v>
      </c>
      <c r="I735">
        <v>1024.31</v>
      </c>
      <c r="J735" t="s">
        <v>17</v>
      </c>
      <c r="K735">
        <v>0.26</v>
      </c>
      <c r="L735" t="s">
        <v>18</v>
      </c>
      <c r="M735" t="s">
        <v>19</v>
      </c>
      <c r="N735" t="s">
        <v>50</v>
      </c>
    </row>
    <row r="736" spans="1:14" x14ac:dyDescent="0.35">
      <c r="A736">
        <v>1049</v>
      </c>
      <c r="B736" s="1">
        <v>45289</v>
      </c>
      <c r="C736" t="s">
        <v>33</v>
      </c>
      <c r="D736" t="s">
        <v>25</v>
      </c>
      <c r="E736">
        <v>4380.2299999999996</v>
      </c>
      <c r="F736">
        <v>38</v>
      </c>
      <c r="G736" t="s">
        <v>26</v>
      </c>
      <c r="H736">
        <v>2945.92</v>
      </c>
      <c r="I736">
        <v>3381.22</v>
      </c>
      <c r="J736" t="s">
        <v>17</v>
      </c>
      <c r="K736">
        <v>0.23</v>
      </c>
      <c r="L736" t="s">
        <v>18</v>
      </c>
      <c r="M736" t="s">
        <v>22</v>
      </c>
      <c r="N736" t="s">
        <v>44</v>
      </c>
    </row>
    <row r="737" spans="1:14" x14ac:dyDescent="0.35">
      <c r="A737">
        <v>1014</v>
      </c>
      <c r="B737" s="1">
        <v>45084</v>
      </c>
      <c r="C737" t="s">
        <v>42</v>
      </c>
      <c r="D737" t="s">
        <v>15</v>
      </c>
      <c r="E737">
        <v>408.38</v>
      </c>
      <c r="F737">
        <v>3</v>
      </c>
      <c r="G737" t="s">
        <v>35</v>
      </c>
      <c r="H737">
        <v>2468.29</v>
      </c>
      <c r="I737">
        <v>2723.13</v>
      </c>
      <c r="J737" t="s">
        <v>17</v>
      </c>
      <c r="K737">
        <v>0.08</v>
      </c>
      <c r="L737" t="s">
        <v>18</v>
      </c>
      <c r="M737" t="s">
        <v>22</v>
      </c>
      <c r="N737" t="s">
        <v>49</v>
      </c>
    </row>
    <row r="738" spans="1:14" x14ac:dyDescent="0.35">
      <c r="A738">
        <v>1015</v>
      </c>
      <c r="B738" s="1">
        <v>44965</v>
      </c>
      <c r="C738" t="s">
        <v>33</v>
      </c>
      <c r="D738" t="s">
        <v>34</v>
      </c>
      <c r="E738">
        <v>2669.81</v>
      </c>
      <c r="F738">
        <v>23</v>
      </c>
      <c r="G738" t="s">
        <v>35</v>
      </c>
      <c r="H738">
        <v>2644.77</v>
      </c>
      <c r="I738">
        <v>2684.83</v>
      </c>
      <c r="J738" t="s">
        <v>30</v>
      </c>
      <c r="K738">
        <v>0.24</v>
      </c>
      <c r="L738" t="s">
        <v>18</v>
      </c>
      <c r="M738" t="s">
        <v>19</v>
      </c>
      <c r="N738" t="s">
        <v>36</v>
      </c>
    </row>
    <row r="739" spans="1:14" x14ac:dyDescent="0.35">
      <c r="A739">
        <v>1031</v>
      </c>
      <c r="B739" s="1">
        <v>45008</v>
      </c>
      <c r="C739" t="s">
        <v>38</v>
      </c>
      <c r="D739" t="s">
        <v>34</v>
      </c>
      <c r="E739">
        <v>433.4</v>
      </c>
      <c r="F739">
        <v>32</v>
      </c>
      <c r="G739" t="s">
        <v>29</v>
      </c>
      <c r="H739">
        <v>3351.33</v>
      </c>
      <c r="I739">
        <v>3711.47</v>
      </c>
      <c r="J739" t="s">
        <v>30</v>
      </c>
      <c r="K739">
        <v>0.16</v>
      </c>
      <c r="L739" t="s">
        <v>18</v>
      </c>
      <c r="M739" t="s">
        <v>22</v>
      </c>
      <c r="N739" t="s">
        <v>48</v>
      </c>
    </row>
    <row r="740" spans="1:14" x14ac:dyDescent="0.35">
      <c r="A740">
        <v>1001</v>
      </c>
      <c r="B740" s="1">
        <v>45282</v>
      </c>
      <c r="C740" t="s">
        <v>24</v>
      </c>
      <c r="D740" t="s">
        <v>21</v>
      </c>
      <c r="E740">
        <v>8803.94</v>
      </c>
      <c r="F740">
        <v>45</v>
      </c>
      <c r="G740" t="s">
        <v>29</v>
      </c>
      <c r="H740">
        <v>1372.36</v>
      </c>
      <c r="I740">
        <v>1687.83</v>
      </c>
      <c r="J740" t="s">
        <v>30</v>
      </c>
      <c r="K740">
        <v>0.02</v>
      </c>
      <c r="L740" t="s">
        <v>31</v>
      </c>
      <c r="M740" t="s">
        <v>19</v>
      </c>
      <c r="N740" t="s">
        <v>47</v>
      </c>
    </row>
    <row r="741" spans="1:14" x14ac:dyDescent="0.35">
      <c r="A741">
        <v>1054</v>
      </c>
      <c r="B741" s="1">
        <v>45184</v>
      </c>
      <c r="C741" t="s">
        <v>14</v>
      </c>
      <c r="D741" t="s">
        <v>25</v>
      </c>
      <c r="E741">
        <v>2509.63</v>
      </c>
      <c r="F741">
        <v>16</v>
      </c>
      <c r="G741" t="s">
        <v>35</v>
      </c>
      <c r="H741">
        <v>4557.79</v>
      </c>
      <c r="I741">
        <v>5043.3599999999997</v>
      </c>
      <c r="J741" t="s">
        <v>17</v>
      </c>
      <c r="K741">
        <v>0.14000000000000001</v>
      </c>
      <c r="L741" t="s">
        <v>31</v>
      </c>
      <c r="M741" t="s">
        <v>22</v>
      </c>
      <c r="N741" t="s">
        <v>32</v>
      </c>
    </row>
    <row r="742" spans="1:14" x14ac:dyDescent="0.35">
      <c r="A742">
        <v>1003</v>
      </c>
      <c r="B742" s="1">
        <v>45132</v>
      </c>
      <c r="C742" t="s">
        <v>38</v>
      </c>
      <c r="D742" t="s">
        <v>21</v>
      </c>
      <c r="E742">
        <v>5617.64</v>
      </c>
      <c r="F742">
        <v>5</v>
      </c>
      <c r="G742" t="s">
        <v>26</v>
      </c>
      <c r="H742">
        <v>2206.58</v>
      </c>
      <c r="I742">
        <v>2490.4699999999998</v>
      </c>
      <c r="J742" t="s">
        <v>30</v>
      </c>
      <c r="K742">
        <v>0.28000000000000003</v>
      </c>
      <c r="L742" t="s">
        <v>18</v>
      </c>
      <c r="M742" t="s">
        <v>19</v>
      </c>
      <c r="N742" t="s">
        <v>41</v>
      </c>
    </row>
    <row r="743" spans="1:14" x14ac:dyDescent="0.35">
      <c r="A743">
        <v>1016</v>
      </c>
      <c r="B743" s="1">
        <v>45003</v>
      </c>
      <c r="C743" t="s">
        <v>24</v>
      </c>
      <c r="D743" t="s">
        <v>25</v>
      </c>
      <c r="E743">
        <v>485.9</v>
      </c>
      <c r="F743">
        <v>4</v>
      </c>
      <c r="G743" t="s">
        <v>26</v>
      </c>
      <c r="H743">
        <v>688.98</v>
      </c>
      <c r="I743">
        <v>863.81</v>
      </c>
      <c r="J743" t="s">
        <v>30</v>
      </c>
      <c r="K743">
        <v>0.27</v>
      </c>
      <c r="L743" t="s">
        <v>31</v>
      </c>
      <c r="M743" t="s">
        <v>22</v>
      </c>
      <c r="N743" t="s">
        <v>28</v>
      </c>
    </row>
    <row r="744" spans="1:14" x14ac:dyDescent="0.35">
      <c r="A744">
        <v>1087</v>
      </c>
      <c r="B744" s="1">
        <v>44938</v>
      </c>
      <c r="C744" t="s">
        <v>33</v>
      </c>
      <c r="D744" t="s">
        <v>15</v>
      </c>
      <c r="E744">
        <v>6701.79</v>
      </c>
      <c r="F744">
        <v>21</v>
      </c>
      <c r="G744" t="s">
        <v>26</v>
      </c>
      <c r="H744">
        <v>3724.38</v>
      </c>
      <c r="I744">
        <v>3988.7</v>
      </c>
      <c r="J744" t="s">
        <v>30</v>
      </c>
      <c r="K744">
        <v>0.03</v>
      </c>
      <c r="L744" t="s">
        <v>27</v>
      </c>
      <c r="M744" t="s">
        <v>22</v>
      </c>
      <c r="N744" t="s">
        <v>53</v>
      </c>
    </row>
    <row r="745" spans="1:14" x14ac:dyDescent="0.35">
      <c r="A745">
        <v>1057</v>
      </c>
      <c r="B745" s="1">
        <v>45221</v>
      </c>
      <c r="C745" t="s">
        <v>38</v>
      </c>
      <c r="D745" t="s">
        <v>25</v>
      </c>
      <c r="E745">
        <v>3297.97</v>
      </c>
      <c r="F745">
        <v>40</v>
      </c>
      <c r="G745" t="s">
        <v>29</v>
      </c>
      <c r="H745">
        <v>3233.37</v>
      </c>
      <c r="I745">
        <v>3723.21</v>
      </c>
      <c r="J745" t="s">
        <v>30</v>
      </c>
      <c r="K745">
        <v>0.22</v>
      </c>
      <c r="L745" t="s">
        <v>27</v>
      </c>
      <c r="M745" t="s">
        <v>22</v>
      </c>
      <c r="N745" t="s">
        <v>39</v>
      </c>
    </row>
    <row r="746" spans="1:14" x14ac:dyDescent="0.35">
      <c r="A746">
        <v>1075</v>
      </c>
      <c r="B746" s="1">
        <v>45150</v>
      </c>
      <c r="C746" t="s">
        <v>24</v>
      </c>
      <c r="D746" t="s">
        <v>34</v>
      </c>
      <c r="E746">
        <v>8989.4</v>
      </c>
      <c r="F746">
        <v>14</v>
      </c>
      <c r="G746" t="s">
        <v>16</v>
      </c>
      <c r="H746">
        <v>1612.93</v>
      </c>
      <c r="I746">
        <v>1964.15</v>
      </c>
      <c r="J746" t="s">
        <v>17</v>
      </c>
      <c r="K746">
        <v>0.24</v>
      </c>
      <c r="L746" t="s">
        <v>27</v>
      </c>
      <c r="M746" t="s">
        <v>22</v>
      </c>
      <c r="N746" t="s">
        <v>50</v>
      </c>
    </row>
    <row r="747" spans="1:14" x14ac:dyDescent="0.35">
      <c r="A747">
        <v>1012</v>
      </c>
      <c r="B747" s="1">
        <v>44939</v>
      </c>
      <c r="C747" t="s">
        <v>42</v>
      </c>
      <c r="D747" t="s">
        <v>34</v>
      </c>
      <c r="E747">
        <v>8892.3700000000008</v>
      </c>
      <c r="F747">
        <v>39</v>
      </c>
      <c r="G747" t="s">
        <v>16</v>
      </c>
      <c r="H747">
        <v>3126.52</v>
      </c>
      <c r="I747">
        <v>3465.79</v>
      </c>
      <c r="J747" t="s">
        <v>30</v>
      </c>
      <c r="K747">
        <v>0.08</v>
      </c>
      <c r="L747" t="s">
        <v>18</v>
      </c>
      <c r="M747" t="s">
        <v>19</v>
      </c>
      <c r="N747" t="s">
        <v>52</v>
      </c>
    </row>
    <row r="748" spans="1:14" x14ac:dyDescent="0.35">
      <c r="A748">
        <v>1074</v>
      </c>
      <c r="B748" s="1">
        <v>44972</v>
      </c>
      <c r="C748" t="s">
        <v>42</v>
      </c>
      <c r="D748" t="s">
        <v>25</v>
      </c>
      <c r="E748">
        <v>3320.38</v>
      </c>
      <c r="F748">
        <v>31</v>
      </c>
      <c r="G748" t="s">
        <v>16</v>
      </c>
      <c r="H748">
        <v>1138.32</v>
      </c>
      <c r="I748">
        <v>1266.25</v>
      </c>
      <c r="J748" t="s">
        <v>17</v>
      </c>
      <c r="K748">
        <v>0.14000000000000001</v>
      </c>
      <c r="L748" t="s">
        <v>18</v>
      </c>
      <c r="M748" t="s">
        <v>22</v>
      </c>
      <c r="N748" t="s">
        <v>43</v>
      </c>
    </row>
    <row r="749" spans="1:14" x14ac:dyDescent="0.35">
      <c r="A749">
        <v>1096</v>
      </c>
      <c r="B749" s="1">
        <v>45081</v>
      </c>
      <c r="C749" t="s">
        <v>14</v>
      </c>
      <c r="D749" t="s">
        <v>25</v>
      </c>
      <c r="E749">
        <v>9019.51</v>
      </c>
      <c r="F749">
        <v>14</v>
      </c>
      <c r="G749" t="s">
        <v>16</v>
      </c>
      <c r="H749">
        <v>2251.9499999999998</v>
      </c>
      <c r="I749">
        <v>2626.3199999999902</v>
      </c>
      <c r="J749" t="s">
        <v>17</v>
      </c>
      <c r="K749">
        <v>0.21</v>
      </c>
      <c r="L749" t="s">
        <v>31</v>
      </c>
      <c r="M749" t="s">
        <v>19</v>
      </c>
      <c r="N749" t="s">
        <v>32</v>
      </c>
    </row>
    <row r="750" spans="1:14" x14ac:dyDescent="0.35">
      <c r="A750">
        <v>1016</v>
      </c>
      <c r="B750" s="1">
        <v>45039</v>
      </c>
      <c r="C750" t="s">
        <v>24</v>
      </c>
      <c r="D750" t="s">
        <v>25</v>
      </c>
      <c r="E750">
        <v>9961.9599999999991</v>
      </c>
      <c r="F750">
        <v>6</v>
      </c>
      <c r="G750" t="s">
        <v>16</v>
      </c>
      <c r="H750">
        <v>4502.09</v>
      </c>
      <c r="I750">
        <v>4879.72</v>
      </c>
      <c r="J750" t="s">
        <v>30</v>
      </c>
      <c r="K750">
        <v>0.13</v>
      </c>
      <c r="L750" t="s">
        <v>31</v>
      </c>
      <c r="M750" t="s">
        <v>19</v>
      </c>
      <c r="N750" t="s">
        <v>28</v>
      </c>
    </row>
    <row r="751" spans="1:14" x14ac:dyDescent="0.35">
      <c r="A751">
        <v>1072</v>
      </c>
      <c r="B751" s="1">
        <v>45159</v>
      </c>
      <c r="C751" t="s">
        <v>42</v>
      </c>
      <c r="D751" t="s">
        <v>21</v>
      </c>
      <c r="E751">
        <v>8271.6200000000008</v>
      </c>
      <c r="F751">
        <v>12</v>
      </c>
      <c r="G751" t="s">
        <v>29</v>
      </c>
      <c r="H751">
        <v>710.99</v>
      </c>
      <c r="I751">
        <v>876.46</v>
      </c>
      <c r="J751" t="s">
        <v>17</v>
      </c>
      <c r="K751">
        <v>0.03</v>
      </c>
      <c r="L751" t="s">
        <v>31</v>
      </c>
      <c r="M751" t="s">
        <v>19</v>
      </c>
      <c r="N751" t="s">
        <v>51</v>
      </c>
    </row>
    <row r="752" spans="1:14" x14ac:dyDescent="0.35">
      <c r="A752">
        <v>1076</v>
      </c>
      <c r="B752" s="1">
        <v>44943</v>
      </c>
      <c r="C752" t="s">
        <v>33</v>
      </c>
      <c r="D752" t="s">
        <v>25</v>
      </c>
      <c r="E752">
        <v>8464.23</v>
      </c>
      <c r="F752">
        <v>16</v>
      </c>
      <c r="G752" t="s">
        <v>29</v>
      </c>
      <c r="H752">
        <v>1964.15</v>
      </c>
      <c r="I752">
        <v>2211.17</v>
      </c>
      <c r="J752" t="s">
        <v>17</v>
      </c>
      <c r="K752">
        <v>0.21</v>
      </c>
      <c r="L752" t="s">
        <v>27</v>
      </c>
      <c r="M752" t="s">
        <v>19</v>
      </c>
      <c r="N752" t="s">
        <v>44</v>
      </c>
    </row>
    <row r="753" spans="1:14" x14ac:dyDescent="0.35">
      <c r="A753">
        <v>1024</v>
      </c>
      <c r="B753" s="1">
        <v>45286</v>
      </c>
      <c r="C753" t="s">
        <v>24</v>
      </c>
      <c r="D753" t="s">
        <v>15</v>
      </c>
      <c r="E753">
        <v>2565.19</v>
      </c>
      <c r="F753">
        <v>17</v>
      </c>
      <c r="G753" t="s">
        <v>16</v>
      </c>
      <c r="H753">
        <v>4114.66</v>
      </c>
      <c r="I753">
        <v>4269.0199999999904</v>
      </c>
      <c r="J753" t="s">
        <v>17</v>
      </c>
      <c r="K753">
        <v>0.27</v>
      </c>
      <c r="L753" t="s">
        <v>27</v>
      </c>
      <c r="M753" t="s">
        <v>22</v>
      </c>
      <c r="N753" t="s">
        <v>45</v>
      </c>
    </row>
    <row r="754" spans="1:14" x14ac:dyDescent="0.35">
      <c r="A754">
        <v>1028</v>
      </c>
      <c r="B754" s="1">
        <v>45149</v>
      </c>
      <c r="C754" t="s">
        <v>33</v>
      </c>
      <c r="D754" t="s">
        <v>21</v>
      </c>
      <c r="E754">
        <v>5809.35</v>
      </c>
      <c r="F754">
        <v>45</v>
      </c>
      <c r="G754" t="s">
        <v>29</v>
      </c>
      <c r="H754">
        <v>4848.9799999999996</v>
      </c>
      <c r="I754">
        <v>4985.75</v>
      </c>
      <c r="J754" t="s">
        <v>17</v>
      </c>
      <c r="K754">
        <v>0.2</v>
      </c>
      <c r="L754" t="s">
        <v>27</v>
      </c>
      <c r="M754" t="s">
        <v>19</v>
      </c>
      <c r="N754" t="s">
        <v>37</v>
      </c>
    </row>
    <row r="755" spans="1:14" x14ac:dyDescent="0.35">
      <c r="A755">
        <v>1008</v>
      </c>
      <c r="B755" s="1">
        <v>45280</v>
      </c>
      <c r="C755" t="s">
        <v>33</v>
      </c>
      <c r="D755" t="s">
        <v>21</v>
      </c>
      <c r="E755">
        <v>765.83</v>
      </c>
      <c r="F755">
        <v>23</v>
      </c>
      <c r="G755" t="s">
        <v>29</v>
      </c>
      <c r="H755">
        <v>2296.9299999999998</v>
      </c>
      <c r="I755">
        <v>2319.62</v>
      </c>
      <c r="J755" t="s">
        <v>17</v>
      </c>
      <c r="K755">
        <v>0.23</v>
      </c>
      <c r="L755" t="s">
        <v>27</v>
      </c>
      <c r="M755" t="s">
        <v>22</v>
      </c>
      <c r="N755" t="s">
        <v>37</v>
      </c>
    </row>
    <row r="756" spans="1:14" x14ac:dyDescent="0.35">
      <c r="A756">
        <v>1092</v>
      </c>
      <c r="B756" s="1">
        <v>45114</v>
      </c>
      <c r="C756" t="s">
        <v>42</v>
      </c>
      <c r="D756" t="s">
        <v>25</v>
      </c>
      <c r="E756">
        <v>1039.69</v>
      </c>
      <c r="F756">
        <v>14</v>
      </c>
      <c r="G756" t="s">
        <v>16</v>
      </c>
      <c r="H756">
        <v>2559.65</v>
      </c>
      <c r="I756">
        <v>2709.4</v>
      </c>
      <c r="J756" t="s">
        <v>17</v>
      </c>
      <c r="K756">
        <v>0.11</v>
      </c>
      <c r="L756" t="s">
        <v>31</v>
      </c>
      <c r="M756" t="s">
        <v>22</v>
      </c>
      <c r="N756" t="s">
        <v>43</v>
      </c>
    </row>
    <row r="757" spans="1:14" x14ac:dyDescent="0.35">
      <c r="A757">
        <v>1036</v>
      </c>
      <c r="B757" s="1">
        <v>45270</v>
      </c>
      <c r="C757" t="s">
        <v>24</v>
      </c>
      <c r="D757" t="s">
        <v>15</v>
      </c>
      <c r="E757">
        <v>9989.0400000000009</v>
      </c>
      <c r="F757">
        <v>7</v>
      </c>
      <c r="G757" t="s">
        <v>26</v>
      </c>
      <c r="H757">
        <v>2882.25</v>
      </c>
      <c r="I757">
        <v>3163.7</v>
      </c>
      <c r="J757" t="s">
        <v>17</v>
      </c>
      <c r="K757">
        <v>0.05</v>
      </c>
      <c r="L757" t="s">
        <v>18</v>
      </c>
      <c r="M757" t="s">
        <v>22</v>
      </c>
      <c r="N757" t="s">
        <v>45</v>
      </c>
    </row>
    <row r="758" spans="1:14" x14ac:dyDescent="0.35">
      <c r="A758">
        <v>1090</v>
      </c>
      <c r="B758" s="1">
        <v>45291</v>
      </c>
      <c r="C758" t="s">
        <v>38</v>
      </c>
      <c r="D758" t="s">
        <v>21</v>
      </c>
      <c r="E758">
        <v>3333.73</v>
      </c>
      <c r="F758">
        <v>46</v>
      </c>
      <c r="G758" t="s">
        <v>29</v>
      </c>
      <c r="H758">
        <v>4665.12</v>
      </c>
      <c r="I758">
        <v>4675.8999999999996</v>
      </c>
      <c r="J758" t="s">
        <v>30</v>
      </c>
      <c r="K758">
        <v>0.19</v>
      </c>
      <c r="L758" t="s">
        <v>18</v>
      </c>
      <c r="M758" t="s">
        <v>22</v>
      </c>
      <c r="N758" t="s">
        <v>41</v>
      </c>
    </row>
    <row r="759" spans="1:14" x14ac:dyDescent="0.35">
      <c r="A759">
        <v>1008</v>
      </c>
      <c r="B759" s="1">
        <v>45089</v>
      </c>
      <c r="C759" t="s">
        <v>42</v>
      </c>
      <c r="D759" t="s">
        <v>34</v>
      </c>
      <c r="E759">
        <v>7507.02</v>
      </c>
      <c r="F759">
        <v>32</v>
      </c>
      <c r="G759" t="s">
        <v>26</v>
      </c>
      <c r="H759">
        <v>4298.12</v>
      </c>
      <c r="I759">
        <v>4446.8999999999996</v>
      </c>
      <c r="J759" t="s">
        <v>30</v>
      </c>
      <c r="K759">
        <v>0.1</v>
      </c>
      <c r="L759" t="s">
        <v>27</v>
      </c>
      <c r="M759" t="s">
        <v>19</v>
      </c>
      <c r="N759" t="s">
        <v>52</v>
      </c>
    </row>
    <row r="760" spans="1:14" x14ac:dyDescent="0.35">
      <c r="A760">
        <v>1058</v>
      </c>
      <c r="B760" s="1">
        <v>45252</v>
      </c>
      <c r="C760" t="s">
        <v>42</v>
      </c>
      <c r="D760" t="s">
        <v>21</v>
      </c>
      <c r="E760">
        <v>8085.98</v>
      </c>
      <c r="F760">
        <v>15</v>
      </c>
      <c r="G760" t="s">
        <v>29</v>
      </c>
      <c r="H760">
        <v>894.48</v>
      </c>
      <c r="I760">
        <v>1336.37</v>
      </c>
      <c r="J760" t="s">
        <v>17</v>
      </c>
      <c r="K760">
        <v>0.26</v>
      </c>
      <c r="L760" t="s">
        <v>18</v>
      </c>
      <c r="M760" t="s">
        <v>22</v>
      </c>
      <c r="N760" t="s">
        <v>51</v>
      </c>
    </row>
    <row r="761" spans="1:14" x14ac:dyDescent="0.35">
      <c r="A761">
        <v>1060</v>
      </c>
      <c r="B761" s="1">
        <v>45000</v>
      </c>
      <c r="C761" t="s">
        <v>24</v>
      </c>
      <c r="D761" t="s">
        <v>25</v>
      </c>
      <c r="E761">
        <v>8594.43</v>
      </c>
      <c r="F761">
        <v>44</v>
      </c>
      <c r="G761" t="s">
        <v>29</v>
      </c>
      <c r="H761">
        <v>2211.9499999999998</v>
      </c>
      <c r="I761">
        <v>2512.8399999999901</v>
      </c>
      <c r="J761" t="s">
        <v>17</v>
      </c>
      <c r="K761">
        <v>0.04</v>
      </c>
      <c r="L761" t="s">
        <v>18</v>
      </c>
      <c r="M761" t="s">
        <v>19</v>
      </c>
      <c r="N761" t="s">
        <v>28</v>
      </c>
    </row>
    <row r="762" spans="1:14" x14ac:dyDescent="0.35">
      <c r="A762">
        <v>1050</v>
      </c>
      <c r="B762" s="1">
        <v>45159</v>
      </c>
      <c r="C762" t="s">
        <v>24</v>
      </c>
      <c r="D762" t="s">
        <v>15</v>
      </c>
      <c r="E762">
        <v>9976.52</v>
      </c>
      <c r="F762">
        <v>17</v>
      </c>
      <c r="G762" t="s">
        <v>16</v>
      </c>
      <c r="H762">
        <v>2346.8000000000002</v>
      </c>
      <c r="I762">
        <v>2654.65</v>
      </c>
      <c r="J762" t="s">
        <v>30</v>
      </c>
      <c r="K762">
        <v>0.13</v>
      </c>
      <c r="L762" t="s">
        <v>18</v>
      </c>
      <c r="M762" t="s">
        <v>22</v>
      </c>
      <c r="N762" t="s">
        <v>45</v>
      </c>
    </row>
    <row r="763" spans="1:14" x14ac:dyDescent="0.35">
      <c r="A763">
        <v>1028</v>
      </c>
      <c r="B763" s="1">
        <v>45150</v>
      </c>
      <c r="C763" t="s">
        <v>33</v>
      </c>
      <c r="D763" t="s">
        <v>25</v>
      </c>
      <c r="E763">
        <v>2490.8200000000002</v>
      </c>
      <c r="F763">
        <v>41</v>
      </c>
      <c r="G763" t="s">
        <v>29</v>
      </c>
      <c r="H763">
        <v>3956.03</v>
      </c>
      <c r="I763">
        <v>4163.68</v>
      </c>
      <c r="J763" t="s">
        <v>30</v>
      </c>
      <c r="K763">
        <v>0.12</v>
      </c>
      <c r="L763" t="s">
        <v>27</v>
      </c>
      <c r="M763" t="s">
        <v>22</v>
      </c>
      <c r="N763" t="s">
        <v>44</v>
      </c>
    </row>
    <row r="764" spans="1:14" x14ac:dyDescent="0.35">
      <c r="A764">
        <v>1092</v>
      </c>
      <c r="B764" s="1">
        <v>45245</v>
      </c>
      <c r="C764" t="s">
        <v>24</v>
      </c>
      <c r="D764" t="s">
        <v>34</v>
      </c>
      <c r="E764">
        <v>499.47</v>
      </c>
      <c r="F764">
        <v>47</v>
      </c>
      <c r="G764" t="s">
        <v>35</v>
      </c>
      <c r="H764">
        <v>3034.32</v>
      </c>
      <c r="I764">
        <v>3375.79</v>
      </c>
      <c r="J764" t="s">
        <v>30</v>
      </c>
      <c r="K764">
        <v>0.28000000000000003</v>
      </c>
      <c r="L764" t="s">
        <v>31</v>
      </c>
      <c r="M764" t="s">
        <v>19</v>
      </c>
      <c r="N764" t="s">
        <v>50</v>
      </c>
    </row>
    <row r="765" spans="1:14" x14ac:dyDescent="0.35">
      <c r="A765">
        <v>1041</v>
      </c>
      <c r="B765" s="1">
        <v>44986</v>
      </c>
      <c r="C765" t="s">
        <v>33</v>
      </c>
      <c r="D765" t="s">
        <v>34</v>
      </c>
      <c r="E765">
        <v>4170.8</v>
      </c>
      <c r="F765">
        <v>44</v>
      </c>
      <c r="G765" t="s">
        <v>35</v>
      </c>
      <c r="H765">
        <v>3288.39</v>
      </c>
      <c r="I765">
        <v>3391.46</v>
      </c>
      <c r="J765" t="s">
        <v>30</v>
      </c>
      <c r="K765">
        <v>0.05</v>
      </c>
      <c r="L765" t="s">
        <v>31</v>
      </c>
      <c r="M765" t="s">
        <v>22</v>
      </c>
      <c r="N765" t="s">
        <v>36</v>
      </c>
    </row>
    <row r="766" spans="1:14" x14ac:dyDescent="0.35">
      <c r="A766">
        <v>1100</v>
      </c>
      <c r="B766" s="1">
        <v>45261</v>
      </c>
      <c r="C766" t="s">
        <v>42</v>
      </c>
      <c r="D766" t="s">
        <v>34</v>
      </c>
      <c r="E766">
        <v>1387.8</v>
      </c>
      <c r="F766">
        <v>34</v>
      </c>
      <c r="G766" t="s">
        <v>16</v>
      </c>
      <c r="H766">
        <v>4991.09</v>
      </c>
      <c r="I766">
        <v>5402.28</v>
      </c>
      <c r="J766" t="s">
        <v>17</v>
      </c>
      <c r="K766">
        <v>0</v>
      </c>
      <c r="L766" t="s">
        <v>18</v>
      </c>
      <c r="M766" t="s">
        <v>22</v>
      </c>
      <c r="N766" t="s">
        <v>52</v>
      </c>
    </row>
    <row r="767" spans="1:14" x14ac:dyDescent="0.35">
      <c r="A767">
        <v>1064</v>
      </c>
      <c r="B767" s="1">
        <v>45148</v>
      </c>
      <c r="C767" t="s">
        <v>14</v>
      </c>
      <c r="D767" t="s">
        <v>25</v>
      </c>
      <c r="E767">
        <v>322.02</v>
      </c>
      <c r="F767">
        <v>5</v>
      </c>
      <c r="G767" t="s">
        <v>26</v>
      </c>
      <c r="H767">
        <v>421.05</v>
      </c>
      <c r="I767">
        <v>488.23</v>
      </c>
      <c r="J767" t="s">
        <v>17</v>
      </c>
      <c r="K767">
        <v>7.0000000000000007E-2</v>
      </c>
      <c r="L767" t="s">
        <v>31</v>
      </c>
      <c r="M767" t="s">
        <v>22</v>
      </c>
      <c r="N767" t="s">
        <v>32</v>
      </c>
    </row>
    <row r="768" spans="1:14" x14ac:dyDescent="0.35">
      <c r="A768">
        <v>1027</v>
      </c>
      <c r="B768" s="1">
        <v>44963</v>
      </c>
      <c r="C768" t="s">
        <v>38</v>
      </c>
      <c r="D768" t="s">
        <v>21</v>
      </c>
      <c r="E768">
        <v>3668.23</v>
      </c>
      <c r="F768">
        <v>45</v>
      </c>
      <c r="G768" t="s">
        <v>26</v>
      </c>
      <c r="H768">
        <v>1153.9000000000001</v>
      </c>
      <c r="I768">
        <v>1485.34</v>
      </c>
      <c r="J768" t="s">
        <v>30</v>
      </c>
      <c r="K768">
        <v>0.25</v>
      </c>
      <c r="L768" t="s">
        <v>31</v>
      </c>
      <c r="M768" t="s">
        <v>22</v>
      </c>
      <c r="N768" t="s">
        <v>41</v>
      </c>
    </row>
    <row r="769" spans="1:14" x14ac:dyDescent="0.35">
      <c r="A769">
        <v>1063</v>
      </c>
      <c r="B769" s="1">
        <v>45204</v>
      </c>
      <c r="C769" t="s">
        <v>42</v>
      </c>
      <c r="D769" t="s">
        <v>25</v>
      </c>
      <c r="E769">
        <v>7859.01</v>
      </c>
      <c r="F769">
        <v>27</v>
      </c>
      <c r="G769" t="s">
        <v>26</v>
      </c>
      <c r="H769">
        <v>2069.08</v>
      </c>
      <c r="I769">
        <v>2246.2399999999998</v>
      </c>
      <c r="J769" t="s">
        <v>30</v>
      </c>
      <c r="K769">
        <v>0.06</v>
      </c>
      <c r="L769" t="s">
        <v>27</v>
      </c>
      <c r="M769" t="s">
        <v>22</v>
      </c>
      <c r="N769" t="s">
        <v>43</v>
      </c>
    </row>
    <row r="770" spans="1:14" x14ac:dyDescent="0.35">
      <c r="A770">
        <v>1017</v>
      </c>
      <c r="B770" s="1">
        <v>45122</v>
      </c>
      <c r="C770" t="s">
        <v>24</v>
      </c>
      <c r="D770" t="s">
        <v>15</v>
      </c>
      <c r="E770">
        <v>5705.19</v>
      </c>
      <c r="F770">
        <v>23</v>
      </c>
      <c r="G770" t="s">
        <v>35</v>
      </c>
      <c r="H770">
        <v>1771.52</v>
      </c>
      <c r="I770">
        <v>2147.8000000000002</v>
      </c>
      <c r="J770" t="s">
        <v>30</v>
      </c>
      <c r="K770">
        <v>7.0000000000000007E-2</v>
      </c>
      <c r="L770" t="s">
        <v>27</v>
      </c>
      <c r="M770" t="s">
        <v>19</v>
      </c>
      <c r="N770" t="s">
        <v>45</v>
      </c>
    </row>
    <row r="771" spans="1:14" x14ac:dyDescent="0.35">
      <c r="A771">
        <v>1073</v>
      </c>
      <c r="B771" s="1">
        <v>45278</v>
      </c>
      <c r="C771" t="s">
        <v>38</v>
      </c>
      <c r="D771" t="s">
        <v>21</v>
      </c>
      <c r="E771">
        <v>3196.5</v>
      </c>
      <c r="F771">
        <v>40</v>
      </c>
      <c r="G771" t="s">
        <v>26</v>
      </c>
      <c r="H771">
        <v>157.15</v>
      </c>
      <c r="I771">
        <v>436.53</v>
      </c>
      <c r="J771" t="s">
        <v>30</v>
      </c>
      <c r="K771">
        <v>0.04</v>
      </c>
      <c r="L771" t="s">
        <v>18</v>
      </c>
      <c r="M771" t="s">
        <v>22</v>
      </c>
      <c r="N771" t="s">
        <v>41</v>
      </c>
    </row>
    <row r="772" spans="1:14" x14ac:dyDescent="0.35">
      <c r="A772">
        <v>1033</v>
      </c>
      <c r="B772" s="1">
        <v>45168</v>
      </c>
      <c r="C772" t="s">
        <v>14</v>
      </c>
      <c r="D772" t="s">
        <v>34</v>
      </c>
      <c r="E772">
        <v>6577.99</v>
      </c>
      <c r="F772">
        <v>14</v>
      </c>
      <c r="G772" t="s">
        <v>26</v>
      </c>
      <c r="H772">
        <v>504.3</v>
      </c>
      <c r="I772">
        <v>735.95</v>
      </c>
      <c r="J772" t="s">
        <v>17</v>
      </c>
      <c r="K772">
        <v>0.21</v>
      </c>
      <c r="L772" t="s">
        <v>18</v>
      </c>
      <c r="M772" t="s">
        <v>22</v>
      </c>
      <c r="N772" t="s">
        <v>46</v>
      </c>
    </row>
    <row r="773" spans="1:14" x14ac:dyDescent="0.35">
      <c r="A773">
        <v>1084</v>
      </c>
      <c r="B773" s="1">
        <v>45250</v>
      </c>
      <c r="C773" t="s">
        <v>14</v>
      </c>
      <c r="D773" t="s">
        <v>25</v>
      </c>
      <c r="E773">
        <v>2396.98</v>
      </c>
      <c r="F773">
        <v>15</v>
      </c>
      <c r="G773" t="s">
        <v>16</v>
      </c>
      <c r="H773">
        <v>3420.72</v>
      </c>
      <c r="I773">
        <v>3513.74</v>
      </c>
      <c r="J773" t="s">
        <v>30</v>
      </c>
      <c r="K773">
        <v>0.02</v>
      </c>
      <c r="L773" t="s">
        <v>18</v>
      </c>
      <c r="M773" t="s">
        <v>19</v>
      </c>
      <c r="N773" t="s">
        <v>32</v>
      </c>
    </row>
    <row r="774" spans="1:14" x14ac:dyDescent="0.35">
      <c r="A774">
        <v>1077</v>
      </c>
      <c r="B774" s="1">
        <v>45145</v>
      </c>
      <c r="C774" t="s">
        <v>33</v>
      </c>
      <c r="D774" t="s">
        <v>34</v>
      </c>
      <c r="E774">
        <v>242.38</v>
      </c>
      <c r="F774">
        <v>43</v>
      </c>
      <c r="G774" t="s">
        <v>26</v>
      </c>
      <c r="H774">
        <v>4402.66</v>
      </c>
      <c r="I774">
        <v>4724.7</v>
      </c>
      <c r="J774" t="s">
        <v>30</v>
      </c>
      <c r="K774">
        <v>0.1</v>
      </c>
      <c r="L774" t="s">
        <v>27</v>
      </c>
      <c r="M774" t="s">
        <v>22</v>
      </c>
      <c r="N774" t="s">
        <v>36</v>
      </c>
    </row>
    <row r="775" spans="1:14" x14ac:dyDescent="0.35">
      <c r="A775">
        <v>1092</v>
      </c>
      <c r="B775" s="1">
        <v>45118</v>
      </c>
      <c r="C775" t="s">
        <v>38</v>
      </c>
      <c r="D775" t="s">
        <v>34</v>
      </c>
      <c r="E775">
        <v>7667.1</v>
      </c>
      <c r="F775">
        <v>33</v>
      </c>
      <c r="G775" t="s">
        <v>35</v>
      </c>
      <c r="H775">
        <v>2595.42</v>
      </c>
      <c r="I775">
        <v>3083.06</v>
      </c>
      <c r="J775" t="s">
        <v>30</v>
      </c>
      <c r="K775">
        <v>0.08</v>
      </c>
      <c r="L775" t="s">
        <v>31</v>
      </c>
      <c r="M775" t="s">
        <v>19</v>
      </c>
      <c r="N775" t="s">
        <v>48</v>
      </c>
    </row>
    <row r="776" spans="1:14" x14ac:dyDescent="0.35">
      <c r="A776">
        <v>1029</v>
      </c>
      <c r="B776" s="1">
        <v>44943</v>
      </c>
      <c r="C776" t="s">
        <v>33</v>
      </c>
      <c r="D776" t="s">
        <v>15</v>
      </c>
      <c r="E776">
        <v>6275.06</v>
      </c>
      <c r="F776">
        <v>31</v>
      </c>
      <c r="G776" t="s">
        <v>35</v>
      </c>
      <c r="H776">
        <v>2719</v>
      </c>
      <c r="I776">
        <v>3133.55</v>
      </c>
      <c r="J776" t="s">
        <v>17</v>
      </c>
      <c r="K776">
        <v>0.17</v>
      </c>
      <c r="L776" t="s">
        <v>27</v>
      </c>
      <c r="M776" t="s">
        <v>22</v>
      </c>
      <c r="N776" t="s">
        <v>53</v>
      </c>
    </row>
    <row r="777" spans="1:14" x14ac:dyDescent="0.35">
      <c r="A777">
        <v>1013</v>
      </c>
      <c r="B777" s="1">
        <v>44938</v>
      </c>
      <c r="C777" t="s">
        <v>42</v>
      </c>
      <c r="D777" t="s">
        <v>21</v>
      </c>
      <c r="E777">
        <v>7646.8</v>
      </c>
      <c r="F777">
        <v>35</v>
      </c>
      <c r="G777" t="s">
        <v>35</v>
      </c>
      <c r="H777">
        <v>1312.71</v>
      </c>
      <c r="I777">
        <v>1352.11</v>
      </c>
      <c r="J777" t="s">
        <v>17</v>
      </c>
      <c r="K777">
        <v>0.22</v>
      </c>
      <c r="L777" t="s">
        <v>27</v>
      </c>
      <c r="M777" t="s">
        <v>22</v>
      </c>
      <c r="N777" t="s">
        <v>51</v>
      </c>
    </row>
    <row r="778" spans="1:14" x14ac:dyDescent="0.35">
      <c r="A778">
        <v>1046</v>
      </c>
      <c r="B778" s="1">
        <v>45119</v>
      </c>
      <c r="C778" t="s">
        <v>38</v>
      </c>
      <c r="D778" t="s">
        <v>15</v>
      </c>
      <c r="E778">
        <v>485.49</v>
      </c>
      <c r="F778">
        <v>17</v>
      </c>
      <c r="G778" t="s">
        <v>16</v>
      </c>
      <c r="H778">
        <v>3850.99</v>
      </c>
      <c r="I778">
        <v>4045.3399999999901</v>
      </c>
      <c r="J778" t="s">
        <v>17</v>
      </c>
      <c r="K778">
        <v>0.16</v>
      </c>
      <c r="L778" t="s">
        <v>31</v>
      </c>
      <c r="M778" t="s">
        <v>19</v>
      </c>
      <c r="N778" t="s">
        <v>40</v>
      </c>
    </row>
    <row r="779" spans="1:14" x14ac:dyDescent="0.35">
      <c r="A779">
        <v>1035</v>
      </c>
      <c r="B779" s="1">
        <v>44948</v>
      </c>
      <c r="C779" t="s">
        <v>42</v>
      </c>
      <c r="D779" t="s">
        <v>15</v>
      </c>
      <c r="E779">
        <v>8387.48</v>
      </c>
      <c r="F779">
        <v>28</v>
      </c>
      <c r="G779" t="s">
        <v>16</v>
      </c>
      <c r="H779">
        <v>3771.38</v>
      </c>
      <c r="I779">
        <v>4234.92</v>
      </c>
      <c r="J779" t="s">
        <v>30</v>
      </c>
      <c r="K779">
        <v>0.28000000000000003</v>
      </c>
      <c r="L779" t="s">
        <v>31</v>
      </c>
      <c r="M779" t="s">
        <v>22</v>
      </c>
      <c r="N779" t="s">
        <v>49</v>
      </c>
    </row>
    <row r="780" spans="1:14" x14ac:dyDescent="0.35">
      <c r="A780">
        <v>1006</v>
      </c>
      <c r="B780" s="1">
        <v>45046</v>
      </c>
      <c r="C780" t="s">
        <v>33</v>
      </c>
      <c r="D780" t="s">
        <v>15</v>
      </c>
      <c r="E780">
        <v>6233.31</v>
      </c>
      <c r="F780">
        <v>19</v>
      </c>
      <c r="G780" t="s">
        <v>29</v>
      </c>
      <c r="H780">
        <v>2962.41</v>
      </c>
      <c r="I780">
        <v>3218.8999999999901</v>
      </c>
      <c r="J780" t="s">
        <v>30</v>
      </c>
      <c r="K780">
        <v>0.28999999999999998</v>
      </c>
      <c r="L780" t="s">
        <v>18</v>
      </c>
      <c r="M780" t="s">
        <v>22</v>
      </c>
      <c r="N780" t="s">
        <v>53</v>
      </c>
    </row>
    <row r="781" spans="1:14" x14ac:dyDescent="0.35">
      <c r="A781">
        <v>1082</v>
      </c>
      <c r="B781" s="1">
        <v>45136</v>
      </c>
      <c r="C781" t="s">
        <v>38</v>
      </c>
      <c r="D781" t="s">
        <v>34</v>
      </c>
      <c r="E781">
        <v>5677.61</v>
      </c>
      <c r="F781">
        <v>46</v>
      </c>
      <c r="G781" t="s">
        <v>26</v>
      </c>
      <c r="H781">
        <v>1102.69</v>
      </c>
      <c r="I781">
        <v>1437.12</v>
      </c>
      <c r="J781" t="s">
        <v>30</v>
      </c>
      <c r="K781">
        <v>0.11</v>
      </c>
      <c r="L781" t="s">
        <v>31</v>
      </c>
      <c r="M781" t="s">
        <v>19</v>
      </c>
      <c r="N781" t="s">
        <v>48</v>
      </c>
    </row>
    <row r="782" spans="1:14" x14ac:dyDescent="0.35">
      <c r="A782">
        <v>1069</v>
      </c>
      <c r="B782" s="1">
        <v>45232</v>
      </c>
      <c r="C782" t="s">
        <v>33</v>
      </c>
      <c r="D782" t="s">
        <v>15</v>
      </c>
      <c r="E782">
        <v>6283.68</v>
      </c>
      <c r="F782">
        <v>23</v>
      </c>
      <c r="G782" t="s">
        <v>16</v>
      </c>
      <c r="H782">
        <v>530.24</v>
      </c>
      <c r="I782">
        <v>987.41</v>
      </c>
      <c r="J782" t="s">
        <v>17</v>
      </c>
      <c r="K782">
        <v>0.23</v>
      </c>
      <c r="L782" t="s">
        <v>31</v>
      </c>
      <c r="M782" t="s">
        <v>19</v>
      </c>
      <c r="N782" t="s">
        <v>53</v>
      </c>
    </row>
    <row r="783" spans="1:14" x14ac:dyDescent="0.35">
      <c r="A783">
        <v>1047</v>
      </c>
      <c r="B783" s="1">
        <v>45196</v>
      </c>
      <c r="C783" t="s">
        <v>38</v>
      </c>
      <c r="D783" t="s">
        <v>15</v>
      </c>
      <c r="E783">
        <v>8657.89</v>
      </c>
      <c r="F783">
        <v>32</v>
      </c>
      <c r="G783" t="s">
        <v>35</v>
      </c>
      <c r="H783">
        <v>367.98</v>
      </c>
      <c r="I783">
        <v>806.14</v>
      </c>
      <c r="J783" t="s">
        <v>17</v>
      </c>
      <c r="K783">
        <v>0.22</v>
      </c>
      <c r="L783" t="s">
        <v>31</v>
      </c>
      <c r="M783" t="s">
        <v>22</v>
      </c>
      <c r="N783" t="s">
        <v>40</v>
      </c>
    </row>
    <row r="784" spans="1:14" x14ac:dyDescent="0.35">
      <c r="A784">
        <v>1025</v>
      </c>
      <c r="B784" s="1">
        <v>45118</v>
      </c>
      <c r="C784" t="s">
        <v>33</v>
      </c>
      <c r="D784" t="s">
        <v>21</v>
      </c>
      <c r="E784">
        <v>5910.67</v>
      </c>
      <c r="F784">
        <v>40</v>
      </c>
      <c r="G784" t="s">
        <v>35</v>
      </c>
      <c r="H784">
        <v>2983.85</v>
      </c>
      <c r="I784">
        <v>3239.74</v>
      </c>
      <c r="J784" t="s">
        <v>30</v>
      </c>
      <c r="K784">
        <v>0.27</v>
      </c>
      <c r="L784" t="s">
        <v>31</v>
      </c>
      <c r="M784" t="s">
        <v>19</v>
      </c>
      <c r="N784" t="s">
        <v>37</v>
      </c>
    </row>
    <row r="785" spans="1:14" x14ac:dyDescent="0.35">
      <c r="A785">
        <v>1066</v>
      </c>
      <c r="B785" s="1">
        <v>45101</v>
      </c>
      <c r="C785" t="s">
        <v>14</v>
      </c>
      <c r="D785" t="s">
        <v>21</v>
      </c>
      <c r="E785">
        <v>5851.41</v>
      </c>
      <c r="F785">
        <v>13</v>
      </c>
      <c r="G785" t="s">
        <v>16</v>
      </c>
      <c r="H785">
        <v>4133.92</v>
      </c>
      <c r="I785">
        <v>4358.37</v>
      </c>
      <c r="J785" t="s">
        <v>30</v>
      </c>
      <c r="K785">
        <v>0.13</v>
      </c>
      <c r="L785" t="s">
        <v>18</v>
      </c>
      <c r="M785" t="s">
        <v>22</v>
      </c>
      <c r="N785" t="s">
        <v>23</v>
      </c>
    </row>
    <row r="786" spans="1:14" x14ac:dyDescent="0.35">
      <c r="A786">
        <v>1010</v>
      </c>
      <c r="B786" s="1">
        <v>45211</v>
      </c>
      <c r="C786" t="s">
        <v>33</v>
      </c>
      <c r="D786" t="s">
        <v>15</v>
      </c>
      <c r="E786">
        <v>9907.7199999999993</v>
      </c>
      <c r="F786">
        <v>20</v>
      </c>
      <c r="G786" t="s">
        <v>16</v>
      </c>
      <c r="H786">
        <v>4298.74</v>
      </c>
      <c r="I786">
        <v>4475.1899999999996</v>
      </c>
      <c r="J786" t="s">
        <v>17</v>
      </c>
      <c r="K786">
        <v>0.16</v>
      </c>
      <c r="L786" t="s">
        <v>18</v>
      </c>
      <c r="M786" t="s">
        <v>19</v>
      </c>
      <c r="N786" t="s">
        <v>53</v>
      </c>
    </row>
    <row r="787" spans="1:14" x14ac:dyDescent="0.35">
      <c r="A787">
        <v>1056</v>
      </c>
      <c r="B787" s="1">
        <v>45130</v>
      </c>
      <c r="C787" t="s">
        <v>14</v>
      </c>
      <c r="D787" t="s">
        <v>21</v>
      </c>
      <c r="E787">
        <v>7591.63</v>
      </c>
      <c r="F787">
        <v>35</v>
      </c>
      <c r="G787" t="s">
        <v>16</v>
      </c>
      <c r="H787">
        <v>2344.9299999999998</v>
      </c>
      <c r="I787">
        <v>2707.25</v>
      </c>
      <c r="J787" t="s">
        <v>30</v>
      </c>
      <c r="K787">
        <v>0.12</v>
      </c>
      <c r="L787" t="s">
        <v>31</v>
      </c>
      <c r="M787" t="s">
        <v>22</v>
      </c>
      <c r="N787" t="s">
        <v>23</v>
      </c>
    </row>
    <row r="788" spans="1:14" x14ac:dyDescent="0.35">
      <c r="A788">
        <v>1030</v>
      </c>
      <c r="B788" s="1">
        <v>45090</v>
      </c>
      <c r="C788" t="s">
        <v>33</v>
      </c>
      <c r="D788" t="s">
        <v>21</v>
      </c>
      <c r="E788">
        <v>4478.71</v>
      </c>
      <c r="F788">
        <v>5</v>
      </c>
      <c r="G788" t="s">
        <v>29</v>
      </c>
      <c r="H788">
        <v>3932.14</v>
      </c>
      <c r="I788">
        <v>4082.7599999999902</v>
      </c>
      <c r="J788" t="s">
        <v>30</v>
      </c>
      <c r="K788">
        <v>0.26</v>
      </c>
      <c r="L788" t="s">
        <v>31</v>
      </c>
      <c r="M788" t="s">
        <v>19</v>
      </c>
      <c r="N788" t="s">
        <v>37</v>
      </c>
    </row>
    <row r="789" spans="1:14" x14ac:dyDescent="0.35">
      <c r="A789">
        <v>1005</v>
      </c>
      <c r="B789" s="1">
        <v>45177</v>
      </c>
      <c r="C789" t="s">
        <v>38</v>
      </c>
      <c r="D789" t="s">
        <v>15</v>
      </c>
      <c r="E789">
        <v>7103.23</v>
      </c>
      <c r="F789">
        <v>9</v>
      </c>
      <c r="G789" t="s">
        <v>35</v>
      </c>
      <c r="H789">
        <v>4737.0600000000004</v>
      </c>
      <c r="I789">
        <v>4869.5</v>
      </c>
      <c r="J789" t="s">
        <v>30</v>
      </c>
      <c r="K789">
        <v>7.0000000000000007E-2</v>
      </c>
      <c r="L789" t="s">
        <v>18</v>
      </c>
      <c r="M789" t="s">
        <v>19</v>
      </c>
      <c r="N789" t="s">
        <v>40</v>
      </c>
    </row>
    <row r="790" spans="1:14" x14ac:dyDescent="0.35">
      <c r="A790">
        <v>1033</v>
      </c>
      <c r="B790" s="1">
        <v>45153</v>
      </c>
      <c r="C790" t="s">
        <v>38</v>
      </c>
      <c r="D790" t="s">
        <v>34</v>
      </c>
      <c r="E790">
        <v>3953.38</v>
      </c>
      <c r="F790">
        <v>29</v>
      </c>
      <c r="G790" t="s">
        <v>29</v>
      </c>
      <c r="H790">
        <v>1412.09</v>
      </c>
      <c r="I790">
        <v>1596.6499999999901</v>
      </c>
      <c r="J790" t="s">
        <v>17</v>
      </c>
      <c r="K790">
        <v>7.0000000000000007E-2</v>
      </c>
      <c r="L790" t="s">
        <v>18</v>
      </c>
      <c r="M790" t="s">
        <v>19</v>
      </c>
      <c r="N790" t="s">
        <v>48</v>
      </c>
    </row>
    <row r="791" spans="1:14" x14ac:dyDescent="0.35">
      <c r="A791">
        <v>1065</v>
      </c>
      <c r="B791" s="1">
        <v>44933</v>
      </c>
      <c r="C791" t="s">
        <v>38</v>
      </c>
      <c r="D791" t="s">
        <v>15</v>
      </c>
      <c r="E791">
        <v>2365.87</v>
      </c>
      <c r="F791">
        <v>6</v>
      </c>
      <c r="G791" t="s">
        <v>29</v>
      </c>
      <c r="H791">
        <v>2019.9</v>
      </c>
      <c r="I791">
        <v>2116.7399999999998</v>
      </c>
      <c r="J791" t="s">
        <v>30</v>
      </c>
      <c r="K791">
        <v>0.11</v>
      </c>
      <c r="L791" t="s">
        <v>31</v>
      </c>
      <c r="M791" t="s">
        <v>19</v>
      </c>
      <c r="N791" t="s">
        <v>40</v>
      </c>
    </row>
    <row r="792" spans="1:14" x14ac:dyDescent="0.35">
      <c r="A792">
        <v>1018</v>
      </c>
      <c r="B792" s="1">
        <v>44955</v>
      </c>
      <c r="C792" t="s">
        <v>24</v>
      </c>
      <c r="D792" t="s">
        <v>21</v>
      </c>
      <c r="E792">
        <v>6008.83</v>
      </c>
      <c r="F792">
        <v>25</v>
      </c>
      <c r="G792" t="s">
        <v>26</v>
      </c>
      <c r="H792">
        <v>4660.82</v>
      </c>
      <c r="I792">
        <v>5011.4299999999903</v>
      </c>
      <c r="J792" t="s">
        <v>30</v>
      </c>
      <c r="K792">
        <v>7.0000000000000007E-2</v>
      </c>
      <c r="L792" t="s">
        <v>27</v>
      </c>
      <c r="M792" t="s">
        <v>19</v>
      </c>
      <c r="N792" t="s">
        <v>47</v>
      </c>
    </row>
    <row r="793" spans="1:14" x14ac:dyDescent="0.35">
      <c r="A793">
        <v>1096</v>
      </c>
      <c r="B793" s="1">
        <v>44959</v>
      </c>
      <c r="C793" t="s">
        <v>42</v>
      </c>
      <c r="D793" t="s">
        <v>34</v>
      </c>
      <c r="E793">
        <v>9289</v>
      </c>
      <c r="F793">
        <v>31</v>
      </c>
      <c r="G793" t="s">
        <v>35</v>
      </c>
      <c r="H793">
        <v>1724.24</v>
      </c>
      <c r="I793">
        <v>2036.2</v>
      </c>
      <c r="J793" t="s">
        <v>30</v>
      </c>
      <c r="K793">
        <v>0.17</v>
      </c>
      <c r="L793" t="s">
        <v>18</v>
      </c>
      <c r="M793" t="s">
        <v>19</v>
      </c>
      <c r="N793" t="s">
        <v>52</v>
      </c>
    </row>
    <row r="794" spans="1:14" x14ac:dyDescent="0.35">
      <c r="A794">
        <v>1049</v>
      </c>
      <c r="B794" s="1">
        <v>45060</v>
      </c>
      <c r="C794" t="s">
        <v>38</v>
      </c>
      <c r="D794" t="s">
        <v>25</v>
      </c>
      <c r="E794">
        <v>9298.48</v>
      </c>
      <c r="F794">
        <v>22</v>
      </c>
      <c r="G794" t="s">
        <v>35</v>
      </c>
      <c r="H794">
        <v>4573.6899999999996</v>
      </c>
      <c r="I794">
        <v>4820.2999999999902</v>
      </c>
      <c r="J794" t="s">
        <v>30</v>
      </c>
      <c r="K794">
        <v>0.04</v>
      </c>
      <c r="L794" t="s">
        <v>18</v>
      </c>
      <c r="M794" t="s">
        <v>19</v>
      </c>
      <c r="N794" t="s">
        <v>39</v>
      </c>
    </row>
    <row r="795" spans="1:14" x14ac:dyDescent="0.35">
      <c r="A795">
        <v>1011</v>
      </c>
      <c r="B795" s="1">
        <v>45005</v>
      </c>
      <c r="C795" t="s">
        <v>14</v>
      </c>
      <c r="D795" t="s">
        <v>34</v>
      </c>
      <c r="E795">
        <v>3484.86</v>
      </c>
      <c r="F795">
        <v>2</v>
      </c>
      <c r="G795" t="s">
        <v>16</v>
      </c>
      <c r="H795">
        <v>4906.17</v>
      </c>
      <c r="I795">
        <v>5107.43</v>
      </c>
      <c r="J795" t="s">
        <v>17</v>
      </c>
      <c r="K795">
        <v>0.1</v>
      </c>
      <c r="L795" t="s">
        <v>18</v>
      </c>
      <c r="M795" t="s">
        <v>19</v>
      </c>
      <c r="N795" t="s">
        <v>46</v>
      </c>
    </row>
    <row r="796" spans="1:14" x14ac:dyDescent="0.35">
      <c r="A796">
        <v>1085</v>
      </c>
      <c r="B796" s="1">
        <v>44984</v>
      </c>
      <c r="C796" t="s">
        <v>38</v>
      </c>
      <c r="D796" t="s">
        <v>21</v>
      </c>
      <c r="E796">
        <v>5324.01</v>
      </c>
      <c r="F796">
        <v>45</v>
      </c>
      <c r="G796" t="s">
        <v>16</v>
      </c>
      <c r="H796">
        <v>3325.96</v>
      </c>
      <c r="I796">
        <v>3781.4</v>
      </c>
      <c r="J796" t="s">
        <v>17</v>
      </c>
      <c r="K796">
        <v>0.27</v>
      </c>
      <c r="L796" t="s">
        <v>31</v>
      </c>
      <c r="M796" t="s">
        <v>19</v>
      </c>
      <c r="N796" t="s">
        <v>41</v>
      </c>
    </row>
    <row r="797" spans="1:14" x14ac:dyDescent="0.35">
      <c r="A797">
        <v>1026</v>
      </c>
      <c r="B797" s="1">
        <v>44952</v>
      </c>
      <c r="C797" t="s">
        <v>24</v>
      </c>
      <c r="D797" t="s">
        <v>34</v>
      </c>
      <c r="E797">
        <v>2195.1999999999998</v>
      </c>
      <c r="F797">
        <v>5</v>
      </c>
      <c r="G797" t="s">
        <v>26</v>
      </c>
      <c r="H797">
        <v>4093.61</v>
      </c>
      <c r="I797">
        <v>4117.88</v>
      </c>
      <c r="J797" t="s">
        <v>17</v>
      </c>
      <c r="K797">
        <v>0.12</v>
      </c>
      <c r="L797" t="s">
        <v>31</v>
      </c>
      <c r="M797" t="s">
        <v>22</v>
      </c>
      <c r="N797" t="s">
        <v>50</v>
      </c>
    </row>
    <row r="798" spans="1:14" x14ac:dyDescent="0.35">
      <c r="A798">
        <v>1063</v>
      </c>
      <c r="B798" s="1">
        <v>45152</v>
      </c>
      <c r="C798" t="s">
        <v>14</v>
      </c>
      <c r="D798" t="s">
        <v>15</v>
      </c>
      <c r="E798">
        <v>9956.75</v>
      </c>
      <c r="F798">
        <v>27</v>
      </c>
      <c r="G798" t="s">
        <v>29</v>
      </c>
      <c r="H798">
        <v>3760.25</v>
      </c>
      <c r="I798">
        <v>4147.1099999999997</v>
      </c>
      <c r="J798" t="s">
        <v>30</v>
      </c>
      <c r="K798">
        <v>0.22</v>
      </c>
      <c r="L798" t="s">
        <v>18</v>
      </c>
      <c r="M798" t="s">
        <v>19</v>
      </c>
      <c r="N798" t="s">
        <v>20</v>
      </c>
    </row>
    <row r="799" spans="1:14" x14ac:dyDescent="0.35">
      <c r="A799">
        <v>1089</v>
      </c>
      <c r="B799" s="1">
        <v>45211</v>
      </c>
      <c r="C799" t="s">
        <v>24</v>
      </c>
      <c r="D799" t="s">
        <v>25</v>
      </c>
      <c r="E799">
        <v>9813.07</v>
      </c>
      <c r="F799">
        <v>25</v>
      </c>
      <c r="G799" t="s">
        <v>16</v>
      </c>
      <c r="H799">
        <v>3512.69</v>
      </c>
      <c r="I799">
        <v>3964.63</v>
      </c>
      <c r="J799" t="s">
        <v>17</v>
      </c>
      <c r="K799">
        <v>0.03</v>
      </c>
      <c r="L799" t="s">
        <v>31</v>
      </c>
      <c r="M799" t="s">
        <v>22</v>
      </c>
      <c r="N799" t="s">
        <v>28</v>
      </c>
    </row>
    <row r="800" spans="1:14" x14ac:dyDescent="0.35">
      <c r="A800">
        <v>1086</v>
      </c>
      <c r="B800" s="1">
        <v>44930</v>
      </c>
      <c r="C800" t="s">
        <v>14</v>
      </c>
      <c r="D800" t="s">
        <v>25</v>
      </c>
      <c r="E800">
        <v>6530.14</v>
      </c>
      <c r="F800">
        <v>8</v>
      </c>
      <c r="G800" t="s">
        <v>16</v>
      </c>
      <c r="H800">
        <v>1569.31</v>
      </c>
      <c r="I800">
        <v>1798.02</v>
      </c>
      <c r="J800" t="s">
        <v>30</v>
      </c>
      <c r="K800">
        <v>7.0000000000000007E-2</v>
      </c>
      <c r="L800" t="s">
        <v>31</v>
      </c>
      <c r="M800" t="s">
        <v>19</v>
      </c>
      <c r="N800" t="s">
        <v>32</v>
      </c>
    </row>
    <row r="801" spans="1:14" x14ac:dyDescent="0.35">
      <c r="A801">
        <v>1059</v>
      </c>
      <c r="B801" s="1">
        <v>45025</v>
      </c>
      <c r="C801" t="s">
        <v>33</v>
      </c>
      <c r="D801" t="s">
        <v>25</v>
      </c>
      <c r="E801">
        <v>8063.7</v>
      </c>
      <c r="F801">
        <v>1</v>
      </c>
      <c r="G801" t="s">
        <v>35</v>
      </c>
      <c r="H801">
        <v>332.62</v>
      </c>
      <c r="I801">
        <v>612.46</v>
      </c>
      <c r="J801" t="s">
        <v>17</v>
      </c>
      <c r="K801">
        <v>0.24</v>
      </c>
      <c r="L801" t="s">
        <v>18</v>
      </c>
      <c r="M801" t="s">
        <v>22</v>
      </c>
      <c r="N801" t="s">
        <v>44</v>
      </c>
    </row>
    <row r="802" spans="1:14" x14ac:dyDescent="0.35">
      <c r="A802">
        <v>1027</v>
      </c>
      <c r="B802" s="1">
        <v>44965</v>
      </c>
      <c r="C802" t="s">
        <v>42</v>
      </c>
      <c r="D802" t="s">
        <v>21</v>
      </c>
      <c r="E802">
        <v>7179.49</v>
      </c>
      <c r="F802">
        <v>20</v>
      </c>
      <c r="G802" t="s">
        <v>35</v>
      </c>
      <c r="H802">
        <v>1748.11</v>
      </c>
      <c r="I802">
        <v>2220.9</v>
      </c>
      <c r="J802" t="s">
        <v>30</v>
      </c>
      <c r="K802">
        <v>0.23</v>
      </c>
      <c r="L802" t="s">
        <v>31</v>
      </c>
      <c r="M802" t="s">
        <v>22</v>
      </c>
      <c r="N802" t="s">
        <v>51</v>
      </c>
    </row>
    <row r="803" spans="1:14" x14ac:dyDescent="0.35">
      <c r="A803">
        <v>1049</v>
      </c>
      <c r="B803" s="1">
        <v>45197</v>
      </c>
      <c r="C803" t="s">
        <v>42</v>
      </c>
      <c r="D803" t="s">
        <v>21</v>
      </c>
      <c r="E803">
        <v>5972.27</v>
      </c>
      <c r="F803">
        <v>44</v>
      </c>
      <c r="G803" t="s">
        <v>16</v>
      </c>
      <c r="H803">
        <v>3351.33</v>
      </c>
      <c r="I803">
        <v>3465.35</v>
      </c>
      <c r="J803" t="s">
        <v>17</v>
      </c>
      <c r="K803">
        <v>0.12</v>
      </c>
      <c r="L803" t="s">
        <v>27</v>
      </c>
      <c r="M803" t="s">
        <v>19</v>
      </c>
      <c r="N803" t="s">
        <v>51</v>
      </c>
    </row>
    <row r="804" spans="1:14" x14ac:dyDescent="0.35">
      <c r="A804">
        <v>1077</v>
      </c>
      <c r="B804" s="1">
        <v>45211</v>
      </c>
      <c r="C804" t="s">
        <v>24</v>
      </c>
      <c r="D804" t="s">
        <v>25</v>
      </c>
      <c r="E804">
        <v>628.15</v>
      </c>
      <c r="F804">
        <v>23</v>
      </c>
      <c r="G804" t="s">
        <v>35</v>
      </c>
      <c r="H804">
        <v>557.52</v>
      </c>
      <c r="I804">
        <v>822.39</v>
      </c>
      <c r="J804" t="s">
        <v>17</v>
      </c>
      <c r="K804">
        <v>0.28999999999999998</v>
      </c>
      <c r="L804" t="s">
        <v>31</v>
      </c>
      <c r="M804" t="s">
        <v>19</v>
      </c>
      <c r="N804" t="s">
        <v>28</v>
      </c>
    </row>
    <row r="805" spans="1:14" x14ac:dyDescent="0.35">
      <c r="A805">
        <v>1033</v>
      </c>
      <c r="B805" s="1">
        <v>45083</v>
      </c>
      <c r="C805" t="s">
        <v>42</v>
      </c>
      <c r="D805" t="s">
        <v>34</v>
      </c>
      <c r="E805">
        <v>4602.17</v>
      </c>
      <c r="F805">
        <v>32</v>
      </c>
      <c r="G805" t="s">
        <v>26</v>
      </c>
      <c r="H805">
        <v>108.99</v>
      </c>
      <c r="I805">
        <v>351.6</v>
      </c>
      <c r="J805" t="s">
        <v>17</v>
      </c>
      <c r="K805">
        <v>0.27</v>
      </c>
      <c r="L805" t="s">
        <v>31</v>
      </c>
      <c r="M805" t="s">
        <v>22</v>
      </c>
      <c r="N805" t="s">
        <v>52</v>
      </c>
    </row>
    <row r="806" spans="1:14" x14ac:dyDescent="0.35">
      <c r="A806">
        <v>1098</v>
      </c>
      <c r="B806" s="1">
        <v>45001</v>
      </c>
      <c r="C806" t="s">
        <v>24</v>
      </c>
      <c r="D806" t="s">
        <v>25</v>
      </c>
      <c r="E806">
        <v>6780.38</v>
      </c>
      <c r="F806">
        <v>11</v>
      </c>
      <c r="G806" t="s">
        <v>16</v>
      </c>
      <c r="H806">
        <v>741.48</v>
      </c>
      <c r="I806">
        <v>878.09</v>
      </c>
      <c r="J806" t="s">
        <v>30</v>
      </c>
      <c r="K806">
        <v>0.28999999999999998</v>
      </c>
      <c r="L806" t="s">
        <v>18</v>
      </c>
      <c r="M806" t="s">
        <v>22</v>
      </c>
      <c r="N806" t="s">
        <v>28</v>
      </c>
    </row>
    <row r="807" spans="1:14" x14ac:dyDescent="0.35">
      <c r="A807">
        <v>1099</v>
      </c>
      <c r="B807" s="1">
        <v>45214</v>
      </c>
      <c r="C807" t="s">
        <v>24</v>
      </c>
      <c r="D807" t="s">
        <v>34</v>
      </c>
      <c r="E807">
        <v>6807.56</v>
      </c>
      <c r="F807">
        <v>39</v>
      </c>
      <c r="G807" t="s">
        <v>35</v>
      </c>
      <c r="H807">
        <v>3592.89</v>
      </c>
      <c r="I807">
        <v>4004</v>
      </c>
      <c r="J807" t="s">
        <v>30</v>
      </c>
      <c r="K807">
        <v>0.13</v>
      </c>
      <c r="L807" t="s">
        <v>18</v>
      </c>
      <c r="M807" t="s">
        <v>19</v>
      </c>
      <c r="N807" t="s">
        <v>50</v>
      </c>
    </row>
    <row r="808" spans="1:14" x14ac:dyDescent="0.35">
      <c r="A808">
        <v>1001</v>
      </c>
      <c r="B808" s="1">
        <v>45056</v>
      </c>
      <c r="C808" t="s">
        <v>24</v>
      </c>
      <c r="D808" t="s">
        <v>34</v>
      </c>
      <c r="E808">
        <v>3793.91</v>
      </c>
      <c r="F808">
        <v>47</v>
      </c>
      <c r="G808" t="s">
        <v>26</v>
      </c>
      <c r="H808">
        <v>4865.33</v>
      </c>
      <c r="I808">
        <v>5316.13</v>
      </c>
      <c r="J808" t="s">
        <v>30</v>
      </c>
      <c r="K808">
        <v>0.06</v>
      </c>
      <c r="L808" t="s">
        <v>27</v>
      </c>
      <c r="M808" t="s">
        <v>19</v>
      </c>
      <c r="N808" t="s">
        <v>50</v>
      </c>
    </row>
    <row r="809" spans="1:14" x14ac:dyDescent="0.35">
      <c r="A809">
        <v>1021</v>
      </c>
      <c r="B809" s="1">
        <v>45101</v>
      </c>
      <c r="C809" t="s">
        <v>42</v>
      </c>
      <c r="D809" t="s">
        <v>21</v>
      </c>
      <c r="E809">
        <v>9422.75</v>
      </c>
      <c r="F809">
        <v>24</v>
      </c>
      <c r="G809" t="s">
        <v>35</v>
      </c>
      <c r="H809">
        <v>4916.17</v>
      </c>
      <c r="I809">
        <v>5309.32</v>
      </c>
      <c r="J809" t="s">
        <v>17</v>
      </c>
      <c r="K809">
        <v>0.19</v>
      </c>
      <c r="L809" t="s">
        <v>31</v>
      </c>
      <c r="M809" t="s">
        <v>19</v>
      </c>
      <c r="N809" t="s">
        <v>51</v>
      </c>
    </row>
    <row r="810" spans="1:14" x14ac:dyDescent="0.35">
      <c r="A810">
        <v>1055</v>
      </c>
      <c r="B810" s="1">
        <v>45010</v>
      </c>
      <c r="C810" t="s">
        <v>24</v>
      </c>
      <c r="D810" t="s">
        <v>34</v>
      </c>
      <c r="E810">
        <v>1756.83</v>
      </c>
      <c r="F810">
        <v>11</v>
      </c>
      <c r="G810" t="s">
        <v>35</v>
      </c>
      <c r="H810">
        <v>2495.1999999999998</v>
      </c>
      <c r="I810">
        <v>2600.9299999999998</v>
      </c>
      <c r="J810" t="s">
        <v>30</v>
      </c>
      <c r="K810">
        <v>0.21</v>
      </c>
      <c r="L810" t="s">
        <v>27</v>
      </c>
      <c r="M810" t="s">
        <v>22</v>
      </c>
      <c r="N810" t="s">
        <v>50</v>
      </c>
    </row>
    <row r="811" spans="1:14" x14ac:dyDescent="0.35">
      <c r="A811">
        <v>1006</v>
      </c>
      <c r="B811" s="1">
        <v>44948</v>
      </c>
      <c r="C811" t="s">
        <v>42</v>
      </c>
      <c r="D811" t="s">
        <v>25</v>
      </c>
      <c r="E811">
        <v>5053.5600000000004</v>
      </c>
      <c r="F811">
        <v>29</v>
      </c>
      <c r="G811" t="s">
        <v>35</v>
      </c>
      <c r="H811">
        <v>4353.29</v>
      </c>
      <c r="I811">
        <v>4405.8</v>
      </c>
      <c r="J811" t="s">
        <v>30</v>
      </c>
      <c r="K811">
        <v>0.04</v>
      </c>
      <c r="L811" t="s">
        <v>27</v>
      </c>
      <c r="M811" t="s">
        <v>19</v>
      </c>
      <c r="N811" t="s">
        <v>43</v>
      </c>
    </row>
    <row r="812" spans="1:14" x14ac:dyDescent="0.35">
      <c r="A812">
        <v>1092</v>
      </c>
      <c r="B812" s="1">
        <v>44953</v>
      </c>
      <c r="C812" t="s">
        <v>24</v>
      </c>
      <c r="D812" t="s">
        <v>21</v>
      </c>
      <c r="E812">
        <v>6939.75</v>
      </c>
      <c r="F812">
        <v>26</v>
      </c>
      <c r="G812" t="s">
        <v>16</v>
      </c>
      <c r="H812">
        <v>3697.29</v>
      </c>
      <c r="I812">
        <v>4003.96</v>
      </c>
      <c r="J812" t="s">
        <v>30</v>
      </c>
      <c r="K812">
        <v>0.24</v>
      </c>
      <c r="L812" t="s">
        <v>18</v>
      </c>
      <c r="M812" t="s">
        <v>19</v>
      </c>
      <c r="N812" t="s">
        <v>47</v>
      </c>
    </row>
    <row r="813" spans="1:14" x14ac:dyDescent="0.35">
      <c r="A813">
        <v>1081</v>
      </c>
      <c r="B813" s="1">
        <v>45121</v>
      </c>
      <c r="C813" t="s">
        <v>38</v>
      </c>
      <c r="D813" t="s">
        <v>15</v>
      </c>
      <c r="E813">
        <v>7001.64</v>
      </c>
      <c r="F813">
        <v>16</v>
      </c>
      <c r="G813" t="s">
        <v>29</v>
      </c>
      <c r="H813">
        <v>2530.15</v>
      </c>
      <c r="I813">
        <v>2568.13</v>
      </c>
      <c r="J813" t="s">
        <v>30</v>
      </c>
      <c r="K813">
        <v>0.01</v>
      </c>
      <c r="L813" t="s">
        <v>31</v>
      </c>
      <c r="M813" t="s">
        <v>19</v>
      </c>
      <c r="N813" t="s">
        <v>40</v>
      </c>
    </row>
    <row r="814" spans="1:14" x14ac:dyDescent="0.35">
      <c r="A814">
        <v>1069</v>
      </c>
      <c r="B814" s="1">
        <v>45263</v>
      </c>
      <c r="C814" t="s">
        <v>24</v>
      </c>
      <c r="D814" t="s">
        <v>15</v>
      </c>
      <c r="E814">
        <v>6521.53</v>
      </c>
      <c r="F814">
        <v>35</v>
      </c>
      <c r="G814" t="s">
        <v>35</v>
      </c>
      <c r="H814">
        <v>2885.16</v>
      </c>
      <c r="I814">
        <v>3224.8399999999901</v>
      </c>
      <c r="J814" t="s">
        <v>30</v>
      </c>
      <c r="K814">
        <v>0.14000000000000001</v>
      </c>
      <c r="L814" t="s">
        <v>18</v>
      </c>
      <c r="M814" t="s">
        <v>19</v>
      </c>
      <c r="N814" t="s">
        <v>45</v>
      </c>
    </row>
    <row r="815" spans="1:14" x14ac:dyDescent="0.35">
      <c r="A815">
        <v>1095</v>
      </c>
      <c r="B815" s="1">
        <v>45162</v>
      </c>
      <c r="C815" t="s">
        <v>14</v>
      </c>
      <c r="D815" t="s">
        <v>21</v>
      </c>
      <c r="E815">
        <v>2825.35</v>
      </c>
      <c r="F815">
        <v>20</v>
      </c>
      <c r="G815" t="s">
        <v>26</v>
      </c>
      <c r="H815">
        <v>729.27</v>
      </c>
      <c r="I815">
        <v>999.18</v>
      </c>
      <c r="J815" t="s">
        <v>30</v>
      </c>
      <c r="K815">
        <v>0.1</v>
      </c>
      <c r="L815" t="s">
        <v>27</v>
      </c>
      <c r="M815" t="s">
        <v>19</v>
      </c>
      <c r="N815" t="s">
        <v>23</v>
      </c>
    </row>
    <row r="816" spans="1:14" x14ac:dyDescent="0.35">
      <c r="A816">
        <v>1005</v>
      </c>
      <c r="B816" s="1">
        <v>45018</v>
      </c>
      <c r="C816" t="s">
        <v>24</v>
      </c>
      <c r="D816" t="s">
        <v>25</v>
      </c>
      <c r="E816">
        <v>1646.45</v>
      </c>
      <c r="F816">
        <v>46</v>
      </c>
      <c r="G816" t="s">
        <v>16</v>
      </c>
      <c r="H816">
        <v>4691.42</v>
      </c>
      <c r="I816">
        <v>5026.1899999999996</v>
      </c>
      <c r="J816" t="s">
        <v>17</v>
      </c>
      <c r="K816">
        <v>0.22</v>
      </c>
      <c r="L816" t="s">
        <v>27</v>
      </c>
      <c r="M816" t="s">
        <v>22</v>
      </c>
      <c r="N816" t="s">
        <v>28</v>
      </c>
    </row>
    <row r="817" spans="1:14" x14ac:dyDescent="0.35">
      <c r="A817">
        <v>1003</v>
      </c>
      <c r="B817" s="1">
        <v>44947</v>
      </c>
      <c r="C817" t="s">
        <v>33</v>
      </c>
      <c r="D817" t="s">
        <v>15</v>
      </c>
      <c r="E817">
        <v>6395.81</v>
      </c>
      <c r="F817">
        <v>3</v>
      </c>
      <c r="G817" t="s">
        <v>16</v>
      </c>
      <c r="H817">
        <v>1792.05</v>
      </c>
      <c r="I817">
        <v>2091.23</v>
      </c>
      <c r="J817" t="s">
        <v>17</v>
      </c>
      <c r="K817">
        <v>0.09</v>
      </c>
      <c r="L817" t="s">
        <v>18</v>
      </c>
      <c r="M817" t="s">
        <v>22</v>
      </c>
      <c r="N817" t="s">
        <v>53</v>
      </c>
    </row>
    <row r="818" spans="1:14" x14ac:dyDescent="0.35">
      <c r="A818">
        <v>1053</v>
      </c>
      <c r="B818" s="1">
        <v>45229</v>
      </c>
      <c r="C818" t="s">
        <v>24</v>
      </c>
      <c r="D818" t="s">
        <v>15</v>
      </c>
      <c r="E818">
        <v>6033.09</v>
      </c>
      <c r="F818">
        <v>1</v>
      </c>
      <c r="G818" t="s">
        <v>26</v>
      </c>
      <c r="H818">
        <v>2258.44</v>
      </c>
      <c r="I818">
        <v>2475.56</v>
      </c>
      <c r="J818" t="s">
        <v>30</v>
      </c>
      <c r="K818">
        <v>0.25</v>
      </c>
      <c r="L818" t="s">
        <v>18</v>
      </c>
      <c r="M818" t="s">
        <v>19</v>
      </c>
      <c r="N818" t="s">
        <v>45</v>
      </c>
    </row>
    <row r="819" spans="1:14" x14ac:dyDescent="0.35">
      <c r="A819">
        <v>1023</v>
      </c>
      <c r="B819" s="1">
        <v>45283</v>
      </c>
      <c r="C819" t="s">
        <v>14</v>
      </c>
      <c r="D819" t="s">
        <v>34</v>
      </c>
      <c r="E819">
        <v>1875.62</v>
      </c>
      <c r="F819">
        <v>47</v>
      </c>
      <c r="G819" t="s">
        <v>35</v>
      </c>
      <c r="H819">
        <v>3374.72</v>
      </c>
      <c r="I819">
        <v>3483.1499999999901</v>
      </c>
      <c r="J819" t="s">
        <v>17</v>
      </c>
      <c r="K819">
        <v>0.18</v>
      </c>
      <c r="L819" t="s">
        <v>18</v>
      </c>
      <c r="M819" t="s">
        <v>19</v>
      </c>
      <c r="N819" t="s">
        <v>46</v>
      </c>
    </row>
    <row r="820" spans="1:14" x14ac:dyDescent="0.35">
      <c r="A820">
        <v>1053</v>
      </c>
      <c r="B820" s="1">
        <v>45010</v>
      </c>
      <c r="C820" t="s">
        <v>14</v>
      </c>
      <c r="D820" t="s">
        <v>34</v>
      </c>
      <c r="E820">
        <v>7080.88</v>
      </c>
      <c r="F820">
        <v>1</v>
      </c>
      <c r="G820" t="s">
        <v>29</v>
      </c>
      <c r="H820">
        <v>1702.82</v>
      </c>
      <c r="I820">
        <v>1862.61</v>
      </c>
      <c r="J820" t="s">
        <v>17</v>
      </c>
      <c r="K820">
        <v>0.24</v>
      </c>
      <c r="L820" t="s">
        <v>18</v>
      </c>
      <c r="M820" t="s">
        <v>22</v>
      </c>
      <c r="N820" t="s">
        <v>46</v>
      </c>
    </row>
    <row r="821" spans="1:14" x14ac:dyDescent="0.35">
      <c r="A821">
        <v>1037</v>
      </c>
      <c r="B821" s="1">
        <v>45188</v>
      </c>
      <c r="C821" t="s">
        <v>42</v>
      </c>
      <c r="D821" t="s">
        <v>25</v>
      </c>
      <c r="E821">
        <v>4606.2</v>
      </c>
      <c r="F821">
        <v>17</v>
      </c>
      <c r="G821" t="s">
        <v>35</v>
      </c>
      <c r="H821">
        <v>1308.58</v>
      </c>
      <c r="I821">
        <v>1575.59</v>
      </c>
      <c r="J821" t="s">
        <v>30</v>
      </c>
      <c r="K821">
        <v>0.3</v>
      </c>
      <c r="L821" t="s">
        <v>18</v>
      </c>
      <c r="M821" t="s">
        <v>19</v>
      </c>
      <c r="N821" t="s">
        <v>43</v>
      </c>
    </row>
    <row r="822" spans="1:14" x14ac:dyDescent="0.35">
      <c r="A822">
        <v>1074</v>
      </c>
      <c r="B822" s="1">
        <v>45073</v>
      </c>
      <c r="C822" t="s">
        <v>38</v>
      </c>
      <c r="D822" t="s">
        <v>21</v>
      </c>
      <c r="E822">
        <v>6710.83</v>
      </c>
      <c r="F822">
        <v>2</v>
      </c>
      <c r="G822" t="s">
        <v>26</v>
      </c>
      <c r="H822">
        <v>3173.69</v>
      </c>
      <c r="I822">
        <v>3503.11</v>
      </c>
      <c r="J822" t="s">
        <v>30</v>
      </c>
      <c r="K822">
        <v>0.2</v>
      </c>
      <c r="L822" t="s">
        <v>27</v>
      </c>
      <c r="M822" t="s">
        <v>22</v>
      </c>
      <c r="N822" t="s">
        <v>41</v>
      </c>
    </row>
    <row r="823" spans="1:14" x14ac:dyDescent="0.35">
      <c r="A823">
        <v>1074</v>
      </c>
      <c r="B823" s="1">
        <v>45183</v>
      </c>
      <c r="C823" t="s">
        <v>24</v>
      </c>
      <c r="D823" t="s">
        <v>25</v>
      </c>
      <c r="E823">
        <v>8389.93</v>
      </c>
      <c r="F823">
        <v>29</v>
      </c>
      <c r="G823" t="s">
        <v>16</v>
      </c>
      <c r="H823">
        <v>173.67</v>
      </c>
      <c r="I823">
        <v>565.62</v>
      </c>
      <c r="J823" t="s">
        <v>17</v>
      </c>
      <c r="K823">
        <v>0.3</v>
      </c>
      <c r="L823" t="s">
        <v>18</v>
      </c>
      <c r="M823" t="s">
        <v>19</v>
      </c>
      <c r="N823" t="s">
        <v>28</v>
      </c>
    </row>
    <row r="824" spans="1:14" x14ac:dyDescent="0.35">
      <c r="A824">
        <v>1083</v>
      </c>
      <c r="B824" s="1">
        <v>44984</v>
      </c>
      <c r="C824" t="s">
        <v>42</v>
      </c>
      <c r="D824" t="s">
        <v>21</v>
      </c>
      <c r="E824">
        <v>1780.31</v>
      </c>
      <c r="F824">
        <v>20</v>
      </c>
      <c r="G824" t="s">
        <v>29</v>
      </c>
      <c r="H824">
        <v>3617.59</v>
      </c>
      <c r="I824">
        <v>4003.5</v>
      </c>
      <c r="J824" t="s">
        <v>30</v>
      </c>
      <c r="K824">
        <v>0.01</v>
      </c>
      <c r="L824" t="s">
        <v>31</v>
      </c>
      <c r="M824" t="s">
        <v>22</v>
      </c>
      <c r="N824" t="s">
        <v>51</v>
      </c>
    </row>
    <row r="825" spans="1:14" x14ac:dyDescent="0.35">
      <c r="A825">
        <v>1017</v>
      </c>
      <c r="B825" s="1">
        <v>44941</v>
      </c>
      <c r="C825" t="s">
        <v>38</v>
      </c>
      <c r="D825" t="s">
        <v>15</v>
      </c>
      <c r="E825">
        <v>289.52999999999997</v>
      </c>
      <c r="F825">
        <v>6</v>
      </c>
      <c r="G825" t="s">
        <v>16</v>
      </c>
      <c r="H825">
        <v>2594.42</v>
      </c>
      <c r="I825">
        <v>3081.04</v>
      </c>
      <c r="J825" t="s">
        <v>17</v>
      </c>
      <c r="K825">
        <v>0.1</v>
      </c>
      <c r="L825" t="s">
        <v>27</v>
      </c>
      <c r="M825" t="s">
        <v>22</v>
      </c>
      <c r="N825" t="s">
        <v>40</v>
      </c>
    </row>
    <row r="826" spans="1:14" x14ac:dyDescent="0.35">
      <c r="A826">
        <v>1085</v>
      </c>
      <c r="B826" s="1">
        <v>45088</v>
      </c>
      <c r="C826" t="s">
        <v>24</v>
      </c>
      <c r="D826" t="s">
        <v>34</v>
      </c>
      <c r="E826">
        <v>7813.12</v>
      </c>
      <c r="F826">
        <v>8</v>
      </c>
      <c r="G826" t="s">
        <v>26</v>
      </c>
      <c r="H826">
        <v>3048.48</v>
      </c>
      <c r="I826">
        <v>3198.54</v>
      </c>
      <c r="J826" t="s">
        <v>17</v>
      </c>
      <c r="K826">
        <v>0.03</v>
      </c>
      <c r="L826" t="s">
        <v>27</v>
      </c>
      <c r="M826" t="s">
        <v>19</v>
      </c>
      <c r="N826" t="s">
        <v>50</v>
      </c>
    </row>
    <row r="827" spans="1:14" x14ac:dyDescent="0.35">
      <c r="A827">
        <v>1078</v>
      </c>
      <c r="B827" s="1">
        <v>45089</v>
      </c>
      <c r="C827" t="s">
        <v>33</v>
      </c>
      <c r="D827" t="s">
        <v>25</v>
      </c>
      <c r="E827">
        <v>6136</v>
      </c>
      <c r="F827">
        <v>29</v>
      </c>
      <c r="G827" t="s">
        <v>35</v>
      </c>
      <c r="H827">
        <v>3177.81</v>
      </c>
      <c r="I827">
        <v>3222.65</v>
      </c>
      <c r="J827" t="s">
        <v>17</v>
      </c>
      <c r="K827">
        <v>0.08</v>
      </c>
      <c r="L827" t="s">
        <v>31</v>
      </c>
      <c r="M827" t="s">
        <v>22</v>
      </c>
      <c r="N827" t="s">
        <v>44</v>
      </c>
    </row>
    <row r="828" spans="1:14" x14ac:dyDescent="0.35">
      <c r="A828">
        <v>1073</v>
      </c>
      <c r="B828" s="1">
        <v>45246</v>
      </c>
      <c r="C828" t="s">
        <v>24</v>
      </c>
      <c r="D828" t="s">
        <v>25</v>
      </c>
      <c r="E828">
        <v>7026.43</v>
      </c>
      <c r="F828">
        <v>48</v>
      </c>
      <c r="G828" t="s">
        <v>29</v>
      </c>
      <c r="H828">
        <v>2658.9</v>
      </c>
      <c r="I828">
        <v>2838.27</v>
      </c>
      <c r="J828" t="s">
        <v>30</v>
      </c>
      <c r="K828">
        <v>0.25</v>
      </c>
      <c r="L828" t="s">
        <v>31</v>
      </c>
      <c r="M828" t="s">
        <v>19</v>
      </c>
      <c r="N828" t="s">
        <v>28</v>
      </c>
    </row>
    <row r="829" spans="1:14" x14ac:dyDescent="0.35">
      <c r="A829">
        <v>1001</v>
      </c>
      <c r="B829" s="1">
        <v>45207</v>
      </c>
      <c r="C829" t="s">
        <v>14</v>
      </c>
      <c r="D829" t="s">
        <v>21</v>
      </c>
      <c r="E829">
        <v>8397.73</v>
      </c>
      <c r="F829">
        <v>33</v>
      </c>
      <c r="G829" t="s">
        <v>16</v>
      </c>
      <c r="H829">
        <v>2933.54</v>
      </c>
      <c r="I829">
        <v>3307.75</v>
      </c>
      <c r="J829" t="s">
        <v>17</v>
      </c>
      <c r="K829">
        <v>0.01</v>
      </c>
      <c r="L829" t="s">
        <v>27</v>
      </c>
      <c r="M829" t="s">
        <v>22</v>
      </c>
      <c r="N829" t="s">
        <v>23</v>
      </c>
    </row>
    <row r="830" spans="1:14" x14ac:dyDescent="0.35">
      <c r="A830">
        <v>1051</v>
      </c>
      <c r="B830" s="1">
        <v>45206</v>
      </c>
      <c r="C830" t="s">
        <v>14</v>
      </c>
      <c r="D830" t="s">
        <v>21</v>
      </c>
      <c r="E830">
        <v>8047.83</v>
      </c>
      <c r="F830">
        <v>3</v>
      </c>
      <c r="G830" t="s">
        <v>16</v>
      </c>
      <c r="H830">
        <v>3434.75</v>
      </c>
      <c r="I830">
        <v>3659.42</v>
      </c>
      <c r="J830" t="s">
        <v>30</v>
      </c>
      <c r="K830">
        <v>0.16</v>
      </c>
      <c r="L830" t="s">
        <v>18</v>
      </c>
      <c r="M830" t="s">
        <v>19</v>
      </c>
      <c r="N830" t="s">
        <v>23</v>
      </c>
    </row>
    <row r="831" spans="1:14" x14ac:dyDescent="0.35">
      <c r="A831">
        <v>1045</v>
      </c>
      <c r="B831" s="1">
        <v>44938</v>
      </c>
      <c r="C831" t="s">
        <v>33</v>
      </c>
      <c r="D831" t="s">
        <v>25</v>
      </c>
      <c r="E831">
        <v>9613.11</v>
      </c>
      <c r="F831">
        <v>35</v>
      </c>
      <c r="G831" t="s">
        <v>16</v>
      </c>
      <c r="H831">
        <v>3777.94</v>
      </c>
      <c r="I831">
        <v>4188.66</v>
      </c>
      <c r="J831" t="s">
        <v>30</v>
      </c>
      <c r="K831">
        <v>0.17</v>
      </c>
      <c r="L831" t="s">
        <v>27</v>
      </c>
      <c r="M831" t="s">
        <v>19</v>
      </c>
      <c r="N831" t="s">
        <v>44</v>
      </c>
    </row>
    <row r="832" spans="1:14" x14ac:dyDescent="0.35">
      <c r="A832">
        <v>1077</v>
      </c>
      <c r="B832" s="1">
        <v>45200</v>
      </c>
      <c r="C832" t="s">
        <v>42</v>
      </c>
      <c r="D832" t="s">
        <v>21</v>
      </c>
      <c r="E832">
        <v>5405.76</v>
      </c>
      <c r="F832">
        <v>5</v>
      </c>
      <c r="G832" t="s">
        <v>35</v>
      </c>
      <c r="H832">
        <v>3650.89</v>
      </c>
      <c r="I832">
        <v>3930.06</v>
      </c>
      <c r="J832" t="s">
        <v>30</v>
      </c>
      <c r="K832">
        <v>0.17</v>
      </c>
      <c r="L832" t="s">
        <v>27</v>
      </c>
      <c r="M832" t="s">
        <v>19</v>
      </c>
      <c r="N832" t="s">
        <v>51</v>
      </c>
    </row>
    <row r="833" spans="1:14" x14ac:dyDescent="0.35">
      <c r="A833">
        <v>1004</v>
      </c>
      <c r="B833" s="1">
        <v>45197</v>
      </c>
      <c r="C833" t="s">
        <v>38</v>
      </c>
      <c r="D833" t="s">
        <v>25</v>
      </c>
      <c r="E833">
        <v>4936.1099999999997</v>
      </c>
      <c r="F833">
        <v>27</v>
      </c>
      <c r="G833" t="s">
        <v>29</v>
      </c>
      <c r="H833">
        <v>4354.6000000000004</v>
      </c>
      <c r="I833">
        <v>4820.2</v>
      </c>
      <c r="J833" t="s">
        <v>30</v>
      </c>
      <c r="K833">
        <v>0.14000000000000001</v>
      </c>
      <c r="L833" t="s">
        <v>31</v>
      </c>
      <c r="M833" t="s">
        <v>22</v>
      </c>
      <c r="N833" t="s">
        <v>39</v>
      </c>
    </row>
    <row r="834" spans="1:14" x14ac:dyDescent="0.35">
      <c r="A834">
        <v>1062</v>
      </c>
      <c r="B834" s="1">
        <v>45134</v>
      </c>
      <c r="C834" t="s">
        <v>24</v>
      </c>
      <c r="D834" t="s">
        <v>25</v>
      </c>
      <c r="E834">
        <v>4078.68</v>
      </c>
      <c r="F834">
        <v>44</v>
      </c>
      <c r="G834" t="s">
        <v>35</v>
      </c>
      <c r="H834">
        <v>987.74</v>
      </c>
      <c r="I834">
        <v>1462.19</v>
      </c>
      <c r="J834" t="s">
        <v>30</v>
      </c>
      <c r="K834">
        <v>0.24</v>
      </c>
      <c r="L834" t="s">
        <v>27</v>
      </c>
      <c r="M834" t="s">
        <v>19</v>
      </c>
      <c r="N834" t="s">
        <v>28</v>
      </c>
    </row>
    <row r="835" spans="1:14" x14ac:dyDescent="0.35">
      <c r="A835">
        <v>1065</v>
      </c>
      <c r="B835" s="1">
        <v>44953</v>
      </c>
      <c r="C835" t="s">
        <v>14</v>
      </c>
      <c r="D835" t="s">
        <v>25</v>
      </c>
      <c r="E835">
        <v>1621.54</v>
      </c>
      <c r="F835">
        <v>12</v>
      </c>
      <c r="G835" t="s">
        <v>35</v>
      </c>
      <c r="H835">
        <v>2035.68</v>
      </c>
      <c r="I835">
        <v>2079.64</v>
      </c>
      <c r="J835" t="s">
        <v>17</v>
      </c>
      <c r="K835">
        <v>0.04</v>
      </c>
      <c r="L835" t="s">
        <v>18</v>
      </c>
      <c r="M835" t="s">
        <v>19</v>
      </c>
      <c r="N835" t="s">
        <v>32</v>
      </c>
    </row>
    <row r="836" spans="1:14" x14ac:dyDescent="0.35">
      <c r="A836">
        <v>1032</v>
      </c>
      <c r="B836" s="1">
        <v>44998</v>
      </c>
      <c r="C836" t="s">
        <v>42</v>
      </c>
      <c r="D836" t="s">
        <v>15</v>
      </c>
      <c r="E836">
        <v>5768.81</v>
      </c>
      <c r="F836">
        <v>20</v>
      </c>
      <c r="G836" t="s">
        <v>35</v>
      </c>
      <c r="H836">
        <v>4741.59</v>
      </c>
      <c r="I836">
        <v>4975.2299999999996</v>
      </c>
      <c r="J836" t="s">
        <v>30</v>
      </c>
      <c r="K836">
        <v>0.09</v>
      </c>
      <c r="L836" t="s">
        <v>31</v>
      </c>
      <c r="M836" t="s">
        <v>19</v>
      </c>
      <c r="N836" t="s">
        <v>49</v>
      </c>
    </row>
    <row r="837" spans="1:14" x14ac:dyDescent="0.35">
      <c r="A837">
        <v>1034</v>
      </c>
      <c r="B837" s="1">
        <v>44986</v>
      </c>
      <c r="C837" t="s">
        <v>33</v>
      </c>
      <c r="D837" t="s">
        <v>21</v>
      </c>
      <c r="E837">
        <v>2842.42</v>
      </c>
      <c r="F837">
        <v>45</v>
      </c>
      <c r="G837" t="s">
        <v>26</v>
      </c>
      <c r="H837">
        <v>2013.12</v>
      </c>
      <c r="I837">
        <v>2321.87</v>
      </c>
      <c r="J837" t="s">
        <v>30</v>
      </c>
      <c r="K837">
        <v>0.18</v>
      </c>
      <c r="L837" t="s">
        <v>27</v>
      </c>
      <c r="M837" t="s">
        <v>22</v>
      </c>
      <c r="N837" t="s">
        <v>37</v>
      </c>
    </row>
    <row r="838" spans="1:14" x14ac:dyDescent="0.35">
      <c r="A838">
        <v>1092</v>
      </c>
      <c r="B838" s="1">
        <v>45071</v>
      </c>
      <c r="C838" t="s">
        <v>14</v>
      </c>
      <c r="D838" t="s">
        <v>34</v>
      </c>
      <c r="E838">
        <v>9220.94</v>
      </c>
      <c r="F838">
        <v>20</v>
      </c>
      <c r="G838" t="s">
        <v>26</v>
      </c>
      <c r="H838">
        <v>668.11</v>
      </c>
      <c r="I838">
        <v>803.49</v>
      </c>
      <c r="J838" t="s">
        <v>30</v>
      </c>
      <c r="K838">
        <v>0.21</v>
      </c>
      <c r="L838" t="s">
        <v>27</v>
      </c>
      <c r="M838" t="s">
        <v>19</v>
      </c>
      <c r="N838" t="s">
        <v>46</v>
      </c>
    </row>
    <row r="839" spans="1:14" x14ac:dyDescent="0.35">
      <c r="A839">
        <v>1095</v>
      </c>
      <c r="B839" s="1">
        <v>45019</v>
      </c>
      <c r="C839" t="s">
        <v>33</v>
      </c>
      <c r="D839" t="s">
        <v>34</v>
      </c>
      <c r="E839">
        <v>5873.59</v>
      </c>
      <c r="F839">
        <v>9</v>
      </c>
      <c r="G839" t="s">
        <v>26</v>
      </c>
      <c r="H839">
        <v>2650.95</v>
      </c>
      <c r="I839">
        <v>2860.4199999999901</v>
      </c>
      <c r="J839" t="s">
        <v>30</v>
      </c>
      <c r="K839">
        <v>0.12</v>
      </c>
      <c r="L839" t="s">
        <v>18</v>
      </c>
      <c r="M839" t="s">
        <v>22</v>
      </c>
      <c r="N839" t="s">
        <v>36</v>
      </c>
    </row>
    <row r="840" spans="1:14" x14ac:dyDescent="0.35">
      <c r="A840">
        <v>1072</v>
      </c>
      <c r="B840" s="1">
        <v>45235</v>
      </c>
      <c r="C840" t="s">
        <v>24</v>
      </c>
      <c r="D840" t="s">
        <v>21</v>
      </c>
      <c r="E840">
        <v>5969.12</v>
      </c>
      <c r="F840">
        <v>39</v>
      </c>
      <c r="G840" t="s">
        <v>29</v>
      </c>
      <c r="H840">
        <v>591.98</v>
      </c>
      <c r="I840">
        <v>934.04</v>
      </c>
      <c r="J840" t="s">
        <v>30</v>
      </c>
      <c r="K840">
        <v>0.26</v>
      </c>
      <c r="L840" t="s">
        <v>27</v>
      </c>
      <c r="M840" t="s">
        <v>22</v>
      </c>
      <c r="N840" t="s">
        <v>47</v>
      </c>
    </row>
    <row r="841" spans="1:14" x14ac:dyDescent="0.35">
      <c r="A841">
        <v>1039</v>
      </c>
      <c r="B841" s="1">
        <v>44934</v>
      </c>
      <c r="C841" t="s">
        <v>38</v>
      </c>
      <c r="D841" t="s">
        <v>25</v>
      </c>
      <c r="E841">
        <v>3613.75</v>
      </c>
      <c r="F841">
        <v>4</v>
      </c>
      <c r="G841" t="s">
        <v>35</v>
      </c>
      <c r="H841">
        <v>1054.1199999999999</v>
      </c>
      <c r="I841">
        <v>1175.21999999999</v>
      </c>
      <c r="J841" t="s">
        <v>17</v>
      </c>
      <c r="K841">
        <v>0.12</v>
      </c>
      <c r="L841" t="s">
        <v>27</v>
      </c>
      <c r="M841" t="s">
        <v>22</v>
      </c>
      <c r="N841" t="s">
        <v>39</v>
      </c>
    </row>
    <row r="842" spans="1:14" x14ac:dyDescent="0.35">
      <c r="A842">
        <v>1026</v>
      </c>
      <c r="B842" s="1">
        <v>45005</v>
      </c>
      <c r="C842" t="s">
        <v>14</v>
      </c>
      <c r="D842" t="s">
        <v>34</v>
      </c>
      <c r="E842">
        <v>614.69000000000005</v>
      </c>
      <c r="F842">
        <v>19</v>
      </c>
      <c r="G842" t="s">
        <v>35</v>
      </c>
      <c r="H842">
        <v>4991.68</v>
      </c>
      <c r="I842">
        <v>5296.65</v>
      </c>
      <c r="J842" t="s">
        <v>30</v>
      </c>
      <c r="K842">
        <v>0.12</v>
      </c>
      <c r="L842" t="s">
        <v>27</v>
      </c>
      <c r="M842" t="s">
        <v>19</v>
      </c>
      <c r="N842" t="s">
        <v>46</v>
      </c>
    </row>
    <row r="843" spans="1:14" x14ac:dyDescent="0.35">
      <c r="A843">
        <v>1034</v>
      </c>
      <c r="B843" s="1">
        <v>44953</v>
      </c>
      <c r="C843" t="s">
        <v>14</v>
      </c>
      <c r="D843" t="s">
        <v>34</v>
      </c>
      <c r="E843">
        <v>414.26</v>
      </c>
      <c r="F843">
        <v>38</v>
      </c>
      <c r="G843" t="s">
        <v>26</v>
      </c>
      <c r="H843">
        <v>2729.75</v>
      </c>
      <c r="I843">
        <v>3081.5</v>
      </c>
      <c r="J843" t="s">
        <v>30</v>
      </c>
      <c r="K843">
        <v>0.01</v>
      </c>
      <c r="L843" t="s">
        <v>27</v>
      </c>
      <c r="M843" t="s">
        <v>19</v>
      </c>
      <c r="N843" t="s">
        <v>46</v>
      </c>
    </row>
    <row r="844" spans="1:14" x14ac:dyDescent="0.35">
      <c r="A844">
        <v>1054</v>
      </c>
      <c r="B844" s="1">
        <v>45100</v>
      </c>
      <c r="C844" t="s">
        <v>24</v>
      </c>
      <c r="D844" t="s">
        <v>21</v>
      </c>
      <c r="E844">
        <v>4291.0200000000004</v>
      </c>
      <c r="F844">
        <v>27</v>
      </c>
      <c r="G844" t="s">
        <v>35</v>
      </c>
      <c r="H844">
        <v>1456.09</v>
      </c>
      <c r="I844">
        <v>1510.4299999999901</v>
      </c>
      <c r="J844" t="s">
        <v>17</v>
      </c>
      <c r="K844">
        <v>0.17</v>
      </c>
      <c r="L844" t="s">
        <v>18</v>
      </c>
      <c r="M844" t="s">
        <v>22</v>
      </c>
      <c r="N844" t="s">
        <v>47</v>
      </c>
    </row>
    <row r="845" spans="1:14" x14ac:dyDescent="0.35">
      <c r="A845">
        <v>1003</v>
      </c>
      <c r="B845" s="1">
        <v>44976</v>
      </c>
      <c r="C845" t="s">
        <v>42</v>
      </c>
      <c r="D845" t="s">
        <v>34</v>
      </c>
      <c r="E845">
        <v>937.2</v>
      </c>
      <c r="F845">
        <v>45</v>
      </c>
      <c r="G845" t="s">
        <v>35</v>
      </c>
      <c r="H845">
        <v>4974.1400000000003</v>
      </c>
      <c r="I845">
        <v>5227.93</v>
      </c>
      <c r="J845" t="s">
        <v>30</v>
      </c>
      <c r="K845">
        <v>0.21</v>
      </c>
      <c r="L845" t="s">
        <v>27</v>
      </c>
      <c r="M845" t="s">
        <v>19</v>
      </c>
      <c r="N845" t="s">
        <v>52</v>
      </c>
    </row>
    <row r="846" spans="1:14" x14ac:dyDescent="0.35">
      <c r="A846">
        <v>1050</v>
      </c>
      <c r="B846" s="1">
        <v>45125</v>
      </c>
      <c r="C846" t="s">
        <v>38</v>
      </c>
      <c r="D846" t="s">
        <v>25</v>
      </c>
      <c r="E846">
        <v>6107.78</v>
      </c>
      <c r="F846">
        <v>43</v>
      </c>
      <c r="G846" t="s">
        <v>16</v>
      </c>
      <c r="H846">
        <v>4834.47</v>
      </c>
      <c r="I846">
        <v>4973.38</v>
      </c>
      <c r="J846" t="s">
        <v>17</v>
      </c>
      <c r="K846">
        <v>0.03</v>
      </c>
      <c r="L846" t="s">
        <v>27</v>
      </c>
      <c r="M846" t="s">
        <v>19</v>
      </c>
      <c r="N846" t="s">
        <v>39</v>
      </c>
    </row>
    <row r="847" spans="1:14" x14ac:dyDescent="0.35">
      <c r="A847">
        <v>1012</v>
      </c>
      <c r="B847" s="1">
        <v>45275</v>
      </c>
      <c r="C847" t="s">
        <v>14</v>
      </c>
      <c r="D847" t="s">
        <v>21</v>
      </c>
      <c r="E847">
        <v>8821.6299999999992</v>
      </c>
      <c r="F847">
        <v>13</v>
      </c>
      <c r="G847" t="s">
        <v>35</v>
      </c>
      <c r="H847">
        <v>2231.66</v>
      </c>
      <c r="I847">
        <v>2596.6099999999901</v>
      </c>
      <c r="J847" t="s">
        <v>17</v>
      </c>
      <c r="K847">
        <v>0.09</v>
      </c>
      <c r="L847" t="s">
        <v>27</v>
      </c>
      <c r="M847" t="s">
        <v>22</v>
      </c>
      <c r="N847" t="s">
        <v>23</v>
      </c>
    </row>
    <row r="848" spans="1:14" x14ac:dyDescent="0.35">
      <c r="A848">
        <v>1065</v>
      </c>
      <c r="B848" s="1">
        <v>45107</v>
      </c>
      <c r="C848" t="s">
        <v>38</v>
      </c>
      <c r="D848" t="s">
        <v>25</v>
      </c>
      <c r="E848">
        <v>8840.86</v>
      </c>
      <c r="F848">
        <v>13</v>
      </c>
      <c r="G848" t="s">
        <v>16</v>
      </c>
      <c r="H848">
        <v>1339</v>
      </c>
      <c r="I848">
        <v>1441.88</v>
      </c>
      <c r="J848" t="s">
        <v>17</v>
      </c>
      <c r="K848">
        <v>0.23</v>
      </c>
      <c r="L848" t="s">
        <v>31</v>
      </c>
      <c r="M848" t="s">
        <v>22</v>
      </c>
      <c r="N848" t="s">
        <v>39</v>
      </c>
    </row>
    <row r="849" spans="1:14" x14ac:dyDescent="0.35">
      <c r="A849">
        <v>1054</v>
      </c>
      <c r="B849" s="1">
        <v>44950</v>
      </c>
      <c r="C849" t="s">
        <v>14</v>
      </c>
      <c r="D849" t="s">
        <v>34</v>
      </c>
      <c r="E849">
        <v>6624.55</v>
      </c>
      <c r="F849">
        <v>22</v>
      </c>
      <c r="G849" t="s">
        <v>35</v>
      </c>
      <c r="H849">
        <v>4200.08</v>
      </c>
      <c r="I849">
        <v>4647.28</v>
      </c>
      <c r="J849" t="s">
        <v>17</v>
      </c>
      <c r="K849">
        <v>0.11</v>
      </c>
      <c r="L849" t="s">
        <v>18</v>
      </c>
      <c r="M849" t="s">
        <v>19</v>
      </c>
      <c r="N849" t="s">
        <v>46</v>
      </c>
    </row>
    <row r="850" spans="1:14" x14ac:dyDescent="0.35">
      <c r="A850">
        <v>1005</v>
      </c>
      <c r="B850" s="1">
        <v>45242</v>
      </c>
      <c r="C850" t="s">
        <v>38</v>
      </c>
      <c r="D850" t="s">
        <v>34</v>
      </c>
      <c r="E850">
        <v>2191.1999999999998</v>
      </c>
      <c r="F850">
        <v>28</v>
      </c>
      <c r="G850" t="s">
        <v>29</v>
      </c>
      <c r="H850">
        <v>3592.32</v>
      </c>
      <c r="I850">
        <v>3813.48</v>
      </c>
      <c r="J850" t="s">
        <v>30</v>
      </c>
      <c r="K850">
        <v>7.0000000000000007E-2</v>
      </c>
      <c r="L850" t="s">
        <v>31</v>
      </c>
      <c r="M850" t="s">
        <v>22</v>
      </c>
      <c r="N850" t="s">
        <v>48</v>
      </c>
    </row>
    <row r="851" spans="1:14" x14ac:dyDescent="0.35">
      <c r="A851">
        <v>1094</v>
      </c>
      <c r="B851" s="1">
        <v>44972</v>
      </c>
      <c r="C851" t="s">
        <v>33</v>
      </c>
      <c r="D851" t="s">
        <v>25</v>
      </c>
      <c r="E851">
        <v>8643.67</v>
      </c>
      <c r="F851">
        <v>47</v>
      </c>
      <c r="G851" t="s">
        <v>26</v>
      </c>
      <c r="H851">
        <v>3450.36</v>
      </c>
      <c r="I851">
        <v>3557.38</v>
      </c>
      <c r="J851" t="s">
        <v>30</v>
      </c>
      <c r="K851">
        <v>0.2</v>
      </c>
      <c r="L851" t="s">
        <v>31</v>
      </c>
      <c r="M851" t="s">
        <v>19</v>
      </c>
      <c r="N851" t="s">
        <v>44</v>
      </c>
    </row>
    <row r="852" spans="1:14" x14ac:dyDescent="0.35">
      <c r="A852">
        <v>1094</v>
      </c>
      <c r="B852" s="1">
        <v>44941</v>
      </c>
      <c r="C852" t="s">
        <v>14</v>
      </c>
      <c r="D852" t="s">
        <v>15</v>
      </c>
      <c r="E852">
        <v>8872.33</v>
      </c>
      <c r="F852">
        <v>45</v>
      </c>
      <c r="G852" t="s">
        <v>16</v>
      </c>
      <c r="H852">
        <v>4470.91</v>
      </c>
      <c r="I852">
        <v>4695.54</v>
      </c>
      <c r="J852" t="s">
        <v>17</v>
      </c>
      <c r="K852">
        <v>0.06</v>
      </c>
      <c r="L852" t="s">
        <v>18</v>
      </c>
      <c r="M852" t="s">
        <v>22</v>
      </c>
      <c r="N852" t="s">
        <v>20</v>
      </c>
    </row>
    <row r="853" spans="1:14" x14ac:dyDescent="0.35">
      <c r="A853">
        <v>1057</v>
      </c>
      <c r="B853" s="1">
        <v>45079</v>
      </c>
      <c r="C853" t="s">
        <v>38</v>
      </c>
      <c r="D853" t="s">
        <v>34</v>
      </c>
      <c r="E853">
        <v>2046.87</v>
      </c>
      <c r="F853">
        <v>22</v>
      </c>
      <c r="G853" t="s">
        <v>26</v>
      </c>
      <c r="H853">
        <v>3462.61</v>
      </c>
      <c r="I853">
        <v>3672.89</v>
      </c>
      <c r="J853" t="s">
        <v>17</v>
      </c>
      <c r="K853">
        <v>0.27</v>
      </c>
      <c r="L853" t="s">
        <v>31</v>
      </c>
      <c r="M853" t="s">
        <v>19</v>
      </c>
      <c r="N853" t="s">
        <v>48</v>
      </c>
    </row>
    <row r="854" spans="1:14" x14ac:dyDescent="0.35">
      <c r="A854">
        <v>1017</v>
      </c>
      <c r="B854" s="1">
        <v>45148</v>
      </c>
      <c r="C854" t="s">
        <v>42</v>
      </c>
      <c r="D854" t="s">
        <v>15</v>
      </c>
      <c r="E854">
        <v>7400.52</v>
      </c>
      <c r="F854">
        <v>43</v>
      </c>
      <c r="G854" t="s">
        <v>16</v>
      </c>
      <c r="H854">
        <v>1454.8</v>
      </c>
      <c r="I854">
        <v>1674.97</v>
      </c>
      <c r="J854" t="s">
        <v>30</v>
      </c>
      <c r="K854">
        <v>0.03</v>
      </c>
      <c r="L854" t="s">
        <v>31</v>
      </c>
      <c r="M854" t="s">
        <v>19</v>
      </c>
      <c r="N854" t="s">
        <v>49</v>
      </c>
    </row>
    <row r="855" spans="1:14" x14ac:dyDescent="0.35">
      <c r="A855">
        <v>1047</v>
      </c>
      <c r="B855" s="1">
        <v>45132</v>
      </c>
      <c r="C855" t="s">
        <v>33</v>
      </c>
      <c r="D855" t="s">
        <v>34</v>
      </c>
      <c r="E855">
        <v>2936.54</v>
      </c>
      <c r="F855">
        <v>19</v>
      </c>
      <c r="G855" t="s">
        <v>16</v>
      </c>
      <c r="H855">
        <v>3484.62</v>
      </c>
      <c r="I855">
        <v>3781.5499999999902</v>
      </c>
      <c r="J855" t="s">
        <v>17</v>
      </c>
      <c r="K855">
        <v>0.21</v>
      </c>
      <c r="L855" t="s">
        <v>31</v>
      </c>
      <c r="M855" t="s">
        <v>22</v>
      </c>
      <c r="N855" t="s">
        <v>36</v>
      </c>
    </row>
    <row r="856" spans="1:14" x14ac:dyDescent="0.35">
      <c r="A856">
        <v>1023</v>
      </c>
      <c r="B856" s="1">
        <v>45199</v>
      </c>
      <c r="C856" t="s">
        <v>33</v>
      </c>
      <c r="D856" t="s">
        <v>15</v>
      </c>
      <c r="E856">
        <v>8046.14</v>
      </c>
      <c r="F856">
        <v>8</v>
      </c>
      <c r="G856" t="s">
        <v>16</v>
      </c>
      <c r="H856">
        <v>1563.78</v>
      </c>
      <c r="I856">
        <v>1829.1599999999901</v>
      </c>
      <c r="J856" t="s">
        <v>17</v>
      </c>
      <c r="K856">
        <v>0.15</v>
      </c>
      <c r="L856" t="s">
        <v>18</v>
      </c>
      <c r="M856" t="s">
        <v>19</v>
      </c>
      <c r="N856" t="s">
        <v>53</v>
      </c>
    </row>
    <row r="857" spans="1:14" x14ac:dyDescent="0.35">
      <c r="A857">
        <v>1079</v>
      </c>
      <c r="B857" s="1">
        <v>45162</v>
      </c>
      <c r="C857" t="s">
        <v>42</v>
      </c>
      <c r="D857" t="s">
        <v>15</v>
      </c>
      <c r="E857">
        <v>9972.66</v>
      </c>
      <c r="F857">
        <v>8</v>
      </c>
      <c r="G857" t="s">
        <v>29</v>
      </c>
      <c r="H857">
        <v>3808.23</v>
      </c>
      <c r="I857">
        <v>3891.62</v>
      </c>
      <c r="J857" t="s">
        <v>17</v>
      </c>
      <c r="K857">
        <v>0.26</v>
      </c>
      <c r="L857" t="s">
        <v>27</v>
      </c>
      <c r="M857" t="s">
        <v>19</v>
      </c>
      <c r="N857" t="s">
        <v>49</v>
      </c>
    </row>
    <row r="858" spans="1:14" x14ac:dyDescent="0.35">
      <c r="A858">
        <v>1085</v>
      </c>
      <c r="B858" s="1">
        <v>45266</v>
      </c>
      <c r="C858" t="s">
        <v>38</v>
      </c>
      <c r="D858" t="s">
        <v>15</v>
      </c>
      <c r="E858">
        <v>397.26</v>
      </c>
      <c r="F858">
        <v>42</v>
      </c>
      <c r="G858" t="s">
        <v>35</v>
      </c>
      <c r="H858">
        <v>3117.75</v>
      </c>
      <c r="I858">
        <v>3159.88</v>
      </c>
      <c r="J858" t="s">
        <v>30</v>
      </c>
      <c r="K858">
        <v>0.04</v>
      </c>
      <c r="L858" t="s">
        <v>18</v>
      </c>
      <c r="M858" t="s">
        <v>22</v>
      </c>
      <c r="N858" t="s">
        <v>40</v>
      </c>
    </row>
    <row r="859" spans="1:14" x14ac:dyDescent="0.35">
      <c r="A859">
        <v>1014</v>
      </c>
      <c r="B859" s="1">
        <v>45154</v>
      </c>
      <c r="C859" t="s">
        <v>24</v>
      </c>
      <c r="D859" t="s">
        <v>25</v>
      </c>
      <c r="E859">
        <v>8983.92</v>
      </c>
      <c r="F859">
        <v>26</v>
      </c>
      <c r="G859" t="s">
        <v>16</v>
      </c>
      <c r="H859">
        <v>433.19</v>
      </c>
      <c r="I859">
        <v>800.6</v>
      </c>
      <c r="J859" t="s">
        <v>17</v>
      </c>
      <c r="K859">
        <v>0.2</v>
      </c>
      <c r="L859" t="s">
        <v>18</v>
      </c>
      <c r="M859" t="s">
        <v>19</v>
      </c>
      <c r="N859" t="s">
        <v>28</v>
      </c>
    </row>
    <row r="860" spans="1:14" x14ac:dyDescent="0.35">
      <c r="A860">
        <v>1066</v>
      </c>
      <c r="B860" s="1">
        <v>44935</v>
      </c>
      <c r="C860" t="s">
        <v>42</v>
      </c>
      <c r="D860" t="s">
        <v>15</v>
      </c>
      <c r="E860">
        <v>6264.04</v>
      </c>
      <c r="F860">
        <v>48</v>
      </c>
      <c r="G860" t="s">
        <v>29</v>
      </c>
      <c r="H860">
        <v>2588.54</v>
      </c>
      <c r="I860">
        <v>2872.8</v>
      </c>
      <c r="J860" t="s">
        <v>30</v>
      </c>
      <c r="K860">
        <v>0.17</v>
      </c>
      <c r="L860" t="s">
        <v>18</v>
      </c>
      <c r="M860" t="s">
        <v>19</v>
      </c>
      <c r="N860" t="s">
        <v>49</v>
      </c>
    </row>
    <row r="861" spans="1:14" x14ac:dyDescent="0.35">
      <c r="A861">
        <v>1075</v>
      </c>
      <c r="B861" s="1">
        <v>45092</v>
      </c>
      <c r="C861" t="s">
        <v>38</v>
      </c>
      <c r="D861" t="s">
        <v>15</v>
      </c>
      <c r="E861">
        <v>9736.49</v>
      </c>
      <c r="F861">
        <v>26</v>
      </c>
      <c r="G861" t="s">
        <v>16</v>
      </c>
      <c r="H861">
        <v>1749.34</v>
      </c>
      <c r="I861">
        <v>1935.25</v>
      </c>
      <c r="J861" t="s">
        <v>30</v>
      </c>
      <c r="K861">
        <v>0.14000000000000001</v>
      </c>
      <c r="L861" t="s">
        <v>31</v>
      </c>
      <c r="M861" t="s">
        <v>19</v>
      </c>
      <c r="N861" t="s">
        <v>40</v>
      </c>
    </row>
    <row r="862" spans="1:14" x14ac:dyDescent="0.35">
      <c r="A862">
        <v>1051</v>
      </c>
      <c r="B862" s="1">
        <v>45245</v>
      </c>
      <c r="C862" t="s">
        <v>42</v>
      </c>
      <c r="D862" t="s">
        <v>15</v>
      </c>
      <c r="E862">
        <v>4703.59</v>
      </c>
      <c r="F862">
        <v>23</v>
      </c>
      <c r="G862" t="s">
        <v>35</v>
      </c>
      <c r="H862">
        <v>1676.42</v>
      </c>
      <c r="I862">
        <v>2082.52</v>
      </c>
      <c r="J862" t="s">
        <v>30</v>
      </c>
      <c r="K862">
        <v>0.15</v>
      </c>
      <c r="L862" t="s">
        <v>27</v>
      </c>
      <c r="M862" t="s">
        <v>22</v>
      </c>
      <c r="N862" t="s">
        <v>49</v>
      </c>
    </row>
    <row r="863" spans="1:14" x14ac:dyDescent="0.35">
      <c r="A863">
        <v>1038</v>
      </c>
      <c r="B863" s="1">
        <v>45140</v>
      </c>
      <c r="C863" t="s">
        <v>42</v>
      </c>
      <c r="D863" t="s">
        <v>34</v>
      </c>
      <c r="E863">
        <v>8489.14</v>
      </c>
      <c r="F863">
        <v>43</v>
      </c>
      <c r="G863" t="s">
        <v>16</v>
      </c>
      <c r="H863">
        <v>3031.17</v>
      </c>
      <c r="I863">
        <v>3231.32</v>
      </c>
      <c r="J863" t="s">
        <v>17</v>
      </c>
      <c r="K863">
        <v>0.22</v>
      </c>
      <c r="L863" t="s">
        <v>18</v>
      </c>
      <c r="M863" t="s">
        <v>22</v>
      </c>
      <c r="N863" t="s">
        <v>52</v>
      </c>
    </row>
    <row r="864" spans="1:14" x14ac:dyDescent="0.35">
      <c r="A864">
        <v>1064</v>
      </c>
      <c r="B864" s="1">
        <v>45043</v>
      </c>
      <c r="C864" t="s">
        <v>14</v>
      </c>
      <c r="D864" t="s">
        <v>15</v>
      </c>
      <c r="E864">
        <v>717.7</v>
      </c>
      <c r="F864">
        <v>13</v>
      </c>
      <c r="G864" t="s">
        <v>29</v>
      </c>
      <c r="H864">
        <v>1645.51</v>
      </c>
      <c r="I864">
        <v>2045.53</v>
      </c>
      <c r="J864" t="s">
        <v>17</v>
      </c>
      <c r="K864">
        <v>0.28000000000000003</v>
      </c>
      <c r="L864" t="s">
        <v>18</v>
      </c>
      <c r="M864" t="s">
        <v>22</v>
      </c>
      <c r="N864" t="s">
        <v>20</v>
      </c>
    </row>
    <row r="865" spans="1:14" x14ac:dyDescent="0.35">
      <c r="A865">
        <v>1098</v>
      </c>
      <c r="B865" s="1">
        <v>45270</v>
      </c>
      <c r="C865" t="s">
        <v>38</v>
      </c>
      <c r="D865" t="s">
        <v>34</v>
      </c>
      <c r="E865">
        <v>3419.26</v>
      </c>
      <c r="F865">
        <v>28</v>
      </c>
      <c r="G865" t="s">
        <v>35</v>
      </c>
      <c r="H865">
        <v>3895.62</v>
      </c>
      <c r="I865">
        <v>4055.44</v>
      </c>
      <c r="J865" t="s">
        <v>30</v>
      </c>
      <c r="K865">
        <v>0.03</v>
      </c>
      <c r="L865" t="s">
        <v>27</v>
      </c>
      <c r="M865" t="s">
        <v>22</v>
      </c>
      <c r="N865" t="s">
        <v>48</v>
      </c>
    </row>
    <row r="866" spans="1:14" x14ac:dyDescent="0.35">
      <c r="A866">
        <v>1038</v>
      </c>
      <c r="B866" s="1">
        <v>44998</v>
      </c>
      <c r="C866" t="s">
        <v>24</v>
      </c>
      <c r="D866" t="s">
        <v>15</v>
      </c>
      <c r="E866">
        <v>763.46</v>
      </c>
      <c r="F866">
        <v>9</v>
      </c>
      <c r="G866" t="s">
        <v>29</v>
      </c>
      <c r="H866">
        <v>400.42</v>
      </c>
      <c r="I866">
        <v>446.11</v>
      </c>
      <c r="J866" t="s">
        <v>30</v>
      </c>
      <c r="K866">
        <v>0.01</v>
      </c>
      <c r="L866" t="s">
        <v>27</v>
      </c>
      <c r="M866" t="s">
        <v>22</v>
      </c>
      <c r="N866" t="s">
        <v>45</v>
      </c>
    </row>
    <row r="867" spans="1:14" x14ac:dyDescent="0.35">
      <c r="A867">
        <v>1050</v>
      </c>
      <c r="B867" s="1">
        <v>44990</v>
      </c>
      <c r="C867" t="s">
        <v>14</v>
      </c>
      <c r="D867" t="s">
        <v>15</v>
      </c>
      <c r="E867">
        <v>9755.9</v>
      </c>
      <c r="F867">
        <v>20</v>
      </c>
      <c r="G867" t="s">
        <v>35</v>
      </c>
      <c r="H867">
        <v>3318.92</v>
      </c>
      <c r="I867">
        <v>3785.91</v>
      </c>
      <c r="J867" t="s">
        <v>30</v>
      </c>
      <c r="K867">
        <v>0.24</v>
      </c>
      <c r="L867" t="s">
        <v>27</v>
      </c>
      <c r="M867" t="s">
        <v>19</v>
      </c>
      <c r="N867" t="s">
        <v>20</v>
      </c>
    </row>
    <row r="868" spans="1:14" x14ac:dyDescent="0.35">
      <c r="A868">
        <v>1098</v>
      </c>
      <c r="B868" s="1">
        <v>45131</v>
      </c>
      <c r="C868" t="s">
        <v>42</v>
      </c>
      <c r="D868" t="s">
        <v>25</v>
      </c>
      <c r="E868">
        <v>8188.04</v>
      </c>
      <c r="F868">
        <v>19</v>
      </c>
      <c r="G868" t="s">
        <v>35</v>
      </c>
      <c r="H868">
        <v>4055.51</v>
      </c>
      <c r="I868">
        <v>4258.84</v>
      </c>
      <c r="J868" t="s">
        <v>17</v>
      </c>
      <c r="K868">
        <v>0.03</v>
      </c>
      <c r="L868" t="s">
        <v>31</v>
      </c>
      <c r="M868" t="s">
        <v>19</v>
      </c>
      <c r="N868" t="s">
        <v>43</v>
      </c>
    </row>
    <row r="869" spans="1:14" x14ac:dyDescent="0.35">
      <c r="A869">
        <v>1082</v>
      </c>
      <c r="B869" s="1">
        <v>45135</v>
      </c>
      <c r="C869" t="s">
        <v>42</v>
      </c>
      <c r="D869" t="s">
        <v>34</v>
      </c>
      <c r="E869">
        <v>8540.2199999999993</v>
      </c>
      <c r="F869">
        <v>48</v>
      </c>
      <c r="G869" t="s">
        <v>26</v>
      </c>
      <c r="H869">
        <v>3380.52</v>
      </c>
      <c r="I869">
        <v>3778.94</v>
      </c>
      <c r="J869" t="s">
        <v>17</v>
      </c>
      <c r="K869">
        <v>0.3</v>
      </c>
      <c r="L869" t="s">
        <v>27</v>
      </c>
      <c r="M869" t="s">
        <v>19</v>
      </c>
      <c r="N869" t="s">
        <v>52</v>
      </c>
    </row>
    <row r="870" spans="1:14" x14ac:dyDescent="0.35">
      <c r="A870">
        <v>1030</v>
      </c>
      <c r="B870" s="1">
        <v>44998</v>
      </c>
      <c r="C870" t="s">
        <v>42</v>
      </c>
      <c r="D870" t="s">
        <v>15</v>
      </c>
      <c r="E870">
        <v>9385.86</v>
      </c>
      <c r="F870">
        <v>39</v>
      </c>
      <c r="G870" t="s">
        <v>26</v>
      </c>
      <c r="H870">
        <v>2511.2800000000002</v>
      </c>
      <c r="I870">
        <v>2658.06</v>
      </c>
      <c r="J870" t="s">
        <v>30</v>
      </c>
      <c r="K870">
        <v>0.19</v>
      </c>
      <c r="L870" t="s">
        <v>31</v>
      </c>
      <c r="M870" t="s">
        <v>22</v>
      </c>
      <c r="N870" t="s">
        <v>49</v>
      </c>
    </row>
    <row r="871" spans="1:14" x14ac:dyDescent="0.35">
      <c r="A871">
        <v>1079</v>
      </c>
      <c r="B871" s="1">
        <v>45203</v>
      </c>
      <c r="C871" t="s">
        <v>38</v>
      </c>
      <c r="D871" t="s">
        <v>34</v>
      </c>
      <c r="E871">
        <v>942.52</v>
      </c>
      <c r="F871">
        <v>12</v>
      </c>
      <c r="G871" t="s">
        <v>26</v>
      </c>
      <c r="H871">
        <v>4754.0200000000004</v>
      </c>
      <c r="I871">
        <v>5080.74</v>
      </c>
      <c r="J871" t="s">
        <v>30</v>
      </c>
      <c r="K871">
        <v>0.2</v>
      </c>
      <c r="L871" t="s">
        <v>18</v>
      </c>
      <c r="M871" t="s">
        <v>19</v>
      </c>
      <c r="N871" t="s">
        <v>48</v>
      </c>
    </row>
    <row r="872" spans="1:14" x14ac:dyDescent="0.35">
      <c r="A872">
        <v>1091</v>
      </c>
      <c r="B872" s="1">
        <v>45200</v>
      </c>
      <c r="C872" t="s">
        <v>38</v>
      </c>
      <c r="D872" t="s">
        <v>34</v>
      </c>
      <c r="E872">
        <v>3917.42</v>
      </c>
      <c r="F872">
        <v>15</v>
      </c>
      <c r="G872" t="s">
        <v>35</v>
      </c>
      <c r="H872">
        <v>1534.7</v>
      </c>
      <c r="I872">
        <v>1972.62</v>
      </c>
      <c r="J872" t="s">
        <v>17</v>
      </c>
      <c r="K872">
        <v>0.06</v>
      </c>
      <c r="L872" t="s">
        <v>31</v>
      </c>
      <c r="M872" t="s">
        <v>22</v>
      </c>
      <c r="N872" t="s">
        <v>48</v>
      </c>
    </row>
    <row r="873" spans="1:14" x14ac:dyDescent="0.35">
      <c r="A873">
        <v>1051</v>
      </c>
      <c r="B873" s="1">
        <v>45246</v>
      </c>
      <c r="C873" t="s">
        <v>14</v>
      </c>
      <c r="D873" t="s">
        <v>21</v>
      </c>
      <c r="E873">
        <v>803.25</v>
      </c>
      <c r="F873">
        <v>31</v>
      </c>
      <c r="G873" t="s">
        <v>16</v>
      </c>
      <c r="H873">
        <v>144.88</v>
      </c>
      <c r="I873">
        <v>175.29</v>
      </c>
      <c r="J873" t="s">
        <v>30</v>
      </c>
      <c r="K873">
        <v>7.0000000000000007E-2</v>
      </c>
      <c r="L873" t="s">
        <v>27</v>
      </c>
      <c r="M873" t="s">
        <v>19</v>
      </c>
      <c r="N873" t="s">
        <v>23</v>
      </c>
    </row>
    <row r="874" spans="1:14" x14ac:dyDescent="0.35">
      <c r="A874">
        <v>1063</v>
      </c>
      <c r="B874" s="1">
        <v>45264</v>
      </c>
      <c r="C874" t="s">
        <v>24</v>
      </c>
      <c r="D874" t="s">
        <v>25</v>
      </c>
      <c r="E874">
        <v>2186.85</v>
      </c>
      <c r="F874">
        <v>14</v>
      </c>
      <c r="G874" t="s">
        <v>29</v>
      </c>
      <c r="H874">
        <v>2188.35</v>
      </c>
      <c r="I874">
        <v>2605.3599999999901</v>
      </c>
      <c r="J874" t="s">
        <v>17</v>
      </c>
      <c r="K874">
        <v>0.2</v>
      </c>
      <c r="L874" t="s">
        <v>31</v>
      </c>
      <c r="M874" t="s">
        <v>22</v>
      </c>
      <c r="N874" t="s">
        <v>28</v>
      </c>
    </row>
    <row r="875" spans="1:14" x14ac:dyDescent="0.35">
      <c r="A875">
        <v>1098</v>
      </c>
      <c r="B875" s="1">
        <v>45292</v>
      </c>
      <c r="C875" t="s">
        <v>14</v>
      </c>
      <c r="D875" t="s">
        <v>25</v>
      </c>
      <c r="E875">
        <v>2370.7199999999998</v>
      </c>
      <c r="F875">
        <v>11</v>
      </c>
      <c r="G875" t="s">
        <v>29</v>
      </c>
      <c r="H875">
        <v>213.41</v>
      </c>
      <c r="I875">
        <v>503.36</v>
      </c>
      <c r="J875" t="s">
        <v>17</v>
      </c>
      <c r="K875">
        <v>0.27</v>
      </c>
      <c r="L875" t="s">
        <v>27</v>
      </c>
      <c r="M875" t="s">
        <v>19</v>
      </c>
      <c r="N875" t="s">
        <v>32</v>
      </c>
    </row>
    <row r="876" spans="1:14" x14ac:dyDescent="0.35">
      <c r="A876">
        <v>1052</v>
      </c>
      <c r="B876" s="1">
        <v>45021</v>
      </c>
      <c r="C876" t="s">
        <v>33</v>
      </c>
      <c r="D876" t="s">
        <v>25</v>
      </c>
      <c r="E876">
        <v>4744.16</v>
      </c>
      <c r="F876">
        <v>26</v>
      </c>
      <c r="G876" t="s">
        <v>29</v>
      </c>
      <c r="H876">
        <v>4771.99</v>
      </c>
      <c r="I876">
        <v>5079.6499999999996</v>
      </c>
      <c r="J876" t="s">
        <v>30</v>
      </c>
      <c r="K876">
        <v>0.28999999999999998</v>
      </c>
      <c r="L876" t="s">
        <v>31</v>
      </c>
      <c r="M876" t="s">
        <v>19</v>
      </c>
      <c r="N876" t="s">
        <v>44</v>
      </c>
    </row>
    <row r="877" spans="1:14" x14ac:dyDescent="0.35">
      <c r="A877">
        <v>1038</v>
      </c>
      <c r="B877" s="1">
        <v>45092</v>
      </c>
      <c r="C877" t="s">
        <v>42</v>
      </c>
      <c r="D877" t="s">
        <v>21</v>
      </c>
      <c r="E877">
        <v>2758.77</v>
      </c>
      <c r="F877">
        <v>42</v>
      </c>
      <c r="G877" t="s">
        <v>26</v>
      </c>
      <c r="H877">
        <v>1089.0899999999999</v>
      </c>
      <c r="I877">
        <v>1355.44</v>
      </c>
      <c r="J877" t="s">
        <v>30</v>
      </c>
      <c r="K877">
        <v>0.06</v>
      </c>
      <c r="L877" t="s">
        <v>18</v>
      </c>
      <c r="M877" t="s">
        <v>22</v>
      </c>
      <c r="N877" t="s">
        <v>51</v>
      </c>
    </row>
    <row r="878" spans="1:14" x14ac:dyDescent="0.35">
      <c r="A878">
        <v>1097</v>
      </c>
      <c r="B878" s="1">
        <v>44958</v>
      </c>
      <c r="C878" t="s">
        <v>42</v>
      </c>
      <c r="D878" t="s">
        <v>21</v>
      </c>
      <c r="E878">
        <v>1099.68</v>
      </c>
      <c r="F878">
        <v>27</v>
      </c>
      <c r="G878" t="s">
        <v>35</v>
      </c>
      <c r="H878">
        <v>3955.19</v>
      </c>
      <c r="I878">
        <v>4393.68</v>
      </c>
      <c r="J878" t="s">
        <v>17</v>
      </c>
      <c r="K878">
        <v>0.04</v>
      </c>
      <c r="L878" t="s">
        <v>31</v>
      </c>
      <c r="M878" t="s">
        <v>19</v>
      </c>
      <c r="N878" t="s">
        <v>51</v>
      </c>
    </row>
    <row r="879" spans="1:14" x14ac:dyDescent="0.35">
      <c r="A879">
        <v>1088</v>
      </c>
      <c r="B879" s="1">
        <v>44937</v>
      </c>
      <c r="C879" t="s">
        <v>42</v>
      </c>
      <c r="D879" t="s">
        <v>25</v>
      </c>
      <c r="E879">
        <v>1758.16</v>
      </c>
      <c r="F879">
        <v>11</v>
      </c>
      <c r="G879" t="s">
        <v>26</v>
      </c>
      <c r="H879">
        <v>3884.13</v>
      </c>
      <c r="I879">
        <v>3915.41</v>
      </c>
      <c r="J879" t="s">
        <v>17</v>
      </c>
      <c r="K879">
        <v>0.02</v>
      </c>
      <c r="L879" t="s">
        <v>18</v>
      </c>
      <c r="M879" t="s">
        <v>19</v>
      </c>
      <c r="N879" t="s">
        <v>43</v>
      </c>
    </row>
    <row r="880" spans="1:14" x14ac:dyDescent="0.35">
      <c r="A880">
        <v>1079</v>
      </c>
      <c r="B880" s="1">
        <v>45227</v>
      </c>
      <c r="C880" t="s">
        <v>14</v>
      </c>
      <c r="D880" t="s">
        <v>21</v>
      </c>
      <c r="E880">
        <v>1558.03</v>
      </c>
      <c r="F880">
        <v>38</v>
      </c>
      <c r="G880" t="s">
        <v>16</v>
      </c>
      <c r="H880">
        <v>1127.76</v>
      </c>
      <c r="I880">
        <v>1265.6600000000001</v>
      </c>
      <c r="J880" t="s">
        <v>17</v>
      </c>
      <c r="K880">
        <v>0.26</v>
      </c>
      <c r="L880" t="s">
        <v>27</v>
      </c>
      <c r="M880" t="s">
        <v>22</v>
      </c>
      <c r="N880" t="s">
        <v>23</v>
      </c>
    </row>
    <row r="881" spans="1:14" x14ac:dyDescent="0.35">
      <c r="A881">
        <v>1030</v>
      </c>
      <c r="B881" s="1">
        <v>45143</v>
      </c>
      <c r="C881" t="s">
        <v>14</v>
      </c>
      <c r="D881" t="s">
        <v>21</v>
      </c>
      <c r="E881">
        <v>9733.4599999999991</v>
      </c>
      <c r="F881">
        <v>34</v>
      </c>
      <c r="G881" t="s">
        <v>35</v>
      </c>
      <c r="H881">
        <v>3125.07</v>
      </c>
      <c r="I881">
        <v>3564.19</v>
      </c>
      <c r="J881" t="s">
        <v>17</v>
      </c>
      <c r="K881">
        <v>0.09</v>
      </c>
      <c r="L881" t="s">
        <v>18</v>
      </c>
      <c r="M881" t="s">
        <v>19</v>
      </c>
      <c r="N881" t="s">
        <v>23</v>
      </c>
    </row>
    <row r="882" spans="1:14" x14ac:dyDescent="0.35">
      <c r="A882">
        <v>1051</v>
      </c>
      <c r="B882" s="1">
        <v>45215</v>
      </c>
      <c r="C882" t="s">
        <v>42</v>
      </c>
      <c r="D882" t="s">
        <v>21</v>
      </c>
      <c r="E882">
        <v>7617</v>
      </c>
      <c r="F882">
        <v>43</v>
      </c>
      <c r="G882" t="s">
        <v>29</v>
      </c>
      <c r="H882">
        <v>287.99</v>
      </c>
      <c r="I882">
        <v>666.64</v>
      </c>
      <c r="J882" t="s">
        <v>17</v>
      </c>
      <c r="K882">
        <v>0</v>
      </c>
      <c r="L882" t="s">
        <v>27</v>
      </c>
      <c r="M882" t="s">
        <v>19</v>
      </c>
      <c r="N882" t="s">
        <v>51</v>
      </c>
    </row>
    <row r="883" spans="1:14" x14ac:dyDescent="0.35">
      <c r="A883">
        <v>1081</v>
      </c>
      <c r="B883" s="1">
        <v>45028</v>
      </c>
      <c r="C883" t="s">
        <v>14</v>
      </c>
      <c r="D883" t="s">
        <v>25</v>
      </c>
      <c r="E883">
        <v>9680.84</v>
      </c>
      <c r="F883">
        <v>19</v>
      </c>
      <c r="G883" t="s">
        <v>26</v>
      </c>
      <c r="H883">
        <v>2443.69</v>
      </c>
      <c r="I883">
        <v>2462.34</v>
      </c>
      <c r="J883" t="s">
        <v>30</v>
      </c>
      <c r="K883">
        <v>7.0000000000000007E-2</v>
      </c>
      <c r="L883" t="s">
        <v>27</v>
      </c>
      <c r="M883" t="s">
        <v>22</v>
      </c>
      <c r="N883" t="s">
        <v>32</v>
      </c>
    </row>
    <row r="884" spans="1:14" x14ac:dyDescent="0.35">
      <c r="A884">
        <v>1005</v>
      </c>
      <c r="B884" s="1">
        <v>45193</v>
      </c>
      <c r="C884" t="s">
        <v>38</v>
      </c>
      <c r="D884" t="s">
        <v>25</v>
      </c>
      <c r="E884">
        <v>4453.43</v>
      </c>
      <c r="F884">
        <v>6</v>
      </c>
      <c r="G884" t="s">
        <v>26</v>
      </c>
      <c r="H884">
        <v>122.5</v>
      </c>
      <c r="I884">
        <v>385.83</v>
      </c>
      <c r="J884" t="s">
        <v>17</v>
      </c>
      <c r="K884">
        <v>0.1</v>
      </c>
      <c r="L884" t="s">
        <v>18</v>
      </c>
      <c r="M884" t="s">
        <v>22</v>
      </c>
      <c r="N884" t="s">
        <v>39</v>
      </c>
    </row>
    <row r="885" spans="1:14" x14ac:dyDescent="0.35">
      <c r="A885">
        <v>1029</v>
      </c>
      <c r="B885" s="1">
        <v>45140</v>
      </c>
      <c r="C885" t="s">
        <v>38</v>
      </c>
      <c r="D885" t="s">
        <v>25</v>
      </c>
      <c r="E885">
        <v>2855.85</v>
      </c>
      <c r="F885">
        <v>46</v>
      </c>
      <c r="G885" t="s">
        <v>16</v>
      </c>
      <c r="H885">
        <v>4609.66</v>
      </c>
      <c r="I885">
        <v>4879.1499999999996</v>
      </c>
      <c r="J885" t="s">
        <v>17</v>
      </c>
      <c r="K885">
        <v>0.3</v>
      </c>
      <c r="L885" t="s">
        <v>18</v>
      </c>
      <c r="M885" t="s">
        <v>22</v>
      </c>
      <c r="N885" t="s">
        <v>39</v>
      </c>
    </row>
    <row r="886" spans="1:14" x14ac:dyDescent="0.35">
      <c r="A886">
        <v>1004</v>
      </c>
      <c r="B886" s="1">
        <v>45105</v>
      </c>
      <c r="C886" t="s">
        <v>14</v>
      </c>
      <c r="D886" t="s">
        <v>21</v>
      </c>
      <c r="E886">
        <v>8003.1</v>
      </c>
      <c r="F886">
        <v>38</v>
      </c>
      <c r="G886" t="s">
        <v>16</v>
      </c>
      <c r="H886">
        <v>4881.63</v>
      </c>
      <c r="I886">
        <v>5088.0600000000004</v>
      </c>
      <c r="J886" t="s">
        <v>17</v>
      </c>
      <c r="K886">
        <v>0.16</v>
      </c>
      <c r="L886" t="s">
        <v>31</v>
      </c>
      <c r="M886" t="s">
        <v>22</v>
      </c>
      <c r="N886" t="s">
        <v>23</v>
      </c>
    </row>
    <row r="887" spans="1:14" x14ac:dyDescent="0.35">
      <c r="A887">
        <v>1010</v>
      </c>
      <c r="B887" s="1">
        <v>45014</v>
      </c>
      <c r="C887" t="s">
        <v>42</v>
      </c>
      <c r="D887" t="s">
        <v>25</v>
      </c>
      <c r="E887">
        <v>3329.91</v>
      </c>
      <c r="F887">
        <v>49</v>
      </c>
      <c r="G887" t="s">
        <v>26</v>
      </c>
      <c r="H887">
        <v>1150.3</v>
      </c>
      <c r="I887">
        <v>1306.02</v>
      </c>
      <c r="J887" t="s">
        <v>30</v>
      </c>
      <c r="K887">
        <v>0.06</v>
      </c>
      <c r="L887" t="s">
        <v>31</v>
      </c>
      <c r="M887" t="s">
        <v>22</v>
      </c>
      <c r="N887" t="s">
        <v>43</v>
      </c>
    </row>
    <row r="888" spans="1:14" x14ac:dyDescent="0.35">
      <c r="A888">
        <v>1056</v>
      </c>
      <c r="B888" s="1">
        <v>44967</v>
      </c>
      <c r="C888" t="s">
        <v>14</v>
      </c>
      <c r="D888" t="s">
        <v>21</v>
      </c>
      <c r="E888">
        <v>3063.9</v>
      </c>
      <c r="F888">
        <v>42</v>
      </c>
      <c r="G888" t="s">
        <v>16</v>
      </c>
      <c r="H888">
        <v>1080.1199999999999</v>
      </c>
      <c r="I888">
        <v>1424.1699999999901</v>
      </c>
      <c r="J888" t="s">
        <v>30</v>
      </c>
      <c r="K888">
        <v>0.1</v>
      </c>
      <c r="L888" t="s">
        <v>18</v>
      </c>
      <c r="M888" t="s">
        <v>19</v>
      </c>
      <c r="N888" t="s">
        <v>23</v>
      </c>
    </row>
    <row r="889" spans="1:14" x14ac:dyDescent="0.35">
      <c r="A889">
        <v>1017</v>
      </c>
      <c r="B889" s="1">
        <v>45002</v>
      </c>
      <c r="C889" t="s">
        <v>14</v>
      </c>
      <c r="D889" t="s">
        <v>15</v>
      </c>
      <c r="E889">
        <v>2401.81</v>
      </c>
      <c r="F889">
        <v>28</v>
      </c>
      <c r="G889" t="s">
        <v>29</v>
      </c>
      <c r="H889">
        <v>3780.91</v>
      </c>
      <c r="I889">
        <v>3892.73</v>
      </c>
      <c r="J889" t="s">
        <v>17</v>
      </c>
      <c r="K889">
        <v>0.1</v>
      </c>
      <c r="L889" t="s">
        <v>18</v>
      </c>
      <c r="M889" t="s">
        <v>22</v>
      </c>
      <c r="N889" t="s">
        <v>20</v>
      </c>
    </row>
    <row r="890" spans="1:14" x14ac:dyDescent="0.35">
      <c r="A890">
        <v>1074</v>
      </c>
      <c r="B890" s="1">
        <v>44972</v>
      </c>
      <c r="C890" t="s">
        <v>14</v>
      </c>
      <c r="D890" t="s">
        <v>21</v>
      </c>
      <c r="E890">
        <v>1383.82</v>
      </c>
      <c r="F890">
        <v>1</v>
      </c>
      <c r="G890" t="s">
        <v>16</v>
      </c>
      <c r="H890">
        <v>1304.23</v>
      </c>
      <c r="I890">
        <v>1705.71</v>
      </c>
      <c r="J890" t="s">
        <v>17</v>
      </c>
      <c r="K890">
        <v>0.01</v>
      </c>
      <c r="L890" t="s">
        <v>18</v>
      </c>
      <c r="M890" t="s">
        <v>22</v>
      </c>
      <c r="N890" t="s">
        <v>23</v>
      </c>
    </row>
    <row r="891" spans="1:14" x14ac:dyDescent="0.35">
      <c r="A891">
        <v>1017</v>
      </c>
      <c r="B891" s="1">
        <v>45086</v>
      </c>
      <c r="C891" t="s">
        <v>33</v>
      </c>
      <c r="D891" t="s">
        <v>34</v>
      </c>
      <c r="E891">
        <v>2638.98</v>
      </c>
      <c r="F891">
        <v>35</v>
      </c>
      <c r="G891" t="s">
        <v>16</v>
      </c>
      <c r="H891">
        <v>4480.63</v>
      </c>
      <c r="I891">
        <v>4884.12</v>
      </c>
      <c r="J891" t="s">
        <v>30</v>
      </c>
      <c r="K891">
        <v>0.04</v>
      </c>
      <c r="L891" t="s">
        <v>18</v>
      </c>
      <c r="M891" t="s">
        <v>19</v>
      </c>
      <c r="N891" t="s">
        <v>36</v>
      </c>
    </row>
    <row r="892" spans="1:14" x14ac:dyDescent="0.35">
      <c r="A892">
        <v>1084</v>
      </c>
      <c r="B892" s="1">
        <v>45006</v>
      </c>
      <c r="C892" t="s">
        <v>38</v>
      </c>
      <c r="D892" t="s">
        <v>25</v>
      </c>
      <c r="E892">
        <v>3617.67</v>
      </c>
      <c r="F892">
        <v>40</v>
      </c>
      <c r="G892" t="s">
        <v>26</v>
      </c>
      <c r="H892">
        <v>2890.95</v>
      </c>
      <c r="I892">
        <v>3104.43</v>
      </c>
      <c r="J892" t="s">
        <v>30</v>
      </c>
      <c r="K892">
        <v>0.21</v>
      </c>
      <c r="L892" t="s">
        <v>27</v>
      </c>
      <c r="M892" t="s">
        <v>19</v>
      </c>
      <c r="N892" t="s">
        <v>39</v>
      </c>
    </row>
    <row r="893" spans="1:14" x14ac:dyDescent="0.35">
      <c r="A893">
        <v>1088</v>
      </c>
      <c r="B893" s="1">
        <v>45236</v>
      </c>
      <c r="C893" t="s">
        <v>24</v>
      </c>
      <c r="D893" t="s">
        <v>25</v>
      </c>
      <c r="E893">
        <v>6772.54</v>
      </c>
      <c r="F893">
        <v>8</v>
      </c>
      <c r="G893" t="s">
        <v>26</v>
      </c>
      <c r="H893">
        <v>1786.35</v>
      </c>
      <c r="I893">
        <v>1935.29</v>
      </c>
      <c r="J893" t="s">
        <v>30</v>
      </c>
      <c r="K893">
        <v>0.04</v>
      </c>
      <c r="L893" t="s">
        <v>18</v>
      </c>
      <c r="M893" t="s">
        <v>19</v>
      </c>
      <c r="N893" t="s">
        <v>28</v>
      </c>
    </row>
    <row r="894" spans="1:14" x14ac:dyDescent="0.35">
      <c r="A894">
        <v>1069</v>
      </c>
      <c r="B894" s="1">
        <v>45012</v>
      </c>
      <c r="C894" t="s">
        <v>24</v>
      </c>
      <c r="D894" t="s">
        <v>34</v>
      </c>
      <c r="E894">
        <v>719.39</v>
      </c>
      <c r="F894">
        <v>47</v>
      </c>
      <c r="G894" t="s">
        <v>35</v>
      </c>
      <c r="H894">
        <v>4171.83</v>
      </c>
      <c r="I894">
        <v>4320.93</v>
      </c>
      <c r="J894" t="s">
        <v>30</v>
      </c>
      <c r="K894">
        <v>7.0000000000000007E-2</v>
      </c>
      <c r="L894" t="s">
        <v>18</v>
      </c>
      <c r="M894" t="s">
        <v>19</v>
      </c>
      <c r="N894" t="s">
        <v>50</v>
      </c>
    </row>
    <row r="895" spans="1:14" x14ac:dyDescent="0.35">
      <c r="A895">
        <v>1034</v>
      </c>
      <c r="B895" s="1">
        <v>45018</v>
      </c>
      <c r="C895" t="s">
        <v>33</v>
      </c>
      <c r="D895" t="s">
        <v>21</v>
      </c>
      <c r="E895">
        <v>2184.02</v>
      </c>
      <c r="F895">
        <v>7</v>
      </c>
      <c r="G895" t="s">
        <v>35</v>
      </c>
      <c r="H895">
        <v>2492.36</v>
      </c>
      <c r="I895">
        <v>2738.68</v>
      </c>
      <c r="J895" t="s">
        <v>17</v>
      </c>
      <c r="K895">
        <v>0.11</v>
      </c>
      <c r="L895" t="s">
        <v>18</v>
      </c>
      <c r="M895" t="s">
        <v>19</v>
      </c>
      <c r="N895" t="s">
        <v>37</v>
      </c>
    </row>
    <row r="896" spans="1:14" x14ac:dyDescent="0.35">
      <c r="A896">
        <v>1006</v>
      </c>
      <c r="B896" s="1">
        <v>45074</v>
      </c>
      <c r="C896" t="s">
        <v>14</v>
      </c>
      <c r="D896" t="s">
        <v>15</v>
      </c>
      <c r="E896">
        <v>8109.33</v>
      </c>
      <c r="F896">
        <v>11</v>
      </c>
      <c r="G896" t="s">
        <v>26</v>
      </c>
      <c r="H896">
        <v>4562.58</v>
      </c>
      <c r="I896">
        <v>4925.17</v>
      </c>
      <c r="J896" t="s">
        <v>30</v>
      </c>
      <c r="K896">
        <v>0.23</v>
      </c>
      <c r="L896" t="s">
        <v>18</v>
      </c>
      <c r="M896" t="s">
        <v>22</v>
      </c>
      <c r="N896" t="s">
        <v>20</v>
      </c>
    </row>
    <row r="897" spans="1:14" x14ac:dyDescent="0.35">
      <c r="A897">
        <v>1053</v>
      </c>
      <c r="B897" s="1">
        <v>45087</v>
      </c>
      <c r="C897" t="s">
        <v>33</v>
      </c>
      <c r="D897" t="s">
        <v>34</v>
      </c>
      <c r="E897">
        <v>1554.53</v>
      </c>
      <c r="F897">
        <v>39</v>
      </c>
      <c r="G897" t="s">
        <v>16</v>
      </c>
      <c r="H897">
        <v>4643.67</v>
      </c>
      <c r="I897">
        <v>4829.5200000000004</v>
      </c>
      <c r="J897" t="s">
        <v>17</v>
      </c>
      <c r="K897">
        <v>0.17</v>
      </c>
      <c r="L897" t="s">
        <v>27</v>
      </c>
      <c r="M897" t="s">
        <v>19</v>
      </c>
      <c r="N897" t="s">
        <v>36</v>
      </c>
    </row>
    <row r="898" spans="1:14" x14ac:dyDescent="0.35">
      <c r="A898">
        <v>1066</v>
      </c>
      <c r="B898" s="1">
        <v>45128</v>
      </c>
      <c r="C898" t="s">
        <v>33</v>
      </c>
      <c r="D898" t="s">
        <v>34</v>
      </c>
      <c r="E898">
        <v>3492.19</v>
      </c>
      <c r="F898">
        <v>4</v>
      </c>
      <c r="G898" t="s">
        <v>16</v>
      </c>
      <c r="H898">
        <v>868.83</v>
      </c>
      <c r="I898">
        <v>1177.75</v>
      </c>
      <c r="J898" t="s">
        <v>17</v>
      </c>
      <c r="K898">
        <v>0.21</v>
      </c>
      <c r="L898" t="s">
        <v>31</v>
      </c>
      <c r="M898" t="s">
        <v>22</v>
      </c>
      <c r="N898" t="s">
        <v>36</v>
      </c>
    </row>
    <row r="899" spans="1:14" x14ac:dyDescent="0.35">
      <c r="A899">
        <v>1077</v>
      </c>
      <c r="B899" s="1">
        <v>45168</v>
      </c>
      <c r="C899" t="s">
        <v>42</v>
      </c>
      <c r="D899" t="s">
        <v>21</v>
      </c>
      <c r="E899">
        <v>8660.1200000000008</v>
      </c>
      <c r="F899">
        <v>25</v>
      </c>
      <c r="G899" t="s">
        <v>35</v>
      </c>
      <c r="H899">
        <v>61.5</v>
      </c>
      <c r="I899">
        <v>258.91999999999899</v>
      </c>
      <c r="J899" t="s">
        <v>30</v>
      </c>
      <c r="K899">
        <v>0.17</v>
      </c>
      <c r="L899" t="s">
        <v>31</v>
      </c>
      <c r="M899" t="s">
        <v>19</v>
      </c>
      <c r="N899" t="s">
        <v>51</v>
      </c>
    </row>
    <row r="900" spans="1:14" x14ac:dyDescent="0.35">
      <c r="A900">
        <v>1043</v>
      </c>
      <c r="B900" s="1">
        <v>45279</v>
      </c>
      <c r="C900" t="s">
        <v>38</v>
      </c>
      <c r="D900" t="s">
        <v>25</v>
      </c>
      <c r="E900">
        <v>1633.76</v>
      </c>
      <c r="F900">
        <v>12</v>
      </c>
      <c r="G900" t="s">
        <v>35</v>
      </c>
      <c r="H900">
        <v>4920.46</v>
      </c>
      <c r="I900">
        <v>5079.68</v>
      </c>
      <c r="J900" t="s">
        <v>30</v>
      </c>
      <c r="K900">
        <v>0.21</v>
      </c>
      <c r="L900" t="s">
        <v>31</v>
      </c>
      <c r="M900" t="s">
        <v>22</v>
      </c>
      <c r="N900" t="s">
        <v>39</v>
      </c>
    </row>
    <row r="901" spans="1:14" x14ac:dyDescent="0.35">
      <c r="A901">
        <v>1075</v>
      </c>
      <c r="B901" s="1">
        <v>44928</v>
      </c>
      <c r="C901" t="s">
        <v>24</v>
      </c>
      <c r="D901" t="s">
        <v>21</v>
      </c>
      <c r="E901">
        <v>919.09</v>
      </c>
      <c r="F901">
        <v>26</v>
      </c>
      <c r="G901" t="s">
        <v>35</v>
      </c>
      <c r="H901">
        <v>4535.38</v>
      </c>
      <c r="I901">
        <v>4557.5600000000004</v>
      </c>
      <c r="J901" t="s">
        <v>30</v>
      </c>
      <c r="K901">
        <v>0</v>
      </c>
      <c r="L901" t="s">
        <v>31</v>
      </c>
      <c r="M901" t="s">
        <v>19</v>
      </c>
      <c r="N901" t="s">
        <v>47</v>
      </c>
    </row>
    <row r="902" spans="1:14" x14ac:dyDescent="0.35">
      <c r="A902">
        <v>1023</v>
      </c>
      <c r="B902" s="1">
        <v>45151</v>
      </c>
      <c r="C902" t="s">
        <v>14</v>
      </c>
      <c r="D902" t="s">
        <v>34</v>
      </c>
      <c r="E902">
        <v>4896.93</v>
      </c>
      <c r="F902">
        <v>38</v>
      </c>
      <c r="G902" t="s">
        <v>29</v>
      </c>
      <c r="H902">
        <v>324.45</v>
      </c>
      <c r="I902">
        <v>336.37</v>
      </c>
      <c r="J902" t="s">
        <v>30</v>
      </c>
      <c r="K902">
        <v>0.28000000000000003</v>
      </c>
      <c r="L902" t="s">
        <v>31</v>
      </c>
      <c r="M902" t="s">
        <v>22</v>
      </c>
      <c r="N902" t="s">
        <v>46</v>
      </c>
    </row>
    <row r="903" spans="1:14" x14ac:dyDescent="0.35">
      <c r="A903">
        <v>1055</v>
      </c>
      <c r="B903" s="1">
        <v>45215</v>
      </c>
      <c r="C903" t="s">
        <v>24</v>
      </c>
      <c r="D903" t="s">
        <v>34</v>
      </c>
      <c r="E903">
        <v>3093.95</v>
      </c>
      <c r="F903">
        <v>46</v>
      </c>
      <c r="G903" t="s">
        <v>29</v>
      </c>
      <c r="H903">
        <v>4173.5200000000004</v>
      </c>
      <c r="I903">
        <v>4294.8500000000004</v>
      </c>
      <c r="J903" t="s">
        <v>17</v>
      </c>
      <c r="K903">
        <v>0.03</v>
      </c>
      <c r="L903" t="s">
        <v>27</v>
      </c>
      <c r="M903" t="s">
        <v>22</v>
      </c>
      <c r="N903" t="s">
        <v>50</v>
      </c>
    </row>
    <row r="904" spans="1:14" x14ac:dyDescent="0.35">
      <c r="A904">
        <v>1080</v>
      </c>
      <c r="B904" s="1">
        <v>45159</v>
      </c>
      <c r="C904" t="s">
        <v>24</v>
      </c>
      <c r="D904" t="s">
        <v>25</v>
      </c>
      <c r="E904">
        <v>5677.74</v>
      </c>
      <c r="F904">
        <v>12</v>
      </c>
      <c r="G904" t="s">
        <v>35</v>
      </c>
      <c r="H904">
        <v>2316.13</v>
      </c>
      <c r="I904">
        <v>2525.27</v>
      </c>
      <c r="J904" t="s">
        <v>17</v>
      </c>
      <c r="K904">
        <v>0.12</v>
      </c>
      <c r="L904" t="s">
        <v>31</v>
      </c>
      <c r="M904" t="s">
        <v>22</v>
      </c>
      <c r="N904" t="s">
        <v>28</v>
      </c>
    </row>
    <row r="905" spans="1:14" x14ac:dyDescent="0.35">
      <c r="A905">
        <v>1095</v>
      </c>
      <c r="B905" s="1">
        <v>45003</v>
      </c>
      <c r="C905" t="s">
        <v>38</v>
      </c>
      <c r="D905" t="s">
        <v>25</v>
      </c>
      <c r="E905">
        <v>8057.67</v>
      </c>
      <c r="F905">
        <v>43</v>
      </c>
      <c r="G905" t="s">
        <v>16</v>
      </c>
      <c r="H905">
        <v>1331.86</v>
      </c>
      <c r="I905">
        <v>1758.98</v>
      </c>
      <c r="J905" t="s">
        <v>17</v>
      </c>
      <c r="K905">
        <v>0.23</v>
      </c>
      <c r="L905" t="s">
        <v>27</v>
      </c>
      <c r="M905" t="s">
        <v>22</v>
      </c>
      <c r="N905" t="s">
        <v>39</v>
      </c>
    </row>
    <row r="906" spans="1:14" x14ac:dyDescent="0.35">
      <c r="A906">
        <v>1075</v>
      </c>
      <c r="B906" s="1">
        <v>45042</v>
      </c>
      <c r="C906" t="s">
        <v>24</v>
      </c>
      <c r="D906" t="s">
        <v>25</v>
      </c>
      <c r="E906">
        <v>1457.77</v>
      </c>
      <c r="F906">
        <v>37</v>
      </c>
      <c r="G906" t="s">
        <v>35</v>
      </c>
      <c r="H906">
        <v>4399.8</v>
      </c>
      <c r="I906">
        <v>4801.0600000000004</v>
      </c>
      <c r="J906" t="s">
        <v>30</v>
      </c>
      <c r="K906">
        <v>0.13</v>
      </c>
      <c r="L906" t="s">
        <v>27</v>
      </c>
      <c r="M906" t="s">
        <v>22</v>
      </c>
      <c r="N906" t="s">
        <v>28</v>
      </c>
    </row>
    <row r="907" spans="1:14" x14ac:dyDescent="0.35">
      <c r="A907">
        <v>1016</v>
      </c>
      <c r="B907" s="1">
        <v>45080</v>
      </c>
      <c r="C907" t="s">
        <v>24</v>
      </c>
      <c r="D907" t="s">
        <v>21</v>
      </c>
      <c r="E907">
        <v>5848.92</v>
      </c>
      <c r="F907">
        <v>46</v>
      </c>
      <c r="G907" t="s">
        <v>29</v>
      </c>
      <c r="H907">
        <v>1023.5</v>
      </c>
      <c r="I907">
        <v>1164.4100000000001</v>
      </c>
      <c r="J907" t="s">
        <v>17</v>
      </c>
      <c r="K907">
        <v>0.28000000000000003</v>
      </c>
      <c r="L907" t="s">
        <v>31</v>
      </c>
      <c r="M907" t="s">
        <v>22</v>
      </c>
      <c r="N907" t="s">
        <v>47</v>
      </c>
    </row>
    <row r="908" spans="1:14" x14ac:dyDescent="0.35">
      <c r="A908">
        <v>1008</v>
      </c>
      <c r="B908" s="1">
        <v>45029</v>
      </c>
      <c r="C908" t="s">
        <v>33</v>
      </c>
      <c r="D908" t="s">
        <v>25</v>
      </c>
      <c r="E908">
        <v>5104.54</v>
      </c>
      <c r="F908">
        <v>24</v>
      </c>
      <c r="G908" t="s">
        <v>16</v>
      </c>
      <c r="H908">
        <v>4739.13</v>
      </c>
      <c r="I908">
        <v>4868.95</v>
      </c>
      <c r="J908" t="s">
        <v>30</v>
      </c>
      <c r="K908">
        <v>0.14000000000000001</v>
      </c>
      <c r="L908" t="s">
        <v>31</v>
      </c>
      <c r="M908" t="s">
        <v>22</v>
      </c>
      <c r="N908" t="s">
        <v>44</v>
      </c>
    </row>
    <row r="909" spans="1:14" x14ac:dyDescent="0.35">
      <c r="A909">
        <v>1004</v>
      </c>
      <c r="B909" s="1">
        <v>45120</v>
      </c>
      <c r="C909" t="s">
        <v>38</v>
      </c>
      <c r="D909" t="s">
        <v>34</v>
      </c>
      <c r="E909">
        <v>1526.38</v>
      </c>
      <c r="F909">
        <v>16</v>
      </c>
      <c r="G909" t="s">
        <v>29</v>
      </c>
      <c r="H909">
        <v>1067.83</v>
      </c>
      <c r="I909">
        <v>1189.22</v>
      </c>
      <c r="J909" t="s">
        <v>17</v>
      </c>
      <c r="K909">
        <v>0.26</v>
      </c>
      <c r="L909" t="s">
        <v>31</v>
      </c>
      <c r="M909" t="s">
        <v>22</v>
      </c>
      <c r="N909" t="s">
        <v>48</v>
      </c>
    </row>
    <row r="910" spans="1:14" x14ac:dyDescent="0.35">
      <c r="A910">
        <v>1004</v>
      </c>
      <c r="B910" s="1">
        <v>45092</v>
      </c>
      <c r="C910" t="s">
        <v>42</v>
      </c>
      <c r="D910" t="s">
        <v>34</v>
      </c>
      <c r="E910">
        <v>6277.59</v>
      </c>
      <c r="F910">
        <v>13</v>
      </c>
      <c r="G910" t="s">
        <v>16</v>
      </c>
      <c r="H910">
        <v>3087.73</v>
      </c>
      <c r="I910">
        <v>3263.96</v>
      </c>
      <c r="J910" t="s">
        <v>30</v>
      </c>
      <c r="K910">
        <v>0.24</v>
      </c>
      <c r="L910" t="s">
        <v>18</v>
      </c>
      <c r="M910" t="s">
        <v>22</v>
      </c>
      <c r="N910" t="s">
        <v>52</v>
      </c>
    </row>
    <row r="911" spans="1:14" x14ac:dyDescent="0.35">
      <c r="A911">
        <v>1056</v>
      </c>
      <c r="B911" s="1">
        <v>45285</v>
      </c>
      <c r="C911" t="s">
        <v>14</v>
      </c>
      <c r="D911" t="s">
        <v>15</v>
      </c>
      <c r="E911">
        <v>2809.04</v>
      </c>
      <c r="F911">
        <v>25</v>
      </c>
      <c r="G911" t="s">
        <v>29</v>
      </c>
      <c r="H911">
        <v>1154.28</v>
      </c>
      <c r="I911">
        <v>1408.4</v>
      </c>
      <c r="J911" t="s">
        <v>17</v>
      </c>
      <c r="K911">
        <v>0.28999999999999998</v>
      </c>
      <c r="L911" t="s">
        <v>27</v>
      </c>
      <c r="M911" t="s">
        <v>22</v>
      </c>
      <c r="N911" t="s">
        <v>20</v>
      </c>
    </row>
    <row r="912" spans="1:14" x14ac:dyDescent="0.35">
      <c r="A912">
        <v>1025</v>
      </c>
      <c r="B912" s="1">
        <v>45016</v>
      </c>
      <c r="C912" t="s">
        <v>24</v>
      </c>
      <c r="D912" t="s">
        <v>21</v>
      </c>
      <c r="E912">
        <v>4929.5600000000004</v>
      </c>
      <c r="F912">
        <v>4</v>
      </c>
      <c r="G912" t="s">
        <v>16</v>
      </c>
      <c r="H912">
        <v>2751.06</v>
      </c>
      <c r="I912">
        <v>2976.0099999999902</v>
      </c>
      <c r="J912" t="s">
        <v>17</v>
      </c>
      <c r="K912">
        <v>0.28000000000000003</v>
      </c>
      <c r="L912" t="s">
        <v>31</v>
      </c>
      <c r="M912" t="s">
        <v>19</v>
      </c>
      <c r="N912" t="s">
        <v>47</v>
      </c>
    </row>
    <row r="913" spans="1:14" x14ac:dyDescent="0.35">
      <c r="A913">
        <v>1067</v>
      </c>
      <c r="B913" s="1">
        <v>45100</v>
      </c>
      <c r="C913" t="s">
        <v>14</v>
      </c>
      <c r="D913" t="s">
        <v>15</v>
      </c>
      <c r="E913">
        <v>914.5</v>
      </c>
      <c r="F913">
        <v>11</v>
      </c>
      <c r="G913" t="s">
        <v>16</v>
      </c>
      <c r="H913">
        <v>3435.68</v>
      </c>
      <c r="I913">
        <v>3552.6299999999901</v>
      </c>
      <c r="J913" t="s">
        <v>30</v>
      </c>
      <c r="K913">
        <v>0.27</v>
      </c>
      <c r="L913" t="s">
        <v>18</v>
      </c>
      <c r="M913" t="s">
        <v>22</v>
      </c>
      <c r="N913" t="s">
        <v>20</v>
      </c>
    </row>
    <row r="914" spans="1:14" x14ac:dyDescent="0.35">
      <c r="A914">
        <v>1096</v>
      </c>
      <c r="B914" s="1">
        <v>45048</v>
      </c>
      <c r="C914" t="s">
        <v>42</v>
      </c>
      <c r="D914" t="s">
        <v>34</v>
      </c>
      <c r="E914">
        <v>4649.88</v>
      </c>
      <c r="F914">
        <v>32</v>
      </c>
      <c r="G914" t="s">
        <v>16</v>
      </c>
      <c r="H914">
        <v>991.63</v>
      </c>
      <c r="I914">
        <v>1065.55</v>
      </c>
      <c r="J914" t="s">
        <v>17</v>
      </c>
      <c r="K914">
        <v>0.22</v>
      </c>
      <c r="L914" t="s">
        <v>27</v>
      </c>
      <c r="M914" t="s">
        <v>22</v>
      </c>
      <c r="N914" t="s">
        <v>52</v>
      </c>
    </row>
    <row r="915" spans="1:14" x14ac:dyDescent="0.35">
      <c r="A915">
        <v>1067</v>
      </c>
      <c r="B915" s="1">
        <v>45069</v>
      </c>
      <c r="C915" t="s">
        <v>14</v>
      </c>
      <c r="D915" t="s">
        <v>15</v>
      </c>
      <c r="E915">
        <v>3133.99</v>
      </c>
      <c r="F915">
        <v>49</v>
      </c>
      <c r="G915" t="s">
        <v>16</v>
      </c>
      <c r="H915">
        <v>2628.38</v>
      </c>
      <c r="I915">
        <v>2644.54</v>
      </c>
      <c r="J915" t="s">
        <v>17</v>
      </c>
      <c r="K915">
        <v>0.11</v>
      </c>
      <c r="L915" t="s">
        <v>18</v>
      </c>
      <c r="M915" t="s">
        <v>19</v>
      </c>
      <c r="N915" t="s">
        <v>20</v>
      </c>
    </row>
    <row r="916" spans="1:14" x14ac:dyDescent="0.35">
      <c r="A916">
        <v>1027</v>
      </c>
      <c r="B916" s="1">
        <v>45032</v>
      </c>
      <c r="C916" t="s">
        <v>42</v>
      </c>
      <c r="D916" t="s">
        <v>34</v>
      </c>
      <c r="E916">
        <v>8241.57</v>
      </c>
      <c r="F916">
        <v>7</v>
      </c>
      <c r="G916" t="s">
        <v>26</v>
      </c>
      <c r="H916">
        <v>2371.85</v>
      </c>
      <c r="I916">
        <v>2457.29</v>
      </c>
      <c r="J916" t="s">
        <v>30</v>
      </c>
      <c r="K916">
        <v>0.03</v>
      </c>
      <c r="L916" t="s">
        <v>18</v>
      </c>
      <c r="M916" t="s">
        <v>22</v>
      </c>
      <c r="N916" t="s">
        <v>52</v>
      </c>
    </row>
    <row r="917" spans="1:14" x14ac:dyDescent="0.35">
      <c r="A917">
        <v>1093</v>
      </c>
      <c r="B917" s="1">
        <v>45231</v>
      </c>
      <c r="C917" t="s">
        <v>33</v>
      </c>
      <c r="D917" t="s">
        <v>15</v>
      </c>
      <c r="E917">
        <v>664.09</v>
      </c>
      <c r="F917">
        <v>46</v>
      </c>
      <c r="G917" t="s">
        <v>29</v>
      </c>
      <c r="H917">
        <v>401.64</v>
      </c>
      <c r="I917">
        <v>757.26</v>
      </c>
      <c r="J917" t="s">
        <v>30</v>
      </c>
      <c r="K917">
        <v>0.21</v>
      </c>
      <c r="L917" t="s">
        <v>31</v>
      </c>
      <c r="M917" t="s">
        <v>22</v>
      </c>
      <c r="N917" t="s">
        <v>53</v>
      </c>
    </row>
    <row r="918" spans="1:14" x14ac:dyDescent="0.35">
      <c r="A918">
        <v>1032</v>
      </c>
      <c r="B918" s="1">
        <v>45286</v>
      </c>
      <c r="C918" t="s">
        <v>24</v>
      </c>
      <c r="D918" t="s">
        <v>25</v>
      </c>
      <c r="E918">
        <v>4244.21</v>
      </c>
      <c r="F918">
        <v>11</v>
      </c>
      <c r="G918" t="s">
        <v>29</v>
      </c>
      <c r="H918">
        <v>4100.62</v>
      </c>
      <c r="I918">
        <v>4230</v>
      </c>
      <c r="J918" t="s">
        <v>30</v>
      </c>
      <c r="K918">
        <v>0.28999999999999998</v>
      </c>
      <c r="L918" t="s">
        <v>27</v>
      </c>
      <c r="M918" t="s">
        <v>19</v>
      </c>
      <c r="N918" t="s">
        <v>28</v>
      </c>
    </row>
    <row r="919" spans="1:14" x14ac:dyDescent="0.35">
      <c r="A919">
        <v>1050</v>
      </c>
      <c r="B919" s="1">
        <v>45243</v>
      </c>
      <c r="C919" t="s">
        <v>42</v>
      </c>
      <c r="D919" t="s">
        <v>15</v>
      </c>
      <c r="E919">
        <v>4638.47</v>
      </c>
      <c r="F919">
        <v>28</v>
      </c>
      <c r="G919" t="s">
        <v>26</v>
      </c>
      <c r="H919">
        <v>1711.63</v>
      </c>
      <c r="I919">
        <v>1951.24</v>
      </c>
      <c r="J919" t="s">
        <v>30</v>
      </c>
      <c r="K919">
        <v>0.22</v>
      </c>
      <c r="L919" t="s">
        <v>18</v>
      </c>
      <c r="M919" t="s">
        <v>19</v>
      </c>
      <c r="N919" t="s">
        <v>49</v>
      </c>
    </row>
    <row r="920" spans="1:14" x14ac:dyDescent="0.35">
      <c r="A920">
        <v>1061</v>
      </c>
      <c r="B920" s="1">
        <v>45049</v>
      </c>
      <c r="C920" t="s">
        <v>14</v>
      </c>
      <c r="D920" t="s">
        <v>25</v>
      </c>
      <c r="E920">
        <v>7277.56</v>
      </c>
      <c r="F920">
        <v>41</v>
      </c>
      <c r="G920" t="s">
        <v>16</v>
      </c>
      <c r="H920">
        <v>2894.18</v>
      </c>
      <c r="I920">
        <v>3193.92</v>
      </c>
      <c r="J920" t="s">
        <v>30</v>
      </c>
      <c r="K920">
        <v>0.28000000000000003</v>
      </c>
      <c r="L920" t="s">
        <v>27</v>
      </c>
      <c r="M920" t="s">
        <v>22</v>
      </c>
      <c r="N920" t="s">
        <v>32</v>
      </c>
    </row>
    <row r="921" spans="1:14" x14ac:dyDescent="0.35">
      <c r="A921">
        <v>1051</v>
      </c>
      <c r="B921" s="1">
        <v>44935</v>
      </c>
      <c r="C921" t="s">
        <v>24</v>
      </c>
      <c r="D921" t="s">
        <v>25</v>
      </c>
      <c r="E921">
        <v>5785.45</v>
      </c>
      <c r="F921">
        <v>23</v>
      </c>
      <c r="G921" t="s">
        <v>16</v>
      </c>
      <c r="H921">
        <v>2598.1799999999998</v>
      </c>
      <c r="I921">
        <v>3042.73</v>
      </c>
      <c r="J921" t="s">
        <v>17</v>
      </c>
      <c r="K921">
        <v>0.24</v>
      </c>
      <c r="L921" t="s">
        <v>31</v>
      </c>
      <c r="M921" t="s">
        <v>19</v>
      </c>
      <c r="N921" t="s">
        <v>28</v>
      </c>
    </row>
    <row r="922" spans="1:14" x14ac:dyDescent="0.35">
      <c r="A922">
        <v>1019</v>
      </c>
      <c r="B922" s="1">
        <v>45188</v>
      </c>
      <c r="C922" t="s">
        <v>33</v>
      </c>
      <c r="D922" t="s">
        <v>21</v>
      </c>
      <c r="E922">
        <v>6705.4</v>
      </c>
      <c r="F922">
        <v>45</v>
      </c>
      <c r="G922" t="s">
        <v>29</v>
      </c>
      <c r="H922">
        <v>2590.64</v>
      </c>
      <c r="I922">
        <v>3036.18</v>
      </c>
      <c r="J922" t="s">
        <v>30</v>
      </c>
      <c r="K922">
        <v>0.05</v>
      </c>
      <c r="L922" t="s">
        <v>27</v>
      </c>
      <c r="M922" t="s">
        <v>22</v>
      </c>
      <c r="N922" t="s">
        <v>37</v>
      </c>
    </row>
    <row r="923" spans="1:14" x14ac:dyDescent="0.35">
      <c r="A923">
        <v>1021</v>
      </c>
      <c r="B923" s="1">
        <v>44999</v>
      </c>
      <c r="C923" t="s">
        <v>24</v>
      </c>
      <c r="D923" t="s">
        <v>25</v>
      </c>
      <c r="E923">
        <v>7792.79</v>
      </c>
      <c r="F923">
        <v>23</v>
      </c>
      <c r="G923" t="s">
        <v>26</v>
      </c>
      <c r="H923">
        <v>580.75</v>
      </c>
      <c r="I923">
        <v>956.16</v>
      </c>
      <c r="J923" t="s">
        <v>17</v>
      </c>
      <c r="K923">
        <v>7.0000000000000007E-2</v>
      </c>
      <c r="L923" t="s">
        <v>18</v>
      </c>
      <c r="M923" t="s">
        <v>22</v>
      </c>
      <c r="N923" t="s">
        <v>28</v>
      </c>
    </row>
    <row r="924" spans="1:14" x14ac:dyDescent="0.35">
      <c r="A924">
        <v>1005</v>
      </c>
      <c r="B924" s="1">
        <v>45285</v>
      </c>
      <c r="C924" t="s">
        <v>42</v>
      </c>
      <c r="D924" t="s">
        <v>25</v>
      </c>
      <c r="E924">
        <v>8635.81</v>
      </c>
      <c r="F924">
        <v>28</v>
      </c>
      <c r="G924" t="s">
        <v>16</v>
      </c>
      <c r="H924">
        <v>2146.2399999999998</v>
      </c>
      <c r="I924">
        <v>2173.4699999999998</v>
      </c>
      <c r="J924" t="s">
        <v>17</v>
      </c>
      <c r="K924">
        <v>0.1</v>
      </c>
      <c r="L924" t="s">
        <v>18</v>
      </c>
      <c r="M924" t="s">
        <v>22</v>
      </c>
      <c r="N924" t="s">
        <v>43</v>
      </c>
    </row>
    <row r="925" spans="1:14" x14ac:dyDescent="0.35">
      <c r="A925">
        <v>1082</v>
      </c>
      <c r="B925" s="1">
        <v>45149</v>
      </c>
      <c r="C925" t="s">
        <v>33</v>
      </c>
      <c r="D925" t="s">
        <v>15</v>
      </c>
      <c r="E925">
        <v>3207.37</v>
      </c>
      <c r="F925">
        <v>43</v>
      </c>
      <c r="G925" t="s">
        <v>16</v>
      </c>
      <c r="H925">
        <v>2289.2199999999998</v>
      </c>
      <c r="I925">
        <v>2581</v>
      </c>
      <c r="J925" t="s">
        <v>30</v>
      </c>
      <c r="K925">
        <v>0.05</v>
      </c>
      <c r="L925" t="s">
        <v>27</v>
      </c>
      <c r="M925" t="s">
        <v>19</v>
      </c>
      <c r="N925" t="s">
        <v>53</v>
      </c>
    </row>
    <row r="926" spans="1:14" x14ac:dyDescent="0.35">
      <c r="A926">
        <v>1092</v>
      </c>
      <c r="B926" s="1">
        <v>44967</v>
      </c>
      <c r="C926" t="s">
        <v>14</v>
      </c>
      <c r="D926" t="s">
        <v>34</v>
      </c>
      <c r="E926">
        <v>5426.42</v>
      </c>
      <c r="F926">
        <v>47</v>
      </c>
      <c r="G926" t="s">
        <v>16</v>
      </c>
      <c r="H926">
        <v>3681.53</v>
      </c>
      <c r="I926">
        <v>4076.96</v>
      </c>
      <c r="J926" t="s">
        <v>17</v>
      </c>
      <c r="K926">
        <v>0.17</v>
      </c>
      <c r="L926" t="s">
        <v>18</v>
      </c>
      <c r="M926" t="s">
        <v>22</v>
      </c>
      <c r="N926" t="s">
        <v>46</v>
      </c>
    </row>
    <row r="927" spans="1:14" x14ac:dyDescent="0.35">
      <c r="A927">
        <v>1042</v>
      </c>
      <c r="B927" s="1">
        <v>45130</v>
      </c>
      <c r="C927" t="s">
        <v>33</v>
      </c>
      <c r="D927" t="s">
        <v>21</v>
      </c>
      <c r="E927">
        <v>8417.07</v>
      </c>
      <c r="F927">
        <v>26</v>
      </c>
      <c r="G927" t="s">
        <v>35</v>
      </c>
      <c r="H927">
        <v>4208.09</v>
      </c>
      <c r="I927">
        <v>4226.5600000000004</v>
      </c>
      <c r="J927" t="s">
        <v>17</v>
      </c>
      <c r="K927">
        <v>0.28999999999999998</v>
      </c>
      <c r="L927" t="s">
        <v>18</v>
      </c>
      <c r="M927" t="s">
        <v>22</v>
      </c>
      <c r="N927" t="s">
        <v>37</v>
      </c>
    </row>
    <row r="928" spans="1:14" x14ac:dyDescent="0.35">
      <c r="A928">
        <v>1061</v>
      </c>
      <c r="B928" s="1">
        <v>45190</v>
      </c>
      <c r="C928" t="s">
        <v>33</v>
      </c>
      <c r="D928" t="s">
        <v>25</v>
      </c>
      <c r="E928">
        <v>9895.57</v>
      </c>
      <c r="F928">
        <v>25</v>
      </c>
      <c r="G928" t="s">
        <v>26</v>
      </c>
      <c r="H928">
        <v>2747.66</v>
      </c>
      <c r="I928">
        <v>3027.0099999999902</v>
      </c>
      <c r="J928" t="s">
        <v>30</v>
      </c>
      <c r="K928">
        <v>0.23</v>
      </c>
      <c r="L928" t="s">
        <v>18</v>
      </c>
      <c r="M928" t="s">
        <v>19</v>
      </c>
      <c r="N928" t="s">
        <v>44</v>
      </c>
    </row>
    <row r="929" spans="1:14" x14ac:dyDescent="0.35">
      <c r="A929">
        <v>1022</v>
      </c>
      <c r="B929" s="1">
        <v>45254</v>
      </c>
      <c r="C929" t="s">
        <v>38</v>
      </c>
      <c r="D929" t="s">
        <v>21</v>
      </c>
      <c r="E929">
        <v>8906.24</v>
      </c>
      <c r="F929">
        <v>29</v>
      </c>
      <c r="G929" t="s">
        <v>16</v>
      </c>
      <c r="H929">
        <v>479.58</v>
      </c>
      <c r="I929">
        <v>909.88</v>
      </c>
      <c r="J929" t="s">
        <v>17</v>
      </c>
      <c r="K929">
        <v>0.13</v>
      </c>
      <c r="L929" t="s">
        <v>31</v>
      </c>
      <c r="M929" t="s">
        <v>22</v>
      </c>
      <c r="N929" t="s">
        <v>41</v>
      </c>
    </row>
    <row r="930" spans="1:14" x14ac:dyDescent="0.35">
      <c r="A930">
        <v>1021</v>
      </c>
      <c r="B930" s="1">
        <v>45104</v>
      </c>
      <c r="C930" t="s">
        <v>33</v>
      </c>
      <c r="D930" t="s">
        <v>15</v>
      </c>
      <c r="E930">
        <v>3777.53</v>
      </c>
      <c r="F930">
        <v>19</v>
      </c>
      <c r="G930" t="s">
        <v>35</v>
      </c>
      <c r="H930">
        <v>1222.4000000000001</v>
      </c>
      <c r="I930">
        <v>1464.71</v>
      </c>
      <c r="J930" t="s">
        <v>30</v>
      </c>
      <c r="K930">
        <v>0</v>
      </c>
      <c r="L930" t="s">
        <v>31</v>
      </c>
      <c r="M930" t="s">
        <v>22</v>
      </c>
      <c r="N930" t="s">
        <v>53</v>
      </c>
    </row>
    <row r="931" spans="1:14" x14ac:dyDescent="0.35">
      <c r="A931">
        <v>1070</v>
      </c>
      <c r="B931" s="1">
        <v>45274</v>
      </c>
      <c r="C931" t="s">
        <v>33</v>
      </c>
      <c r="D931" t="s">
        <v>25</v>
      </c>
      <c r="E931">
        <v>2032.15</v>
      </c>
      <c r="F931">
        <v>33</v>
      </c>
      <c r="G931" t="s">
        <v>26</v>
      </c>
      <c r="H931">
        <v>866.42</v>
      </c>
      <c r="I931">
        <v>878.43</v>
      </c>
      <c r="J931" t="s">
        <v>30</v>
      </c>
      <c r="K931">
        <v>0.09</v>
      </c>
      <c r="L931" t="s">
        <v>18</v>
      </c>
      <c r="M931" t="s">
        <v>22</v>
      </c>
      <c r="N931" t="s">
        <v>44</v>
      </c>
    </row>
    <row r="932" spans="1:14" x14ac:dyDescent="0.35">
      <c r="A932">
        <v>1001</v>
      </c>
      <c r="B932" s="1">
        <v>45244</v>
      </c>
      <c r="C932" t="s">
        <v>24</v>
      </c>
      <c r="D932" t="s">
        <v>15</v>
      </c>
      <c r="E932">
        <v>4944.99</v>
      </c>
      <c r="F932">
        <v>36</v>
      </c>
      <c r="G932" t="s">
        <v>16</v>
      </c>
      <c r="H932">
        <v>666.84</v>
      </c>
      <c r="I932">
        <v>682.24</v>
      </c>
      <c r="J932" t="s">
        <v>30</v>
      </c>
      <c r="K932">
        <v>0.16</v>
      </c>
      <c r="L932" t="s">
        <v>27</v>
      </c>
      <c r="M932" t="s">
        <v>22</v>
      </c>
      <c r="N932" t="s">
        <v>45</v>
      </c>
    </row>
    <row r="933" spans="1:14" x14ac:dyDescent="0.35">
      <c r="A933">
        <v>1005</v>
      </c>
      <c r="B933" s="1">
        <v>45010</v>
      </c>
      <c r="C933" t="s">
        <v>14</v>
      </c>
      <c r="D933" t="s">
        <v>21</v>
      </c>
      <c r="E933">
        <v>7442.25</v>
      </c>
      <c r="F933">
        <v>14</v>
      </c>
      <c r="G933" t="s">
        <v>29</v>
      </c>
      <c r="H933">
        <v>1861.2</v>
      </c>
      <c r="I933">
        <v>2075.35</v>
      </c>
      <c r="J933" t="s">
        <v>17</v>
      </c>
      <c r="K933">
        <v>0.1</v>
      </c>
      <c r="L933" t="s">
        <v>31</v>
      </c>
      <c r="M933" t="s">
        <v>22</v>
      </c>
      <c r="N933" t="s">
        <v>23</v>
      </c>
    </row>
    <row r="934" spans="1:14" x14ac:dyDescent="0.35">
      <c r="A934">
        <v>1012</v>
      </c>
      <c r="B934" s="1">
        <v>45244</v>
      </c>
      <c r="C934" t="s">
        <v>24</v>
      </c>
      <c r="D934" t="s">
        <v>15</v>
      </c>
      <c r="E934">
        <v>4976.43</v>
      </c>
      <c r="F934">
        <v>14</v>
      </c>
      <c r="G934" t="s">
        <v>35</v>
      </c>
      <c r="H934">
        <v>1185.5</v>
      </c>
      <c r="I934">
        <v>1271.45</v>
      </c>
      <c r="J934" t="s">
        <v>17</v>
      </c>
      <c r="K934">
        <v>0.03</v>
      </c>
      <c r="L934" t="s">
        <v>27</v>
      </c>
      <c r="M934" t="s">
        <v>22</v>
      </c>
      <c r="N934" t="s">
        <v>45</v>
      </c>
    </row>
    <row r="935" spans="1:14" x14ac:dyDescent="0.35">
      <c r="A935">
        <v>1090</v>
      </c>
      <c r="B935" s="1">
        <v>45037</v>
      </c>
      <c r="C935" t="s">
        <v>24</v>
      </c>
      <c r="D935" t="s">
        <v>21</v>
      </c>
      <c r="E935">
        <v>4883.49</v>
      </c>
      <c r="F935">
        <v>35</v>
      </c>
      <c r="G935" t="s">
        <v>35</v>
      </c>
      <c r="H935">
        <v>1130.5999999999999</v>
      </c>
      <c r="I935">
        <v>1466.1799999999901</v>
      </c>
      <c r="J935" t="s">
        <v>17</v>
      </c>
      <c r="K935">
        <v>0.13</v>
      </c>
      <c r="L935" t="s">
        <v>18</v>
      </c>
      <c r="M935" t="s">
        <v>19</v>
      </c>
      <c r="N935" t="s">
        <v>47</v>
      </c>
    </row>
    <row r="936" spans="1:14" x14ac:dyDescent="0.35">
      <c r="A936">
        <v>1046</v>
      </c>
      <c r="B936" s="1">
        <v>45177</v>
      </c>
      <c r="C936" t="s">
        <v>42</v>
      </c>
      <c r="D936" t="s">
        <v>15</v>
      </c>
      <c r="E936">
        <v>8398.48</v>
      </c>
      <c r="F936">
        <v>30</v>
      </c>
      <c r="G936" t="s">
        <v>16</v>
      </c>
      <c r="H936">
        <v>320.73</v>
      </c>
      <c r="I936">
        <v>678.04</v>
      </c>
      <c r="J936" t="s">
        <v>17</v>
      </c>
      <c r="K936">
        <v>0.08</v>
      </c>
      <c r="L936" t="s">
        <v>18</v>
      </c>
      <c r="M936" t="s">
        <v>22</v>
      </c>
      <c r="N936" t="s">
        <v>49</v>
      </c>
    </row>
    <row r="937" spans="1:14" x14ac:dyDescent="0.35">
      <c r="A937">
        <v>1034</v>
      </c>
      <c r="B937" s="1">
        <v>44933</v>
      </c>
      <c r="C937" t="s">
        <v>24</v>
      </c>
      <c r="D937" t="s">
        <v>21</v>
      </c>
      <c r="E937">
        <v>3677.9</v>
      </c>
      <c r="F937">
        <v>28</v>
      </c>
      <c r="G937" t="s">
        <v>16</v>
      </c>
      <c r="H937">
        <v>137.47</v>
      </c>
      <c r="I937">
        <v>234.63</v>
      </c>
      <c r="J937" t="s">
        <v>30</v>
      </c>
      <c r="K937">
        <v>0.27</v>
      </c>
      <c r="L937" t="s">
        <v>27</v>
      </c>
      <c r="M937" t="s">
        <v>22</v>
      </c>
      <c r="N937" t="s">
        <v>47</v>
      </c>
    </row>
    <row r="938" spans="1:14" x14ac:dyDescent="0.35">
      <c r="A938">
        <v>1049</v>
      </c>
      <c r="B938" s="1">
        <v>45010</v>
      </c>
      <c r="C938" t="s">
        <v>38</v>
      </c>
      <c r="D938" t="s">
        <v>34</v>
      </c>
      <c r="E938">
        <v>8611.9699999999993</v>
      </c>
      <c r="F938">
        <v>17</v>
      </c>
      <c r="G938" t="s">
        <v>35</v>
      </c>
      <c r="H938">
        <v>558.70000000000005</v>
      </c>
      <c r="I938">
        <v>1004.08</v>
      </c>
      <c r="J938" t="s">
        <v>17</v>
      </c>
      <c r="K938">
        <v>0.03</v>
      </c>
      <c r="L938" t="s">
        <v>31</v>
      </c>
      <c r="M938" t="s">
        <v>19</v>
      </c>
      <c r="N938" t="s">
        <v>48</v>
      </c>
    </row>
    <row r="939" spans="1:14" x14ac:dyDescent="0.35">
      <c r="A939">
        <v>1078</v>
      </c>
      <c r="B939" s="1">
        <v>45134</v>
      </c>
      <c r="C939" t="s">
        <v>38</v>
      </c>
      <c r="D939" t="s">
        <v>15</v>
      </c>
      <c r="E939">
        <v>4127.37</v>
      </c>
      <c r="F939">
        <v>3</v>
      </c>
      <c r="G939" t="s">
        <v>29</v>
      </c>
      <c r="H939">
        <v>902.38</v>
      </c>
      <c r="I939">
        <v>1128.9100000000001</v>
      </c>
      <c r="J939" t="s">
        <v>30</v>
      </c>
      <c r="K939">
        <v>0.01</v>
      </c>
      <c r="L939" t="s">
        <v>27</v>
      </c>
      <c r="M939" t="s">
        <v>22</v>
      </c>
      <c r="N939" t="s">
        <v>40</v>
      </c>
    </row>
    <row r="940" spans="1:14" x14ac:dyDescent="0.35">
      <c r="A940">
        <v>1090</v>
      </c>
      <c r="B940" s="1">
        <v>45240</v>
      </c>
      <c r="C940" t="s">
        <v>42</v>
      </c>
      <c r="D940" t="s">
        <v>15</v>
      </c>
      <c r="E940">
        <v>3349.51</v>
      </c>
      <c r="F940">
        <v>16</v>
      </c>
      <c r="G940" t="s">
        <v>29</v>
      </c>
      <c r="H940">
        <v>2183.37</v>
      </c>
      <c r="I940">
        <v>2263.3599999999901</v>
      </c>
      <c r="J940" t="s">
        <v>17</v>
      </c>
      <c r="K940">
        <v>0</v>
      </c>
      <c r="L940" t="s">
        <v>27</v>
      </c>
      <c r="M940" t="s">
        <v>22</v>
      </c>
      <c r="N940" t="s">
        <v>49</v>
      </c>
    </row>
    <row r="941" spans="1:14" x14ac:dyDescent="0.35">
      <c r="A941">
        <v>1045</v>
      </c>
      <c r="B941" s="1">
        <v>44948</v>
      </c>
      <c r="C941" t="s">
        <v>14</v>
      </c>
      <c r="D941" t="s">
        <v>34</v>
      </c>
      <c r="E941">
        <v>4594.5</v>
      </c>
      <c r="F941">
        <v>46</v>
      </c>
      <c r="G941" t="s">
        <v>26</v>
      </c>
      <c r="H941">
        <v>2577.08</v>
      </c>
      <c r="I941">
        <v>2961.56</v>
      </c>
      <c r="J941" t="s">
        <v>17</v>
      </c>
      <c r="K941">
        <v>0.1</v>
      </c>
      <c r="L941" t="s">
        <v>18</v>
      </c>
      <c r="M941" t="s">
        <v>19</v>
      </c>
      <c r="N941" t="s">
        <v>46</v>
      </c>
    </row>
    <row r="942" spans="1:14" x14ac:dyDescent="0.35">
      <c r="A942">
        <v>1027</v>
      </c>
      <c r="B942" s="1">
        <v>44929</v>
      </c>
      <c r="C942" t="s">
        <v>14</v>
      </c>
      <c r="D942" t="s">
        <v>34</v>
      </c>
      <c r="E942">
        <v>7648.22</v>
      </c>
      <c r="F942">
        <v>30</v>
      </c>
      <c r="G942" t="s">
        <v>16</v>
      </c>
      <c r="H942">
        <v>745.93</v>
      </c>
      <c r="I942">
        <v>1143.02</v>
      </c>
      <c r="J942" t="s">
        <v>17</v>
      </c>
      <c r="K942">
        <v>0.2</v>
      </c>
      <c r="L942" t="s">
        <v>31</v>
      </c>
      <c r="M942" t="s">
        <v>19</v>
      </c>
      <c r="N942" t="s">
        <v>46</v>
      </c>
    </row>
    <row r="943" spans="1:14" x14ac:dyDescent="0.35">
      <c r="A943">
        <v>1073</v>
      </c>
      <c r="B943" s="1">
        <v>45053</v>
      </c>
      <c r="C943" t="s">
        <v>24</v>
      </c>
      <c r="D943" t="s">
        <v>15</v>
      </c>
      <c r="E943">
        <v>1347.42</v>
      </c>
      <c r="F943">
        <v>29</v>
      </c>
      <c r="G943" t="s">
        <v>29</v>
      </c>
      <c r="H943">
        <v>2152.6799999999998</v>
      </c>
      <c r="I943">
        <v>2475.9299999999998</v>
      </c>
      <c r="J943" t="s">
        <v>17</v>
      </c>
      <c r="K943">
        <v>0.22</v>
      </c>
      <c r="L943" t="s">
        <v>27</v>
      </c>
      <c r="M943" t="s">
        <v>19</v>
      </c>
      <c r="N943" t="s">
        <v>45</v>
      </c>
    </row>
    <row r="944" spans="1:14" x14ac:dyDescent="0.35">
      <c r="A944">
        <v>1026</v>
      </c>
      <c r="B944" s="1">
        <v>45223</v>
      </c>
      <c r="C944" t="s">
        <v>24</v>
      </c>
      <c r="D944" t="s">
        <v>34</v>
      </c>
      <c r="E944">
        <v>2044.55</v>
      </c>
      <c r="F944">
        <v>45</v>
      </c>
      <c r="G944" t="s">
        <v>26</v>
      </c>
      <c r="H944">
        <v>1741.66</v>
      </c>
      <c r="I944">
        <v>2169.86</v>
      </c>
      <c r="J944" t="s">
        <v>17</v>
      </c>
      <c r="K944">
        <v>0.14000000000000001</v>
      </c>
      <c r="L944" t="s">
        <v>31</v>
      </c>
      <c r="M944" t="s">
        <v>19</v>
      </c>
      <c r="N944" t="s">
        <v>50</v>
      </c>
    </row>
    <row r="945" spans="1:14" x14ac:dyDescent="0.35">
      <c r="A945">
        <v>1047</v>
      </c>
      <c r="B945" s="1">
        <v>45114</v>
      </c>
      <c r="C945" t="s">
        <v>24</v>
      </c>
      <c r="D945" t="s">
        <v>25</v>
      </c>
      <c r="E945">
        <v>9519.2999999999993</v>
      </c>
      <c r="F945">
        <v>15</v>
      </c>
      <c r="G945" t="s">
        <v>29</v>
      </c>
      <c r="H945">
        <v>957.95</v>
      </c>
      <c r="I945">
        <v>1329.26</v>
      </c>
      <c r="J945" t="s">
        <v>30</v>
      </c>
      <c r="K945">
        <v>0.21</v>
      </c>
      <c r="L945" t="s">
        <v>18</v>
      </c>
      <c r="M945" t="s">
        <v>19</v>
      </c>
      <c r="N945" t="s">
        <v>28</v>
      </c>
    </row>
    <row r="946" spans="1:14" x14ac:dyDescent="0.35">
      <c r="A946">
        <v>1086</v>
      </c>
      <c r="B946" s="1">
        <v>45288</v>
      </c>
      <c r="C946" t="s">
        <v>14</v>
      </c>
      <c r="D946" t="s">
        <v>21</v>
      </c>
      <c r="E946">
        <v>1837.37</v>
      </c>
      <c r="F946">
        <v>46</v>
      </c>
      <c r="G946" t="s">
        <v>16</v>
      </c>
      <c r="H946">
        <v>83.86</v>
      </c>
      <c r="I946">
        <v>526.14</v>
      </c>
      <c r="J946" t="s">
        <v>17</v>
      </c>
      <c r="K946">
        <v>0.11</v>
      </c>
      <c r="L946" t="s">
        <v>31</v>
      </c>
      <c r="M946" t="s">
        <v>19</v>
      </c>
      <c r="N946" t="s">
        <v>23</v>
      </c>
    </row>
    <row r="947" spans="1:14" x14ac:dyDescent="0.35">
      <c r="A947">
        <v>1056</v>
      </c>
      <c r="B947" s="1">
        <v>44940</v>
      </c>
      <c r="C947" t="s">
        <v>33</v>
      </c>
      <c r="D947" t="s">
        <v>21</v>
      </c>
      <c r="E947">
        <v>5720.5</v>
      </c>
      <c r="F947">
        <v>25</v>
      </c>
      <c r="G947" t="s">
        <v>26</v>
      </c>
      <c r="H947">
        <v>2361.7399999999998</v>
      </c>
      <c r="I947">
        <v>2584.35</v>
      </c>
      <c r="J947" t="s">
        <v>17</v>
      </c>
      <c r="K947">
        <v>0.2</v>
      </c>
      <c r="L947" t="s">
        <v>18</v>
      </c>
      <c r="M947" t="s">
        <v>19</v>
      </c>
      <c r="N947" t="s">
        <v>37</v>
      </c>
    </row>
    <row r="948" spans="1:14" x14ac:dyDescent="0.35">
      <c r="A948">
        <v>1094</v>
      </c>
      <c r="B948" s="1">
        <v>44938</v>
      </c>
      <c r="C948" t="s">
        <v>38</v>
      </c>
      <c r="D948" t="s">
        <v>21</v>
      </c>
      <c r="E948">
        <v>5835.21</v>
      </c>
      <c r="F948">
        <v>38</v>
      </c>
      <c r="G948" t="s">
        <v>26</v>
      </c>
      <c r="H948">
        <v>3443.98</v>
      </c>
      <c r="I948">
        <v>3820.3</v>
      </c>
      <c r="J948" t="s">
        <v>17</v>
      </c>
      <c r="K948">
        <v>0.01</v>
      </c>
      <c r="L948" t="s">
        <v>31</v>
      </c>
      <c r="M948" t="s">
        <v>22</v>
      </c>
      <c r="N948" t="s">
        <v>41</v>
      </c>
    </row>
    <row r="949" spans="1:14" x14ac:dyDescent="0.35">
      <c r="A949">
        <v>1063</v>
      </c>
      <c r="B949" s="1">
        <v>45013</v>
      </c>
      <c r="C949" t="s">
        <v>33</v>
      </c>
      <c r="D949" t="s">
        <v>25</v>
      </c>
      <c r="E949">
        <v>4947.28</v>
      </c>
      <c r="F949">
        <v>42</v>
      </c>
      <c r="G949" t="s">
        <v>26</v>
      </c>
      <c r="H949">
        <v>1170.07</v>
      </c>
      <c r="I949">
        <v>1669.94999999999</v>
      </c>
      <c r="J949" t="s">
        <v>17</v>
      </c>
      <c r="K949">
        <v>0.12</v>
      </c>
      <c r="L949" t="s">
        <v>27</v>
      </c>
      <c r="M949" t="s">
        <v>22</v>
      </c>
      <c r="N949" t="s">
        <v>44</v>
      </c>
    </row>
    <row r="950" spans="1:14" x14ac:dyDescent="0.35">
      <c r="A950">
        <v>1048</v>
      </c>
      <c r="B950" s="1">
        <v>44938</v>
      </c>
      <c r="C950" t="s">
        <v>33</v>
      </c>
      <c r="D950" t="s">
        <v>34</v>
      </c>
      <c r="E950">
        <v>6482.98</v>
      </c>
      <c r="F950">
        <v>47</v>
      </c>
      <c r="G950" t="s">
        <v>29</v>
      </c>
      <c r="H950">
        <v>702.44</v>
      </c>
      <c r="I950">
        <v>1067.6600000000001</v>
      </c>
      <c r="J950" t="s">
        <v>30</v>
      </c>
      <c r="K950">
        <v>0.24</v>
      </c>
      <c r="L950" t="s">
        <v>18</v>
      </c>
      <c r="M950" t="s">
        <v>22</v>
      </c>
      <c r="N950" t="s">
        <v>36</v>
      </c>
    </row>
    <row r="951" spans="1:14" x14ac:dyDescent="0.35">
      <c r="A951">
        <v>1061</v>
      </c>
      <c r="B951" s="1">
        <v>44951</v>
      </c>
      <c r="C951" t="s">
        <v>14</v>
      </c>
      <c r="D951" t="s">
        <v>34</v>
      </c>
      <c r="E951">
        <v>2375.2800000000002</v>
      </c>
      <c r="F951">
        <v>38</v>
      </c>
      <c r="G951" t="s">
        <v>16</v>
      </c>
      <c r="H951">
        <v>4440.8599999999997</v>
      </c>
      <c r="I951">
        <v>4506.8099999999904</v>
      </c>
      <c r="J951" t="s">
        <v>17</v>
      </c>
      <c r="K951">
        <v>0.24</v>
      </c>
      <c r="L951" t="s">
        <v>27</v>
      </c>
      <c r="M951" t="s">
        <v>19</v>
      </c>
      <c r="N951" t="s">
        <v>46</v>
      </c>
    </row>
    <row r="952" spans="1:14" x14ac:dyDescent="0.35">
      <c r="A952">
        <v>1081</v>
      </c>
      <c r="B952" s="1">
        <v>45227</v>
      </c>
      <c r="C952" t="s">
        <v>33</v>
      </c>
      <c r="D952" t="s">
        <v>15</v>
      </c>
      <c r="E952">
        <v>5571.36</v>
      </c>
      <c r="F952">
        <v>23</v>
      </c>
      <c r="G952" t="s">
        <v>26</v>
      </c>
      <c r="H952">
        <v>1411.37</v>
      </c>
      <c r="I952">
        <v>1675.35</v>
      </c>
      <c r="J952" t="s">
        <v>30</v>
      </c>
      <c r="K952">
        <v>0.21</v>
      </c>
      <c r="L952" t="s">
        <v>18</v>
      </c>
      <c r="M952" t="s">
        <v>22</v>
      </c>
      <c r="N952" t="s">
        <v>53</v>
      </c>
    </row>
    <row r="953" spans="1:14" x14ac:dyDescent="0.35">
      <c r="A953">
        <v>1026</v>
      </c>
      <c r="B953" s="1">
        <v>45169</v>
      </c>
      <c r="C953" t="s">
        <v>42</v>
      </c>
      <c r="D953" t="s">
        <v>34</v>
      </c>
      <c r="E953">
        <v>3784.52</v>
      </c>
      <c r="F953">
        <v>25</v>
      </c>
      <c r="G953" t="s">
        <v>35</v>
      </c>
      <c r="H953">
        <v>1156.8800000000001</v>
      </c>
      <c r="I953">
        <v>1454.68</v>
      </c>
      <c r="J953" t="s">
        <v>17</v>
      </c>
      <c r="K953">
        <v>0.06</v>
      </c>
      <c r="L953" t="s">
        <v>31</v>
      </c>
      <c r="M953" t="s">
        <v>19</v>
      </c>
      <c r="N953" t="s">
        <v>52</v>
      </c>
    </row>
    <row r="954" spans="1:14" x14ac:dyDescent="0.35">
      <c r="A954">
        <v>1036</v>
      </c>
      <c r="B954" s="1">
        <v>45048</v>
      </c>
      <c r="C954" t="s">
        <v>24</v>
      </c>
      <c r="D954" t="s">
        <v>15</v>
      </c>
      <c r="E954">
        <v>6650.51</v>
      </c>
      <c r="F954">
        <v>42</v>
      </c>
      <c r="G954" t="s">
        <v>16</v>
      </c>
      <c r="H954">
        <v>4292.63</v>
      </c>
      <c r="I954">
        <v>4387.99</v>
      </c>
      <c r="J954" t="s">
        <v>30</v>
      </c>
      <c r="K954">
        <v>7.0000000000000007E-2</v>
      </c>
      <c r="L954" t="s">
        <v>31</v>
      </c>
      <c r="M954" t="s">
        <v>22</v>
      </c>
      <c r="N954" t="s">
        <v>45</v>
      </c>
    </row>
    <row r="955" spans="1:14" x14ac:dyDescent="0.35">
      <c r="A955">
        <v>1001</v>
      </c>
      <c r="B955" s="1">
        <v>45073</v>
      </c>
      <c r="C955" t="s">
        <v>42</v>
      </c>
      <c r="D955" t="s">
        <v>25</v>
      </c>
      <c r="E955">
        <v>1498.11</v>
      </c>
      <c r="F955">
        <v>7</v>
      </c>
      <c r="G955" t="s">
        <v>35</v>
      </c>
      <c r="H955">
        <v>4094.68</v>
      </c>
      <c r="I955">
        <v>4576.5</v>
      </c>
      <c r="J955" t="s">
        <v>30</v>
      </c>
      <c r="K955">
        <v>0.3</v>
      </c>
      <c r="L955" t="s">
        <v>18</v>
      </c>
      <c r="M955" t="s">
        <v>22</v>
      </c>
      <c r="N955" t="s">
        <v>43</v>
      </c>
    </row>
    <row r="956" spans="1:14" x14ac:dyDescent="0.35">
      <c r="A956">
        <v>1008</v>
      </c>
      <c r="B956" s="1">
        <v>44981</v>
      </c>
      <c r="C956" t="s">
        <v>38</v>
      </c>
      <c r="D956" t="s">
        <v>21</v>
      </c>
      <c r="E956">
        <v>5751.69</v>
      </c>
      <c r="F956">
        <v>22</v>
      </c>
      <c r="G956" t="s">
        <v>35</v>
      </c>
      <c r="H956">
        <v>2269.3200000000002</v>
      </c>
      <c r="I956">
        <v>2365.35</v>
      </c>
      <c r="J956" t="s">
        <v>30</v>
      </c>
      <c r="K956">
        <v>0.03</v>
      </c>
      <c r="L956" t="s">
        <v>18</v>
      </c>
      <c r="M956" t="s">
        <v>22</v>
      </c>
      <c r="N956" t="s">
        <v>41</v>
      </c>
    </row>
    <row r="957" spans="1:14" x14ac:dyDescent="0.35">
      <c r="A957">
        <v>1099</v>
      </c>
      <c r="B957" s="1">
        <v>45164</v>
      </c>
      <c r="C957" t="s">
        <v>24</v>
      </c>
      <c r="D957" t="s">
        <v>21</v>
      </c>
      <c r="E957">
        <v>1934.18</v>
      </c>
      <c r="F957">
        <v>17</v>
      </c>
      <c r="G957" t="s">
        <v>26</v>
      </c>
      <c r="H957">
        <v>2471.73</v>
      </c>
      <c r="I957">
        <v>2568.73</v>
      </c>
      <c r="J957" t="s">
        <v>30</v>
      </c>
      <c r="K957">
        <v>0.05</v>
      </c>
      <c r="L957" t="s">
        <v>18</v>
      </c>
      <c r="M957" t="s">
        <v>22</v>
      </c>
      <c r="N957" t="s">
        <v>47</v>
      </c>
    </row>
    <row r="958" spans="1:14" x14ac:dyDescent="0.35">
      <c r="A958">
        <v>1052</v>
      </c>
      <c r="B958" s="1">
        <v>45282</v>
      </c>
      <c r="C958" t="s">
        <v>33</v>
      </c>
      <c r="D958" t="s">
        <v>21</v>
      </c>
      <c r="E958">
        <v>2858.57</v>
      </c>
      <c r="F958">
        <v>18</v>
      </c>
      <c r="G958" t="s">
        <v>26</v>
      </c>
      <c r="H958">
        <v>1127.8599999999999</v>
      </c>
      <c r="I958">
        <v>1586.29</v>
      </c>
      <c r="J958" t="s">
        <v>30</v>
      </c>
      <c r="K958">
        <v>0.04</v>
      </c>
      <c r="L958" t="s">
        <v>31</v>
      </c>
      <c r="M958" t="s">
        <v>19</v>
      </c>
      <c r="N958" t="s">
        <v>37</v>
      </c>
    </row>
    <row r="959" spans="1:14" x14ac:dyDescent="0.35">
      <c r="A959">
        <v>1079</v>
      </c>
      <c r="B959" s="1">
        <v>45099</v>
      </c>
      <c r="C959" t="s">
        <v>38</v>
      </c>
      <c r="D959" t="s">
        <v>34</v>
      </c>
      <c r="E959">
        <v>2265.23</v>
      </c>
      <c r="F959">
        <v>49</v>
      </c>
      <c r="G959" t="s">
        <v>29</v>
      </c>
      <c r="H959">
        <v>437.59</v>
      </c>
      <c r="I959">
        <v>675.54</v>
      </c>
      <c r="J959" t="s">
        <v>17</v>
      </c>
      <c r="K959">
        <v>0.1</v>
      </c>
      <c r="L959" t="s">
        <v>18</v>
      </c>
      <c r="M959" t="s">
        <v>19</v>
      </c>
      <c r="N959" t="s">
        <v>48</v>
      </c>
    </row>
    <row r="960" spans="1:14" x14ac:dyDescent="0.35">
      <c r="A960">
        <v>1047</v>
      </c>
      <c r="B960" s="1">
        <v>45147</v>
      </c>
      <c r="C960" t="s">
        <v>24</v>
      </c>
      <c r="D960" t="s">
        <v>15</v>
      </c>
      <c r="E960">
        <v>1910.09</v>
      </c>
      <c r="F960">
        <v>41</v>
      </c>
      <c r="G960" t="s">
        <v>29</v>
      </c>
      <c r="H960">
        <v>2888.49</v>
      </c>
      <c r="I960">
        <v>2929.45</v>
      </c>
      <c r="J960" t="s">
        <v>30</v>
      </c>
      <c r="K960">
        <v>0.06</v>
      </c>
      <c r="L960" t="s">
        <v>18</v>
      </c>
      <c r="M960" t="s">
        <v>22</v>
      </c>
      <c r="N960" t="s">
        <v>45</v>
      </c>
    </row>
    <row r="961" spans="1:14" x14ac:dyDescent="0.35">
      <c r="A961">
        <v>1056</v>
      </c>
      <c r="B961" s="1">
        <v>45045</v>
      </c>
      <c r="C961" t="s">
        <v>33</v>
      </c>
      <c r="D961" t="s">
        <v>15</v>
      </c>
      <c r="E961">
        <v>8274.5400000000009</v>
      </c>
      <c r="F961">
        <v>10</v>
      </c>
      <c r="G961" t="s">
        <v>29</v>
      </c>
      <c r="H961">
        <v>536.80999999999995</v>
      </c>
      <c r="I961">
        <v>839.92</v>
      </c>
      <c r="J961" t="s">
        <v>17</v>
      </c>
      <c r="K961">
        <v>0.15</v>
      </c>
      <c r="L961" t="s">
        <v>27</v>
      </c>
      <c r="M961" t="s">
        <v>19</v>
      </c>
      <c r="N961" t="s">
        <v>53</v>
      </c>
    </row>
    <row r="962" spans="1:14" x14ac:dyDescent="0.35">
      <c r="A962">
        <v>1086</v>
      </c>
      <c r="B962" s="1">
        <v>45235</v>
      </c>
      <c r="C962" t="s">
        <v>42</v>
      </c>
      <c r="D962" t="s">
        <v>25</v>
      </c>
      <c r="E962">
        <v>2928.5</v>
      </c>
      <c r="F962">
        <v>10</v>
      </c>
      <c r="G962" t="s">
        <v>16</v>
      </c>
      <c r="H962">
        <v>2273.91</v>
      </c>
      <c r="I962">
        <v>2578.7999999999902</v>
      </c>
      <c r="J962" t="s">
        <v>30</v>
      </c>
      <c r="K962">
        <v>0.14000000000000001</v>
      </c>
      <c r="L962" t="s">
        <v>18</v>
      </c>
      <c r="M962" t="s">
        <v>19</v>
      </c>
      <c r="N962" t="s">
        <v>43</v>
      </c>
    </row>
    <row r="963" spans="1:14" x14ac:dyDescent="0.35">
      <c r="A963">
        <v>1014</v>
      </c>
      <c r="B963" s="1">
        <v>45109</v>
      </c>
      <c r="C963" t="s">
        <v>24</v>
      </c>
      <c r="D963" t="s">
        <v>34</v>
      </c>
      <c r="E963">
        <v>9278.5300000000007</v>
      </c>
      <c r="F963">
        <v>7</v>
      </c>
      <c r="G963" t="s">
        <v>29</v>
      </c>
      <c r="H963">
        <v>4705.46</v>
      </c>
      <c r="I963">
        <v>4747.07</v>
      </c>
      <c r="J963" t="s">
        <v>30</v>
      </c>
      <c r="K963">
        <v>0.27</v>
      </c>
      <c r="L963" t="s">
        <v>27</v>
      </c>
      <c r="M963" t="s">
        <v>22</v>
      </c>
      <c r="N963" t="s">
        <v>50</v>
      </c>
    </row>
    <row r="964" spans="1:14" x14ac:dyDescent="0.35">
      <c r="A964">
        <v>1090</v>
      </c>
      <c r="B964" s="1">
        <v>45214</v>
      </c>
      <c r="C964" t="s">
        <v>33</v>
      </c>
      <c r="D964" t="s">
        <v>25</v>
      </c>
      <c r="E964">
        <v>9702.27</v>
      </c>
      <c r="F964">
        <v>48</v>
      </c>
      <c r="G964" t="s">
        <v>35</v>
      </c>
      <c r="H964">
        <v>4766.53</v>
      </c>
      <c r="I964">
        <v>5253.07</v>
      </c>
      <c r="J964" t="s">
        <v>17</v>
      </c>
      <c r="K964">
        <v>0.01</v>
      </c>
      <c r="L964" t="s">
        <v>27</v>
      </c>
      <c r="M964" t="s">
        <v>19</v>
      </c>
      <c r="N964" t="s">
        <v>44</v>
      </c>
    </row>
    <row r="965" spans="1:14" x14ac:dyDescent="0.35">
      <c r="A965">
        <v>1028</v>
      </c>
      <c r="B965" s="1">
        <v>45233</v>
      </c>
      <c r="C965" t="s">
        <v>42</v>
      </c>
      <c r="D965" t="s">
        <v>15</v>
      </c>
      <c r="E965">
        <v>5755.48</v>
      </c>
      <c r="F965">
        <v>38</v>
      </c>
      <c r="G965" t="s">
        <v>29</v>
      </c>
      <c r="H965">
        <v>1234.69</v>
      </c>
      <c r="I965">
        <v>1511.26</v>
      </c>
      <c r="J965" t="s">
        <v>30</v>
      </c>
      <c r="K965">
        <v>0.1</v>
      </c>
      <c r="L965" t="s">
        <v>27</v>
      </c>
      <c r="M965" t="s">
        <v>19</v>
      </c>
      <c r="N965" t="s">
        <v>49</v>
      </c>
    </row>
    <row r="966" spans="1:14" x14ac:dyDescent="0.35">
      <c r="A966">
        <v>1087</v>
      </c>
      <c r="B966" s="1">
        <v>45226</v>
      </c>
      <c r="C966" t="s">
        <v>38</v>
      </c>
      <c r="D966" t="s">
        <v>15</v>
      </c>
      <c r="E966">
        <v>1515.71</v>
      </c>
      <c r="F966">
        <v>27</v>
      </c>
      <c r="G966" t="s">
        <v>26</v>
      </c>
      <c r="H966">
        <v>3139.36</v>
      </c>
      <c r="I966">
        <v>3423.66</v>
      </c>
      <c r="J966" t="s">
        <v>30</v>
      </c>
      <c r="K966">
        <v>0.18</v>
      </c>
      <c r="L966" t="s">
        <v>31</v>
      </c>
      <c r="M966" t="s">
        <v>19</v>
      </c>
      <c r="N966" t="s">
        <v>40</v>
      </c>
    </row>
    <row r="967" spans="1:14" x14ac:dyDescent="0.35">
      <c r="A967">
        <v>1078</v>
      </c>
      <c r="B967" s="1">
        <v>45008</v>
      </c>
      <c r="C967" t="s">
        <v>38</v>
      </c>
      <c r="D967" t="s">
        <v>21</v>
      </c>
      <c r="E967">
        <v>3808.03</v>
      </c>
      <c r="F967">
        <v>33</v>
      </c>
      <c r="G967" t="s">
        <v>29</v>
      </c>
      <c r="H967">
        <v>2396.6799999999998</v>
      </c>
      <c r="I967">
        <v>2661.54</v>
      </c>
      <c r="J967" t="s">
        <v>30</v>
      </c>
      <c r="K967">
        <v>0.18</v>
      </c>
      <c r="L967" t="s">
        <v>27</v>
      </c>
      <c r="M967" t="s">
        <v>19</v>
      </c>
      <c r="N967" t="s">
        <v>41</v>
      </c>
    </row>
    <row r="968" spans="1:14" x14ac:dyDescent="0.35">
      <c r="A968">
        <v>1088</v>
      </c>
      <c r="B968" s="1">
        <v>45137</v>
      </c>
      <c r="C968" t="s">
        <v>38</v>
      </c>
      <c r="D968" t="s">
        <v>34</v>
      </c>
      <c r="E968">
        <v>7997.55</v>
      </c>
      <c r="F968">
        <v>1</v>
      </c>
      <c r="G968" t="s">
        <v>16</v>
      </c>
      <c r="H968">
        <v>4384.6400000000003</v>
      </c>
      <c r="I968">
        <v>4693.8999999999996</v>
      </c>
      <c r="J968" t="s">
        <v>30</v>
      </c>
      <c r="K968">
        <v>0.14000000000000001</v>
      </c>
      <c r="L968" t="s">
        <v>18</v>
      </c>
      <c r="M968" t="s">
        <v>22</v>
      </c>
      <c r="N968" t="s">
        <v>48</v>
      </c>
    </row>
    <row r="969" spans="1:14" x14ac:dyDescent="0.35">
      <c r="A969">
        <v>1002</v>
      </c>
      <c r="B969" s="1">
        <v>45076</v>
      </c>
      <c r="C969" t="s">
        <v>38</v>
      </c>
      <c r="D969" t="s">
        <v>15</v>
      </c>
      <c r="E969">
        <v>3737.17</v>
      </c>
      <c r="F969">
        <v>44</v>
      </c>
      <c r="G969" t="s">
        <v>16</v>
      </c>
      <c r="H969">
        <v>1393.58</v>
      </c>
      <c r="I969">
        <v>1533.09</v>
      </c>
      <c r="J969" t="s">
        <v>17</v>
      </c>
      <c r="K969">
        <v>0.24</v>
      </c>
      <c r="L969" t="s">
        <v>31</v>
      </c>
      <c r="M969" t="s">
        <v>22</v>
      </c>
      <c r="N969" t="s">
        <v>40</v>
      </c>
    </row>
    <row r="970" spans="1:14" x14ac:dyDescent="0.35">
      <c r="A970">
        <v>1026</v>
      </c>
      <c r="B970" s="1">
        <v>44963</v>
      </c>
      <c r="C970" t="s">
        <v>14</v>
      </c>
      <c r="D970" t="s">
        <v>21</v>
      </c>
      <c r="E970">
        <v>961.47</v>
      </c>
      <c r="F970">
        <v>34</v>
      </c>
      <c r="G970" t="s">
        <v>35</v>
      </c>
      <c r="H970">
        <v>68.33</v>
      </c>
      <c r="I970">
        <v>219.07999999999899</v>
      </c>
      <c r="J970" t="s">
        <v>30</v>
      </c>
      <c r="K970">
        <v>0.02</v>
      </c>
      <c r="L970" t="s">
        <v>31</v>
      </c>
      <c r="M970" t="s">
        <v>19</v>
      </c>
      <c r="N970" t="s">
        <v>23</v>
      </c>
    </row>
    <row r="971" spans="1:14" x14ac:dyDescent="0.35">
      <c r="A971">
        <v>1014</v>
      </c>
      <c r="B971" s="1">
        <v>45278</v>
      </c>
      <c r="C971" t="s">
        <v>24</v>
      </c>
      <c r="D971" t="s">
        <v>34</v>
      </c>
      <c r="E971">
        <v>5612.17</v>
      </c>
      <c r="F971">
        <v>4</v>
      </c>
      <c r="G971" t="s">
        <v>16</v>
      </c>
      <c r="H971">
        <v>854.68</v>
      </c>
      <c r="I971">
        <v>1115.24</v>
      </c>
      <c r="J971" t="s">
        <v>30</v>
      </c>
      <c r="K971">
        <v>0.24</v>
      </c>
      <c r="L971" t="s">
        <v>31</v>
      </c>
      <c r="M971" t="s">
        <v>22</v>
      </c>
      <c r="N971" t="s">
        <v>50</v>
      </c>
    </row>
    <row r="972" spans="1:14" x14ac:dyDescent="0.35">
      <c r="A972">
        <v>1059</v>
      </c>
      <c r="B972" s="1">
        <v>45238</v>
      </c>
      <c r="C972" t="s">
        <v>24</v>
      </c>
      <c r="D972" t="s">
        <v>25</v>
      </c>
      <c r="E972">
        <v>8466.7000000000007</v>
      </c>
      <c r="F972">
        <v>17</v>
      </c>
      <c r="G972" t="s">
        <v>29</v>
      </c>
      <c r="H972">
        <v>1780.14</v>
      </c>
      <c r="I972">
        <v>2185.42</v>
      </c>
      <c r="J972" t="s">
        <v>17</v>
      </c>
      <c r="K972">
        <v>0.15</v>
      </c>
      <c r="L972" t="s">
        <v>31</v>
      </c>
      <c r="M972" t="s">
        <v>22</v>
      </c>
      <c r="N972" t="s">
        <v>28</v>
      </c>
    </row>
    <row r="973" spans="1:14" x14ac:dyDescent="0.35">
      <c r="A973">
        <v>1056</v>
      </c>
      <c r="B973" s="1">
        <v>45287</v>
      </c>
      <c r="C973" t="s">
        <v>14</v>
      </c>
      <c r="D973" t="s">
        <v>34</v>
      </c>
      <c r="E973">
        <v>7979.67</v>
      </c>
      <c r="F973">
        <v>4</v>
      </c>
      <c r="G973" t="s">
        <v>26</v>
      </c>
      <c r="H973">
        <v>1612.82</v>
      </c>
      <c r="I973">
        <v>1647.25</v>
      </c>
      <c r="J973" t="s">
        <v>17</v>
      </c>
      <c r="K973">
        <v>0.04</v>
      </c>
      <c r="L973" t="s">
        <v>31</v>
      </c>
      <c r="M973" t="s">
        <v>22</v>
      </c>
      <c r="N973" t="s">
        <v>46</v>
      </c>
    </row>
    <row r="974" spans="1:14" x14ac:dyDescent="0.35">
      <c r="A974">
        <v>1007</v>
      </c>
      <c r="B974" s="1">
        <v>44985</v>
      </c>
      <c r="C974" t="s">
        <v>33</v>
      </c>
      <c r="D974" t="s">
        <v>34</v>
      </c>
      <c r="E974">
        <v>1833.72</v>
      </c>
      <c r="F974">
        <v>43</v>
      </c>
      <c r="G974" t="s">
        <v>16</v>
      </c>
      <c r="H974">
        <v>3967.25</v>
      </c>
      <c r="I974">
        <v>4272.92</v>
      </c>
      <c r="J974" t="s">
        <v>30</v>
      </c>
      <c r="K974">
        <v>0.27</v>
      </c>
      <c r="L974" t="s">
        <v>31</v>
      </c>
      <c r="M974" t="s">
        <v>19</v>
      </c>
      <c r="N974" t="s">
        <v>36</v>
      </c>
    </row>
    <row r="975" spans="1:14" x14ac:dyDescent="0.35">
      <c r="A975">
        <v>1003</v>
      </c>
      <c r="B975" s="1">
        <v>45057</v>
      </c>
      <c r="C975" t="s">
        <v>33</v>
      </c>
      <c r="D975" t="s">
        <v>15</v>
      </c>
      <c r="E975">
        <v>6760.37</v>
      </c>
      <c r="F975">
        <v>26</v>
      </c>
      <c r="G975" t="s">
        <v>35</v>
      </c>
      <c r="H975">
        <v>3418.78</v>
      </c>
      <c r="I975">
        <v>3824.1</v>
      </c>
      <c r="J975" t="s">
        <v>30</v>
      </c>
      <c r="K975">
        <v>0.19</v>
      </c>
      <c r="L975" t="s">
        <v>31</v>
      </c>
      <c r="M975" t="s">
        <v>19</v>
      </c>
      <c r="N975" t="s">
        <v>53</v>
      </c>
    </row>
    <row r="976" spans="1:14" x14ac:dyDescent="0.35">
      <c r="A976">
        <v>1023</v>
      </c>
      <c r="B976" s="1">
        <v>45128</v>
      </c>
      <c r="C976" t="s">
        <v>38</v>
      </c>
      <c r="D976" t="s">
        <v>15</v>
      </c>
      <c r="E976">
        <v>2282.9899999999998</v>
      </c>
      <c r="F976">
        <v>4</v>
      </c>
      <c r="G976" t="s">
        <v>29</v>
      </c>
      <c r="H976">
        <v>1532.8</v>
      </c>
      <c r="I976">
        <v>1619.69</v>
      </c>
      <c r="J976" t="s">
        <v>17</v>
      </c>
      <c r="K976">
        <v>0.05</v>
      </c>
      <c r="L976" t="s">
        <v>27</v>
      </c>
      <c r="M976" t="s">
        <v>22</v>
      </c>
      <c r="N976" t="s">
        <v>40</v>
      </c>
    </row>
    <row r="977" spans="1:14" x14ac:dyDescent="0.35">
      <c r="A977">
        <v>1018</v>
      </c>
      <c r="B977" s="1">
        <v>45169</v>
      </c>
      <c r="C977" t="s">
        <v>42</v>
      </c>
      <c r="D977" t="s">
        <v>34</v>
      </c>
      <c r="E977">
        <v>2260.25</v>
      </c>
      <c r="F977">
        <v>1</v>
      </c>
      <c r="G977" t="s">
        <v>35</v>
      </c>
      <c r="H977">
        <v>2315.83</v>
      </c>
      <c r="I977">
        <v>2333.19</v>
      </c>
      <c r="J977" t="s">
        <v>30</v>
      </c>
      <c r="K977">
        <v>0.01</v>
      </c>
      <c r="L977" t="s">
        <v>18</v>
      </c>
      <c r="M977" t="s">
        <v>22</v>
      </c>
      <c r="N977" t="s">
        <v>52</v>
      </c>
    </row>
    <row r="978" spans="1:14" x14ac:dyDescent="0.35">
      <c r="A978">
        <v>1038</v>
      </c>
      <c r="B978" s="1">
        <v>44961</v>
      </c>
      <c r="C978" t="s">
        <v>33</v>
      </c>
      <c r="D978" t="s">
        <v>15</v>
      </c>
      <c r="E978">
        <v>8753.31</v>
      </c>
      <c r="F978">
        <v>7</v>
      </c>
      <c r="G978" t="s">
        <v>16</v>
      </c>
      <c r="H978">
        <v>523.02</v>
      </c>
      <c r="I978">
        <v>686.25</v>
      </c>
      <c r="J978" t="s">
        <v>17</v>
      </c>
      <c r="K978">
        <v>0.04</v>
      </c>
      <c r="L978" t="s">
        <v>18</v>
      </c>
      <c r="M978" t="s">
        <v>19</v>
      </c>
      <c r="N978" t="s">
        <v>53</v>
      </c>
    </row>
    <row r="979" spans="1:14" x14ac:dyDescent="0.35">
      <c r="A979">
        <v>1099</v>
      </c>
      <c r="B979" s="1">
        <v>45019</v>
      </c>
      <c r="C979" t="s">
        <v>42</v>
      </c>
      <c r="D979" t="s">
        <v>15</v>
      </c>
      <c r="E979">
        <v>2571.7199999999998</v>
      </c>
      <c r="F979">
        <v>30</v>
      </c>
      <c r="G979" t="s">
        <v>16</v>
      </c>
      <c r="H979">
        <v>4495.82</v>
      </c>
      <c r="I979">
        <v>4794.0099999999902</v>
      </c>
      <c r="J979" t="s">
        <v>30</v>
      </c>
      <c r="K979">
        <v>0.18</v>
      </c>
      <c r="L979" t="s">
        <v>27</v>
      </c>
      <c r="M979" t="s">
        <v>22</v>
      </c>
      <c r="N979" t="s">
        <v>49</v>
      </c>
    </row>
    <row r="980" spans="1:14" x14ac:dyDescent="0.35">
      <c r="A980">
        <v>1015</v>
      </c>
      <c r="B980" s="1">
        <v>45133</v>
      </c>
      <c r="C980" t="s">
        <v>24</v>
      </c>
      <c r="D980" t="s">
        <v>15</v>
      </c>
      <c r="E980">
        <v>2706.15</v>
      </c>
      <c r="F980">
        <v>9</v>
      </c>
      <c r="G980" t="s">
        <v>35</v>
      </c>
      <c r="H980">
        <v>4680.3500000000004</v>
      </c>
      <c r="I980">
        <v>4758.1099999999997</v>
      </c>
      <c r="J980" t="s">
        <v>17</v>
      </c>
      <c r="K980">
        <v>0.05</v>
      </c>
      <c r="L980" t="s">
        <v>27</v>
      </c>
      <c r="M980" t="s">
        <v>19</v>
      </c>
      <c r="N980" t="s">
        <v>45</v>
      </c>
    </row>
    <row r="981" spans="1:14" x14ac:dyDescent="0.35">
      <c r="A981">
        <v>1064</v>
      </c>
      <c r="B981" s="1">
        <v>45279</v>
      </c>
      <c r="C981" t="s">
        <v>42</v>
      </c>
      <c r="D981" t="s">
        <v>21</v>
      </c>
      <c r="E981">
        <v>106.47</v>
      </c>
      <c r="F981">
        <v>35</v>
      </c>
      <c r="G981" t="s">
        <v>29</v>
      </c>
      <c r="H981">
        <v>4900.03</v>
      </c>
      <c r="I981">
        <v>5118.83</v>
      </c>
      <c r="J981" t="s">
        <v>17</v>
      </c>
      <c r="K981">
        <v>7.0000000000000007E-2</v>
      </c>
      <c r="L981" t="s">
        <v>31</v>
      </c>
      <c r="M981" t="s">
        <v>22</v>
      </c>
      <c r="N981" t="s">
        <v>51</v>
      </c>
    </row>
    <row r="982" spans="1:14" x14ac:dyDescent="0.35">
      <c r="A982">
        <v>1089</v>
      </c>
      <c r="B982" s="1">
        <v>45258</v>
      </c>
      <c r="C982" t="s">
        <v>24</v>
      </c>
      <c r="D982" t="s">
        <v>21</v>
      </c>
      <c r="E982">
        <v>8719.6200000000008</v>
      </c>
      <c r="F982">
        <v>8</v>
      </c>
      <c r="G982" t="s">
        <v>16</v>
      </c>
      <c r="H982">
        <v>4349.34</v>
      </c>
      <c r="I982">
        <v>4629.9799999999996</v>
      </c>
      <c r="J982" t="s">
        <v>17</v>
      </c>
      <c r="K982">
        <v>0.01</v>
      </c>
      <c r="L982" t="s">
        <v>31</v>
      </c>
      <c r="M982" t="s">
        <v>19</v>
      </c>
      <c r="N982" t="s">
        <v>47</v>
      </c>
    </row>
    <row r="983" spans="1:14" x14ac:dyDescent="0.35">
      <c r="A983">
        <v>1028</v>
      </c>
      <c r="B983" s="1">
        <v>45231</v>
      </c>
      <c r="C983" t="s">
        <v>14</v>
      </c>
      <c r="D983" t="s">
        <v>34</v>
      </c>
      <c r="E983">
        <v>7946.69</v>
      </c>
      <c r="F983">
        <v>24</v>
      </c>
      <c r="G983" t="s">
        <v>26</v>
      </c>
      <c r="H983">
        <v>911.11</v>
      </c>
      <c r="I983">
        <v>1214.56</v>
      </c>
      <c r="J983" t="s">
        <v>30</v>
      </c>
      <c r="K983">
        <v>0.22</v>
      </c>
      <c r="L983" t="s">
        <v>27</v>
      </c>
      <c r="M983" t="s">
        <v>19</v>
      </c>
      <c r="N983" t="s">
        <v>46</v>
      </c>
    </row>
    <row r="984" spans="1:14" x14ac:dyDescent="0.35">
      <c r="A984">
        <v>1074</v>
      </c>
      <c r="B984" s="1">
        <v>45276</v>
      </c>
      <c r="C984" t="s">
        <v>14</v>
      </c>
      <c r="D984" t="s">
        <v>15</v>
      </c>
      <c r="E984">
        <v>6310.56</v>
      </c>
      <c r="F984">
        <v>19</v>
      </c>
      <c r="G984" t="s">
        <v>16</v>
      </c>
      <c r="H984">
        <v>278.67</v>
      </c>
      <c r="I984">
        <v>423.13</v>
      </c>
      <c r="J984" t="s">
        <v>30</v>
      </c>
      <c r="K984">
        <v>0.24</v>
      </c>
      <c r="L984" t="s">
        <v>31</v>
      </c>
      <c r="M984" t="s">
        <v>19</v>
      </c>
      <c r="N984" t="s">
        <v>20</v>
      </c>
    </row>
    <row r="985" spans="1:14" x14ac:dyDescent="0.35">
      <c r="A985">
        <v>1039</v>
      </c>
      <c r="B985" s="1">
        <v>45139</v>
      </c>
      <c r="C985" t="s">
        <v>38</v>
      </c>
      <c r="D985" t="s">
        <v>21</v>
      </c>
      <c r="E985">
        <v>7527.63</v>
      </c>
      <c r="F985">
        <v>36</v>
      </c>
      <c r="G985" t="s">
        <v>29</v>
      </c>
      <c r="H985">
        <v>2919</v>
      </c>
      <c r="I985">
        <v>3125.01</v>
      </c>
      <c r="J985" t="s">
        <v>30</v>
      </c>
      <c r="K985">
        <v>0.24</v>
      </c>
      <c r="L985" t="s">
        <v>18</v>
      </c>
      <c r="M985" t="s">
        <v>19</v>
      </c>
      <c r="N985" t="s">
        <v>41</v>
      </c>
    </row>
    <row r="986" spans="1:14" x14ac:dyDescent="0.35">
      <c r="A986">
        <v>1057</v>
      </c>
      <c r="B986" s="1">
        <v>45085</v>
      </c>
      <c r="C986" t="s">
        <v>33</v>
      </c>
      <c r="D986" t="s">
        <v>34</v>
      </c>
      <c r="E986">
        <v>1605.28</v>
      </c>
      <c r="F986">
        <v>43</v>
      </c>
      <c r="G986" t="s">
        <v>16</v>
      </c>
      <c r="H986">
        <v>4567.3900000000003</v>
      </c>
      <c r="I986">
        <v>4958.78</v>
      </c>
      <c r="J986" t="s">
        <v>30</v>
      </c>
      <c r="K986">
        <v>0.04</v>
      </c>
      <c r="L986" t="s">
        <v>18</v>
      </c>
      <c r="M986" t="s">
        <v>22</v>
      </c>
      <c r="N986" t="s">
        <v>36</v>
      </c>
    </row>
    <row r="987" spans="1:14" x14ac:dyDescent="0.35">
      <c r="A987">
        <v>1017</v>
      </c>
      <c r="B987" s="1">
        <v>44950</v>
      </c>
      <c r="C987" t="s">
        <v>38</v>
      </c>
      <c r="D987" t="s">
        <v>15</v>
      </c>
      <c r="E987">
        <v>4637.3999999999996</v>
      </c>
      <c r="F987">
        <v>27</v>
      </c>
      <c r="G987" t="s">
        <v>35</v>
      </c>
      <c r="H987">
        <v>927.89</v>
      </c>
      <c r="I987">
        <v>1399.09</v>
      </c>
      <c r="J987" t="s">
        <v>17</v>
      </c>
      <c r="K987">
        <v>0.27</v>
      </c>
      <c r="L987" t="s">
        <v>31</v>
      </c>
      <c r="M987" t="s">
        <v>19</v>
      </c>
      <c r="N987" t="s">
        <v>40</v>
      </c>
    </row>
    <row r="988" spans="1:14" x14ac:dyDescent="0.35">
      <c r="A988">
        <v>1086</v>
      </c>
      <c r="B988" s="1">
        <v>45219</v>
      </c>
      <c r="C988" t="s">
        <v>24</v>
      </c>
      <c r="D988" t="s">
        <v>25</v>
      </c>
      <c r="E988">
        <v>3577.07</v>
      </c>
      <c r="F988">
        <v>32</v>
      </c>
      <c r="G988" t="s">
        <v>16</v>
      </c>
      <c r="H988">
        <v>84.86</v>
      </c>
      <c r="I988">
        <v>517.17999999999995</v>
      </c>
      <c r="J988" t="s">
        <v>17</v>
      </c>
      <c r="K988">
        <v>0.2</v>
      </c>
      <c r="L988" t="s">
        <v>31</v>
      </c>
      <c r="M988" t="s">
        <v>22</v>
      </c>
      <c r="N988" t="s">
        <v>28</v>
      </c>
    </row>
    <row r="989" spans="1:14" x14ac:dyDescent="0.35">
      <c r="A989">
        <v>1090</v>
      </c>
      <c r="B989" s="1">
        <v>44930</v>
      </c>
      <c r="C989" t="s">
        <v>38</v>
      </c>
      <c r="D989" t="s">
        <v>15</v>
      </c>
      <c r="E989">
        <v>1028.3900000000001</v>
      </c>
      <c r="F989">
        <v>14</v>
      </c>
      <c r="G989" t="s">
        <v>16</v>
      </c>
      <c r="H989">
        <v>4037.21</v>
      </c>
      <c r="I989">
        <v>4323.71</v>
      </c>
      <c r="J989" t="s">
        <v>17</v>
      </c>
      <c r="K989">
        <v>0.27</v>
      </c>
      <c r="L989" t="s">
        <v>31</v>
      </c>
      <c r="M989" t="s">
        <v>19</v>
      </c>
      <c r="N989" t="s">
        <v>40</v>
      </c>
    </row>
    <row r="990" spans="1:14" x14ac:dyDescent="0.35">
      <c r="A990">
        <v>1044</v>
      </c>
      <c r="B990" s="1">
        <v>45146</v>
      </c>
      <c r="C990" t="s">
        <v>42</v>
      </c>
      <c r="D990" t="s">
        <v>15</v>
      </c>
      <c r="E990">
        <v>4912.6899999999996</v>
      </c>
      <c r="F990">
        <v>18</v>
      </c>
      <c r="G990" t="s">
        <v>29</v>
      </c>
      <c r="H990">
        <v>430.14</v>
      </c>
      <c r="I990">
        <v>641.17999999999995</v>
      </c>
      <c r="J990" t="s">
        <v>30</v>
      </c>
      <c r="K990">
        <v>0.13</v>
      </c>
      <c r="L990" t="s">
        <v>18</v>
      </c>
      <c r="M990" t="s">
        <v>19</v>
      </c>
      <c r="N990" t="s">
        <v>49</v>
      </c>
    </row>
    <row r="991" spans="1:14" x14ac:dyDescent="0.35">
      <c r="A991">
        <v>1025</v>
      </c>
      <c r="B991" s="1">
        <v>45290</v>
      </c>
      <c r="C991" t="s">
        <v>24</v>
      </c>
      <c r="D991" t="s">
        <v>21</v>
      </c>
      <c r="E991">
        <v>9215.32</v>
      </c>
      <c r="F991">
        <v>28</v>
      </c>
      <c r="G991" t="s">
        <v>35</v>
      </c>
      <c r="H991">
        <v>2097.84</v>
      </c>
      <c r="I991">
        <v>2270.9899999999998</v>
      </c>
      <c r="J991" t="s">
        <v>30</v>
      </c>
      <c r="K991">
        <v>0.13</v>
      </c>
      <c r="L991" t="s">
        <v>31</v>
      </c>
      <c r="M991" t="s">
        <v>22</v>
      </c>
      <c r="N991" t="s">
        <v>47</v>
      </c>
    </row>
    <row r="992" spans="1:14" x14ac:dyDescent="0.35">
      <c r="A992">
        <v>1017</v>
      </c>
      <c r="B992" s="1">
        <v>44946</v>
      </c>
      <c r="C992" t="s">
        <v>14</v>
      </c>
      <c r="D992" t="s">
        <v>34</v>
      </c>
      <c r="E992">
        <v>496.59</v>
      </c>
      <c r="F992">
        <v>29</v>
      </c>
      <c r="G992" t="s">
        <v>29</v>
      </c>
      <c r="H992">
        <v>3410.49</v>
      </c>
      <c r="I992">
        <v>3481.72</v>
      </c>
      <c r="J992" t="s">
        <v>30</v>
      </c>
      <c r="K992">
        <v>0.24</v>
      </c>
      <c r="L992" t="s">
        <v>27</v>
      </c>
      <c r="M992" t="s">
        <v>22</v>
      </c>
      <c r="N992" t="s">
        <v>46</v>
      </c>
    </row>
    <row r="993" spans="1:14" x14ac:dyDescent="0.35">
      <c r="A993">
        <v>1013</v>
      </c>
      <c r="B993" s="1">
        <v>45078</v>
      </c>
      <c r="C993" t="s">
        <v>33</v>
      </c>
      <c r="D993" t="s">
        <v>34</v>
      </c>
      <c r="E993">
        <v>2985.46</v>
      </c>
      <c r="F993">
        <v>16</v>
      </c>
      <c r="G993" t="s">
        <v>16</v>
      </c>
      <c r="H993">
        <v>1222.1500000000001</v>
      </c>
      <c r="I993">
        <v>1284.3599999999999</v>
      </c>
      <c r="J993" t="s">
        <v>17</v>
      </c>
      <c r="K993">
        <v>0.03</v>
      </c>
      <c r="L993" t="s">
        <v>31</v>
      </c>
      <c r="M993" t="s">
        <v>22</v>
      </c>
      <c r="N993" t="s">
        <v>36</v>
      </c>
    </row>
    <row r="994" spans="1:14" x14ac:dyDescent="0.35">
      <c r="A994">
        <v>1084</v>
      </c>
      <c r="B994" s="1">
        <v>44976</v>
      </c>
      <c r="C994" t="s">
        <v>24</v>
      </c>
      <c r="D994" t="s">
        <v>21</v>
      </c>
      <c r="E994">
        <v>2154.66</v>
      </c>
      <c r="F994">
        <v>35</v>
      </c>
      <c r="G994" t="s">
        <v>26</v>
      </c>
      <c r="H994">
        <v>465.61</v>
      </c>
      <c r="I994">
        <v>812.91</v>
      </c>
      <c r="J994" t="s">
        <v>30</v>
      </c>
      <c r="K994">
        <v>0.16</v>
      </c>
      <c r="L994" t="s">
        <v>27</v>
      </c>
      <c r="M994" t="s">
        <v>19</v>
      </c>
      <c r="N994" t="s">
        <v>47</v>
      </c>
    </row>
    <row r="995" spans="1:14" x14ac:dyDescent="0.35">
      <c r="A995">
        <v>1025</v>
      </c>
      <c r="B995" s="1">
        <v>45103</v>
      </c>
      <c r="C995" t="s">
        <v>24</v>
      </c>
      <c r="D995" t="s">
        <v>15</v>
      </c>
      <c r="E995">
        <v>2457.65</v>
      </c>
      <c r="F995">
        <v>47</v>
      </c>
      <c r="G995" t="s">
        <v>16</v>
      </c>
      <c r="H995">
        <v>3861.61</v>
      </c>
      <c r="I995">
        <v>3998.91</v>
      </c>
      <c r="J995" t="s">
        <v>30</v>
      </c>
      <c r="K995">
        <v>0.25</v>
      </c>
      <c r="L995" t="s">
        <v>31</v>
      </c>
      <c r="M995" t="s">
        <v>19</v>
      </c>
      <c r="N995" t="s">
        <v>45</v>
      </c>
    </row>
    <row r="996" spans="1:14" x14ac:dyDescent="0.35">
      <c r="A996">
        <v>1068</v>
      </c>
      <c r="B996" s="1">
        <v>45022</v>
      </c>
      <c r="C996" t="s">
        <v>42</v>
      </c>
      <c r="D996" t="s">
        <v>25</v>
      </c>
      <c r="E996">
        <v>9093.5</v>
      </c>
      <c r="F996">
        <v>31</v>
      </c>
      <c r="G996" t="s">
        <v>29</v>
      </c>
      <c r="H996">
        <v>3169.37</v>
      </c>
      <c r="I996">
        <v>3304.15</v>
      </c>
      <c r="J996" t="s">
        <v>17</v>
      </c>
      <c r="K996">
        <v>0.25</v>
      </c>
      <c r="L996" t="s">
        <v>31</v>
      </c>
      <c r="M996" t="s">
        <v>22</v>
      </c>
      <c r="N996" t="s">
        <v>43</v>
      </c>
    </row>
    <row r="997" spans="1:14" x14ac:dyDescent="0.35">
      <c r="A997">
        <v>1010</v>
      </c>
      <c r="B997" s="1">
        <v>45031</v>
      </c>
      <c r="C997" t="s">
        <v>33</v>
      </c>
      <c r="D997" t="s">
        <v>15</v>
      </c>
      <c r="E997">
        <v>4733.88</v>
      </c>
      <c r="F997">
        <v>4</v>
      </c>
      <c r="G997" t="s">
        <v>26</v>
      </c>
      <c r="H997">
        <v>4943.03</v>
      </c>
      <c r="I997">
        <v>5442.15</v>
      </c>
      <c r="J997" t="s">
        <v>17</v>
      </c>
      <c r="K997">
        <v>0.28999999999999998</v>
      </c>
      <c r="L997" t="s">
        <v>18</v>
      </c>
      <c r="M997" t="s">
        <v>19</v>
      </c>
      <c r="N997" t="s">
        <v>53</v>
      </c>
    </row>
    <row r="998" spans="1:14" x14ac:dyDescent="0.35">
      <c r="A998">
        <v>1067</v>
      </c>
      <c r="B998" s="1">
        <v>45176</v>
      </c>
      <c r="C998" t="s">
        <v>14</v>
      </c>
      <c r="D998" t="s">
        <v>15</v>
      </c>
      <c r="E998">
        <v>4716.3599999999997</v>
      </c>
      <c r="F998">
        <v>37</v>
      </c>
      <c r="G998" t="s">
        <v>29</v>
      </c>
      <c r="H998">
        <v>1754.32</v>
      </c>
      <c r="I998">
        <v>1856.3999999999901</v>
      </c>
      <c r="J998" t="s">
        <v>30</v>
      </c>
      <c r="K998">
        <v>0.21</v>
      </c>
      <c r="L998" t="s">
        <v>27</v>
      </c>
      <c r="M998" t="s">
        <v>22</v>
      </c>
      <c r="N998" t="s">
        <v>20</v>
      </c>
    </row>
    <row r="999" spans="1:14" x14ac:dyDescent="0.35">
      <c r="A999">
        <v>1018</v>
      </c>
      <c r="B999" s="1">
        <v>45043</v>
      </c>
      <c r="C999" t="s">
        <v>24</v>
      </c>
      <c r="D999" t="s">
        <v>25</v>
      </c>
      <c r="E999">
        <v>7629.7</v>
      </c>
      <c r="F999">
        <v>17</v>
      </c>
      <c r="G999" t="s">
        <v>29</v>
      </c>
      <c r="H999">
        <v>355.72</v>
      </c>
      <c r="I999">
        <v>438.27</v>
      </c>
      <c r="J999" t="s">
        <v>17</v>
      </c>
      <c r="K999">
        <v>0.06</v>
      </c>
      <c r="L999" t="s">
        <v>27</v>
      </c>
      <c r="M999" t="s">
        <v>19</v>
      </c>
      <c r="N999" t="s">
        <v>28</v>
      </c>
    </row>
    <row r="1000" spans="1:14" x14ac:dyDescent="0.35">
      <c r="A1000">
        <v>1100</v>
      </c>
      <c r="B1000" s="1">
        <v>45280</v>
      </c>
      <c r="C1000" t="s">
        <v>24</v>
      </c>
      <c r="D1000" t="s">
        <v>21</v>
      </c>
      <c r="E1000">
        <v>1629.47</v>
      </c>
      <c r="F1000">
        <v>39</v>
      </c>
      <c r="G1000" t="s">
        <v>35</v>
      </c>
      <c r="H1000">
        <v>3685.03</v>
      </c>
      <c r="I1000">
        <v>3743.39</v>
      </c>
      <c r="J1000" t="s">
        <v>30</v>
      </c>
      <c r="K1000">
        <v>0.01</v>
      </c>
      <c r="L1000" t="s">
        <v>27</v>
      </c>
      <c r="M1000" t="s">
        <v>19</v>
      </c>
      <c r="N1000" t="s">
        <v>47</v>
      </c>
    </row>
    <row r="1001" spans="1:14" x14ac:dyDescent="0.35">
      <c r="A1001">
        <v>1086</v>
      </c>
      <c r="B1001" s="1">
        <v>45154</v>
      </c>
      <c r="C1001" t="s">
        <v>42</v>
      </c>
      <c r="D1001" t="s">
        <v>34</v>
      </c>
      <c r="E1001">
        <v>4923.93</v>
      </c>
      <c r="F1001">
        <v>48</v>
      </c>
      <c r="G1001" t="s">
        <v>26</v>
      </c>
      <c r="H1001">
        <v>2632.58</v>
      </c>
      <c r="I1001">
        <v>2926.68</v>
      </c>
      <c r="J1001" t="s">
        <v>17</v>
      </c>
      <c r="K1001">
        <v>0.14000000000000001</v>
      </c>
      <c r="L1001" t="s">
        <v>18</v>
      </c>
      <c r="M1001" t="s">
        <v>19</v>
      </c>
      <c r="N1001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opLeftCell="A2" zoomScale="123" zoomScaleNormal="115" workbookViewId="0">
      <selection activeCell="M3" sqref="M3"/>
    </sheetView>
  </sheetViews>
  <sheetFormatPr defaultRowHeight="14.5" x14ac:dyDescent="0.35"/>
  <cols>
    <col min="1" max="1" width="11.90625" customWidth="1"/>
    <col min="2" max="2" width="11.81640625" bestFit="1" customWidth="1"/>
    <col min="3" max="3" width="10.7265625" customWidth="1"/>
    <col min="4" max="4" width="8.54296875" customWidth="1"/>
    <col min="5" max="5" width="14.453125" customWidth="1"/>
    <col min="6" max="6" width="14.36328125" customWidth="1"/>
    <col min="7" max="7" width="17.6328125" customWidth="1"/>
    <col min="8" max="8" width="10.6328125" customWidth="1"/>
    <col min="9" max="9" width="11" customWidth="1"/>
    <col min="10" max="10" width="15.6328125" customWidth="1"/>
    <col min="11" max="11" width="10.26953125" customWidth="1"/>
    <col min="12" max="12" width="17.7265625" customWidth="1"/>
    <col min="13" max="13" width="14.453125" customWidth="1"/>
    <col min="14" max="14" width="20.7265625" customWidth="1"/>
    <col min="16" max="16" width="15" bestFit="1" customWidth="1"/>
  </cols>
  <sheetData>
    <row r="1" spans="1:16" x14ac:dyDescent="0.35">
      <c r="A1" t="s">
        <v>69</v>
      </c>
      <c r="B1" t="s">
        <v>94</v>
      </c>
      <c r="C1" t="s">
        <v>95</v>
      </c>
      <c r="D1" t="s">
        <v>3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</v>
      </c>
      <c r="L1" t="s">
        <v>102</v>
      </c>
      <c r="M1" t="s">
        <v>103</v>
      </c>
      <c r="N1" t="s">
        <v>105</v>
      </c>
      <c r="O1" t="s">
        <v>106</v>
      </c>
      <c r="P1" t="s">
        <v>110</v>
      </c>
    </row>
    <row r="2" spans="1:16" x14ac:dyDescent="0.35">
      <c r="A2">
        <v>1052</v>
      </c>
      <c r="B2" s="1">
        <v>44960</v>
      </c>
      <c r="C2" t="s">
        <v>14</v>
      </c>
      <c r="D2" t="s">
        <v>15</v>
      </c>
      <c r="E2">
        <v>5053.97</v>
      </c>
      <c r="F2">
        <v>18</v>
      </c>
      <c r="G2" t="s">
        <v>16</v>
      </c>
      <c r="H2">
        <v>152.75</v>
      </c>
      <c r="I2">
        <v>267.22000000000003</v>
      </c>
      <c r="J2" t="s">
        <v>17</v>
      </c>
      <c r="K2">
        <v>0.09</v>
      </c>
      <c r="L2" t="s">
        <v>18</v>
      </c>
      <c r="M2" t="s">
        <v>19</v>
      </c>
      <c r="N2" t="s">
        <v>15</v>
      </c>
      <c r="O2" t="s">
        <v>14</v>
      </c>
      <c r="P2" t="str">
        <f>Table1[[#This Row],[Region]]&amp;"|"&amp;Table1[[#This Row],[Sales Rep]]</f>
        <v>North|Bob</v>
      </c>
    </row>
    <row r="3" spans="1:16" x14ac:dyDescent="0.35">
      <c r="A3">
        <v>1093</v>
      </c>
      <c r="B3" s="1">
        <v>45037</v>
      </c>
      <c r="C3" t="s">
        <v>14</v>
      </c>
      <c r="D3" t="s">
        <v>21</v>
      </c>
      <c r="E3">
        <v>4384.0200000000004</v>
      </c>
      <c r="F3">
        <v>17</v>
      </c>
      <c r="G3" t="s">
        <v>16</v>
      </c>
      <c r="H3">
        <v>3816.39</v>
      </c>
      <c r="I3">
        <v>4209.4399999999996</v>
      </c>
      <c r="J3" t="s">
        <v>17</v>
      </c>
      <c r="K3">
        <v>0.11</v>
      </c>
      <c r="L3" t="s">
        <v>18</v>
      </c>
      <c r="M3" t="s">
        <v>22</v>
      </c>
      <c r="N3" t="s">
        <v>21</v>
      </c>
      <c r="O3" t="s">
        <v>14</v>
      </c>
      <c r="P3" t="str">
        <f>Table1[[#This Row],[Region]]&amp;"|"&amp;Table1[[#This Row],[Sales Rep]]</f>
        <v>West|Bob</v>
      </c>
    </row>
    <row r="4" spans="1:16" x14ac:dyDescent="0.35">
      <c r="A4">
        <v>1015</v>
      </c>
      <c r="B4" s="1">
        <v>45190</v>
      </c>
      <c r="C4" t="s">
        <v>24</v>
      </c>
      <c r="D4" t="s">
        <v>25</v>
      </c>
      <c r="E4">
        <v>4631.2299999999996</v>
      </c>
      <c r="F4">
        <v>30</v>
      </c>
      <c r="G4" t="s">
        <v>26</v>
      </c>
      <c r="H4">
        <v>261.56</v>
      </c>
      <c r="I4">
        <v>371.4</v>
      </c>
      <c r="J4" t="s">
        <v>17</v>
      </c>
      <c r="K4">
        <v>0.2</v>
      </c>
      <c r="L4" t="s">
        <v>27</v>
      </c>
      <c r="M4" t="s">
        <v>22</v>
      </c>
      <c r="N4" t="s">
        <v>25</v>
      </c>
      <c r="O4" t="s">
        <v>24</v>
      </c>
      <c r="P4" t="str">
        <f>Table1[[#This Row],[Region]]&amp;"|"&amp;Table1[[#This Row],[Sales Rep]]</f>
        <v>South|David</v>
      </c>
    </row>
    <row r="5" spans="1:16" x14ac:dyDescent="0.35">
      <c r="A5">
        <v>1072</v>
      </c>
      <c r="B5" s="1">
        <v>45162</v>
      </c>
      <c r="C5" t="s">
        <v>14</v>
      </c>
      <c r="D5" t="s">
        <v>25</v>
      </c>
      <c r="E5">
        <v>2167.94</v>
      </c>
      <c r="F5">
        <v>39</v>
      </c>
      <c r="G5" t="s">
        <v>29</v>
      </c>
      <c r="H5">
        <v>4330.03</v>
      </c>
      <c r="I5">
        <v>4467.75</v>
      </c>
      <c r="J5" t="s">
        <v>30</v>
      </c>
      <c r="K5">
        <v>0.02</v>
      </c>
      <c r="L5" t="s">
        <v>31</v>
      </c>
      <c r="M5" t="s">
        <v>22</v>
      </c>
      <c r="N5" t="s">
        <v>25</v>
      </c>
      <c r="O5" t="s">
        <v>14</v>
      </c>
      <c r="P5" t="str">
        <f>Table1[[#This Row],[Region]]&amp;"|"&amp;Table1[[#This Row],[Sales Rep]]</f>
        <v>South|Bob</v>
      </c>
    </row>
    <row r="6" spans="1:16" x14ac:dyDescent="0.35">
      <c r="A6">
        <v>1061</v>
      </c>
      <c r="B6" s="1">
        <v>45009</v>
      </c>
      <c r="C6" t="s">
        <v>33</v>
      </c>
      <c r="D6" t="s">
        <v>34</v>
      </c>
      <c r="E6">
        <v>3750.2</v>
      </c>
      <c r="F6">
        <v>13</v>
      </c>
      <c r="G6" t="s">
        <v>35</v>
      </c>
      <c r="H6">
        <v>637.37</v>
      </c>
      <c r="I6">
        <v>692.71</v>
      </c>
      <c r="J6" t="s">
        <v>30</v>
      </c>
      <c r="K6">
        <v>0.08</v>
      </c>
      <c r="L6" t="s">
        <v>31</v>
      </c>
      <c r="M6" t="s">
        <v>19</v>
      </c>
      <c r="N6" t="s">
        <v>34</v>
      </c>
      <c r="O6" t="s">
        <v>33</v>
      </c>
      <c r="P6" t="str">
        <f>Table1[[#This Row],[Region]]&amp;"|"&amp;Table1[[#This Row],[Sales Rep]]</f>
        <v>East|Charlie</v>
      </c>
    </row>
    <row r="7" spans="1:16" x14ac:dyDescent="0.35">
      <c r="A7">
        <v>1021</v>
      </c>
      <c r="B7" s="1">
        <v>44968</v>
      </c>
      <c r="C7" t="s">
        <v>33</v>
      </c>
      <c r="D7" t="s">
        <v>21</v>
      </c>
      <c r="E7">
        <v>3761.15</v>
      </c>
      <c r="F7">
        <v>32</v>
      </c>
      <c r="G7" t="s">
        <v>26</v>
      </c>
      <c r="H7">
        <v>900.79</v>
      </c>
      <c r="I7">
        <v>1106.51</v>
      </c>
      <c r="J7" t="s">
        <v>30</v>
      </c>
      <c r="K7">
        <v>0.21</v>
      </c>
      <c r="L7" t="s">
        <v>18</v>
      </c>
      <c r="M7" t="s">
        <v>19</v>
      </c>
      <c r="N7" t="s">
        <v>21</v>
      </c>
      <c r="O7" t="s">
        <v>33</v>
      </c>
      <c r="P7" t="str">
        <f>Table1[[#This Row],[Region]]&amp;"|"&amp;Table1[[#This Row],[Sales Rep]]</f>
        <v>West|Charlie</v>
      </c>
    </row>
    <row r="8" spans="1:16" x14ac:dyDescent="0.35">
      <c r="A8">
        <v>1083</v>
      </c>
      <c r="B8" s="1">
        <v>45027</v>
      </c>
      <c r="C8" t="s">
        <v>14</v>
      </c>
      <c r="D8" t="s">
        <v>21</v>
      </c>
      <c r="E8">
        <v>618.30999999999995</v>
      </c>
      <c r="F8">
        <v>29</v>
      </c>
      <c r="G8" t="s">
        <v>16</v>
      </c>
      <c r="H8">
        <v>2408.81</v>
      </c>
      <c r="I8">
        <v>2624.09</v>
      </c>
      <c r="J8" t="s">
        <v>17</v>
      </c>
      <c r="K8">
        <v>0.14000000000000001</v>
      </c>
      <c r="L8" t="s">
        <v>18</v>
      </c>
      <c r="M8" t="s">
        <v>19</v>
      </c>
      <c r="N8" t="s">
        <v>21</v>
      </c>
      <c r="O8" t="s">
        <v>14</v>
      </c>
      <c r="P8" t="str">
        <f>Table1[[#This Row],[Region]]&amp;"|"&amp;Table1[[#This Row],[Sales Rep]]</f>
        <v>West|Bob</v>
      </c>
    </row>
    <row r="9" spans="1:16" x14ac:dyDescent="0.35">
      <c r="A9">
        <v>1087</v>
      </c>
      <c r="B9" s="1">
        <v>44932</v>
      </c>
      <c r="C9" t="s">
        <v>38</v>
      </c>
      <c r="D9" t="s">
        <v>25</v>
      </c>
      <c r="E9">
        <v>7698.92</v>
      </c>
      <c r="F9">
        <v>46</v>
      </c>
      <c r="G9" t="s">
        <v>16</v>
      </c>
      <c r="H9">
        <v>3702.51</v>
      </c>
      <c r="I9">
        <v>3964.65</v>
      </c>
      <c r="J9" t="s">
        <v>30</v>
      </c>
      <c r="K9">
        <v>0.12</v>
      </c>
      <c r="L9" t="s">
        <v>27</v>
      </c>
      <c r="M9" t="s">
        <v>19</v>
      </c>
      <c r="N9" t="s">
        <v>25</v>
      </c>
      <c r="O9" t="s">
        <v>38</v>
      </c>
      <c r="P9" t="str">
        <f>Table1[[#This Row],[Region]]&amp;"|"&amp;Table1[[#This Row],[Sales Rep]]</f>
        <v>South|Eve</v>
      </c>
    </row>
    <row r="10" spans="1:16" x14ac:dyDescent="0.35">
      <c r="A10">
        <v>1075</v>
      </c>
      <c r="B10" s="1">
        <v>45106</v>
      </c>
      <c r="C10" t="s">
        <v>24</v>
      </c>
      <c r="D10" t="s">
        <v>25</v>
      </c>
      <c r="E10">
        <v>4223.3900000000003</v>
      </c>
      <c r="F10">
        <v>30</v>
      </c>
      <c r="G10" t="s">
        <v>16</v>
      </c>
      <c r="H10">
        <v>738.06</v>
      </c>
      <c r="I10">
        <v>1095.44999999999</v>
      </c>
      <c r="J10" t="s">
        <v>30</v>
      </c>
      <c r="K10">
        <v>0.05</v>
      </c>
      <c r="L10" t="s">
        <v>27</v>
      </c>
      <c r="M10" t="s">
        <v>19</v>
      </c>
      <c r="N10" t="s">
        <v>25</v>
      </c>
      <c r="O10" t="s">
        <v>24</v>
      </c>
      <c r="P10" t="str">
        <f>Table1[[#This Row],[Region]]&amp;"|"&amp;Table1[[#This Row],[Sales Rep]]</f>
        <v>South|David</v>
      </c>
    </row>
    <row r="11" spans="1:16" x14ac:dyDescent="0.35">
      <c r="A11">
        <v>1075</v>
      </c>
      <c r="B11" s="1">
        <v>45208</v>
      </c>
      <c r="C11" t="s">
        <v>33</v>
      </c>
      <c r="D11" t="s">
        <v>21</v>
      </c>
      <c r="E11">
        <v>8239.58</v>
      </c>
      <c r="F11">
        <v>18</v>
      </c>
      <c r="G11" t="s">
        <v>29</v>
      </c>
      <c r="H11">
        <v>2228.35</v>
      </c>
      <c r="I11">
        <v>2682.34</v>
      </c>
      <c r="J11" t="s">
        <v>30</v>
      </c>
      <c r="K11">
        <v>0.13</v>
      </c>
      <c r="L11" t="s">
        <v>27</v>
      </c>
      <c r="M11" t="s">
        <v>19</v>
      </c>
      <c r="N11" t="s">
        <v>21</v>
      </c>
      <c r="O11" t="s">
        <v>33</v>
      </c>
      <c r="P11" t="str">
        <f>Table1[[#This Row],[Region]]&amp;"|"&amp;Table1[[#This Row],[Sales Rep]]</f>
        <v>West|Charlie</v>
      </c>
    </row>
    <row r="12" spans="1:16" x14ac:dyDescent="0.35">
      <c r="A12">
        <v>1088</v>
      </c>
      <c r="B12" s="1">
        <v>45246</v>
      </c>
      <c r="C12" t="s">
        <v>38</v>
      </c>
      <c r="D12" t="s">
        <v>15</v>
      </c>
      <c r="E12">
        <v>8518.4500000000007</v>
      </c>
      <c r="F12">
        <v>13</v>
      </c>
      <c r="G12" t="s">
        <v>16</v>
      </c>
      <c r="H12">
        <v>2440.11</v>
      </c>
      <c r="I12">
        <v>2517.6</v>
      </c>
      <c r="J12" t="s">
        <v>30</v>
      </c>
      <c r="K12">
        <v>0.23</v>
      </c>
      <c r="L12" t="s">
        <v>27</v>
      </c>
      <c r="M12" t="s">
        <v>22</v>
      </c>
      <c r="N12" t="s">
        <v>15</v>
      </c>
      <c r="O12" t="s">
        <v>38</v>
      </c>
      <c r="P12" t="str">
        <f>Table1[[#This Row],[Region]]&amp;"|"&amp;Table1[[#This Row],[Sales Rep]]</f>
        <v>North|Eve</v>
      </c>
    </row>
    <row r="13" spans="1:16" x14ac:dyDescent="0.35">
      <c r="A13">
        <v>1100</v>
      </c>
      <c r="B13" s="1">
        <v>45152</v>
      </c>
      <c r="C13" t="s">
        <v>14</v>
      </c>
      <c r="D13" t="s">
        <v>21</v>
      </c>
      <c r="E13">
        <v>2198.7399999999998</v>
      </c>
      <c r="F13">
        <v>43</v>
      </c>
      <c r="G13" t="s">
        <v>26</v>
      </c>
      <c r="H13">
        <v>1100.81</v>
      </c>
      <c r="I13">
        <v>1137.44</v>
      </c>
      <c r="J13" t="s">
        <v>17</v>
      </c>
      <c r="K13">
        <v>0.08</v>
      </c>
      <c r="L13" t="s">
        <v>27</v>
      </c>
      <c r="M13" t="s">
        <v>19</v>
      </c>
      <c r="N13" t="s">
        <v>21</v>
      </c>
      <c r="O13" t="s">
        <v>14</v>
      </c>
      <c r="P13" t="str">
        <f>Table1[[#This Row],[Region]]&amp;"|"&amp;Table1[[#This Row],[Sales Rep]]</f>
        <v>West|Bob</v>
      </c>
    </row>
    <row r="14" spans="1:16" x14ac:dyDescent="0.35">
      <c r="A14">
        <v>1024</v>
      </c>
      <c r="B14" s="1">
        <v>45241</v>
      </c>
      <c r="C14" t="s">
        <v>38</v>
      </c>
      <c r="D14" t="s">
        <v>21</v>
      </c>
      <c r="E14">
        <v>6607.8</v>
      </c>
      <c r="F14">
        <v>21</v>
      </c>
      <c r="G14" t="s">
        <v>26</v>
      </c>
      <c r="H14">
        <v>622.01</v>
      </c>
      <c r="I14">
        <v>641.09</v>
      </c>
      <c r="J14" t="s">
        <v>17</v>
      </c>
      <c r="K14">
        <v>0</v>
      </c>
      <c r="L14" t="s">
        <v>27</v>
      </c>
      <c r="M14" t="s">
        <v>22</v>
      </c>
      <c r="N14" t="s">
        <v>21</v>
      </c>
      <c r="O14" t="s">
        <v>38</v>
      </c>
      <c r="P14" t="str">
        <f>Table1[[#This Row],[Region]]&amp;"|"&amp;Table1[[#This Row],[Sales Rep]]</f>
        <v>West|Eve</v>
      </c>
    </row>
    <row r="15" spans="1:16" x14ac:dyDescent="0.35">
      <c r="A15">
        <v>1003</v>
      </c>
      <c r="B15" s="1">
        <v>45291</v>
      </c>
      <c r="C15" t="s">
        <v>42</v>
      </c>
      <c r="D15" t="s">
        <v>25</v>
      </c>
      <c r="E15">
        <v>4775.59</v>
      </c>
      <c r="F15">
        <v>30</v>
      </c>
      <c r="G15" t="s">
        <v>16</v>
      </c>
      <c r="H15">
        <v>4190.28</v>
      </c>
      <c r="I15">
        <v>4270.6499999999996</v>
      </c>
      <c r="J15" t="s">
        <v>30</v>
      </c>
      <c r="K15">
        <v>0.2</v>
      </c>
      <c r="L15" t="s">
        <v>18</v>
      </c>
      <c r="M15" t="s">
        <v>19</v>
      </c>
      <c r="N15" t="s">
        <v>25</v>
      </c>
      <c r="O15" t="s">
        <v>42</v>
      </c>
      <c r="P15" t="str">
        <f>Table1[[#This Row],[Region]]&amp;"|"&amp;Table1[[#This Row],[Sales Rep]]</f>
        <v>South|Alice</v>
      </c>
    </row>
    <row r="16" spans="1:16" x14ac:dyDescent="0.35">
      <c r="A16">
        <v>1022</v>
      </c>
      <c r="B16" s="1">
        <v>45155</v>
      </c>
      <c r="C16" t="s">
        <v>33</v>
      </c>
      <c r="D16" t="s">
        <v>25</v>
      </c>
      <c r="E16">
        <v>8813.5499999999993</v>
      </c>
      <c r="F16">
        <v>21</v>
      </c>
      <c r="G16" t="s">
        <v>26</v>
      </c>
      <c r="H16">
        <v>2537.1999999999998</v>
      </c>
      <c r="I16">
        <v>2869.6</v>
      </c>
      <c r="J16" t="s">
        <v>30</v>
      </c>
      <c r="K16">
        <v>0.28999999999999998</v>
      </c>
      <c r="L16" t="s">
        <v>27</v>
      </c>
      <c r="M16" t="s">
        <v>22</v>
      </c>
      <c r="N16" t="s">
        <v>25</v>
      </c>
      <c r="O16" t="s">
        <v>33</v>
      </c>
      <c r="P16" t="str">
        <f>Table1[[#This Row],[Region]]&amp;"|"&amp;Table1[[#This Row],[Sales Rep]]</f>
        <v>South|Charlie</v>
      </c>
    </row>
    <row r="17" spans="1:16" x14ac:dyDescent="0.35">
      <c r="A17">
        <v>1053</v>
      </c>
      <c r="B17" s="1">
        <v>45215</v>
      </c>
      <c r="C17" t="s">
        <v>14</v>
      </c>
      <c r="D17" t="s">
        <v>15</v>
      </c>
      <c r="E17">
        <v>2235.83</v>
      </c>
      <c r="F17">
        <v>48</v>
      </c>
      <c r="G17" t="s">
        <v>16</v>
      </c>
      <c r="H17">
        <v>121.19</v>
      </c>
      <c r="I17">
        <v>487.65</v>
      </c>
      <c r="J17" t="s">
        <v>30</v>
      </c>
      <c r="K17">
        <v>0.18</v>
      </c>
      <c r="L17" t="s">
        <v>18</v>
      </c>
      <c r="M17" t="s">
        <v>22</v>
      </c>
      <c r="N17" t="s">
        <v>15</v>
      </c>
      <c r="O17" t="s">
        <v>14</v>
      </c>
      <c r="P17" t="str">
        <f>Table1[[#This Row],[Region]]&amp;"|"&amp;Table1[[#This Row],[Sales Rep]]</f>
        <v>North|Bob</v>
      </c>
    </row>
    <row r="18" spans="1:16" x14ac:dyDescent="0.35">
      <c r="A18">
        <v>1002</v>
      </c>
      <c r="B18" s="1">
        <v>45076</v>
      </c>
      <c r="C18" t="s">
        <v>24</v>
      </c>
      <c r="D18" t="s">
        <v>15</v>
      </c>
      <c r="E18">
        <v>6810.35</v>
      </c>
      <c r="F18">
        <v>17</v>
      </c>
      <c r="G18" t="s">
        <v>16</v>
      </c>
      <c r="H18">
        <v>4024.76</v>
      </c>
      <c r="I18">
        <v>4420.1499999999996</v>
      </c>
      <c r="J18" t="s">
        <v>17</v>
      </c>
      <c r="K18">
        <v>0.04</v>
      </c>
      <c r="L18" t="s">
        <v>18</v>
      </c>
      <c r="M18" t="s">
        <v>19</v>
      </c>
      <c r="N18" t="s">
        <v>15</v>
      </c>
      <c r="O18" t="s">
        <v>24</v>
      </c>
      <c r="P18" t="str">
        <f>Table1[[#This Row],[Region]]&amp;"|"&amp;Table1[[#This Row],[Sales Rep]]</f>
        <v>North|David</v>
      </c>
    </row>
    <row r="19" spans="1:16" x14ac:dyDescent="0.35">
      <c r="A19">
        <v>1088</v>
      </c>
      <c r="B19" s="1">
        <v>45203</v>
      </c>
      <c r="C19" t="s">
        <v>14</v>
      </c>
      <c r="D19" t="s">
        <v>34</v>
      </c>
      <c r="E19">
        <v>6116.75</v>
      </c>
      <c r="F19">
        <v>40</v>
      </c>
      <c r="G19" t="s">
        <v>35</v>
      </c>
      <c r="H19">
        <v>4904.93</v>
      </c>
      <c r="I19">
        <v>5034.3500000000004</v>
      </c>
      <c r="J19" t="s">
        <v>30</v>
      </c>
      <c r="K19">
        <v>0.1</v>
      </c>
      <c r="L19" t="s">
        <v>31</v>
      </c>
      <c r="M19" t="s">
        <v>22</v>
      </c>
      <c r="N19" t="s">
        <v>34</v>
      </c>
      <c r="O19" t="s">
        <v>14</v>
      </c>
      <c r="P19" t="str">
        <f>Table1[[#This Row],[Region]]&amp;"|"&amp;Table1[[#This Row],[Sales Rep]]</f>
        <v>East|Bob</v>
      </c>
    </row>
    <row r="20" spans="1:16" x14ac:dyDescent="0.35">
      <c r="A20">
        <v>1030</v>
      </c>
      <c r="B20" s="1">
        <v>45124</v>
      </c>
      <c r="C20" t="s">
        <v>24</v>
      </c>
      <c r="D20" t="s">
        <v>21</v>
      </c>
      <c r="E20">
        <v>3023.48</v>
      </c>
      <c r="F20">
        <v>19</v>
      </c>
      <c r="G20" t="s">
        <v>29</v>
      </c>
      <c r="H20">
        <v>3049.33</v>
      </c>
      <c r="I20">
        <v>3209.22</v>
      </c>
      <c r="J20" t="s">
        <v>17</v>
      </c>
      <c r="K20">
        <v>0.26</v>
      </c>
      <c r="L20" t="s">
        <v>18</v>
      </c>
      <c r="M20" t="s">
        <v>19</v>
      </c>
      <c r="N20" t="s">
        <v>21</v>
      </c>
      <c r="O20" t="s">
        <v>24</v>
      </c>
      <c r="P20" t="str">
        <f>Table1[[#This Row],[Region]]&amp;"|"&amp;Table1[[#This Row],[Sales Rep]]</f>
        <v>West|David</v>
      </c>
    </row>
    <row r="21" spans="1:16" x14ac:dyDescent="0.35">
      <c r="A21">
        <v>1038</v>
      </c>
      <c r="B21" s="1">
        <v>44996</v>
      </c>
      <c r="C21" t="s">
        <v>14</v>
      </c>
      <c r="D21" t="s">
        <v>25</v>
      </c>
      <c r="E21">
        <v>1452.35</v>
      </c>
      <c r="F21">
        <v>15</v>
      </c>
      <c r="G21" t="s">
        <v>29</v>
      </c>
      <c r="H21">
        <v>2543.36</v>
      </c>
      <c r="I21">
        <v>2790.1</v>
      </c>
      <c r="J21" t="s">
        <v>17</v>
      </c>
      <c r="K21">
        <v>7.0000000000000007E-2</v>
      </c>
      <c r="L21" t="s">
        <v>18</v>
      </c>
      <c r="M21" t="s">
        <v>19</v>
      </c>
      <c r="N21" t="s">
        <v>25</v>
      </c>
      <c r="O21" t="s">
        <v>14</v>
      </c>
      <c r="P21" t="str">
        <f>Table1[[#This Row],[Region]]&amp;"|"&amp;Table1[[#This Row],[Sales Rep]]</f>
        <v>South|Bob</v>
      </c>
    </row>
    <row r="22" spans="1:16" x14ac:dyDescent="0.35">
      <c r="A22">
        <v>1002</v>
      </c>
      <c r="B22" s="1">
        <v>45038</v>
      </c>
      <c r="C22" t="s">
        <v>38</v>
      </c>
      <c r="D22" t="s">
        <v>15</v>
      </c>
      <c r="E22">
        <v>6551.23</v>
      </c>
      <c r="F22">
        <v>9</v>
      </c>
      <c r="G22" t="s">
        <v>35</v>
      </c>
      <c r="H22">
        <v>4398.16</v>
      </c>
      <c r="I22">
        <v>4439.12</v>
      </c>
      <c r="J22" t="s">
        <v>30</v>
      </c>
      <c r="K22">
        <v>0.18</v>
      </c>
      <c r="L22" t="s">
        <v>27</v>
      </c>
      <c r="M22" t="s">
        <v>19</v>
      </c>
      <c r="N22" t="s">
        <v>15</v>
      </c>
      <c r="O22" t="s">
        <v>38</v>
      </c>
      <c r="P22" t="str">
        <f>Table1[[#This Row],[Region]]&amp;"|"&amp;Table1[[#This Row],[Sales Rep]]</f>
        <v>North|Eve</v>
      </c>
    </row>
    <row r="23" spans="1:16" x14ac:dyDescent="0.35">
      <c r="A23">
        <v>1064</v>
      </c>
      <c r="B23" s="1">
        <v>44930</v>
      </c>
      <c r="C23" t="s">
        <v>38</v>
      </c>
      <c r="D23" t="s">
        <v>34</v>
      </c>
      <c r="E23">
        <v>7412.11</v>
      </c>
      <c r="F23">
        <v>10</v>
      </c>
      <c r="G23" t="s">
        <v>35</v>
      </c>
      <c r="H23">
        <v>4764.96</v>
      </c>
      <c r="I23">
        <v>5074.42</v>
      </c>
      <c r="J23" t="s">
        <v>30</v>
      </c>
      <c r="K23">
        <v>0.12</v>
      </c>
      <c r="L23" t="s">
        <v>18</v>
      </c>
      <c r="M23" t="s">
        <v>19</v>
      </c>
      <c r="N23" t="s">
        <v>34</v>
      </c>
      <c r="O23" t="s">
        <v>38</v>
      </c>
      <c r="P23" t="str">
        <f>Table1[[#This Row],[Region]]&amp;"|"&amp;Table1[[#This Row],[Sales Rep]]</f>
        <v>East|Eve</v>
      </c>
    </row>
    <row r="24" spans="1:16" x14ac:dyDescent="0.35">
      <c r="A24">
        <v>1060</v>
      </c>
      <c r="B24" s="1">
        <v>45276</v>
      </c>
      <c r="C24" t="s">
        <v>38</v>
      </c>
      <c r="D24" t="s">
        <v>34</v>
      </c>
      <c r="E24">
        <v>3224.71</v>
      </c>
      <c r="F24">
        <v>44</v>
      </c>
      <c r="G24" t="s">
        <v>29</v>
      </c>
      <c r="H24">
        <v>3784.96</v>
      </c>
      <c r="I24">
        <v>4276.99</v>
      </c>
      <c r="J24" t="s">
        <v>30</v>
      </c>
      <c r="K24">
        <v>0.06</v>
      </c>
      <c r="L24" t="s">
        <v>27</v>
      </c>
      <c r="M24" t="s">
        <v>22</v>
      </c>
      <c r="N24" t="s">
        <v>34</v>
      </c>
      <c r="O24" t="s">
        <v>38</v>
      </c>
      <c r="P24" t="str">
        <f>Table1[[#This Row],[Region]]&amp;"|"&amp;Table1[[#This Row],[Sales Rep]]</f>
        <v>East|Eve</v>
      </c>
    </row>
    <row r="25" spans="1:16" x14ac:dyDescent="0.35">
      <c r="A25">
        <v>1021</v>
      </c>
      <c r="B25" s="1">
        <v>45257</v>
      </c>
      <c r="C25" t="s">
        <v>42</v>
      </c>
      <c r="D25" t="s">
        <v>25</v>
      </c>
      <c r="E25">
        <v>6483.84</v>
      </c>
      <c r="F25">
        <v>31</v>
      </c>
      <c r="G25" t="s">
        <v>16</v>
      </c>
      <c r="H25">
        <v>2254.9899999999998</v>
      </c>
      <c r="I25">
        <v>2441.79</v>
      </c>
      <c r="J25" t="s">
        <v>17</v>
      </c>
      <c r="K25">
        <v>0.24</v>
      </c>
      <c r="L25" t="s">
        <v>27</v>
      </c>
      <c r="M25" t="s">
        <v>19</v>
      </c>
      <c r="N25" t="s">
        <v>25</v>
      </c>
      <c r="O25" t="s">
        <v>42</v>
      </c>
      <c r="P25" t="str">
        <f>Table1[[#This Row],[Region]]&amp;"|"&amp;Table1[[#This Row],[Sales Rep]]</f>
        <v>South|Alice</v>
      </c>
    </row>
    <row r="26" spans="1:16" x14ac:dyDescent="0.35">
      <c r="A26">
        <v>1033</v>
      </c>
      <c r="B26" s="1">
        <v>45244</v>
      </c>
      <c r="C26" t="s">
        <v>24</v>
      </c>
      <c r="D26" t="s">
        <v>25</v>
      </c>
      <c r="E26">
        <v>4011.8</v>
      </c>
      <c r="F26">
        <v>23</v>
      </c>
      <c r="G26" t="s">
        <v>16</v>
      </c>
      <c r="H26">
        <v>2981.5</v>
      </c>
      <c r="I26">
        <v>3360.4</v>
      </c>
      <c r="J26" t="s">
        <v>17</v>
      </c>
      <c r="K26">
        <v>0.22</v>
      </c>
      <c r="L26" t="s">
        <v>27</v>
      </c>
      <c r="M26" t="s">
        <v>22</v>
      </c>
      <c r="N26" t="s">
        <v>25</v>
      </c>
      <c r="O26" t="s">
        <v>24</v>
      </c>
      <c r="P26" t="str">
        <f>Table1[[#This Row],[Region]]&amp;"|"&amp;Table1[[#This Row],[Sales Rep]]</f>
        <v>South|David</v>
      </c>
    </row>
    <row r="27" spans="1:16" x14ac:dyDescent="0.35">
      <c r="A27">
        <v>1076</v>
      </c>
      <c r="B27" s="1">
        <v>45276</v>
      </c>
      <c r="C27" t="s">
        <v>38</v>
      </c>
      <c r="D27" t="s">
        <v>34</v>
      </c>
      <c r="E27">
        <v>7160.75</v>
      </c>
      <c r="F27">
        <v>30</v>
      </c>
      <c r="G27" t="s">
        <v>29</v>
      </c>
      <c r="H27">
        <v>3519.63</v>
      </c>
      <c r="I27">
        <v>3774.65</v>
      </c>
      <c r="J27" t="s">
        <v>30</v>
      </c>
      <c r="K27">
        <v>0.2</v>
      </c>
      <c r="L27" t="s">
        <v>31</v>
      </c>
      <c r="M27" t="s">
        <v>22</v>
      </c>
      <c r="N27" t="s">
        <v>34</v>
      </c>
      <c r="O27" t="s">
        <v>38</v>
      </c>
      <c r="P27" t="str">
        <f>Table1[[#This Row],[Region]]&amp;"|"&amp;Table1[[#This Row],[Sales Rep]]</f>
        <v>East|Eve</v>
      </c>
    </row>
    <row r="28" spans="1:16" x14ac:dyDescent="0.35">
      <c r="A28">
        <v>1058</v>
      </c>
      <c r="B28" s="1">
        <v>45021</v>
      </c>
      <c r="C28" t="s">
        <v>42</v>
      </c>
      <c r="D28" t="s">
        <v>15</v>
      </c>
      <c r="E28">
        <v>2072.23</v>
      </c>
      <c r="F28">
        <v>33</v>
      </c>
      <c r="G28" t="s">
        <v>16</v>
      </c>
      <c r="H28">
        <v>1011.65</v>
      </c>
      <c r="I28">
        <v>1084.28</v>
      </c>
      <c r="J28" t="s">
        <v>17</v>
      </c>
      <c r="K28">
        <v>7.0000000000000007E-2</v>
      </c>
      <c r="L28" t="s">
        <v>27</v>
      </c>
      <c r="M28" t="s">
        <v>22</v>
      </c>
      <c r="N28" t="s">
        <v>15</v>
      </c>
      <c r="O28" t="s">
        <v>42</v>
      </c>
      <c r="P28" t="str">
        <f>Table1[[#This Row],[Region]]&amp;"|"&amp;Table1[[#This Row],[Sales Rep]]</f>
        <v>North|Alice</v>
      </c>
    </row>
    <row r="29" spans="1:16" x14ac:dyDescent="0.35">
      <c r="A29">
        <v>1022</v>
      </c>
      <c r="B29" s="1">
        <v>45078</v>
      </c>
      <c r="C29" t="s">
        <v>24</v>
      </c>
      <c r="D29" t="s">
        <v>34</v>
      </c>
      <c r="E29">
        <v>8913.1299999999992</v>
      </c>
      <c r="F29">
        <v>9</v>
      </c>
      <c r="G29" t="s">
        <v>35</v>
      </c>
      <c r="H29">
        <v>2263.65</v>
      </c>
      <c r="I29">
        <v>2558.9499999999998</v>
      </c>
      <c r="J29" t="s">
        <v>30</v>
      </c>
      <c r="K29">
        <v>0.03</v>
      </c>
      <c r="L29" t="s">
        <v>18</v>
      </c>
      <c r="M29" t="s">
        <v>19</v>
      </c>
      <c r="N29" t="s">
        <v>34</v>
      </c>
      <c r="O29" t="s">
        <v>24</v>
      </c>
      <c r="P29" t="str">
        <f>Table1[[#This Row],[Region]]&amp;"|"&amp;Table1[[#This Row],[Sales Rep]]</f>
        <v>East|David</v>
      </c>
    </row>
    <row r="30" spans="1:16" x14ac:dyDescent="0.35">
      <c r="A30">
        <v>1089</v>
      </c>
      <c r="B30" s="1">
        <v>45237</v>
      </c>
      <c r="C30" t="s">
        <v>14</v>
      </c>
      <c r="D30" t="s">
        <v>21</v>
      </c>
      <c r="E30">
        <v>2945.36</v>
      </c>
      <c r="F30">
        <v>47</v>
      </c>
      <c r="G30" t="s">
        <v>16</v>
      </c>
      <c r="H30">
        <v>4157.62</v>
      </c>
      <c r="I30">
        <v>4314.5599999999904</v>
      </c>
      <c r="J30" t="s">
        <v>30</v>
      </c>
      <c r="K30">
        <v>0.17</v>
      </c>
      <c r="L30" t="s">
        <v>27</v>
      </c>
      <c r="M30" t="s">
        <v>22</v>
      </c>
      <c r="N30" t="s">
        <v>21</v>
      </c>
      <c r="O30" t="s">
        <v>14</v>
      </c>
      <c r="P30" t="str">
        <f>Table1[[#This Row],[Region]]&amp;"|"&amp;Table1[[#This Row],[Sales Rep]]</f>
        <v>West|Bob</v>
      </c>
    </row>
    <row r="31" spans="1:16" x14ac:dyDescent="0.35">
      <c r="A31">
        <v>1049</v>
      </c>
      <c r="B31" s="1">
        <v>45063</v>
      </c>
      <c r="C31" t="s">
        <v>42</v>
      </c>
      <c r="D31" t="s">
        <v>21</v>
      </c>
      <c r="E31">
        <v>3741.08</v>
      </c>
      <c r="F31">
        <v>1</v>
      </c>
      <c r="G31" t="s">
        <v>16</v>
      </c>
      <c r="H31">
        <v>3290.89</v>
      </c>
      <c r="I31">
        <v>3317.75</v>
      </c>
      <c r="J31" t="s">
        <v>17</v>
      </c>
      <c r="K31">
        <v>0.17</v>
      </c>
      <c r="L31" t="s">
        <v>27</v>
      </c>
      <c r="M31" t="s">
        <v>19</v>
      </c>
      <c r="N31" t="s">
        <v>21</v>
      </c>
      <c r="O31" t="s">
        <v>42</v>
      </c>
      <c r="P31" t="str">
        <f>Table1[[#This Row],[Region]]&amp;"|"&amp;Table1[[#This Row],[Sales Rep]]</f>
        <v>West|Alice</v>
      </c>
    </row>
    <row r="32" spans="1:16" x14ac:dyDescent="0.35">
      <c r="A32">
        <v>1091</v>
      </c>
      <c r="B32" s="1">
        <v>45173</v>
      </c>
      <c r="C32" t="s">
        <v>33</v>
      </c>
      <c r="D32" t="s">
        <v>25</v>
      </c>
      <c r="E32">
        <v>675.11</v>
      </c>
      <c r="F32">
        <v>44</v>
      </c>
      <c r="G32" t="s">
        <v>26</v>
      </c>
      <c r="H32">
        <v>2085.46</v>
      </c>
      <c r="I32">
        <v>2406.58</v>
      </c>
      <c r="J32" t="s">
        <v>17</v>
      </c>
      <c r="K32">
        <v>0.06</v>
      </c>
      <c r="L32" t="s">
        <v>27</v>
      </c>
      <c r="M32" t="s">
        <v>22</v>
      </c>
      <c r="N32" t="s">
        <v>25</v>
      </c>
      <c r="O32" t="s">
        <v>33</v>
      </c>
      <c r="P32" t="str">
        <f>Table1[[#This Row],[Region]]&amp;"|"&amp;Table1[[#This Row],[Sales Rep]]</f>
        <v>South|Charlie</v>
      </c>
    </row>
    <row r="33" spans="1:16" x14ac:dyDescent="0.35">
      <c r="A33">
        <v>1059</v>
      </c>
      <c r="B33" s="1">
        <v>45169</v>
      </c>
      <c r="C33" t="s">
        <v>42</v>
      </c>
      <c r="D33" t="s">
        <v>15</v>
      </c>
      <c r="E33">
        <v>1203.97</v>
      </c>
      <c r="F33">
        <v>35</v>
      </c>
      <c r="G33" t="s">
        <v>26</v>
      </c>
      <c r="H33">
        <v>3333.64</v>
      </c>
      <c r="I33">
        <v>3764.52</v>
      </c>
      <c r="J33" t="s">
        <v>17</v>
      </c>
      <c r="K33">
        <v>0.02</v>
      </c>
      <c r="L33" t="s">
        <v>31</v>
      </c>
      <c r="M33" t="s">
        <v>19</v>
      </c>
      <c r="N33" t="s">
        <v>15</v>
      </c>
      <c r="O33" t="s">
        <v>42</v>
      </c>
      <c r="P33" t="str">
        <f>Table1[[#This Row],[Region]]&amp;"|"&amp;Table1[[#This Row],[Sales Rep]]</f>
        <v>North|Alice</v>
      </c>
    </row>
    <row r="34" spans="1:16" x14ac:dyDescent="0.35">
      <c r="A34">
        <v>1042</v>
      </c>
      <c r="B34" s="1">
        <v>44957</v>
      </c>
      <c r="C34" t="s">
        <v>42</v>
      </c>
      <c r="D34" t="s">
        <v>15</v>
      </c>
      <c r="E34">
        <v>5207.03</v>
      </c>
      <c r="F34">
        <v>11</v>
      </c>
      <c r="G34" t="s">
        <v>26</v>
      </c>
      <c r="H34">
        <v>635.20000000000005</v>
      </c>
      <c r="I34">
        <v>814.14</v>
      </c>
      <c r="J34" t="s">
        <v>17</v>
      </c>
      <c r="K34">
        <v>0.02</v>
      </c>
      <c r="L34" t="s">
        <v>18</v>
      </c>
      <c r="M34" t="s">
        <v>19</v>
      </c>
      <c r="N34" t="s">
        <v>15</v>
      </c>
      <c r="O34" t="s">
        <v>42</v>
      </c>
      <c r="P34" t="str">
        <f>Table1[[#This Row],[Region]]&amp;"|"&amp;Table1[[#This Row],[Sales Rep]]</f>
        <v>North|Alice</v>
      </c>
    </row>
    <row r="35" spans="1:16" x14ac:dyDescent="0.35">
      <c r="A35">
        <v>1092</v>
      </c>
      <c r="B35" s="1">
        <v>44966</v>
      </c>
      <c r="C35" t="s">
        <v>24</v>
      </c>
      <c r="D35" t="s">
        <v>21</v>
      </c>
      <c r="E35">
        <v>2749.17</v>
      </c>
      <c r="F35">
        <v>34</v>
      </c>
      <c r="G35" t="s">
        <v>16</v>
      </c>
      <c r="H35">
        <v>2037.41</v>
      </c>
      <c r="I35">
        <v>2238.65</v>
      </c>
      <c r="J35" t="s">
        <v>30</v>
      </c>
      <c r="K35">
        <v>0.3</v>
      </c>
      <c r="L35" t="s">
        <v>31</v>
      </c>
      <c r="M35" t="s">
        <v>19</v>
      </c>
      <c r="N35" t="s">
        <v>21</v>
      </c>
      <c r="O35" t="s">
        <v>24</v>
      </c>
      <c r="P35" t="str">
        <f>Table1[[#This Row],[Region]]&amp;"|"&amp;Table1[[#This Row],[Sales Rep]]</f>
        <v>West|David</v>
      </c>
    </row>
    <row r="36" spans="1:16" x14ac:dyDescent="0.35">
      <c r="A36">
        <v>1060</v>
      </c>
      <c r="B36" s="1">
        <v>45155</v>
      </c>
      <c r="C36" t="s">
        <v>14</v>
      </c>
      <c r="D36" t="s">
        <v>34</v>
      </c>
      <c r="E36">
        <v>8371.25</v>
      </c>
      <c r="F36">
        <v>16</v>
      </c>
      <c r="G36" t="s">
        <v>29</v>
      </c>
      <c r="H36">
        <v>3975.99</v>
      </c>
      <c r="I36">
        <v>4422.59</v>
      </c>
      <c r="J36" t="s">
        <v>30</v>
      </c>
      <c r="K36">
        <v>0.24</v>
      </c>
      <c r="L36" t="s">
        <v>18</v>
      </c>
      <c r="M36" t="s">
        <v>19</v>
      </c>
      <c r="N36" t="s">
        <v>34</v>
      </c>
      <c r="O36" t="s">
        <v>14</v>
      </c>
      <c r="P36" t="str">
        <f>Table1[[#This Row],[Region]]&amp;"|"&amp;Table1[[#This Row],[Sales Rep]]</f>
        <v>East|Bob</v>
      </c>
    </row>
    <row r="37" spans="1:16" x14ac:dyDescent="0.35">
      <c r="A37">
        <v>1080</v>
      </c>
      <c r="B37" s="1">
        <v>44962</v>
      </c>
      <c r="C37" t="s">
        <v>33</v>
      </c>
      <c r="D37" t="s">
        <v>25</v>
      </c>
      <c r="E37">
        <v>245.46</v>
      </c>
      <c r="F37">
        <v>9</v>
      </c>
      <c r="G37" t="s">
        <v>35</v>
      </c>
      <c r="H37">
        <v>1141.52</v>
      </c>
      <c r="I37">
        <v>1550.19</v>
      </c>
      <c r="J37" t="s">
        <v>30</v>
      </c>
      <c r="K37">
        <v>0.28000000000000003</v>
      </c>
      <c r="L37" t="s">
        <v>31</v>
      </c>
      <c r="M37" t="s">
        <v>22</v>
      </c>
      <c r="N37" t="s">
        <v>25</v>
      </c>
      <c r="O37" t="s">
        <v>33</v>
      </c>
      <c r="P37" t="str">
        <f>Table1[[#This Row],[Region]]&amp;"|"&amp;Table1[[#This Row],[Sales Rep]]</f>
        <v>South|Charlie</v>
      </c>
    </row>
    <row r="38" spans="1:16" x14ac:dyDescent="0.35">
      <c r="A38">
        <v>1015</v>
      </c>
      <c r="B38" s="1">
        <v>45149</v>
      </c>
      <c r="C38" t="s">
        <v>38</v>
      </c>
      <c r="D38" t="s">
        <v>34</v>
      </c>
      <c r="E38">
        <v>3853.03</v>
      </c>
      <c r="F38">
        <v>32</v>
      </c>
      <c r="G38" t="s">
        <v>16</v>
      </c>
      <c r="H38">
        <v>970.51</v>
      </c>
      <c r="I38">
        <v>1330.84</v>
      </c>
      <c r="J38" t="s">
        <v>17</v>
      </c>
      <c r="K38">
        <v>0.06</v>
      </c>
      <c r="L38" t="s">
        <v>18</v>
      </c>
      <c r="M38" t="s">
        <v>22</v>
      </c>
      <c r="N38" t="s">
        <v>34</v>
      </c>
      <c r="O38" t="s">
        <v>38</v>
      </c>
      <c r="P38" t="str">
        <f>Table1[[#This Row],[Region]]&amp;"|"&amp;Table1[[#This Row],[Sales Rep]]</f>
        <v>East|Eve</v>
      </c>
    </row>
    <row r="39" spans="1:16" x14ac:dyDescent="0.35">
      <c r="A39">
        <v>1062</v>
      </c>
      <c r="B39" s="1">
        <v>44932</v>
      </c>
      <c r="C39" t="s">
        <v>38</v>
      </c>
      <c r="D39" t="s">
        <v>34</v>
      </c>
      <c r="E39">
        <v>3439.72</v>
      </c>
      <c r="F39">
        <v>15</v>
      </c>
      <c r="G39" t="s">
        <v>29</v>
      </c>
      <c r="H39">
        <v>4756.55</v>
      </c>
      <c r="I39">
        <v>4888.46</v>
      </c>
      <c r="J39" t="s">
        <v>30</v>
      </c>
      <c r="K39">
        <v>0.28999999999999998</v>
      </c>
      <c r="L39" t="s">
        <v>31</v>
      </c>
      <c r="M39" t="s">
        <v>19</v>
      </c>
      <c r="N39" t="s">
        <v>34</v>
      </c>
      <c r="O39" t="s">
        <v>38</v>
      </c>
      <c r="P39" t="str">
        <f>Table1[[#This Row],[Region]]&amp;"|"&amp;Table1[[#This Row],[Sales Rep]]</f>
        <v>East|Eve</v>
      </c>
    </row>
    <row r="40" spans="1:16" x14ac:dyDescent="0.35">
      <c r="A40">
        <v>1062</v>
      </c>
      <c r="B40" s="1">
        <v>45248</v>
      </c>
      <c r="C40" t="s">
        <v>42</v>
      </c>
      <c r="D40" t="s">
        <v>34</v>
      </c>
      <c r="E40">
        <v>291.33999999999997</v>
      </c>
      <c r="F40">
        <v>12</v>
      </c>
      <c r="G40" t="s">
        <v>16</v>
      </c>
      <c r="H40">
        <v>1088.99</v>
      </c>
      <c r="I40">
        <v>1545</v>
      </c>
      <c r="J40" t="s">
        <v>17</v>
      </c>
      <c r="K40">
        <v>0.04</v>
      </c>
      <c r="L40" t="s">
        <v>27</v>
      </c>
      <c r="M40" t="s">
        <v>22</v>
      </c>
      <c r="N40" t="s">
        <v>34</v>
      </c>
      <c r="O40" t="s">
        <v>42</v>
      </c>
      <c r="P40" t="str">
        <f>Table1[[#This Row],[Region]]&amp;"|"&amp;Table1[[#This Row],[Sales Rep]]</f>
        <v>East|Alice</v>
      </c>
    </row>
    <row r="41" spans="1:16" x14ac:dyDescent="0.35">
      <c r="A41">
        <v>1047</v>
      </c>
      <c r="B41" s="1">
        <v>45146</v>
      </c>
      <c r="C41" t="s">
        <v>24</v>
      </c>
      <c r="D41" t="s">
        <v>15</v>
      </c>
      <c r="E41">
        <v>1331.25</v>
      </c>
      <c r="F41">
        <v>33</v>
      </c>
      <c r="G41" t="s">
        <v>35</v>
      </c>
      <c r="H41">
        <v>1341.55</v>
      </c>
      <c r="I41">
        <v>1427.21</v>
      </c>
      <c r="J41" t="s">
        <v>17</v>
      </c>
      <c r="K41">
        <v>0.15</v>
      </c>
      <c r="L41" t="s">
        <v>31</v>
      </c>
      <c r="M41" t="s">
        <v>19</v>
      </c>
      <c r="N41" t="s">
        <v>15</v>
      </c>
      <c r="O41" t="s">
        <v>24</v>
      </c>
      <c r="P41" t="str">
        <f>Table1[[#This Row],[Region]]&amp;"|"&amp;Table1[[#This Row],[Sales Rep]]</f>
        <v>North|David</v>
      </c>
    </row>
    <row r="42" spans="1:16" x14ac:dyDescent="0.35">
      <c r="A42">
        <v>1062</v>
      </c>
      <c r="B42" s="1">
        <v>45001</v>
      </c>
      <c r="C42" t="s">
        <v>24</v>
      </c>
      <c r="D42" t="s">
        <v>21</v>
      </c>
      <c r="E42">
        <v>4195.0600000000004</v>
      </c>
      <c r="F42">
        <v>45</v>
      </c>
      <c r="G42" t="s">
        <v>16</v>
      </c>
      <c r="H42">
        <v>4849.6000000000004</v>
      </c>
      <c r="I42">
        <v>5166.72</v>
      </c>
      <c r="J42" t="s">
        <v>17</v>
      </c>
      <c r="K42">
        <v>0.25</v>
      </c>
      <c r="L42" t="s">
        <v>31</v>
      </c>
      <c r="M42" t="s">
        <v>19</v>
      </c>
      <c r="N42" t="s">
        <v>21</v>
      </c>
      <c r="O42" t="s">
        <v>24</v>
      </c>
      <c r="P42" t="str">
        <f>Table1[[#This Row],[Region]]&amp;"|"&amp;Table1[[#This Row],[Sales Rep]]</f>
        <v>West|David</v>
      </c>
    </row>
    <row r="43" spans="1:16" x14ac:dyDescent="0.35">
      <c r="A43">
        <v>1051</v>
      </c>
      <c r="B43" s="1">
        <v>44930</v>
      </c>
      <c r="C43" t="s">
        <v>38</v>
      </c>
      <c r="D43" t="s">
        <v>15</v>
      </c>
      <c r="E43">
        <v>4979.3599999999997</v>
      </c>
      <c r="F43">
        <v>14</v>
      </c>
      <c r="G43" t="s">
        <v>35</v>
      </c>
      <c r="H43">
        <v>3686.81</v>
      </c>
      <c r="I43">
        <v>3710.92</v>
      </c>
      <c r="J43" t="s">
        <v>30</v>
      </c>
      <c r="K43">
        <v>0.1</v>
      </c>
      <c r="L43" t="s">
        <v>27</v>
      </c>
      <c r="M43" t="s">
        <v>22</v>
      </c>
      <c r="N43" t="s">
        <v>15</v>
      </c>
      <c r="O43" t="s">
        <v>38</v>
      </c>
      <c r="P43" t="str">
        <f>Table1[[#This Row],[Region]]&amp;"|"&amp;Table1[[#This Row],[Sales Rep]]</f>
        <v>North|Eve</v>
      </c>
    </row>
    <row r="44" spans="1:16" x14ac:dyDescent="0.35">
      <c r="A44">
        <v>1055</v>
      </c>
      <c r="B44" s="1">
        <v>45261</v>
      </c>
      <c r="C44" t="s">
        <v>33</v>
      </c>
      <c r="D44" t="s">
        <v>21</v>
      </c>
      <c r="E44">
        <v>4102.47</v>
      </c>
      <c r="F44">
        <v>8</v>
      </c>
      <c r="G44" t="s">
        <v>16</v>
      </c>
      <c r="H44">
        <v>3513</v>
      </c>
      <c r="I44">
        <v>3838.42</v>
      </c>
      <c r="J44" t="s">
        <v>17</v>
      </c>
      <c r="K44">
        <v>0.13</v>
      </c>
      <c r="L44" t="s">
        <v>27</v>
      </c>
      <c r="M44" t="s">
        <v>19</v>
      </c>
      <c r="N44" t="s">
        <v>21</v>
      </c>
      <c r="O44" t="s">
        <v>33</v>
      </c>
      <c r="P44" t="str">
        <f>Table1[[#This Row],[Region]]&amp;"|"&amp;Table1[[#This Row],[Sales Rep]]</f>
        <v>West|Charlie</v>
      </c>
    </row>
    <row r="45" spans="1:16" x14ac:dyDescent="0.35">
      <c r="A45">
        <v>1064</v>
      </c>
      <c r="B45" s="1">
        <v>45060</v>
      </c>
      <c r="C45" t="s">
        <v>14</v>
      </c>
      <c r="D45" t="s">
        <v>25</v>
      </c>
      <c r="E45">
        <v>5356.28</v>
      </c>
      <c r="F45">
        <v>8</v>
      </c>
      <c r="G45" t="s">
        <v>35</v>
      </c>
      <c r="H45">
        <v>4271.99</v>
      </c>
      <c r="I45">
        <v>4417.79</v>
      </c>
      <c r="J45" t="s">
        <v>17</v>
      </c>
      <c r="K45">
        <v>0.04</v>
      </c>
      <c r="L45" t="s">
        <v>18</v>
      </c>
      <c r="M45" t="s">
        <v>19</v>
      </c>
      <c r="N45" t="s">
        <v>25</v>
      </c>
      <c r="O45" t="s">
        <v>14</v>
      </c>
      <c r="P45" t="str">
        <f>Table1[[#This Row],[Region]]&amp;"|"&amp;Table1[[#This Row],[Sales Rep]]</f>
        <v>South|Bob</v>
      </c>
    </row>
    <row r="46" spans="1:16" x14ac:dyDescent="0.35">
      <c r="A46">
        <v>1003</v>
      </c>
      <c r="B46" s="1">
        <v>45044</v>
      </c>
      <c r="C46" t="s">
        <v>33</v>
      </c>
      <c r="D46" t="s">
        <v>25</v>
      </c>
      <c r="E46">
        <v>5991.8</v>
      </c>
      <c r="F46">
        <v>27</v>
      </c>
      <c r="G46" t="s">
        <v>16</v>
      </c>
      <c r="H46">
        <v>623.32000000000005</v>
      </c>
      <c r="I46">
        <v>853.66</v>
      </c>
      <c r="J46" t="s">
        <v>17</v>
      </c>
      <c r="K46">
        <v>0.04</v>
      </c>
      <c r="L46" t="s">
        <v>18</v>
      </c>
      <c r="M46" t="s">
        <v>19</v>
      </c>
      <c r="N46" t="s">
        <v>25</v>
      </c>
      <c r="O46" t="s">
        <v>33</v>
      </c>
      <c r="P46" t="str">
        <f>Table1[[#This Row],[Region]]&amp;"|"&amp;Table1[[#This Row],[Sales Rep]]</f>
        <v>South|Charlie</v>
      </c>
    </row>
    <row r="47" spans="1:16" x14ac:dyDescent="0.35">
      <c r="A47">
        <v>1051</v>
      </c>
      <c r="B47" s="1">
        <v>45020</v>
      </c>
      <c r="C47" t="s">
        <v>14</v>
      </c>
      <c r="D47" t="s">
        <v>34</v>
      </c>
      <c r="E47">
        <v>198.25</v>
      </c>
      <c r="F47">
        <v>12</v>
      </c>
      <c r="G47" t="s">
        <v>35</v>
      </c>
      <c r="H47">
        <v>3544.48</v>
      </c>
      <c r="I47">
        <v>3723.66</v>
      </c>
      <c r="J47" t="s">
        <v>17</v>
      </c>
      <c r="K47">
        <v>0.19</v>
      </c>
      <c r="L47" t="s">
        <v>18</v>
      </c>
      <c r="M47" t="s">
        <v>19</v>
      </c>
      <c r="N47" t="s">
        <v>34</v>
      </c>
      <c r="O47" t="s">
        <v>14</v>
      </c>
      <c r="P47" t="str">
        <f>Table1[[#This Row],[Region]]&amp;"|"&amp;Table1[[#This Row],[Sales Rep]]</f>
        <v>East|Bob</v>
      </c>
    </row>
    <row r="48" spans="1:16" x14ac:dyDescent="0.35">
      <c r="A48">
        <v>1007</v>
      </c>
      <c r="B48" s="1">
        <v>44988</v>
      </c>
      <c r="C48" t="s">
        <v>38</v>
      </c>
      <c r="D48" t="s">
        <v>21</v>
      </c>
      <c r="E48">
        <v>4694.54</v>
      </c>
      <c r="F48">
        <v>1</v>
      </c>
      <c r="G48" t="s">
        <v>26</v>
      </c>
      <c r="H48">
        <v>2543.2600000000002</v>
      </c>
      <c r="I48">
        <v>2637.91</v>
      </c>
      <c r="J48" t="s">
        <v>17</v>
      </c>
      <c r="K48">
        <v>0.2</v>
      </c>
      <c r="L48" t="s">
        <v>31</v>
      </c>
      <c r="M48" t="s">
        <v>19</v>
      </c>
      <c r="N48" t="s">
        <v>21</v>
      </c>
      <c r="O48" t="s">
        <v>38</v>
      </c>
      <c r="P48" t="str">
        <f>Table1[[#This Row],[Region]]&amp;"|"&amp;Table1[[#This Row],[Sales Rep]]</f>
        <v>West|Eve</v>
      </c>
    </row>
    <row r="49" spans="1:16" x14ac:dyDescent="0.35">
      <c r="A49">
        <v>1021</v>
      </c>
      <c r="B49" s="1">
        <v>45120</v>
      </c>
      <c r="C49" t="s">
        <v>14</v>
      </c>
      <c r="D49" t="s">
        <v>21</v>
      </c>
      <c r="E49">
        <v>9638.64</v>
      </c>
      <c r="F49">
        <v>43</v>
      </c>
      <c r="G49" t="s">
        <v>16</v>
      </c>
      <c r="H49">
        <v>4154.3</v>
      </c>
      <c r="I49">
        <v>4469.07</v>
      </c>
      <c r="J49" t="s">
        <v>17</v>
      </c>
      <c r="K49">
        <v>0.23</v>
      </c>
      <c r="L49" t="s">
        <v>18</v>
      </c>
      <c r="M49" t="s">
        <v>22</v>
      </c>
      <c r="N49" t="s">
        <v>21</v>
      </c>
      <c r="O49" t="s">
        <v>14</v>
      </c>
      <c r="P49" t="str">
        <f>Table1[[#This Row],[Region]]&amp;"|"&amp;Table1[[#This Row],[Sales Rep]]</f>
        <v>West|Bob</v>
      </c>
    </row>
    <row r="50" spans="1:16" x14ac:dyDescent="0.35">
      <c r="A50">
        <v>1073</v>
      </c>
      <c r="B50" s="1">
        <v>45261</v>
      </c>
      <c r="C50" t="s">
        <v>24</v>
      </c>
      <c r="D50" t="s">
        <v>21</v>
      </c>
      <c r="E50">
        <v>5238.42</v>
      </c>
      <c r="F50">
        <v>40</v>
      </c>
      <c r="G50" t="s">
        <v>16</v>
      </c>
      <c r="H50">
        <v>2565.3000000000002</v>
      </c>
      <c r="I50">
        <v>3007.47</v>
      </c>
      <c r="J50" t="s">
        <v>17</v>
      </c>
      <c r="K50">
        <v>0.17</v>
      </c>
      <c r="L50" t="s">
        <v>31</v>
      </c>
      <c r="M50" t="s">
        <v>22</v>
      </c>
      <c r="N50" t="s">
        <v>21</v>
      </c>
      <c r="O50" t="s">
        <v>24</v>
      </c>
      <c r="P50" t="str">
        <f>Table1[[#This Row],[Region]]&amp;"|"&amp;Table1[[#This Row],[Sales Rep]]</f>
        <v>West|David</v>
      </c>
    </row>
    <row r="51" spans="1:16" x14ac:dyDescent="0.35">
      <c r="A51">
        <v>1039</v>
      </c>
      <c r="B51" s="1">
        <v>45129</v>
      </c>
      <c r="C51" t="s">
        <v>42</v>
      </c>
      <c r="D51" t="s">
        <v>34</v>
      </c>
      <c r="E51">
        <v>6807.67</v>
      </c>
      <c r="F51">
        <v>42</v>
      </c>
      <c r="G51" t="s">
        <v>29</v>
      </c>
      <c r="H51">
        <v>3120.19</v>
      </c>
      <c r="I51">
        <v>3600.14</v>
      </c>
      <c r="J51" t="s">
        <v>17</v>
      </c>
      <c r="K51">
        <v>0.19</v>
      </c>
      <c r="L51" t="s">
        <v>31</v>
      </c>
      <c r="M51" t="s">
        <v>22</v>
      </c>
      <c r="N51" t="s">
        <v>34</v>
      </c>
      <c r="O51" t="s">
        <v>42</v>
      </c>
      <c r="P51" t="str">
        <f>Table1[[#This Row],[Region]]&amp;"|"&amp;Table1[[#This Row],[Sales Rep]]</f>
        <v>East|Alice</v>
      </c>
    </row>
    <row r="52" spans="1:16" x14ac:dyDescent="0.35">
      <c r="A52">
        <v>1018</v>
      </c>
      <c r="B52" s="1">
        <v>44952</v>
      </c>
      <c r="C52" t="s">
        <v>42</v>
      </c>
      <c r="D52" t="s">
        <v>34</v>
      </c>
      <c r="E52">
        <v>3187.45</v>
      </c>
      <c r="F52">
        <v>11</v>
      </c>
      <c r="G52" t="s">
        <v>29</v>
      </c>
      <c r="H52">
        <v>2414.8200000000002</v>
      </c>
      <c r="I52">
        <v>2519.0700000000002</v>
      </c>
      <c r="J52" t="s">
        <v>17</v>
      </c>
      <c r="K52">
        <v>0</v>
      </c>
      <c r="L52" t="s">
        <v>18</v>
      </c>
      <c r="M52" t="s">
        <v>19</v>
      </c>
      <c r="N52" t="s">
        <v>34</v>
      </c>
      <c r="O52" t="s">
        <v>42</v>
      </c>
      <c r="P52" t="str">
        <f>Table1[[#This Row],[Region]]&amp;"|"&amp;Table1[[#This Row],[Sales Rep]]</f>
        <v>East|Alice</v>
      </c>
    </row>
    <row r="53" spans="1:16" x14ac:dyDescent="0.35">
      <c r="A53">
        <v>1004</v>
      </c>
      <c r="B53" s="1">
        <v>45099</v>
      </c>
      <c r="C53" t="s">
        <v>38</v>
      </c>
      <c r="D53" t="s">
        <v>25</v>
      </c>
      <c r="E53">
        <v>7762.51</v>
      </c>
      <c r="F53">
        <v>39</v>
      </c>
      <c r="G53" t="s">
        <v>35</v>
      </c>
      <c r="H53">
        <v>2416.89</v>
      </c>
      <c r="I53">
        <v>2778.3999999999901</v>
      </c>
      <c r="J53" t="s">
        <v>17</v>
      </c>
      <c r="K53">
        <v>0.05</v>
      </c>
      <c r="L53" t="s">
        <v>18</v>
      </c>
      <c r="M53" t="s">
        <v>19</v>
      </c>
      <c r="N53" t="s">
        <v>25</v>
      </c>
      <c r="O53" t="s">
        <v>38</v>
      </c>
      <c r="P53" t="str">
        <f>Table1[[#This Row],[Region]]&amp;"|"&amp;Table1[[#This Row],[Sales Rep]]</f>
        <v>South|Eve</v>
      </c>
    </row>
    <row r="54" spans="1:16" x14ac:dyDescent="0.35">
      <c r="A54">
        <v>1089</v>
      </c>
      <c r="B54" s="1">
        <v>45226</v>
      </c>
      <c r="C54" t="s">
        <v>24</v>
      </c>
      <c r="D54" t="s">
        <v>15</v>
      </c>
      <c r="E54">
        <v>7751.92</v>
      </c>
      <c r="F54">
        <v>43</v>
      </c>
      <c r="G54" t="s">
        <v>16</v>
      </c>
      <c r="H54">
        <v>3851.45</v>
      </c>
      <c r="I54">
        <v>4186.9799999999996</v>
      </c>
      <c r="J54" t="s">
        <v>17</v>
      </c>
      <c r="K54">
        <v>0.3</v>
      </c>
      <c r="L54" t="s">
        <v>31</v>
      </c>
      <c r="M54" t="s">
        <v>19</v>
      </c>
      <c r="N54" t="s">
        <v>15</v>
      </c>
      <c r="O54" t="s">
        <v>24</v>
      </c>
      <c r="P54" t="str">
        <f>Table1[[#This Row],[Region]]&amp;"|"&amp;Table1[[#This Row],[Sales Rep]]</f>
        <v>North|David</v>
      </c>
    </row>
    <row r="55" spans="1:16" x14ac:dyDescent="0.35">
      <c r="A55">
        <v>1060</v>
      </c>
      <c r="B55" s="1">
        <v>45059</v>
      </c>
      <c r="C55" t="s">
        <v>33</v>
      </c>
      <c r="D55" t="s">
        <v>21</v>
      </c>
      <c r="E55">
        <v>5260.83</v>
      </c>
      <c r="F55">
        <v>31</v>
      </c>
      <c r="G55" t="s">
        <v>35</v>
      </c>
      <c r="H55">
        <v>3161.4</v>
      </c>
      <c r="I55">
        <v>3339.66</v>
      </c>
      <c r="J55" t="s">
        <v>17</v>
      </c>
      <c r="K55">
        <v>0.02</v>
      </c>
      <c r="L55" t="s">
        <v>27</v>
      </c>
      <c r="M55" t="s">
        <v>19</v>
      </c>
      <c r="N55" t="s">
        <v>21</v>
      </c>
      <c r="O55" t="s">
        <v>33</v>
      </c>
      <c r="P55" t="str">
        <f>Table1[[#This Row],[Region]]&amp;"|"&amp;Table1[[#This Row],[Sales Rep]]</f>
        <v>West|Charlie</v>
      </c>
    </row>
    <row r="56" spans="1:16" x14ac:dyDescent="0.35">
      <c r="A56">
        <v>1014</v>
      </c>
      <c r="B56" s="1">
        <v>45252</v>
      </c>
      <c r="C56" t="s">
        <v>24</v>
      </c>
      <c r="D56" t="s">
        <v>21</v>
      </c>
      <c r="E56">
        <v>9762.5400000000009</v>
      </c>
      <c r="F56">
        <v>17</v>
      </c>
      <c r="G56" t="s">
        <v>26</v>
      </c>
      <c r="H56">
        <v>3184.65</v>
      </c>
      <c r="I56">
        <v>3204.01</v>
      </c>
      <c r="J56" t="s">
        <v>30</v>
      </c>
      <c r="K56">
        <v>0.2</v>
      </c>
      <c r="L56" t="s">
        <v>27</v>
      </c>
      <c r="M56" t="s">
        <v>19</v>
      </c>
      <c r="N56" t="s">
        <v>21</v>
      </c>
      <c r="O56" t="s">
        <v>24</v>
      </c>
      <c r="P56" t="str">
        <f>Table1[[#This Row],[Region]]&amp;"|"&amp;Table1[[#This Row],[Sales Rep]]</f>
        <v>West|David</v>
      </c>
    </row>
    <row r="57" spans="1:16" x14ac:dyDescent="0.35">
      <c r="A57">
        <v>1009</v>
      </c>
      <c r="B57" s="1">
        <v>45044</v>
      </c>
      <c r="C57" t="s">
        <v>42</v>
      </c>
      <c r="D57" t="s">
        <v>15</v>
      </c>
      <c r="E57">
        <v>1342.95</v>
      </c>
      <c r="F57">
        <v>33</v>
      </c>
      <c r="G57" t="s">
        <v>29</v>
      </c>
      <c r="H57">
        <v>2278.9</v>
      </c>
      <c r="I57">
        <v>2626.9</v>
      </c>
      <c r="J57" t="s">
        <v>30</v>
      </c>
      <c r="K57">
        <v>0.05</v>
      </c>
      <c r="L57" t="s">
        <v>31</v>
      </c>
      <c r="M57" t="s">
        <v>19</v>
      </c>
      <c r="N57" t="s">
        <v>15</v>
      </c>
      <c r="O57" t="s">
        <v>42</v>
      </c>
      <c r="P57" t="str">
        <f>Table1[[#This Row],[Region]]&amp;"|"&amp;Table1[[#This Row],[Sales Rep]]</f>
        <v>North|Alice</v>
      </c>
    </row>
    <row r="58" spans="1:16" x14ac:dyDescent="0.35">
      <c r="A58">
        <v>1090</v>
      </c>
      <c r="B58" s="1">
        <v>45250</v>
      </c>
      <c r="C58" t="s">
        <v>42</v>
      </c>
      <c r="D58" t="s">
        <v>21</v>
      </c>
      <c r="E58">
        <v>267.77999999999997</v>
      </c>
      <c r="F58">
        <v>32</v>
      </c>
      <c r="G58" t="s">
        <v>35</v>
      </c>
      <c r="H58">
        <v>2678.99</v>
      </c>
      <c r="I58">
        <v>3152.2799999999902</v>
      </c>
      <c r="J58" t="s">
        <v>17</v>
      </c>
      <c r="K58">
        <v>0.22</v>
      </c>
      <c r="L58" t="s">
        <v>18</v>
      </c>
      <c r="M58" t="s">
        <v>22</v>
      </c>
      <c r="N58" t="s">
        <v>21</v>
      </c>
      <c r="O58" t="s">
        <v>42</v>
      </c>
      <c r="P58" t="str">
        <f>Table1[[#This Row],[Region]]&amp;"|"&amp;Table1[[#This Row],[Sales Rep]]</f>
        <v>West|Alice</v>
      </c>
    </row>
    <row r="59" spans="1:16" x14ac:dyDescent="0.35">
      <c r="A59">
        <v>1053</v>
      </c>
      <c r="B59" s="1">
        <v>45201</v>
      </c>
      <c r="C59" t="s">
        <v>24</v>
      </c>
      <c r="D59" t="s">
        <v>34</v>
      </c>
      <c r="E59">
        <v>7724.57</v>
      </c>
      <c r="F59">
        <v>29</v>
      </c>
      <c r="G59" t="s">
        <v>35</v>
      </c>
      <c r="H59">
        <v>3741.3</v>
      </c>
      <c r="I59">
        <v>4061.04</v>
      </c>
      <c r="J59" t="s">
        <v>17</v>
      </c>
      <c r="K59">
        <v>0.21</v>
      </c>
      <c r="L59" t="s">
        <v>31</v>
      </c>
      <c r="M59" t="s">
        <v>19</v>
      </c>
      <c r="N59" t="s">
        <v>34</v>
      </c>
      <c r="O59" t="s">
        <v>24</v>
      </c>
      <c r="P59" t="str">
        <f>Table1[[#This Row],[Region]]&amp;"|"&amp;Table1[[#This Row],[Sales Rep]]</f>
        <v>East|David</v>
      </c>
    </row>
    <row r="60" spans="1:16" x14ac:dyDescent="0.35">
      <c r="A60">
        <v>1002</v>
      </c>
      <c r="B60" s="1">
        <v>45138</v>
      </c>
      <c r="C60" t="s">
        <v>24</v>
      </c>
      <c r="D60" t="s">
        <v>34</v>
      </c>
      <c r="E60">
        <v>8090.84</v>
      </c>
      <c r="F60">
        <v>21</v>
      </c>
      <c r="G60" t="s">
        <v>29</v>
      </c>
      <c r="H60">
        <v>4138.41</v>
      </c>
      <c r="I60">
        <v>4361.7</v>
      </c>
      <c r="J60" t="s">
        <v>17</v>
      </c>
      <c r="K60">
        <v>7.0000000000000007E-2</v>
      </c>
      <c r="L60" t="s">
        <v>31</v>
      </c>
      <c r="M60" t="s">
        <v>22</v>
      </c>
      <c r="N60" t="s">
        <v>34</v>
      </c>
      <c r="O60" t="s">
        <v>24</v>
      </c>
      <c r="P60" t="str">
        <f>Table1[[#This Row],[Region]]&amp;"|"&amp;Table1[[#This Row],[Sales Rep]]</f>
        <v>East|David</v>
      </c>
    </row>
    <row r="61" spans="1:16" x14ac:dyDescent="0.35">
      <c r="A61">
        <v>1084</v>
      </c>
      <c r="B61" s="1">
        <v>45151</v>
      </c>
      <c r="C61" t="s">
        <v>42</v>
      </c>
      <c r="D61" t="s">
        <v>21</v>
      </c>
      <c r="E61">
        <v>1290.05</v>
      </c>
      <c r="F61">
        <v>21</v>
      </c>
      <c r="G61" t="s">
        <v>16</v>
      </c>
      <c r="H61">
        <v>3497.98</v>
      </c>
      <c r="I61">
        <v>3765.31</v>
      </c>
      <c r="J61" t="s">
        <v>30</v>
      </c>
      <c r="K61">
        <v>0.08</v>
      </c>
      <c r="L61" t="s">
        <v>18</v>
      </c>
      <c r="M61" t="s">
        <v>19</v>
      </c>
      <c r="N61" t="s">
        <v>21</v>
      </c>
      <c r="O61" t="s">
        <v>42</v>
      </c>
      <c r="P61" t="str">
        <f>Table1[[#This Row],[Region]]&amp;"|"&amp;Table1[[#This Row],[Sales Rep]]</f>
        <v>West|Alice</v>
      </c>
    </row>
    <row r="62" spans="1:16" x14ac:dyDescent="0.35">
      <c r="A62">
        <v>1092</v>
      </c>
      <c r="B62" s="1">
        <v>44946</v>
      </c>
      <c r="C62" t="s">
        <v>33</v>
      </c>
      <c r="D62" t="s">
        <v>34</v>
      </c>
      <c r="E62">
        <v>2729.27</v>
      </c>
      <c r="F62">
        <v>40</v>
      </c>
      <c r="G62" t="s">
        <v>35</v>
      </c>
      <c r="H62">
        <v>4624.16</v>
      </c>
      <c r="I62">
        <v>4731.9799999999996</v>
      </c>
      <c r="J62" t="s">
        <v>30</v>
      </c>
      <c r="K62">
        <v>0.2</v>
      </c>
      <c r="L62" t="s">
        <v>27</v>
      </c>
      <c r="M62" t="s">
        <v>22</v>
      </c>
      <c r="N62" t="s">
        <v>34</v>
      </c>
      <c r="O62" t="s">
        <v>33</v>
      </c>
      <c r="P62" t="str">
        <f>Table1[[#This Row],[Region]]&amp;"|"&amp;Table1[[#This Row],[Sales Rep]]</f>
        <v>East|Charlie</v>
      </c>
    </row>
    <row r="63" spans="1:16" x14ac:dyDescent="0.35">
      <c r="A63">
        <v>1060</v>
      </c>
      <c r="B63" s="1">
        <v>45039</v>
      </c>
      <c r="C63" t="s">
        <v>38</v>
      </c>
      <c r="D63" t="s">
        <v>34</v>
      </c>
      <c r="E63">
        <v>273.77</v>
      </c>
      <c r="F63">
        <v>23</v>
      </c>
      <c r="G63" t="s">
        <v>29</v>
      </c>
      <c r="H63">
        <v>4110.6000000000004</v>
      </c>
      <c r="I63">
        <v>4488.37</v>
      </c>
      <c r="J63" t="s">
        <v>30</v>
      </c>
      <c r="K63">
        <v>0.12</v>
      </c>
      <c r="L63" t="s">
        <v>31</v>
      </c>
      <c r="M63" t="s">
        <v>19</v>
      </c>
      <c r="N63" t="s">
        <v>34</v>
      </c>
      <c r="O63" t="s">
        <v>38</v>
      </c>
      <c r="P63" t="str">
        <f>Table1[[#This Row],[Region]]&amp;"|"&amp;Table1[[#This Row],[Sales Rep]]</f>
        <v>East|Eve</v>
      </c>
    </row>
    <row r="64" spans="1:16" x14ac:dyDescent="0.35">
      <c r="A64">
        <v>1071</v>
      </c>
      <c r="B64" s="1">
        <v>45066</v>
      </c>
      <c r="C64" t="s">
        <v>38</v>
      </c>
      <c r="D64" t="s">
        <v>21</v>
      </c>
      <c r="E64">
        <v>3003.76</v>
      </c>
      <c r="F64">
        <v>6</v>
      </c>
      <c r="G64" t="s">
        <v>16</v>
      </c>
      <c r="H64">
        <v>2831.23</v>
      </c>
      <c r="I64">
        <v>3206.98</v>
      </c>
      <c r="J64" t="s">
        <v>17</v>
      </c>
      <c r="K64">
        <v>0.06</v>
      </c>
      <c r="L64" t="s">
        <v>27</v>
      </c>
      <c r="M64" t="s">
        <v>22</v>
      </c>
      <c r="N64" t="s">
        <v>21</v>
      </c>
      <c r="O64" t="s">
        <v>38</v>
      </c>
      <c r="P64" t="str">
        <f>Table1[[#This Row],[Region]]&amp;"|"&amp;Table1[[#This Row],[Sales Rep]]</f>
        <v>West|Eve</v>
      </c>
    </row>
    <row r="65" spans="1:16" x14ac:dyDescent="0.35">
      <c r="A65">
        <v>1044</v>
      </c>
      <c r="B65" s="1">
        <v>44973</v>
      </c>
      <c r="C65" t="s">
        <v>24</v>
      </c>
      <c r="D65" t="s">
        <v>25</v>
      </c>
      <c r="E65">
        <v>7754.1</v>
      </c>
      <c r="F65">
        <v>22</v>
      </c>
      <c r="G65" t="s">
        <v>26</v>
      </c>
      <c r="H65">
        <v>3373.46</v>
      </c>
      <c r="I65">
        <v>3454.76</v>
      </c>
      <c r="J65" t="s">
        <v>17</v>
      </c>
      <c r="K65">
        <v>0.22</v>
      </c>
      <c r="L65" t="s">
        <v>27</v>
      </c>
      <c r="M65" t="s">
        <v>22</v>
      </c>
      <c r="N65" t="s">
        <v>25</v>
      </c>
      <c r="O65" t="s">
        <v>24</v>
      </c>
      <c r="P65" t="str">
        <f>Table1[[#This Row],[Region]]&amp;"|"&amp;Table1[[#This Row],[Sales Rep]]</f>
        <v>South|David</v>
      </c>
    </row>
    <row r="66" spans="1:16" x14ac:dyDescent="0.35">
      <c r="A66">
        <v>1008</v>
      </c>
      <c r="B66" s="1">
        <v>44927</v>
      </c>
      <c r="C66" t="s">
        <v>38</v>
      </c>
      <c r="D66" t="s">
        <v>15</v>
      </c>
      <c r="E66">
        <v>5227.8100000000004</v>
      </c>
      <c r="F66">
        <v>38</v>
      </c>
      <c r="G66" t="s">
        <v>29</v>
      </c>
      <c r="H66">
        <v>4635.2299999999996</v>
      </c>
      <c r="I66">
        <v>5075.4399999999996</v>
      </c>
      <c r="J66" t="s">
        <v>17</v>
      </c>
      <c r="K66">
        <v>0.05</v>
      </c>
      <c r="L66" t="s">
        <v>18</v>
      </c>
      <c r="M66" t="s">
        <v>19</v>
      </c>
      <c r="N66" t="s">
        <v>15</v>
      </c>
      <c r="O66" t="s">
        <v>38</v>
      </c>
      <c r="P66" t="str">
        <f>Table1[[#This Row],[Region]]&amp;"|"&amp;Table1[[#This Row],[Sales Rep]]</f>
        <v>North|Eve</v>
      </c>
    </row>
    <row r="67" spans="1:16" x14ac:dyDescent="0.35">
      <c r="A67">
        <v>1047</v>
      </c>
      <c r="B67" s="1">
        <v>45016</v>
      </c>
      <c r="C67" t="s">
        <v>42</v>
      </c>
      <c r="D67" t="s">
        <v>34</v>
      </c>
      <c r="E67">
        <v>3546.15</v>
      </c>
      <c r="F67">
        <v>37</v>
      </c>
      <c r="G67" t="s">
        <v>35</v>
      </c>
      <c r="H67">
        <v>3114.88</v>
      </c>
      <c r="I67">
        <v>3256.78</v>
      </c>
      <c r="J67" t="s">
        <v>17</v>
      </c>
      <c r="K67">
        <v>0.26</v>
      </c>
      <c r="L67" t="s">
        <v>31</v>
      </c>
      <c r="M67" t="s">
        <v>19</v>
      </c>
      <c r="N67" t="s">
        <v>34</v>
      </c>
      <c r="O67" t="s">
        <v>42</v>
      </c>
      <c r="P67" t="str">
        <f>Table1[[#This Row],[Region]]&amp;"|"&amp;Table1[[#This Row],[Sales Rep]]</f>
        <v>East|Alice</v>
      </c>
    </row>
    <row r="68" spans="1:16" x14ac:dyDescent="0.35">
      <c r="A68">
        <v>1035</v>
      </c>
      <c r="B68" s="1">
        <v>45068</v>
      </c>
      <c r="C68" t="s">
        <v>42</v>
      </c>
      <c r="D68" t="s">
        <v>25</v>
      </c>
      <c r="E68">
        <v>3780.22</v>
      </c>
      <c r="F68">
        <v>45</v>
      </c>
      <c r="G68" t="s">
        <v>26</v>
      </c>
      <c r="H68">
        <v>4132.79</v>
      </c>
      <c r="I68">
        <v>4624.1000000000004</v>
      </c>
      <c r="J68" t="s">
        <v>30</v>
      </c>
      <c r="K68">
        <v>0.15</v>
      </c>
      <c r="L68" t="s">
        <v>31</v>
      </c>
      <c r="M68" t="s">
        <v>22</v>
      </c>
      <c r="N68" t="s">
        <v>25</v>
      </c>
      <c r="O68" t="s">
        <v>42</v>
      </c>
      <c r="P68" t="str">
        <f>Table1[[#This Row],[Region]]&amp;"|"&amp;Table1[[#This Row],[Sales Rep]]</f>
        <v>South|Alice</v>
      </c>
    </row>
    <row r="69" spans="1:16" x14ac:dyDescent="0.35">
      <c r="A69">
        <v>1078</v>
      </c>
      <c r="B69" s="1">
        <v>45246</v>
      </c>
      <c r="C69" t="s">
        <v>24</v>
      </c>
      <c r="D69" t="s">
        <v>34</v>
      </c>
      <c r="E69">
        <v>113.4</v>
      </c>
      <c r="F69">
        <v>8</v>
      </c>
      <c r="G69" t="s">
        <v>16</v>
      </c>
      <c r="H69">
        <v>3459.61</v>
      </c>
      <c r="I69">
        <v>3657.23</v>
      </c>
      <c r="J69" t="s">
        <v>17</v>
      </c>
      <c r="K69">
        <v>0.03</v>
      </c>
      <c r="L69" t="s">
        <v>27</v>
      </c>
      <c r="M69" t="s">
        <v>19</v>
      </c>
      <c r="N69" t="s">
        <v>34</v>
      </c>
      <c r="O69" t="s">
        <v>24</v>
      </c>
      <c r="P69" t="str">
        <f>Table1[[#This Row],[Region]]&amp;"|"&amp;Table1[[#This Row],[Sales Rep]]</f>
        <v>East|David</v>
      </c>
    </row>
    <row r="70" spans="1:16" x14ac:dyDescent="0.35">
      <c r="A70">
        <v>1081</v>
      </c>
      <c r="B70" s="1">
        <v>44964</v>
      </c>
      <c r="C70" t="s">
        <v>24</v>
      </c>
      <c r="D70" t="s">
        <v>34</v>
      </c>
      <c r="E70">
        <v>3068.03</v>
      </c>
      <c r="F70">
        <v>41</v>
      </c>
      <c r="G70" t="s">
        <v>16</v>
      </c>
      <c r="H70">
        <v>2782.08</v>
      </c>
      <c r="I70">
        <v>2879.24</v>
      </c>
      <c r="J70" t="s">
        <v>30</v>
      </c>
      <c r="K70">
        <v>0.21</v>
      </c>
      <c r="L70" t="s">
        <v>27</v>
      </c>
      <c r="M70" t="s">
        <v>19</v>
      </c>
      <c r="N70" t="s">
        <v>34</v>
      </c>
      <c r="O70" t="s">
        <v>24</v>
      </c>
      <c r="P70" t="str">
        <f>Table1[[#This Row],[Region]]&amp;"|"&amp;Table1[[#This Row],[Sales Rep]]</f>
        <v>East|David</v>
      </c>
    </row>
    <row r="71" spans="1:16" x14ac:dyDescent="0.35">
      <c r="A71">
        <v>1036</v>
      </c>
      <c r="B71" s="1">
        <v>45219</v>
      </c>
      <c r="C71" t="s">
        <v>24</v>
      </c>
      <c r="D71" t="s">
        <v>15</v>
      </c>
      <c r="E71">
        <v>6499.94</v>
      </c>
      <c r="F71">
        <v>49</v>
      </c>
      <c r="G71" t="s">
        <v>29</v>
      </c>
      <c r="H71">
        <v>1247.0999999999999</v>
      </c>
      <c r="I71">
        <v>1429.4399999999901</v>
      </c>
      <c r="J71" t="s">
        <v>30</v>
      </c>
      <c r="K71">
        <v>0.16</v>
      </c>
      <c r="L71" t="s">
        <v>18</v>
      </c>
      <c r="M71" t="s">
        <v>19</v>
      </c>
      <c r="N71" t="s">
        <v>15</v>
      </c>
      <c r="O71" t="s">
        <v>24</v>
      </c>
      <c r="P71" t="str">
        <f>Table1[[#This Row],[Region]]&amp;"|"&amp;Table1[[#This Row],[Sales Rep]]</f>
        <v>North|David</v>
      </c>
    </row>
    <row r="72" spans="1:16" x14ac:dyDescent="0.35">
      <c r="A72">
        <v>1050</v>
      </c>
      <c r="B72" s="1">
        <v>45065</v>
      </c>
      <c r="C72" t="s">
        <v>33</v>
      </c>
      <c r="D72" t="s">
        <v>34</v>
      </c>
      <c r="E72">
        <v>9744.52</v>
      </c>
      <c r="F72">
        <v>35</v>
      </c>
      <c r="G72" t="s">
        <v>29</v>
      </c>
      <c r="H72">
        <v>2158.69</v>
      </c>
      <c r="I72">
        <v>2384.38</v>
      </c>
      <c r="J72" t="s">
        <v>17</v>
      </c>
      <c r="K72">
        <v>0.09</v>
      </c>
      <c r="L72" t="s">
        <v>27</v>
      </c>
      <c r="M72" t="s">
        <v>22</v>
      </c>
      <c r="N72" t="s">
        <v>34</v>
      </c>
      <c r="O72" t="s">
        <v>33</v>
      </c>
      <c r="P72" t="str">
        <f>Table1[[#This Row],[Region]]&amp;"|"&amp;Table1[[#This Row],[Sales Rep]]</f>
        <v>East|Charlie</v>
      </c>
    </row>
    <row r="73" spans="1:16" x14ac:dyDescent="0.35">
      <c r="A73">
        <v>1004</v>
      </c>
      <c r="B73" s="1">
        <v>45282</v>
      </c>
      <c r="C73" t="s">
        <v>38</v>
      </c>
      <c r="D73" t="s">
        <v>15</v>
      </c>
      <c r="E73">
        <v>8485.9</v>
      </c>
      <c r="F73">
        <v>11</v>
      </c>
      <c r="G73" t="s">
        <v>29</v>
      </c>
      <c r="H73">
        <v>4840.33</v>
      </c>
      <c r="I73">
        <v>4884.29</v>
      </c>
      <c r="J73" t="s">
        <v>30</v>
      </c>
      <c r="K73">
        <v>0.13</v>
      </c>
      <c r="L73" t="s">
        <v>18</v>
      </c>
      <c r="M73" t="s">
        <v>19</v>
      </c>
      <c r="N73" t="s">
        <v>15</v>
      </c>
      <c r="O73" t="s">
        <v>38</v>
      </c>
      <c r="P73" t="str">
        <f>Table1[[#This Row],[Region]]&amp;"|"&amp;Table1[[#This Row],[Sales Rep]]</f>
        <v>North|Eve</v>
      </c>
    </row>
    <row r="74" spans="1:16" x14ac:dyDescent="0.35">
      <c r="A74">
        <v>1002</v>
      </c>
      <c r="B74" s="1">
        <v>45259</v>
      </c>
      <c r="C74" t="s">
        <v>24</v>
      </c>
      <c r="D74" t="s">
        <v>15</v>
      </c>
      <c r="E74">
        <v>333.59</v>
      </c>
      <c r="F74">
        <v>24</v>
      </c>
      <c r="G74" t="s">
        <v>16</v>
      </c>
      <c r="H74">
        <v>3305.94</v>
      </c>
      <c r="I74">
        <v>3599.27</v>
      </c>
      <c r="J74" t="s">
        <v>30</v>
      </c>
      <c r="K74">
        <v>0.09</v>
      </c>
      <c r="L74" t="s">
        <v>31</v>
      </c>
      <c r="M74" t="s">
        <v>22</v>
      </c>
      <c r="N74" t="s">
        <v>15</v>
      </c>
      <c r="O74" t="s">
        <v>24</v>
      </c>
      <c r="P74" t="str">
        <f>Table1[[#This Row],[Region]]&amp;"|"&amp;Table1[[#This Row],[Sales Rep]]</f>
        <v>North|David</v>
      </c>
    </row>
    <row r="75" spans="1:16" x14ac:dyDescent="0.35">
      <c r="A75">
        <v>1006</v>
      </c>
      <c r="B75" s="1">
        <v>45185</v>
      </c>
      <c r="C75" t="s">
        <v>14</v>
      </c>
      <c r="D75" t="s">
        <v>15</v>
      </c>
      <c r="E75">
        <v>8995.75</v>
      </c>
      <c r="F75">
        <v>49</v>
      </c>
      <c r="G75" t="s">
        <v>26</v>
      </c>
      <c r="H75">
        <v>2843.76</v>
      </c>
      <c r="I75">
        <v>3146.6</v>
      </c>
      <c r="J75" t="s">
        <v>30</v>
      </c>
      <c r="K75">
        <v>0.08</v>
      </c>
      <c r="L75" t="s">
        <v>18</v>
      </c>
      <c r="M75" t="s">
        <v>22</v>
      </c>
      <c r="N75" t="s">
        <v>15</v>
      </c>
      <c r="O75" t="s">
        <v>14</v>
      </c>
      <c r="P75" t="str">
        <f>Table1[[#This Row],[Region]]&amp;"|"&amp;Table1[[#This Row],[Sales Rep]]</f>
        <v>North|Bob</v>
      </c>
    </row>
    <row r="76" spans="1:16" x14ac:dyDescent="0.35">
      <c r="A76">
        <v>1054</v>
      </c>
      <c r="B76" s="1">
        <v>45087</v>
      </c>
      <c r="C76" t="s">
        <v>14</v>
      </c>
      <c r="D76" t="s">
        <v>25</v>
      </c>
      <c r="E76">
        <v>7853.66</v>
      </c>
      <c r="F76">
        <v>21</v>
      </c>
      <c r="G76" t="s">
        <v>16</v>
      </c>
      <c r="H76">
        <v>4668.1400000000003</v>
      </c>
      <c r="I76">
        <v>5040.22</v>
      </c>
      <c r="J76" t="s">
        <v>30</v>
      </c>
      <c r="K76">
        <v>0.05</v>
      </c>
      <c r="L76" t="s">
        <v>27</v>
      </c>
      <c r="M76" t="s">
        <v>19</v>
      </c>
      <c r="N76" t="s">
        <v>25</v>
      </c>
      <c r="O76" t="s">
        <v>14</v>
      </c>
      <c r="P76" t="str">
        <f>Table1[[#This Row],[Region]]&amp;"|"&amp;Table1[[#This Row],[Sales Rep]]</f>
        <v>South|Bob</v>
      </c>
    </row>
    <row r="77" spans="1:16" x14ac:dyDescent="0.35">
      <c r="A77">
        <v>1004</v>
      </c>
      <c r="B77" s="1">
        <v>45104</v>
      </c>
      <c r="C77" t="s">
        <v>42</v>
      </c>
      <c r="D77" t="s">
        <v>21</v>
      </c>
      <c r="E77">
        <v>7825.72</v>
      </c>
      <c r="F77">
        <v>2</v>
      </c>
      <c r="G77" t="s">
        <v>35</v>
      </c>
      <c r="H77">
        <v>2953.23</v>
      </c>
      <c r="I77">
        <v>2977.52</v>
      </c>
      <c r="J77" t="s">
        <v>17</v>
      </c>
      <c r="K77">
        <v>0.11</v>
      </c>
      <c r="L77" t="s">
        <v>31</v>
      </c>
      <c r="M77" t="s">
        <v>22</v>
      </c>
      <c r="N77" t="s">
        <v>21</v>
      </c>
      <c r="O77" t="s">
        <v>42</v>
      </c>
      <c r="P77" t="str">
        <f>Table1[[#This Row],[Region]]&amp;"|"&amp;Table1[[#This Row],[Sales Rep]]</f>
        <v>West|Alice</v>
      </c>
    </row>
    <row r="78" spans="1:16" x14ac:dyDescent="0.35">
      <c r="A78">
        <v>1054</v>
      </c>
      <c r="B78" s="1">
        <v>44936</v>
      </c>
      <c r="C78" t="s">
        <v>38</v>
      </c>
      <c r="D78" t="s">
        <v>25</v>
      </c>
      <c r="E78">
        <v>4634.16</v>
      </c>
      <c r="F78">
        <v>40</v>
      </c>
      <c r="G78" t="s">
        <v>16</v>
      </c>
      <c r="H78">
        <v>2654.11</v>
      </c>
      <c r="I78">
        <v>2929.32</v>
      </c>
      <c r="J78" t="s">
        <v>17</v>
      </c>
      <c r="K78">
        <v>0.08</v>
      </c>
      <c r="L78" t="s">
        <v>18</v>
      </c>
      <c r="M78" t="s">
        <v>19</v>
      </c>
      <c r="N78" t="s">
        <v>25</v>
      </c>
      <c r="O78" t="s">
        <v>38</v>
      </c>
      <c r="P78" t="str">
        <f>Table1[[#This Row],[Region]]&amp;"|"&amp;Table1[[#This Row],[Sales Rep]]</f>
        <v>South|Eve</v>
      </c>
    </row>
    <row r="79" spans="1:16" x14ac:dyDescent="0.35">
      <c r="A79">
        <v>1093</v>
      </c>
      <c r="B79" s="1">
        <v>45187</v>
      </c>
      <c r="C79" t="s">
        <v>24</v>
      </c>
      <c r="D79" t="s">
        <v>21</v>
      </c>
      <c r="E79">
        <v>4040.25</v>
      </c>
      <c r="F79">
        <v>19</v>
      </c>
      <c r="G79" t="s">
        <v>35</v>
      </c>
      <c r="H79">
        <v>3808.59</v>
      </c>
      <c r="I79">
        <v>3844.51</v>
      </c>
      <c r="J79" t="s">
        <v>30</v>
      </c>
      <c r="K79">
        <v>0.21</v>
      </c>
      <c r="L79" t="s">
        <v>31</v>
      </c>
      <c r="M79" t="s">
        <v>19</v>
      </c>
      <c r="N79" t="s">
        <v>21</v>
      </c>
      <c r="O79" t="s">
        <v>24</v>
      </c>
      <c r="P79" t="str">
        <f>Table1[[#This Row],[Region]]&amp;"|"&amp;Table1[[#This Row],[Sales Rep]]</f>
        <v>West|David</v>
      </c>
    </row>
    <row r="80" spans="1:16" x14ac:dyDescent="0.35">
      <c r="A80">
        <v>1063</v>
      </c>
      <c r="B80" s="1">
        <v>45064</v>
      </c>
      <c r="C80" t="s">
        <v>14</v>
      </c>
      <c r="D80" t="s">
        <v>21</v>
      </c>
      <c r="E80">
        <v>3098.87</v>
      </c>
      <c r="F80">
        <v>39</v>
      </c>
      <c r="G80" t="s">
        <v>26</v>
      </c>
      <c r="H80">
        <v>3577.69</v>
      </c>
      <c r="I80">
        <v>3931.25</v>
      </c>
      <c r="J80" t="s">
        <v>17</v>
      </c>
      <c r="K80">
        <v>0.21</v>
      </c>
      <c r="L80" t="s">
        <v>18</v>
      </c>
      <c r="M80" t="s">
        <v>22</v>
      </c>
      <c r="N80" t="s">
        <v>21</v>
      </c>
      <c r="O80" t="s">
        <v>14</v>
      </c>
      <c r="P80" t="str">
        <f>Table1[[#This Row],[Region]]&amp;"|"&amp;Table1[[#This Row],[Sales Rep]]</f>
        <v>West|Bob</v>
      </c>
    </row>
    <row r="81" spans="1:16" x14ac:dyDescent="0.35">
      <c r="A81">
        <v>1018</v>
      </c>
      <c r="B81" s="1">
        <v>45098</v>
      </c>
      <c r="C81" t="s">
        <v>38</v>
      </c>
      <c r="D81" t="s">
        <v>15</v>
      </c>
      <c r="E81">
        <v>750.38</v>
      </c>
      <c r="F81">
        <v>28</v>
      </c>
      <c r="G81" t="s">
        <v>29</v>
      </c>
      <c r="H81">
        <v>1006.14</v>
      </c>
      <c r="I81">
        <v>1043.45</v>
      </c>
      <c r="J81" t="s">
        <v>30</v>
      </c>
      <c r="K81">
        <v>0.15</v>
      </c>
      <c r="L81" t="s">
        <v>27</v>
      </c>
      <c r="M81" t="s">
        <v>22</v>
      </c>
      <c r="N81" t="s">
        <v>15</v>
      </c>
      <c r="O81" t="s">
        <v>38</v>
      </c>
      <c r="P81" t="str">
        <f>Table1[[#This Row],[Region]]&amp;"|"&amp;Table1[[#This Row],[Sales Rep]]</f>
        <v>North|Eve</v>
      </c>
    </row>
    <row r="82" spans="1:16" x14ac:dyDescent="0.35">
      <c r="A82">
        <v>1090</v>
      </c>
      <c r="B82" s="1">
        <v>44939</v>
      </c>
      <c r="C82" t="s">
        <v>42</v>
      </c>
      <c r="D82" t="s">
        <v>34</v>
      </c>
      <c r="E82">
        <v>2359.5300000000002</v>
      </c>
      <c r="F82">
        <v>17</v>
      </c>
      <c r="G82" t="s">
        <v>29</v>
      </c>
      <c r="H82">
        <v>2382.98</v>
      </c>
      <c r="I82">
        <v>2839.73</v>
      </c>
      <c r="J82" t="s">
        <v>17</v>
      </c>
      <c r="K82">
        <v>0.23</v>
      </c>
      <c r="L82" t="s">
        <v>27</v>
      </c>
      <c r="M82" t="s">
        <v>22</v>
      </c>
      <c r="N82" t="s">
        <v>34</v>
      </c>
      <c r="O82" t="s">
        <v>42</v>
      </c>
      <c r="P82" t="str">
        <f>Table1[[#This Row],[Region]]&amp;"|"&amp;Table1[[#This Row],[Sales Rep]]</f>
        <v>East|Alice</v>
      </c>
    </row>
    <row r="83" spans="1:16" x14ac:dyDescent="0.35">
      <c r="A83">
        <v>1044</v>
      </c>
      <c r="B83" s="1">
        <v>45094</v>
      </c>
      <c r="C83" t="s">
        <v>33</v>
      </c>
      <c r="D83" t="s">
        <v>15</v>
      </c>
      <c r="E83">
        <v>2541.38</v>
      </c>
      <c r="F83">
        <v>6</v>
      </c>
      <c r="G83" t="s">
        <v>16</v>
      </c>
      <c r="H83">
        <v>2388.9499999999998</v>
      </c>
      <c r="I83">
        <v>2742.97</v>
      </c>
      <c r="J83" t="s">
        <v>17</v>
      </c>
      <c r="K83">
        <v>0.25</v>
      </c>
      <c r="L83" t="s">
        <v>31</v>
      </c>
      <c r="M83" t="s">
        <v>22</v>
      </c>
      <c r="N83" t="s">
        <v>15</v>
      </c>
      <c r="O83" t="s">
        <v>33</v>
      </c>
      <c r="P83" t="str">
        <f>Table1[[#This Row],[Region]]&amp;"|"&amp;Table1[[#This Row],[Sales Rep]]</f>
        <v>North|Charlie</v>
      </c>
    </row>
    <row r="84" spans="1:16" x14ac:dyDescent="0.35">
      <c r="A84">
        <v>1034</v>
      </c>
      <c r="B84" s="1">
        <v>45056</v>
      </c>
      <c r="C84" t="s">
        <v>38</v>
      </c>
      <c r="D84" t="s">
        <v>34</v>
      </c>
      <c r="E84">
        <v>4892.3599999999997</v>
      </c>
      <c r="F84">
        <v>19</v>
      </c>
      <c r="G84" t="s">
        <v>29</v>
      </c>
      <c r="H84">
        <v>1922.21</v>
      </c>
      <c r="I84">
        <v>2180.83</v>
      </c>
      <c r="J84" t="s">
        <v>17</v>
      </c>
      <c r="K84">
        <v>0.17</v>
      </c>
      <c r="L84" t="s">
        <v>31</v>
      </c>
      <c r="M84" t="s">
        <v>22</v>
      </c>
      <c r="N84" t="s">
        <v>34</v>
      </c>
      <c r="O84" t="s">
        <v>38</v>
      </c>
      <c r="P84" t="str">
        <f>Table1[[#This Row],[Region]]&amp;"|"&amp;Table1[[#This Row],[Sales Rep]]</f>
        <v>East|Eve</v>
      </c>
    </row>
    <row r="85" spans="1:16" x14ac:dyDescent="0.35">
      <c r="A85">
        <v>1074</v>
      </c>
      <c r="B85" s="1">
        <v>45010</v>
      </c>
      <c r="C85" t="s">
        <v>38</v>
      </c>
      <c r="D85" t="s">
        <v>21</v>
      </c>
      <c r="E85">
        <v>7499.7</v>
      </c>
      <c r="F85">
        <v>38</v>
      </c>
      <c r="G85" t="s">
        <v>26</v>
      </c>
      <c r="H85">
        <v>2610.6</v>
      </c>
      <c r="I85">
        <v>2836.94</v>
      </c>
      <c r="J85" t="s">
        <v>17</v>
      </c>
      <c r="K85">
        <v>0.19</v>
      </c>
      <c r="L85" t="s">
        <v>31</v>
      </c>
      <c r="M85" t="s">
        <v>19</v>
      </c>
      <c r="N85" t="s">
        <v>21</v>
      </c>
      <c r="O85" t="s">
        <v>38</v>
      </c>
      <c r="P85" t="str">
        <f>Table1[[#This Row],[Region]]&amp;"|"&amp;Table1[[#This Row],[Sales Rep]]</f>
        <v>West|Eve</v>
      </c>
    </row>
    <row r="86" spans="1:16" x14ac:dyDescent="0.35">
      <c r="A86">
        <v>1062</v>
      </c>
      <c r="B86" s="1">
        <v>45247</v>
      </c>
      <c r="C86" t="s">
        <v>33</v>
      </c>
      <c r="D86" t="s">
        <v>15</v>
      </c>
      <c r="E86">
        <v>4790.72</v>
      </c>
      <c r="F86">
        <v>28</v>
      </c>
      <c r="G86" t="s">
        <v>29</v>
      </c>
      <c r="H86">
        <v>2094.88</v>
      </c>
      <c r="I86">
        <v>2168.91</v>
      </c>
      <c r="J86" t="s">
        <v>17</v>
      </c>
      <c r="K86">
        <v>0.08</v>
      </c>
      <c r="L86" t="s">
        <v>18</v>
      </c>
      <c r="M86" t="s">
        <v>22</v>
      </c>
      <c r="N86" t="s">
        <v>15</v>
      </c>
      <c r="O86" t="s">
        <v>33</v>
      </c>
      <c r="P86" t="str">
        <f>Table1[[#This Row],[Region]]&amp;"|"&amp;Table1[[#This Row],[Sales Rep]]</f>
        <v>North|Charlie</v>
      </c>
    </row>
    <row r="87" spans="1:16" x14ac:dyDescent="0.35">
      <c r="A87">
        <v>1100</v>
      </c>
      <c r="B87" s="1">
        <v>45245</v>
      </c>
      <c r="C87" t="s">
        <v>38</v>
      </c>
      <c r="D87" t="s">
        <v>34</v>
      </c>
      <c r="E87">
        <v>672.66</v>
      </c>
      <c r="F87">
        <v>2</v>
      </c>
      <c r="G87" t="s">
        <v>16</v>
      </c>
      <c r="H87">
        <v>1036.76</v>
      </c>
      <c r="I87">
        <v>1189.3499999999999</v>
      </c>
      <c r="J87" t="s">
        <v>30</v>
      </c>
      <c r="K87">
        <v>0.27</v>
      </c>
      <c r="L87" t="s">
        <v>27</v>
      </c>
      <c r="M87" t="s">
        <v>19</v>
      </c>
      <c r="N87" t="s">
        <v>34</v>
      </c>
      <c r="O87" t="s">
        <v>38</v>
      </c>
      <c r="P87" t="str">
        <f>Table1[[#This Row],[Region]]&amp;"|"&amp;Table1[[#This Row],[Sales Rep]]</f>
        <v>East|Eve</v>
      </c>
    </row>
    <row r="88" spans="1:16" x14ac:dyDescent="0.35">
      <c r="A88">
        <v>1014</v>
      </c>
      <c r="B88" s="1">
        <v>45027</v>
      </c>
      <c r="C88" t="s">
        <v>42</v>
      </c>
      <c r="D88" t="s">
        <v>25</v>
      </c>
      <c r="E88">
        <v>9582.1200000000008</v>
      </c>
      <c r="F88">
        <v>38</v>
      </c>
      <c r="G88" t="s">
        <v>26</v>
      </c>
      <c r="H88">
        <v>2091.21</v>
      </c>
      <c r="I88">
        <v>2527</v>
      </c>
      <c r="J88" t="s">
        <v>17</v>
      </c>
      <c r="K88">
        <v>0.01</v>
      </c>
      <c r="L88" t="s">
        <v>31</v>
      </c>
      <c r="M88" t="s">
        <v>19</v>
      </c>
      <c r="N88" t="s">
        <v>25</v>
      </c>
      <c r="O88" t="s">
        <v>42</v>
      </c>
      <c r="P88" t="str">
        <f>Table1[[#This Row],[Region]]&amp;"|"&amp;Table1[[#This Row],[Sales Rep]]</f>
        <v>South|Alice</v>
      </c>
    </row>
    <row r="89" spans="1:16" x14ac:dyDescent="0.35">
      <c r="A89">
        <v>1095</v>
      </c>
      <c r="B89" s="1">
        <v>45255</v>
      </c>
      <c r="C89" t="s">
        <v>42</v>
      </c>
      <c r="D89" t="s">
        <v>34</v>
      </c>
      <c r="E89">
        <v>9432.9699999999993</v>
      </c>
      <c r="F89">
        <v>37</v>
      </c>
      <c r="G89" t="s">
        <v>35</v>
      </c>
      <c r="H89">
        <v>407.77</v>
      </c>
      <c r="I89">
        <v>860.95</v>
      </c>
      <c r="J89" t="s">
        <v>30</v>
      </c>
      <c r="K89">
        <v>0.1</v>
      </c>
      <c r="L89" t="s">
        <v>31</v>
      </c>
      <c r="M89" t="s">
        <v>22</v>
      </c>
      <c r="N89" t="s">
        <v>34</v>
      </c>
      <c r="O89" t="s">
        <v>42</v>
      </c>
      <c r="P89" t="str">
        <f>Table1[[#This Row],[Region]]&amp;"|"&amp;Table1[[#This Row],[Sales Rep]]</f>
        <v>East|Alice</v>
      </c>
    </row>
    <row r="90" spans="1:16" x14ac:dyDescent="0.35">
      <c r="A90">
        <v>1048</v>
      </c>
      <c r="B90" s="1">
        <v>45199</v>
      </c>
      <c r="C90" t="s">
        <v>33</v>
      </c>
      <c r="D90" t="s">
        <v>15</v>
      </c>
      <c r="E90">
        <v>7873.38</v>
      </c>
      <c r="F90">
        <v>4</v>
      </c>
      <c r="G90" t="s">
        <v>16</v>
      </c>
      <c r="H90">
        <v>2900.14</v>
      </c>
      <c r="I90">
        <v>2910.5099999999902</v>
      </c>
      <c r="J90" t="s">
        <v>30</v>
      </c>
      <c r="K90">
        <v>0.22</v>
      </c>
      <c r="L90" t="s">
        <v>31</v>
      </c>
      <c r="M90" t="s">
        <v>22</v>
      </c>
      <c r="N90" t="s">
        <v>15</v>
      </c>
      <c r="O90" t="s">
        <v>33</v>
      </c>
      <c r="P90" t="str">
        <f>Table1[[#This Row],[Region]]&amp;"|"&amp;Table1[[#This Row],[Sales Rep]]</f>
        <v>North|Charlie</v>
      </c>
    </row>
    <row r="91" spans="1:16" x14ac:dyDescent="0.35">
      <c r="A91">
        <v>1015</v>
      </c>
      <c r="B91" s="1">
        <v>45191</v>
      </c>
      <c r="C91" t="s">
        <v>24</v>
      </c>
      <c r="D91" t="s">
        <v>25</v>
      </c>
      <c r="E91">
        <v>9914.15</v>
      </c>
      <c r="F91">
        <v>22</v>
      </c>
      <c r="G91" t="s">
        <v>35</v>
      </c>
      <c r="H91">
        <v>4275.59</v>
      </c>
      <c r="I91">
        <v>4576.72</v>
      </c>
      <c r="J91" t="s">
        <v>17</v>
      </c>
      <c r="K91">
        <v>0.02</v>
      </c>
      <c r="L91" t="s">
        <v>18</v>
      </c>
      <c r="M91" t="s">
        <v>22</v>
      </c>
      <c r="N91" t="s">
        <v>25</v>
      </c>
      <c r="O91" t="s">
        <v>24</v>
      </c>
      <c r="P91" t="str">
        <f>Table1[[#This Row],[Region]]&amp;"|"&amp;Table1[[#This Row],[Sales Rep]]</f>
        <v>South|David</v>
      </c>
    </row>
    <row r="92" spans="1:16" x14ac:dyDescent="0.35">
      <c r="A92">
        <v>1072</v>
      </c>
      <c r="B92" s="1">
        <v>44964</v>
      </c>
      <c r="C92" t="s">
        <v>14</v>
      </c>
      <c r="D92" t="s">
        <v>34</v>
      </c>
      <c r="E92">
        <v>5490.38</v>
      </c>
      <c r="F92">
        <v>26</v>
      </c>
      <c r="G92" t="s">
        <v>26</v>
      </c>
      <c r="H92">
        <v>3640.17</v>
      </c>
      <c r="I92">
        <v>4002.63</v>
      </c>
      <c r="J92" t="s">
        <v>30</v>
      </c>
      <c r="K92">
        <v>0.05</v>
      </c>
      <c r="L92" t="s">
        <v>31</v>
      </c>
      <c r="M92" t="s">
        <v>22</v>
      </c>
      <c r="N92" t="s">
        <v>34</v>
      </c>
      <c r="O92" t="s">
        <v>14</v>
      </c>
      <c r="P92" t="str">
        <f>Table1[[#This Row],[Region]]&amp;"|"&amp;Table1[[#This Row],[Sales Rep]]</f>
        <v>East|Bob</v>
      </c>
    </row>
    <row r="93" spans="1:16" x14ac:dyDescent="0.35">
      <c r="A93">
        <v>1078</v>
      </c>
      <c r="B93" s="1">
        <v>45020</v>
      </c>
      <c r="C93" t="s">
        <v>24</v>
      </c>
      <c r="D93" t="s">
        <v>34</v>
      </c>
      <c r="E93">
        <v>9631.41</v>
      </c>
      <c r="F93">
        <v>49</v>
      </c>
      <c r="G93" t="s">
        <v>16</v>
      </c>
      <c r="H93">
        <v>1833.95</v>
      </c>
      <c r="I93">
        <v>2147.14</v>
      </c>
      <c r="J93" t="s">
        <v>17</v>
      </c>
      <c r="K93">
        <v>0.18</v>
      </c>
      <c r="L93" t="s">
        <v>31</v>
      </c>
      <c r="M93" t="s">
        <v>22</v>
      </c>
      <c r="N93" t="s">
        <v>34</v>
      </c>
      <c r="O93" t="s">
        <v>24</v>
      </c>
      <c r="P93" t="str">
        <f>Table1[[#This Row],[Region]]&amp;"|"&amp;Table1[[#This Row],[Sales Rep]]</f>
        <v>East|David</v>
      </c>
    </row>
    <row r="94" spans="1:16" x14ac:dyDescent="0.35">
      <c r="A94">
        <v>1087</v>
      </c>
      <c r="B94" s="1">
        <v>45021</v>
      </c>
      <c r="C94" t="s">
        <v>38</v>
      </c>
      <c r="D94" t="s">
        <v>34</v>
      </c>
      <c r="E94">
        <v>848.49</v>
      </c>
      <c r="F94">
        <v>43</v>
      </c>
      <c r="G94" t="s">
        <v>16</v>
      </c>
      <c r="H94">
        <v>481</v>
      </c>
      <c r="I94">
        <v>531.02</v>
      </c>
      <c r="J94" t="s">
        <v>30</v>
      </c>
      <c r="K94">
        <v>0.17</v>
      </c>
      <c r="L94" t="s">
        <v>18</v>
      </c>
      <c r="M94" t="s">
        <v>19</v>
      </c>
      <c r="N94" t="s">
        <v>34</v>
      </c>
      <c r="O94" t="s">
        <v>38</v>
      </c>
      <c r="P94" t="str">
        <f>Table1[[#This Row],[Region]]&amp;"|"&amp;Table1[[#This Row],[Sales Rep]]</f>
        <v>East|Eve</v>
      </c>
    </row>
    <row r="95" spans="1:16" x14ac:dyDescent="0.35">
      <c r="A95">
        <v>1062</v>
      </c>
      <c r="B95" s="1">
        <v>45231</v>
      </c>
      <c r="C95" t="s">
        <v>14</v>
      </c>
      <c r="D95" t="s">
        <v>34</v>
      </c>
      <c r="E95">
        <v>3720.24</v>
      </c>
      <c r="F95">
        <v>36</v>
      </c>
      <c r="G95" t="s">
        <v>26</v>
      </c>
      <c r="H95">
        <v>1050.6400000000001</v>
      </c>
      <c r="I95">
        <v>1167.33</v>
      </c>
      <c r="J95" t="s">
        <v>30</v>
      </c>
      <c r="K95">
        <v>0.22</v>
      </c>
      <c r="L95" t="s">
        <v>18</v>
      </c>
      <c r="M95" t="s">
        <v>19</v>
      </c>
      <c r="N95" t="s">
        <v>34</v>
      </c>
      <c r="O95" t="s">
        <v>14</v>
      </c>
      <c r="P95" t="str">
        <f>Table1[[#This Row],[Region]]&amp;"|"&amp;Table1[[#This Row],[Sales Rep]]</f>
        <v>East|Bob</v>
      </c>
    </row>
    <row r="96" spans="1:16" x14ac:dyDescent="0.35">
      <c r="A96">
        <v>1040</v>
      </c>
      <c r="B96" s="1">
        <v>44995</v>
      </c>
      <c r="C96" t="s">
        <v>33</v>
      </c>
      <c r="D96" t="s">
        <v>34</v>
      </c>
      <c r="E96">
        <v>2331.27</v>
      </c>
      <c r="F96">
        <v>13</v>
      </c>
      <c r="G96" t="s">
        <v>29</v>
      </c>
      <c r="H96">
        <v>2750.18</v>
      </c>
      <c r="I96">
        <v>2882.85</v>
      </c>
      <c r="J96" t="s">
        <v>17</v>
      </c>
      <c r="K96">
        <v>0.24</v>
      </c>
      <c r="L96" t="s">
        <v>31</v>
      </c>
      <c r="M96" t="s">
        <v>19</v>
      </c>
      <c r="N96" t="s">
        <v>34</v>
      </c>
      <c r="O96" t="s">
        <v>33</v>
      </c>
      <c r="P96" t="str">
        <f>Table1[[#This Row],[Region]]&amp;"|"&amp;Table1[[#This Row],[Sales Rep]]</f>
        <v>East|Charlie</v>
      </c>
    </row>
    <row r="97" spans="1:16" x14ac:dyDescent="0.35">
      <c r="A97">
        <v>1085</v>
      </c>
      <c r="B97" s="1">
        <v>45244</v>
      </c>
      <c r="C97" t="s">
        <v>33</v>
      </c>
      <c r="D97" t="s">
        <v>25</v>
      </c>
      <c r="E97">
        <v>2038.75</v>
      </c>
      <c r="F97">
        <v>32</v>
      </c>
      <c r="G97" t="s">
        <v>16</v>
      </c>
      <c r="H97">
        <v>1074.93</v>
      </c>
      <c r="I97">
        <v>1492.48</v>
      </c>
      <c r="J97" t="s">
        <v>17</v>
      </c>
      <c r="K97">
        <v>0.04</v>
      </c>
      <c r="L97" t="s">
        <v>31</v>
      </c>
      <c r="M97" t="s">
        <v>22</v>
      </c>
      <c r="N97" t="s">
        <v>25</v>
      </c>
      <c r="O97" t="s">
        <v>33</v>
      </c>
      <c r="P97" t="str">
        <f>Table1[[#This Row],[Region]]&amp;"|"&amp;Table1[[#This Row],[Sales Rep]]</f>
        <v>South|Charlie</v>
      </c>
    </row>
    <row r="98" spans="1:16" x14ac:dyDescent="0.35">
      <c r="A98">
        <v>1080</v>
      </c>
      <c r="B98" s="1">
        <v>45162</v>
      </c>
      <c r="C98" t="s">
        <v>14</v>
      </c>
      <c r="D98" t="s">
        <v>21</v>
      </c>
      <c r="E98">
        <v>1493.95</v>
      </c>
      <c r="F98">
        <v>17</v>
      </c>
      <c r="G98" t="s">
        <v>16</v>
      </c>
      <c r="H98">
        <v>2742.67</v>
      </c>
      <c r="I98">
        <v>2979.64</v>
      </c>
      <c r="J98" t="s">
        <v>17</v>
      </c>
      <c r="K98">
        <v>0.01</v>
      </c>
      <c r="L98" t="s">
        <v>18</v>
      </c>
      <c r="M98" t="s">
        <v>22</v>
      </c>
      <c r="N98" t="s">
        <v>21</v>
      </c>
      <c r="O98" t="s">
        <v>14</v>
      </c>
      <c r="P98" t="str">
        <f>Table1[[#This Row],[Region]]&amp;"|"&amp;Table1[[#This Row],[Sales Rep]]</f>
        <v>West|Bob</v>
      </c>
    </row>
    <row r="99" spans="1:16" x14ac:dyDescent="0.35">
      <c r="A99">
        <v>1082</v>
      </c>
      <c r="B99" s="1">
        <v>45260</v>
      </c>
      <c r="C99" t="s">
        <v>42</v>
      </c>
      <c r="D99" t="s">
        <v>25</v>
      </c>
      <c r="E99">
        <v>6261.9</v>
      </c>
      <c r="F99">
        <v>41</v>
      </c>
      <c r="G99" t="s">
        <v>35</v>
      </c>
      <c r="H99">
        <v>1196.42</v>
      </c>
      <c r="I99">
        <v>1444.97</v>
      </c>
      <c r="J99" t="s">
        <v>17</v>
      </c>
      <c r="K99">
        <v>0.21</v>
      </c>
      <c r="L99" t="s">
        <v>27</v>
      </c>
      <c r="M99" t="s">
        <v>19</v>
      </c>
      <c r="N99" t="s">
        <v>25</v>
      </c>
      <c r="O99" t="s">
        <v>42</v>
      </c>
      <c r="P99" t="str">
        <f>Table1[[#This Row],[Region]]&amp;"|"&amp;Table1[[#This Row],[Sales Rep]]</f>
        <v>South|Alice</v>
      </c>
    </row>
    <row r="100" spans="1:16" x14ac:dyDescent="0.35">
      <c r="A100">
        <v>1053</v>
      </c>
      <c r="B100" s="1">
        <v>45063</v>
      </c>
      <c r="C100" t="s">
        <v>14</v>
      </c>
      <c r="D100" t="s">
        <v>25</v>
      </c>
      <c r="E100">
        <v>7835.09</v>
      </c>
      <c r="F100">
        <v>36</v>
      </c>
      <c r="G100" t="s">
        <v>29</v>
      </c>
      <c r="H100">
        <v>4252.17</v>
      </c>
      <c r="I100">
        <v>4720.2700000000004</v>
      </c>
      <c r="J100" t="s">
        <v>30</v>
      </c>
      <c r="K100">
        <v>0.09</v>
      </c>
      <c r="L100" t="s">
        <v>18</v>
      </c>
      <c r="M100" t="s">
        <v>22</v>
      </c>
      <c r="N100" t="s">
        <v>25</v>
      </c>
      <c r="O100" t="s">
        <v>14</v>
      </c>
      <c r="P100" t="str">
        <f>Table1[[#This Row],[Region]]&amp;"|"&amp;Table1[[#This Row],[Sales Rep]]</f>
        <v>South|Bob</v>
      </c>
    </row>
    <row r="101" spans="1:16" x14ac:dyDescent="0.35">
      <c r="A101">
        <v>1024</v>
      </c>
      <c r="B101" s="1">
        <v>45002</v>
      </c>
      <c r="C101" t="s">
        <v>38</v>
      </c>
      <c r="D101" t="s">
        <v>25</v>
      </c>
      <c r="E101">
        <v>5825.15</v>
      </c>
      <c r="F101">
        <v>46</v>
      </c>
      <c r="G101" t="s">
        <v>35</v>
      </c>
      <c r="H101">
        <v>2016.49</v>
      </c>
      <c r="I101">
        <v>2338.66</v>
      </c>
      <c r="J101" t="s">
        <v>17</v>
      </c>
      <c r="K101">
        <v>0.19</v>
      </c>
      <c r="L101" t="s">
        <v>27</v>
      </c>
      <c r="M101" t="s">
        <v>22</v>
      </c>
      <c r="N101" t="s">
        <v>25</v>
      </c>
      <c r="O101" t="s">
        <v>38</v>
      </c>
      <c r="P101" t="str">
        <f>Table1[[#This Row],[Region]]&amp;"|"&amp;Table1[[#This Row],[Sales Rep]]</f>
        <v>South|Eve</v>
      </c>
    </row>
    <row r="102" spans="1:16" x14ac:dyDescent="0.35">
      <c r="A102">
        <v>1026</v>
      </c>
      <c r="B102" s="1">
        <v>44961</v>
      </c>
      <c r="C102" t="s">
        <v>42</v>
      </c>
      <c r="D102" t="s">
        <v>21</v>
      </c>
      <c r="E102">
        <v>1554.93</v>
      </c>
      <c r="F102">
        <v>19</v>
      </c>
      <c r="G102" t="s">
        <v>35</v>
      </c>
      <c r="H102">
        <v>1265.48</v>
      </c>
      <c r="I102">
        <v>1715.83</v>
      </c>
      <c r="J102" t="s">
        <v>30</v>
      </c>
      <c r="K102">
        <v>0.05</v>
      </c>
      <c r="L102" t="s">
        <v>31</v>
      </c>
      <c r="M102" t="s">
        <v>22</v>
      </c>
      <c r="N102" t="s">
        <v>21</v>
      </c>
      <c r="O102" t="s">
        <v>42</v>
      </c>
      <c r="P102" t="str">
        <f>Table1[[#This Row],[Region]]&amp;"|"&amp;Table1[[#This Row],[Sales Rep]]</f>
        <v>West|Alice</v>
      </c>
    </row>
    <row r="103" spans="1:16" x14ac:dyDescent="0.35">
      <c r="A103">
        <v>1089</v>
      </c>
      <c r="B103" s="1">
        <v>44927</v>
      </c>
      <c r="C103" t="s">
        <v>33</v>
      </c>
      <c r="D103" t="s">
        <v>15</v>
      </c>
      <c r="E103">
        <v>8130.13</v>
      </c>
      <c r="F103">
        <v>35</v>
      </c>
      <c r="G103" t="s">
        <v>29</v>
      </c>
      <c r="H103">
        <v>4071.01</v>
      </c>
      <c r="I103">
        <v>4304.7</v>
      </c>
      <c r="J103" t="s">
        <v>30</v>
      </c>
      <c r="K103">
        <v>0.14000000000000001</v>
      </c>
      <c r="L103" t="s">
        <v>31</v>
      </c>
      <c r="M103" t="s">
        <v>19</v>
      </c>
      <c r="N103" t="s">
        <v>15</v>
      </c>
      <c r="O103" t="s">
        <v>33</v>
      </c>
      <c r="P103" t="str">
        <f>Table1[[#This Row],[Region]]&amp;"|"&amp;Table1[[#This Row],[Sales Rep]]</f>
        <v>North|Charlie</v>
      </c>
    </row>
    <row r="104" spans="1:16" x14ac:dyDescent="0.35">
      <c r="A104">
        <v>1060</v>
      </c>
      <c r="B104" s="1">
        <v>45222</v>
      </c>
      <c r="C104" t="s">
        <v>14</v>
      </c>
      <c r="D104" t="s">
        <v>21</v>
      </c>
      <c r="E104">
        <v>6395.95</v>
      </c>
      <c r="F104">
        <v>46</v>
      </c>
      <c r="G104" t="s">
        <v>29</v>
      </c>
      <c r="H104">
        <v>1747.05</v>
      </c>
      <c r="I104">
        <v>1830.27</v>
      </c>
      <c r="J104" t="s">
        <v>30</v>
      </c>
      <c r="K104">
        <v>0.15</v>
      </c>
      <c r="L104" t="s">
        <v>27</v>
      </c>
      <c r="M104" t="s">
        <v>22</v>
      </c>
      <c r="N104" t="s">
        <v>21</v>
      </c>
      <c r="O104" t="s">
        <v>14</v>
      </c>
      <c r="P104" t="str">
        <f>Table1[[#This Row],[Region]]&amp;"|"&amp;Table1[[#This Row],[Sales Rep]]</f>
        <v>West|Bob</v>
      </c>
    </row>
    <row r="105" spans="1:16" x14ac:dyDescent="0.35">
      <c r="A105">
        <v>1041</v>
      </c>
      <c r="B105" s="1">
        <v>45246</v>
      </c>
      <c r="C105" t="s">
        <v>24</v>
      </c>
      <c r="D105" t="s">
        <v>25</v>
      </c>
      <c r="E105">
        <v>3942.84</v>
      </c>
      <c r="F105">
        <v>40</v>
      </c>
      <c r="G105" t="s">
        <v>26</v>
      </c>
      <c r="H105">
        <v>601.86</v>
      </c>
      <c r="I105">
        <v>1067.53</v>
      </c>
      <c r="J105" t="s">
        <v>30</v>
      </c>
      <c r="K105">
        <v>0.18</v>
      </c>
      <c r="L105" t="s">
        <v>18</v>
      </c>
      <c r="M105" t="s">
        <v>19</v>
      </c>
      <c r="N105" t="s">
        <v>25</v>
      </c>
      <c r="O105" t="s">
        <v>24</v>
      </c>
      <c r="P105" t="str">
        <f>Table1[[#This Row],[Region]]&amp;"|"&amp;Table1[[#This Row],[Sales Rep]]</f>
        <v>South|David</v>
      </c>
    </row>
    <row r="106" spans="1:16" x14ac:dyDescent="0.35">
      <c r="A106">
        <v>1029</v>
      </c>
      <c r="B106" s="1">
        <v>44986</v>
      </c>
      <c r="C106" t="s">
        <v>24</v>
      </c>
      <c r="D106" t="s">
        <v>34</v>
      </c>
      <c r="E106">
        <v>6773.89</v>
      </c>
      <c r="F106">
        <v>28</v>
      </c>
      <c r="G106" t="s">
        <v>29</v>
      </c>
      <c r="H106">
        <v>2873.53</v>
      </c>
      <c r="I106">
        <v>3108.3</v>
      </c>
      <c r="J106" t="s">
        <v>30</v>
      </c>
      <c r="K106">
        <v>0.15</v>
      </c>
      <c r="L106" t="s">
        <v>31</v>
      </c>
      <c r="M106" t="s">
        <v>22</v>
      </c>
      <c r="N106" t="s">
        <v>34</v>
      </c>
      <c r="O106" t="s">
        <v>24</v>
      </c>
      <c r="P106" t="str">
        <f>Table1[[#This Row],[Region]]&amp;"|"&amp;Table1[[#This Row],[Sales Rep]]</f>
        <v>East|David</v>
      </c>
    </row>
    <row r="107" spans="1:16" x14ac:dyDescent="0.35">
      <c r="A107">
        <v>1015</v>
      </c>
      <c r="B107" s="1">
        <v>45246</v>
      </c>
      <c r="C107" t="s">
        <v>38</v>
      </c>
      <c r="D107" t="s">
        <v>34</v>
      </c>
      <c r="E107">
        <v>2673.06</v>
      </c>
      <c r="F107">
        <v>1</v>
      </c>
      <c r="G107" t="s">
        <v>16</v>
      </c>
      <c r="H107">
        <v>2928.74</v>
      </c>
      <c r="I107">
        <v>3027.74</v>
      </c>
      <c r="J107" t="s">
        <v>30</v>
      </c>
      <c r="K107">
        <v>0.15</v>
      </c>
      <c r="L107" t="s">
        <v>27</v>
      </c>
      <c r="M107" t="s">
        <v>22</v>
      </c>
      <c r="N107" t="s">
        <v>34</v>
      </c>
      <c r="O107" t="s">
        <v>38</v>
      </c>
      <c r="P107" t="str">
        <f>Table1[[#This Row],[Region]]&amp;"|"&amp;Table1[[#This Row],[Sales Rep]]</f>
        <v>East|Eve</v>
      </c>
    </row>
    <row r="108" spans="1:16" x14ac:dyDescent="0.35">
      <c r="A108">
        <v>1045</v>
      </c>
      <c r="B108" s="1">
        <v>45275</v>
      </c>
      <c r="C108" t="s">
        <v>24</v>
      </c>
      <c r="D108" t="s">
        <v>25</v>
      </c>
      <c r="E108">
        <v>3517.4</v>
      </c>
      <c r="F108">
        <v>42</v>
      </c>
      <c r="G108" t="s">
        <v>29</v>
      </c>
      <c r="H108">
        <v>3587.74</v>
      </c>
      <c r="I108">
        <v>3745.91</v>
      </c>
      <c r="J108" t="s">
        <v>17</v>
      </c>
      <c r="K108">
        <v>0.1</v>
      </c>
      <c r="L108" t="s">
        <v>18</v>
      </c>
      <c r="M108" t="s">
        <v>19</v>
      </c>
      <c r="N108" t="s">
        <v>25</v>
      </c>
      <c r="O108" t="s">
        <v>24</v>
      </c>
      <c r="P108" t="str">
        <f>Table1[[#This Row],[Region]]&amp;"|"&amp;Table1[[#This Row],[Sales Rep]]</f>
        <v>South|David</v>
      </c>
    </row>
    <row r="109" spans="1:16" x14ac:dyDescent="0.35">
      <c r="A109">
        <v>1065</v>
      </c>
      <c r="B109" s="1">
        <v>45254</v>
      </c>
      <c r="C109" t="s">
        <v>14</v>
      </c>
      <c r="D109" t="s">
        <v>34</v>
      </c>
      <c r="E109">
        <v>9183.11</v>
      </c>
      <c r="F109">
        <v>18</v>
      </c>
      <c r="G109" t="s">
        <v>26</v>
      </c>
      <c r="H109">
        <v>1239.0899999999999</v>
      </c>
      <c r="I109">
        <v>1273.98</v>
      </c>
      <c r="J109" t="s">
        <v>30</v>
      </c>
      <c r="K109">
        <v>0.02</v>
      </c>
      <c r="L109" t="s">
        <v>27</v>
      </c>
      <c r="M109" t="s">
        <v>22</v>
      </c>
      <c r="N109" t="s">
        <v>34</v>
      </c>
      <c r="O109" t="s">
        <v>14</v>
      </c>
      <c r="P109" t="str">
        <f>Table1[[#This Row],[Region]]&amp;"|"&amp;Table1[[#This Row],[Sales Rep]]</f>
        <v>East|Bob</v>
      </c>
    </row>
    <row r="110" spans="1:16" x14ac:dyDescent="0.35">
      <c r="A110">
        <v>1089</v>
      </c>
      <c r="B110" s="1">
        <v>45193</v>
      </c>
      <c r="C110" t="s">
        <v>14</v>
      </c>
      <c r="D110" t="s">
        <v>25</v>
      </c>
      <c r="E110">
        <v>2975.99</v>
      </c>
      <c r="F110">
        <v>48</v>
      </c>
      <c r="G110" t="s">
        <v>26</v>
      </c>
      <c r="H110">
        <v>2246.67</v>
      </c>
      <c r="I110">
        <v>2486.14</v>
      </c>
      <c r="J110" t="s">
        <v>30</v>
      </c>
      <c r="K110">
        <v>0.03</v>
      </c>
      <c r="L110" t="s">
        <v>18</v>
      </c>
      <c r="M110" t="s">
        <v>22</v>
      </c>
      <c r="N110" t="s">
        <v>25</v>
      </c>
      <c r="O110" t="s">
        <v>14</v>
      </c>
      <c r="P110" t="str">
        <f>Table1[[#This Row],[Region]]&amp;"|"&amp;Table1[[#This Row],[Sales Rep]]</f>
        <v>South|Bob</v>
      </c>
    </row>
    <row r="111" spans="1:16" x14ac:dyDescent="0.35">
      <c r="A111">
        <v>1071</v>
      </c>
      <c r="B111" s="1">
        <v>45287</v>
      </c>
      <c r="C111" t="s">
        <v>24</v>
      </c>
      <c r="D111" t="s">
        <v>34</v>
      </c>
      <c r="E111">
        <v>4752.88</v>
      </c>
      <c r="F111">
        <v>40</v>
      </c>
      <c r="G111" t="s">
        <v>26</v>
      </c>
      <c r="H111">
        <v>1447.72</v>
      </c>
      <c r="I111">
        <v>1875.75</v>
      </c>
      <c r="J111" t="s">
        <v>30</v>
      </c>
      <c r="K111">
        <v>0.13</v>
      </c>
      <c r="L111" t="s">
        <v>18</v>
      </c>
      <c r="M111" t="s">
        <v>22</v>
      </c>
      <c r="N111" t="s">
        <v>34</v>
      </c>
      <c r="O111" t="s">
        <v>24</v>
      </c>
      <c r="P111" t="str">
        <f>Table1[[#This Row],[Region]]&amp;"|"&amp;Table1[[#This Row],[Sales Rep]]</f>
        <v>East|David</v>
      </c>
    </row>
    <row r="112" spans="1:16" x14ac:dyDescent="0.35">
      <c r="A112">
        <v>1009</v>
      </c>
      <c r="B112" s="1">
        <v>45155</v>
      </c>
      <c r="C112" t="s">
        <v>14</v>
      </c>
      <c r="D112" t="s">
        <v>21</v>
      </c>
      <c r="E112">
        <v>8912.4</v>
      </c>
      <c r="F112">
        <v>33</v>
      </c>
      <c r="G112" t="s">
        <v>29</v>
      </c>
      <c r="H112">
        <v>450.72</v>
      </c>
      <c r="I112">
        <v>918.17</v>
      </c>
      <c r="J112" t="s">
        <v>17</v>
      </c>
      <c r="K112">
        <v>0.11</v>
      </c>
      <c r="L112" t="s">
        <v>18</v>
      </c>
      <c r="M112" t="s">
        <v>19</v>
      </c>
      <c r="N112" t="s">
        <v>21</v>
      </c>
      <c r="O112" t="s">
        <v>14</v>
      </c>
      <c r="P112" t="str">
        <f>Table1[[#This Row],[Region]]&amp;"|"&amp;Table1[[#This Row],[Sales Rep]]</f>
        <v>West|Bob</v>
      </c>
    </row>
    <row r="113" spans="1:16" x14ac:dyDescent="0.35">
      <c r="A113">
        <v>1088</v>
      </c>
      <c r="B113" s="1">
        <v>45196</v>
      </c>
      <c r="C113" t="s">
        <v>38</v>
      </c>
      <c r="D113" t="s">
        <v>15</v>
      </c>
      <c r="E113">
        <v>7106.44</v>
      </c>
      <c r="F113">
        <v>12</v>
      </c>
      <c r="G113" t="s">
        <v>29</v>
      </c>
      <c r="H113">
        <v>4389.24</v>
      </c>
      <c r="I113">
        <v>4856.2199999999903</v>
      </c>
      <c r="J113" t="s">
        <v>17</v>
      </c>
      <c r="K113">
        <v>0.15</v>
      </c>
      <c r="L113" t="s">
        <v>18</v>
      </c>
      <c r="M113" t="s">
        <v>22</v>
      </c>
      <c r="N113" t="s">
        <v>15</v>
      </c>
      <c r="O113" t="s">
        <v>38</v>
      </c>
      <c r="P113" t="str">
        <f>Table1[[#This Row],[Region]]&amp;"|"&amp;Table1[[#This Row],[Sales Rep]]</f>
        <v>North|Eve</v>
      </c>
    </row>
    <row r="114" spans="1:16" x14ac:dyDescent="0.35">
      <c r="A114">
        <v>1001</v>
      </c>
      <c r="B114" s="1">
        <v>45242</v>
      </c>
      <c r="C114" t="s">
        <v>42</v>
      </c>
      <c r="D114" t="s">
        <v>15</v>
      </c>
      <c r="E114">
        <v>715.81</v>
      </c>
      <c r="F114">
        <v>8</v>
      </c>
      <c r="G114" t="s">
        <v>35</v>
      </c>
      <c r="H114">
        <v>3657.91</v>
      </c>
      <c r="I114">
        <v>3729.27</v>
      </c>
      <c r="J114" t="s">
        <v>30</v>
      </c>
      <c r="K114">
        <v>0.09</v>
      </c>
      <c r="L114" t="s">
        <v>27</v>
      </c>
      <c r="M114" t="s">
        <v>22</v>
      </c>
      <c r="N114" t="s">
        <v>15</v>
      </c>
      <c r="O114" t="s">
        <v>42</v>
      </c>
      <c r="P114" t="str">
        <f>Table1[[#This Row],[Region]]&amp;"|"&amp;Table1[[#This Row],[Sales Rep]]</f>
        <v>North|Alice</v>
      </c>
    </row>
    <row r="115" spans="1:16" x14ac:dyDescent="0.35">
      <c r="A115">
        <v>1008</v>
      </c>
      <c r="B115" s="1">
        <v>45212</v>
      </c>
      <c r="C115" t="s">
        <v>38</v>
      </c>
      <c r="D115" t="s">
        <v>21</v>
      </c>
      <c r="E115">
        <v>1558.3</v>
      </c>
      <c r="F115">
        <v>24</v>
      </c>
      <c r="G115" t="s">
        <v>35</v>
      </c>
      <c r="H115">
        <v>1542.24</v>
      </c>
      <c r="I115">
        <v>1739.45</v>
      </c>
      <c r="J115" t="s">
        <v>17</v>
      </c>
      <c r="K115">
        <v>0.21</v>
      </c>
      <c r="L115" t="s">
        <v>27</v>
      </c>
      <c r="M115" t="s">
        <v>22</v>
      </c>
      <c r="N115" t="s">
        <v>21</v>
      </c>
      <c r="O115" t="s">
        <v>38</v>
      </c>
      <c r="P115" t="str">
        <f>Table1[[#This Row],[Region]]&amp;"|"&amp;Table1[[#This Row],[Sales Rep]]</f>
        <v>West|Eve</v>
      </c>
    </row>
    <row r="116" spans="1:16" x14ac:dyDescent="0.35">
      <c r="A116">
        <v>1088</v>
      </c>
      <c r="B116" s="1">
        <v>45217</v>
      </c>
      <c r="C116" t="s">
        <v>38</v>
      </c>
      <c r="D116" t="s">
        <v>21</v>
      </c>
      <c r="E116">
        <v>177.63</v>
      </c>
      <c r="F116">
        <v>16</v>
      </c>
      <c r="G116" t="s">
        <v>16</v>
      </c>
      <c r="H116">
        <v>3016.9</v>
      </c>
      <c r="I116">
        <v>3040.73</v>
      </c>
      <c r="J116" t="s">
        <v>30</v>
      </c>
      <c r="K116">
        <v>0.26</v>
      </c>
      <c r="L116" t="s">
        <v>27</v>
      </c>
      <c r="M116" t="s">
        <v>22</v>
      </c>
      <c r="N116" t="s">
        <v>21</v>
      </c>
      <c r="O116" t="s">
        <v>38</v>
      </c>
      <c r="P116" t="str">
        <f>Table1[[#This Row],[Region]]&amp;"|"&amp;Table1[[#This Row],[Sales Rep]]</f>
        <v>West|Eve</v>
      </c>
    </row>
    <row r="117" spans="1:16" x14ac:dyDescent="0.35">
      <c r="A117">
        <v>1063</v>
      </c>
      <c r="B117" s="1">
        <v>45139</v>
      </c>
      <c r="C117" t="s">
        <v>14</v>
      </c>
      <c r="D117" t="s">
        <v>25</v>
      </c>
      <c r="E117">
        <v>6346.13</v>
      </c>
      <c r="F117">
        <v>4</v>
      </c>
      <c r="G117" t="s">
        <v>35</v>
      </c>
      <c r="H117">
        <v>1046.26</v>
      </c>
      <c r="I117">
        <v>1475.29</v>
      </c>
      <c r="J117" t="s">
        <v>17</v>
      </c>
      <c r="K117">
        <v>0.09</v>
      </c>
      <c r="L117" t="s">
        <v>27</v>
      </c>
      <c r="M117" t="s">
        <v>22</v>
      </c>
      <c r="N117" t="s">
        <v>25</v>
      </c>
      <c r="O117" t="s">
        <v>14</v>
      </c>
      <c r="P117" t="str">
        <f>Table1[[#This Row],[Region]]&amp;"|"&amp;Table1[[#This Row],[Sales Rep]]</f>
        <v>South|Bob</v>
      </c>
    </row>
    <row r="118" spans="1:16" x14ac:dyDescent="0.35">
      <c r="A118">
        <v>1011</v>
      </c>
      <c r="B118" s="1">
        <v>45091</v>
      </c>
      <c r="C118" t="s">
        <v>42</v>
      </c>
      <c r="D118" t="s">
        <v>25</v>
      </c>
      <c r="E118">
        <v>4531.97</v>
      </c>
      <c r="F118">
        <v>38</v>
      </c>
      <c r="G118" t="s">
        <v>16</v>
      </c>
      <c r="H118">
        <v>4456.67</v>
      </c>
      <c r="I118">
        <v>4642.46</v>
      </c>
      <c r="J118" t="s">
        <v>30</v>
      </c>
      <c r="K118">
        <v>0.06</v>
      </c>
      <c r="L118" t="s">
        <v>27</v>
      </c>
      <c r="M118" t="s">
        <v>19</v>
      </c>
      <c r="N118" t="s">
        <v>25</v>
      </c>
      <c r="O118" t="s">
        <v>42</v>
      </c>
      <c r="P118" t="str">
        <f>Table1[[#This Row],[Region]]&amp;"|"&amp;Table1[[#This Row],[Sales Rep]]</f>
        <v>South|Alice</v>
      </c>
    </row>
    <row r="119" spans="1:16" x14ac:dyDescent="0.35">
      <c r="A119">
        <v>1081</v>
      </c>
      <c r="B119" s="1">
        <v>44931</v>
      </c>
      <c r="C119" t="s">
        <v>14</v>
      </c>
      <c r="D119" t="s">
        <v>25</v>
      </c>
      <c r="E119">
        <v>1429.32</v>
      </c>
      <c r="F119">
        <v>44</v>
      </c>
      <c r="G119" t="s">
        <v>26</v>
      </c>
      <c r="H119">
        <v>618.79</v>
      </c>
      <c r="I119">
        <v>938.04</v>
      </c>
      <c r="J119" t="s">
        <v>17</v>
      </c>
      <c r="K119">
        <v>0.03</v>
      </c>
      <c r="L119" t="s">
        <v>18</v>
      </c>
      <c r="M119" t="s">
        <v>19</v>
      </c>
      <c r="N119" t="s">
        <v>25</v>
      </c>
      <c r="O119" t="s">
        <v>14</v>
      </c>
      <c r="P119" t="str">
        <f>Table1[[#This Row],[Region]]&amp;"|"&amp;Table1[[#This Row],[Sales Rep]]</f>
        <v>South|Bob</v>
      </c>
    </row>
    <row r="120" spans="1:16" x14ac:dyDescent="0.35">
      <c r="A120">
        <v>1008</v>
      </c>
      <c r="B120" s="1">
        <v>45265</v>
      </c>
      <c r="C120" t="s">
        <v>33</v>
      </c>
      <c r="D120" t="s">
        <v>34</v>
      </c>
      <c r="E120">
        <v>9583.5499999999993</v>
      </c>
      <c r="F120">
        <v>27</v>
      </c>
      <c r="G120" t="s">
        <v>35</v>
      </c>
      <c r="H120">
        <v>68.989999999999995</v>
      </c>
      <c r="I120">
        <v>429.29</v>
      </c>
      <c r="J120" t="s">
        <v>17</v>
      </c>
      <c r="K120">
        <v>0.18</v>
      </c>
      <c r="L120" t="s">
        <v>31</v>
      </c>
      <c r="M120" t="s">
        <v>22</v>
      </c>
      <c r="N120" t="s">
        <v>34</v>
      </c>
      <c r="O120" t="s">
        <v>33</v>
      </c>
      <c r="P120" t="str">
        <f>Table1[[#This Row],[Region]]&amp;"|"&amp;Table1[[#This Row],[Sales Rep]]</f>
        <v>East|Charlie</v>
      </c>
    </row>
    <row r="121" spans="1:16" x14ac:dyDescent="0.35">
      <c r="A121">
        <v>1035</v>
      </c>
      <c r="B121" s="1">
        <v>45004</v>
      </c>
      <c r="C121" t="s">
        <v>14</v>
      </c>
      <c r="D121" t="s">
        <v>25</v>
      </c>
      <c r="E121">
        <v>5343.63</v>
      </c>
      <c r="F121">
        <v>9</v>
      </c>
      <c r="G121" t="s">
        <v>29</v>
      </c>
      <c r="H121">
        <v>2534.94</v>
      </c>
      <c r="I121">
        <v>2755.56</v>
      </c>
      <c r="J121" t="s">
        <v>17</v>
      </c>
      <c r="K121">
        <v>0.13</v>
      </c>
      <c r="L121" t="s">
        <v>31</v>
      </c>
      <c r="M121" t="s">
        <v>22</v>
      </c>
      <c r="N121" t="s">
        <v>25</v>
      </c>
      <c r="O121" t="s">
        <v>14</v>
      </c>
      <c r="P121" t="str">
        <f>Table1[[#This Row],[Region]]&amp;"|"&amp;Table1[[#This Row],[Sales Rep]]</f>
        <v>South|Bob</v>
      </c>
    </row>
    <row r="122" spans="1:16" x14ac:dyDescent="0.35">
      <c r="A122">
        <v>1035</v>
      </c>
      <c r="B122" s="1">
        <v>44988</v>
      </c>
      <c r="C122" t="s">
        <v>14</v>
      </c>
      <c r="D122" t="s">
        <v>21</v>
      </c>
      <c r="E122">
        <v>2494.7399999999998</v>
      </c>
      <c r="F122">
        <v>47</v>
      </c>
      <c r="G122" t="s">
        <v>35</v>
      </c>
      <c r="H122">
        <v>2936.48</v>
      </c>
      <c r="I122">
        <v>3096.64</v>
      </c>
      <c r="J122" t="s">
        <v>30</v>
      </c>
      <c r="K122">
        <v>0.06</v>
      </c>
      <c r="L122" t="s">
        <v>27</v>
      </c>
      <c r="M122" t="s">
        <v>19</v>
      </c>
      <c r="N122" t="s">
        <v>21</v>
      </c>
      <c r="O122" t="s">
        <v>14</v>
      </c>
      <c r="P122" t="str">
        <f>Table1[[#This Row],[Region]]&amp;"|"&amp;Table1[[#This Row],[Sales Rep]]</f>
        <v>West|Bob</v>
      </c>
    </row>
    <row r="123" spans="1:16" x14ac:dyDescent="0.35">
      <c r="A123">
        <v>1033</v>
      </c>
      <c r="B123" s="1">
        <v>45058</v>
      </c>
      <c r="C123" t="s">
        <v>14</v>
      </c>
      <c r="D123" t="s">
        <v>15</v>
      </c>
      <c r="E123">
        <v>5055.9799999999996</v>
      </c>
      <c r="F123">
        <v>16</v>
      </c>
      <c r="G123" t="s">
        <v>16</v>
      </c>
      <c r="H123">
        <v>2915.88</v>
      </c>
      <c r="I123">
        <v>3397.36</v>
      </c>
      <c r="J123" t="s">
        <v>30</v>
      </c>
      <c r="K123">
        <v>0.2</v>
      </c>
      <c r="L123" t="s">
        <v>27</v>
      </c>
      <c r="M123" t="s">
        <v>22</v>
      </c>
      <c r="N123" t="s">
        <v>15</v>
      </c>
      <c r="O123" t="s">
        <v>14</v>
      </c>
      <c r="P123" t="str">
        <f>Table1[[#This Row],[Region]]&amp;"|"&amp;Table1[[#This Row],[Sales Rep]]</f>
        <v>North|Bob</v>
      </c>
    </row>
    <row r="124" spans="1:16" x14ac:dyDescent="0.35">
      <c r="A124">
        <v>1005</v>
      </c>
      <c r="B124" s="1">
        <v>45015</v>
      </c>
      <c r="C124" t="s">
        <v>42</v>
      </c>
      <c r="D124" t="s">
        <v>34</v>
      </c>
      <c r="E124">
        <v>6828.24</v>
      </c>
      <c r="F124">
        <v>12</v>
      </c>
      <c r="G124" t="s">
        <v>35</v>
      </c>
      <c r="H124">
        <v>319.83</v>
      </c>
      <c r="I124">
        <v>802.43</v>
      </c>
      <c r="J124" t="s">
        <v>30</v>
      </c>
      <c r="K124">
        <v>0.04</v>
      </c>
      <c r="L124" t="s">
        <v>31</v>
      </c>
      <c r="M124" t="s">
        <v>22</v>
      </c>
      <c r="N124" t="s">
        <v>34</v>
      </c>
      <c r="O124" t="s">
        <v>42</v>
      </c>
      <c r="P124" t="str">
        <f>Table1[[#This Row],[Region]]&amp;"|"&amp;Table1[[#This Row],[Sales Rep]]</f>
        <v>East|Alice</v>
      </c>
    </row>
    <row r="125" spans="1:16" x14ac:dyDescent="0.35">
      <c r="A125">
        <v>1041</v>
      </c>
      <c r="B125" s="1">
        <v>45163</v>
      </c>
      <c r="C125" t="s">
        <v>14</v>
      </c>
      <c r="D125" t="s">
        <v>25</v>
      </c>
      <c r="E125">
        <v>854.77</v>
      </c>
      <c r="F125">
        <v>31</v>
      </c>
      <c r="G125" t="s">
        <v>26</v>
      </c>
      <c r="H125">
        <v>1604.52</v>
      </c>
      <c r="I125">
        <v>1756.34</v>
      </c>
      <c r="J125" t="s">
        <v>17</v>
      </c>
      <c r="K125">
        <v>0.17</v>
      </c>
      <c r="L125" t="s">
        <v>18</v>
      </c>
      <c r="M125" t="s">
        <v>22</v>
      </c>
      <c r="N125" t="s">
        <v>25</v>
      </c>
      <c r="O125" t="s">
        <v>14</v>
      </c>
      <c r="P125" t="str">
        <f>Table1[[#This Row],[Region]]&amp;"|"&amp;Table1[[#This Row],[Sales Rep]]</f>
        <v>South|Bob</v>
      </c>
    </row>
    <row r="126" spans="1:16" x14ac:dyDescent="0.35">
      <c r="A126">
        <v>1028</v>
      </c>
      <c r="B126" s="1">
        <v>44968</v>
      </c>
      <c r="C126" t="s">
        <v>42</v>
      </c>
      <c r="D126" t="s">
        <v>34</v>
      </c>
      <c r="E126">
        <v>2819.57</v>
      </c>
      <c r="F126">
        <v>24</v>
      </c>
      <c r="G126" t="s">
        <v>29</v>
      </c>
      <c r="H126">
        <v>2521.0300000000002</v>
      </c>
      <c r="I126">
        <v>2766.05</v>
      </c>
      <c r="J126" t="s">
        <v>17</v>
      </c>
      <c r="K126">
        <v>0.16</v>
      </c>
      <c r="L126" t="s">
        <v>27</v>
      </c>
      <c r="M126" t="s">
        <v>22</v>
      </c>
      <c r="N126" t="s">
        <v>34</v>
      </c>
      <c r="O126" t="s">
        <v>42</v>
      </c>
      <c r="P126" t="str">
        <f>Table1[[#This Row],[Region]]&amp;"|"&amp;Table1[[#This Row],[Sales Rep]]</f>
        <v>East|Alice</v>
      </c>
    </row>
    <row r="127" spans="1:16" x14ac:dyDescent="0.35">
      <c r="A127">
        <v>1007</v>
      </c>
      <c r="B127" s="1">
        <v>45015</v>
      </c>
      <c r="C127" t="s">
        <v>24</v>
      </c>
      <c r="D127" t="s">
        <v>34</v>
      </c>
      <c r="E127">
        <v>8088.96</v>
      </c>
      <c r="F127">
        <v>14</v>
      </c>
      <c r="G127" t="s">
        <v>16</v>
      </c>
      <c r="H127">
        <v>1122.07</v>
      </c>
      <c r="I127">
        <v>1608.76</v>
      </c>
      <c r="J127" t="s">
        <v>30</v>
      </c>
      <c r="K127">
        <v>0.22</v>
      </c>
      <c r="L127" t="s">
        <v>18</v>
      </c>
      <c r="M127" t="s">
        <v>22</v>
      </c>
      <c r="N127" t="s">
        <v>34</v>
      </c>
      <c r="O127" t="s">
        <v>24</v>
      </c>
      <c r="P127" t="str">
        <f>Table1[[#This Row],[Region]]&amp;"|"&amp;Table1[[#This Row],[Sales Rep]]</f>
        <v>East|David</v>
      </c>
    </row>
    <row r="128" spans="1:16" x14ac:dyDescent="0.35">
      <c r="A128">
        <v>1073</v>
      </c>
      <c r="B128" s="1">
        <v>45222</v>
      </c>
      <c r="C128" t="s">
        <v>33</v>
      </c>
      <c r="D128" t="s">
        <v>25</v>
      </c>
      <c r="E128">
        <v>4650.68</v>
      </c>
      <c r="F128">
        <v>45</v>
      </c>
      <c r="G128" t="s">
        <v>29</v>
      </c>
      <c r="H128">
        <v>4369.5</v>
      </c>
      <c r="I128">
        <v>4381.8900000000003</v>
      </c>
      <c r="J128" t="s">
        <v>17</v>
      </c>
      <c r="K128">
        <v>0.02</v>
      </c>
      <c r="L128" t="s">
        <v>31</v>
      </c>
      <c r="M128" t="s">
        <v>22</v>
      </c>
      <c r="N128" t="s">
        <v>25</v>
      </c>
      <c r="O128" t="s">
        <v>33</v>
      </c>
      <c r="P128" t="str">
        <f>Table1[[#This Row],[Region]]&amp;"|"&amp;Table1[[#This Row],[Sales Rep]]</f>
        <v>South|Charlie</v>
      </c>
    </row>
    <row r="129" spans="1:16" x14ac:dyDescent="0.35">
      <c r="A129">
        <v>1072</v>
      </c>
      <c r="B129" s="1">
        <v>45254</v>
      </c>
      <c r="C129" t="s">
        <v>42</v>
      </c>
      <c r="D129" t="s">
        <v>34</v>
      </c>
      <c r="E129">
        <v>5511.11</v>
      </c>
      <c r="F129">
        <v>25</v>
      </c>
      <c r="G129" t="s">
        <v>29</v>
      </c>
      <c r="H129">
        <v>481.19</v>
      </c>
      <c r="I129">
        <v>693.4</v>
      </c>
      <c r="J129" t="s">
        <v>30</v>
      </c>
      <c r="K129">
        <v>0.27</v>
      </c>
      <c r="L129" t="s">
        <v>31</v>
      </c>
      <c r="M129" t="s">
        <v>22</v>
      </c>
      <c r="N129" t="s">
        <v>34</v>
      </c>
      <c r="O129" t="s">
        <v>42</v>
      </c>
      <c r="P129" t="str">
        <f>Table1[[#This Row],[Region]]&amp;"|"&amp;Table1[[#This Row],[Sales Rep]]</f>
        <v>East|Alice</v>
      </c>
    </row>
    <row r="130" spans="1:16" x14ac:dyDescent="0.35">
      <c r="A130">
        <v>1012</v>
      </c>
      <c r="B130" s="1">
        <v>45221</v>
      </c>
      <c r="C130" t="s">
        <v>24</v>
      </c>
      <c r="D130" t="s">
        <v>15</v>
      </c>
      <c r="E130">
        <v>4384.88</v>
      </c>
      <c r="F130">
        <v>34</v>
      </c>
      <c r="G130" t="s">
        <v>16</v>
      </c>
      <c r="H130">
        <v>2462.5500000000002</v>
      </c>
      <c r="I130">
        <v>2521.77</v>
      </c>
      <c r="J130" t="s">
        <v>30</v>
      </c>
      <c r="K130">
        <v>0.21</v>
      </c>
      <c r="L130" t="s">
        <v>27</v>
      </c>
      <c r="M130" t="s">
        <v>22</v>
      </c>
      <c r="N130" t="s">
        <v>15</v>
      </c>
      <c r="O130" t="s">
        <v>24</v>
      </c>
      <c r="P130" t="str">
        <f>Table1[[#This Row],[Region]]&amp;"|"&amp;Table1[[#This Row],[Sales Rep]]</f>
        <v>North|David</v>
      </c>
    </row>
    <row r="131" spans="1:16" x14ac:dyDescent="0.35">
      <c r="A131">
        <v>1034</v>
      </c>
      <c r="B131" s="1">
        <v>45030</v>
      </c>
      <c r="C131" t="s">
        <v>42</v>
      </c>
      <c r="D131" t="s">
        <v>21</v>
      </c>
      <c r="E131">
        <v>534.61</v>
      </c>
      <c r="F131">
        <v>3</v>
      </c>
      <c r="G131" t="s">
        <v>29</v>
      </c>
      <c r="H131">
        <v>3472.51</v>
      </c>
      <c r="I131">
        <v>3732</v>
      </c>
      <c r="J131" t="s">
        <v>30</v>
      </c>
      <c r="K131">
        <v>0.06</v>
      </c>
      <c r="L131" t="s">
        <v>18</v>
      </c>
      <c r="M131" t="s">
        <v>19</v>
      </c>
      <c r="N131" t="s">
        <v>21</v>
      </c>
      <c r="O131" t="s">
        <v>42</v>
      </c>
      <c r="P131" t="str">
        <f>Table1[[#This Row],[Region]]&amp;"|"&amp;Table1[[#This Row],[Sales Rep]]</f>
        <v>West|Alice</v>
      </c>
    </row>
    <row r="132" spans="1:16" x14ac:dyDescent="0.35">
      <c r="A132">
        <v>1033</v>
      </c>
      <c r="B132" s="1">
        <v>44940</v>
      </c>
      <c r="C132" t="s">
        <v>42</v>
      </c>
      <c r="D132" t="s">
        <v>21</v>
      </c>
      <c r="E132">
        <v>1740.92</v>
      </c>
      <c r="F132">
        <v>24</v>
      </c>
      <c r="G132" t="s">
        <v>29</v>
      </c>
      <c r="H132">
        <v>1345.67</v>
      </c>
      <c r="I132">
        <v>1367.76</v>
      </c>
      <c r="J132" t="s">
        <v>30</v>
      </c>
      <c r="K132">
        <v>0.06</v>
      </c>
      <c r="L132" t="s">
        <v>27</v>
      </c>
      <c r="M132" t="s">
        <v>19</v>
      </c>
      <c r="N132" t="s">
        <v>21</v>
      </c>
      <c r="O132" t="s">
        <v>42</v>
      </c>
      <c r="P132" t="str">
        <f>Table1[[#This Row],[Region]]&amp;"|"&amp;Table1[[#This Row],[Sales Rep]]</f>
        <v>West|Alice</v>
      </c>
    </row>
    <row r="133" spans="1:16" x14ac:dyDescent="0.35">
      <c r="A133">
        <v>1048</v>
      </c>
      <c r="B133" s="1">
        <v>45214</v>
      </c>
      <c r="C133" t="s">
        <v>33</v>
      </c>
      <c r="D133" t="s">
        <v>15</v>
      </c>
      <c r="E133">
        <v>4510.8599999999997</v>
      </c>
      <c r="F133">
        <v>42</v>
      </c>
      <c r="G133" t="s">
        <v>35</v>
      </c>
      <c r="H133">
        <v>3139.99</v>
      </c>
      <c r="I133">
        <v>3349.37</v>
      </c>
      <c r="J133" t="s">
        <v>17</v>
      </c>
      <c r="K133">
        <v>0.13</v>
      </c>
      <c r="L133" t="s">
        <v>31</v>
      </c>
      <c r="M133" t="s">
        <v>22</v>
      </c>
      <c r="N133" t="s">
        <v>15</v>
      </c>
      <c r="O133" t="s">
        <v>33</v>
      </c>
      <c r="P133" t="str">
        <f>Table1[[#This Row],[Region]]&amp;"|"&amp;Table1[[#This Row],[Sales Rep]]</f>
        <v>North|Charlie</v>
      </c>
    </row>
    <row r="134" spans="1:16" x14ac:dyDescent="0.35">
      <c r="A134">
        <v>1023</v>
      </c>
      <c r="B134" s="1">
        <v>45105</v>
      </c>
      <c r="C134" t="s">
        <v>38</v>
      </c>
      <c r="D134" t="s">
        <v>34</v>
      </c>
      <c r="E134">
        <v>2170.94</v>
      </c>
      <c r="F134">
        <v>9</v>
      </c>
      <c r="G134" t="s">
        <v>29</v>
      </c>
      <c r="H134">
        <v>4155.46</v>
      </c>
      <c r="I134">
        <v>4273.6000000000004</v>
      </c>
      <c r="J134" t="s">
        <v>17</v>
      </c>
      <c r="K134">
        <v>0.25</v>
      </c>
      <c r="L134" t="s">
        <v>18</v>
      </c>
      <c r="M134" t="s">
        <v>22</v>
      </c>
      <c r="N134" t="s">
        <v>34</v>
      </c>
      <c r="O134" t="s">
        <v>38</v>
      </c>
      <c r="P134" t="str">
        <f>Table1[[#This Row],[Region]]&amp;"|"&amp;Table1[[#This Row],[Sales Rep]]</f>
        <v>East|Eve</v>
      </c>
    </row>
    <row r="135" spans="1:16" x14ac:dyDescent="0.35">
      <c r="A135">
        <v>1062</v>
      </c>
      <c r="B135" s="1">
        <v>45051</v>
      </c>
      <c r="C135" t="s">
        <v>38</v>
      </c>
      <c r="D135" t="s">
        <v>25</v>
      </c>
      <c r="E135">
        <v>594.79</v>
      </c>
      <c r="F135">
        <v>26</v>
      </c>
      <c r="G135" t="s">
        <v>29</v>
      </c>
      <c r="H135">
        <v>992.17</v>
      </c>
      <c r="I135">
        <v>1263.49</v>
      </c>
      <c r="J135" t="s">
        <v>17</v>
      </c>
      <c r="K135">
        <v>0.25</v>
      </c>
      <c r="L135" t="s">
        <v>27</v>
      </c>
      <c r="M135" t="s">
        <v>22</v>
      </c>
      <c r="N135" t="s">
        <v>25</v>
      </c>
      <c r="O135" t="s">
        <v>38</v>
      </c>
      <c r="P135" t="str">
        <f>Table1[[#This Row],[Region]]&amp;"|"&amp;Table1[[#This Row],[Sales Rep]]</f>
        <v>South|Eve</v>
      </c>
    </row>
    <row r="136" spans="1:16" x14ac:dyDescent="0.35">
      <c r="A136">
        <v>1088</v>
      </c>
      <c r="B136" s="1">
        <v>45279</v>
      </c>
      <c r="C136" t="s">
        <v>42</v>
      </c>
      <c r="D136" t="s">
        <v>34</v>
      </c>
      <c r="E136">
        <v>8452.1299999999992</v>
      </c>
      <c r="F136">
        <v>20</v>
      </c>
      <c r="G136" t="s">
        <v>29</v>
      </c>
      <c r="H136">
        <v>4590.24</v>
      </c>
      <c r="I136">
        <v>5088.28</v>
      </c>
      <c r="J136" t="s">
        <v>30</v>
      </c>
      <c r="K136">
        <v>0.16</v>
      </c>
      <c r="L136" t="s">
        <v>27</v>
      </c>
      <c r="M136" t="s">
        <v>22</v>
      </c>
      <c r="N136" t="s">
        <v>34</v>
      </c>
      <c r="O136" t="s">
        <v>42</v>
      </c>
      <c r="P136" t="str">
        <f>Table1[[#This Row],[Region]]&amp;"|"&amp;Table1[[#This Row],[Sales Rep]]</f>
        <v>East|Alice</v>
      </c>
    </row>
    <row r="137" spans="1:16" x14ac:dyDescent="0.35">
      <c r="A137">
        <v>1037</v>
      </c>
      <c r="B137" s="1">
        <v>44949</v>
      </c>
      <c r="C137" t="s">
        <v>14</v>
      </c>
      <c r="D137" t="s">
        <v>15</v>
      </c>
      <c r="E137">
        <v>9813.81</v>
      </c>
      <c r="F137">
        <v>40</v>
      </c>
      <c r="G137" t="s">
        <v>29</v>
      </c>
      <c r="H137">
        <v>2790.11</v>
      </c>
      <c r="I137">
        <v>3192.37</v>
      </c>
      <c r="J137" t="s">
        <v>17</v>
      </c>
      <c r="K137">
        <v>0.26</v>
      </c>
      <c r="L137" t="s">
        <v>27</v>
      </c>
      <c r="M137" t="s">
        <v>19</v>
      </c>
      <c r="N137" t="s">
        <v>15</v>
      </c>
      <c r="O137" t="s">
        <v>14</v>
      </c>
      <c r="P137" t="str">
        <f>Table1[[#This Row],[Region]]&amp;"|"&amp;Table1[[#This Row],[Sales Rep]]</f>
        <v>North|Bob</v>
      </c>
    </row>
    <row r="138" spans="1:16" x14ac:dyDescent="0.35">
      <c r="A138">
        <v>1099</v>
      </c>
      <c r="B138" s="1">
        <v>44989</v>
      </c>
      <c r="C138" t="s">
        <v>24</v>
      </c>
      <c r="D138" t="s">
        <v>34</v>
      </c>
      <c r="E138">
        <v>7952.11</v>
      </c>
      <c r="F138">
        <v>10</v>
      </c>
      <c r="G138" t="s">
        <v>16</v>
      </c>
      <c r="H138">
        <v>1531.2</v>
      </c>
      <c r="I138">
        <v>1955.56</v>
      </c>
      <c r="J138" t="s">
        <v>30</v>
      </c>
      <c r="K138">
        <v>0</v>
      </c>
      <c r="L138" t="s">
        <v>31</v>
      </c>
      <c r="M138" t="s">
        <v>19</v>
      </c>
      <c r="N138" t="s">
        <v>34</v>
      </c>
      <c r="O138" t="s">
        <v>24</v>
      </c>
      <c r="P138" t="str">
        <f>Table1[[#This Row],[Region]]&amp;"|"&amp;Table1[[#This Row],[Sales Rep]]</f>
        <v>East|David</v>
      </c>
    </row>
    <row r="139" spans="1:16" x14ac:dyDescent="0.35">
      <c r="A139">
        <v>1044</v>
      </c>
      <c r="B139" s="1">
        <v>45069</v>
      </c>
      <c r="C139" t="s">
        <v>14</v>
      </c>
      <c r="D139" t="s">
        <v>21</v>
      </c>
      <c r="E139">
        <v>8552.4699999999993</v>
      </c>
      <c r="F139">
        <v>19</v>
      </c>
      <c r="G139" t="s">
        <v>26</v>
      </c>
      <c r="H139">
        <v>2182.75</v>
      </c>
      <c r="I139">
        <v>2504.0299999999902</v>
      </c>
      <c r="J139" t="s">
        <v>30</v>
      </c>
      <c r="K139">
        <v>0.01</v>
      </c>
      <c r="L139" t="s">
        <v>27</v>
      </c>
      <c r="M139" t="s">
        <v>19</v>
      </c>
      <c r="N139" t="s">
        <v>21</v>
      </c>
      <c r="O139" t="s">
        <v>14</v>
      </c>
      <c r="P139" t="str">
        <f>Table1[[#This Row],[Region]]&amp;"|"&amp;Table1[[#This Row],[Sales Rep]]</f>
        <v>West|Bob</v>
      </c>
    </row>
    <row r="140" spans="1:16" x14ac:dyDescent="0.35">
      <c r="A140">
        <v>1086</v>
      </c>
      <c r="B140" s="1">
        <v>45079</v>
      </c>
      <c r="C140" t="s">
        <v>14</v>
      </c>
      <c r="D140" t="s">
        <v>34</v>
      </c>
      <c r="E140">
        <v>2495.5700000000002</v>
      </c>
      <c r="F140">
        <v>3</v>
      </c>
      <c r="G140" t="s">
        <v>35</v>
      </c>
      <c r="H140">
        <v>1595.35</v>
      </c>
      <c r="I140">
        <v>1625.70999999999</v>
      </c>
      <c r="J140" t="s">
        <v>30</v>
      </c>
      <c r="K140">
        <v>0.27</v>
      </c>
      <c r="L140" t="s">
        <v>18</v>
      </c>
      <c r="M140" t="s">
        <v>19</v>
      </c>
      <c r="N140" t="s">
        <v>34</v>
      </c>
      <c r="O140" t="s">
        <v>14</v>
      </c>
      <c r="P140" t="str">
        <f>Table1[[#This Row],[Region]]&amp;"|"&amp;Table1[[#This Row],[Sales Rep]]</f>
        <v>East|Bob</v>
      </c>
    </row>
    <row r="141" spans="1:16" x14ac:dyDescent="0.35">
      <c r="A141">
        <v>1091</v>
      </c>
      <c r="B141" s="1">
        <v>45071</v>
      </c>
      <c r="C141" t="s">
        <v>42</v>
      </c>
      <c r="D141" t="s">
        <v>15</v>
      </c>
      <c r="E141">
        <v>9610.2099999999991</v>
      </c>
      <c r="F141">
        <v>24</v>
      </c>
      <c r="G141" t="s">
        <v>29</v>
      </c>
      <c r="H141">
        <v>3639.3</v>
      </c>
      <c r="I141">
        <v>3750.63</v>
      </c>
      <c r="J141" t="s">
        <v>30</v>
      </c>
      <c r="K141">
        <v>0.23</v>
      </c>
      <c r="L141" t="s">
        <v>27</v>
      </c>
      <c r="M141" t="s">
        <v>22</v>
      </c>
      <c r="N141" t="s">
        <v>15</v>
      </c>
      <c r="O141" t="s">
        <v>42</v>
      </c>
      <c r="P141" t="str">
        <f>Table1[[#This Row],[Region]]&amp;"|"&amp;Table1[[#This Row],[Sales Rep]]</f>
        <v>North|Alice</v>
      </c>
    </row>
    <row r="142" spans="1:16" x14ac:dyDescent="0.35">
      <c r="A142">
        <v>1035</v>
      </c>
      <c r="B142" s="1">
        <v>45151</v>
      </c>
      <c r="C142" t="s">
        <v>42</v>
      </c>
      <c r="D142" t="s">
        <v>21</v>
      </c>
      <c r="E142">
        <v>2049.56</v>
      </c>
      <c r="F142">
        <v>5</v>
      </c>
      <c r="G142" t="s">
        <v>29</v>
      </c>
      <c r="H142">
        <v>3991.69</v>
      </c>
      <c r="I142">
        <v>4454.97</v>
      </c>
      <c r="J142" t="s">
        <v>30</v>
      </c>
      <c r="K142">
        <v>0.14000000000000001</v>
      </c>
      <c r="L142" t="s">
        <v>31</v>
      </c>
      <c r="M142" t="s">
        <v>22</v>
      </c>
      <c r="N142" t="s">
        <v>21</v>
      </c>
      <c r="O142" t="s">
        <v>42</v>
      </c>
      <c r="P142" t="str">
        <f>Table1[[#This Row],[Region]]&amp;"|"&amp;Table1[[#This Row],[Sales Rep]]</f>
        <v>West|Alice</v>
      </c>
    </row>
    <row r="143" spans="1:16" x14ac:dyDescent="0.35">
      <c r="A143">
        <v>1065</v>
      </c>
      <c r="B143" s="1">
        <v>45235</v>
      </c>
      <c r="C143" t="s">
        <v>42</v>
      </c>
      <c r="D143" t="s">
        <v>34</v>
      </c>
      <c r="E143">
        <v>9519.16</v>
      </c>
      <c r="F143">
        <v>3</v>
      </c>
      <c r="G143" t="s">
        <v>16</v>
      </c>
      <c r="H143">
        <v>4173.04</v>
      </c>
      <c r="I143">
        <v>4362.4399999999996</v>
      </c>
      <c r="J143" t="s">
        <v>30</v>
      </c>
      <c r="K143">
        <v>0.23</v>
      </c>
      <c r="L143" t="s">
        <v>27</v>
      </c>
      <c r="M143" t="s">
        <v>22</v>
      </c>
      <c r="N143" t="s">
        <v>34</v>
      </c>
      <c r="O143" t="s">
        <v>42</v>
      </c>
      <c r="P143" t="str">
        <f>Table1[[#This Row],[Region]]&amp;"|"&amp;Table1[[#This Row],[Sales Rep]]</f>
        <v>East|Alice</v>
      </c>
    </row>
    <row r="144" spans="1:16" x14ac:dyDescent="0.35">
      <c r="A144">
        <v>1099</v>
      </c>
      <c r="B144" s="1">
        <v>45030</v>
      </c>
      <c r="C144" t="s">
        <v>42</v>
      </c>
      <c r="D144" t="s">
        <v>34</v>
      </c>
      <c r="E144">
        <v>9948.7099999999991</v>
      </c>
      <c r="F144">
        <v>27</v>
      </c>
      <c r="G144" t="s">
        <v>26</v>
      </c>
      <c r="H144">
        <v>4929.55</v>
      </c>
      <c r="I144">
        <v>4990.33</v>
      </c>
      <c r="J144" t="s">
        <v>17</v>
      </c>
      <c r="K144">
        <v>0.28999999999999998</v>
      </c>
      <c r="L144" t="s">
        <v>31</v>
      </c>
      <c r="M144" t="s">
        <v>19</v>
      </c>
      <c r="N144" t="s">
        <v>34</v>
      </c>
      <c r="O144" t="s">
        <v>42</v>
      </c>
      <c r="P144" t="str">
        <f>Table1[[#This Row],[Region]]&amp;"|"&amp;Table1[[#This Row],[Sales Rep]]</f>
        <v>East|Alice</v>
      </c>
    </row>
    <row r="145" spans="1:16" x14ac:dyDescent="0.35">
      <c r="A145">
        <v>1047</v>
      </c>
      <c r="B145" s="1">
        <v>45030</v>
      </c>
      <c r="C145" t="s">
        <v>38</v>
      </c>
      <c r="D145" t="s">
        <v>21</v>
      </c>
      <c r="E145">
        <v>7146.06</v>
      </c>
      <c r="F145">
        <v>16</v>
      </c>
      <c r="G145" t="s">
        <v>29</v>
      </c>
      <c r="H145">
        <v>3966.86</v>
      </c>
      <c r="I145">
        <v>4321.04</v>
      </c>
      <c r="J145" t="s">
        <v>17</v>
      </c>
      <c r="K145">
        <v>0.23</v>
      </c>
      <c r="L145" t="s">
        <v>31</v>
      </c>
      <c r="M145" t="s">
        <v>22</v>
      </c>
      <c r="N145" t="s">
        <v>21</v>
      </c>
      <c r="O145" t="s">
        <v>38</v>
      </c>
      <c r="P145" t="str">
        <f>Table1[[#This Row],[Region]]&amp;"|"&amp;Table1[[#This Row],[Sales Rep]]</f>
        <v>West|Eve</v>
      </c>
    </row>
    <row r="146" spans="1:16" x14ac:dyDescent="0.35">
      <c r="A146">
        <v>1078</v>
      </c>
      <c r="B146" s="1">
        <v>44965</v>
      </c>
      <c r="C146" t="s">
        <v>42</v>
      </c>
      <c r="D146" t="s">
        <v>25</v>
      </c>
      <c r="E146">
        <v>9813.32</v>
      </c>
      <c r="F146">
        <v>49</v>
      </c>
      <c r="G146" t="s">
        <v>16</v>
      </c>
      <c r="H146">
        <v>3026.85</v>
      </c>
      <c r="I146">
        <v>3183.58</v>
      </c>
      <c r="J146" t="s">
        <v>17</v>
      </c>
      <c r="K146">
        <v>0.25</v>
      </c>
      <c r="L146" t="s">
        <v>18</v>
      </c>
      <c r="M146" t="s">
        <v>22</v>
      </c>
      <c r="N146" t="s">
        <v>25</v>
      </c>
      <c r="O146" t="s">
        <v>42</v>
      </c>
      <c r="P146" t="str">
        <f>Table1[[#This Row],[Region]]&amp;"|"&amp;Table1[[#This Row],[Sales Rep]]</f>
        <v>South|Alice</v>
      </c>
    </row>
    <row r="147" spans="1:16" x14ac:dyDescent="0.35">
      <c r="A147">
        <v>1003</v>
      </c>
      <c r="B147" s="1">
        <v>45124</v>
      </c>
      <c r="C147" t="s">
        <v>38</v>
      </c>
      <c r="D147" t="s">
        <v>21</v>
      </c>
      <c r="E147">
        <v>5738.44</v>
      </c>
      <c r="F147">
        <v>15</v>
      </c>
      <c r="G147" t="s">
        <v>35</v>
      </c>
      <c r="H147">
        <v>1729.14</v>
      </c>
      <c r="I147">
        <v>1870.88</v>
      </c>
      <c r="J147" t="s">
        <v>17</v>
      </c>
      <c r="K147">
        <v>0.23</v>
      </c>
      <c r="L147" t="s">
        <v>18</v>
      </c>
      <c r="M147" t="s">
        <v>19</v>
      </c>
      <c r="N147" t="s">
        <v>21</v>
      </c>
      <c r="O147" t="s">
        <v>38</v>
      </c>
      <c r="P147" t="str">
        <f>Table1[[#This Row],[Region]]&amp;"|"&amp;Table1[[#This Row],[Sales Rep]]</f>
        <v>West|Eve</v>
      </c>
    </row>
    <row r="148" spans="1:16" x14ac:dyDescent="0.35">
      <c r="A148">
        <v>1001</v>
      </c>
      <c r="B148" s="1">
        <v>45060</v>
      </c>
      <c r="C148" t="s">
        <v>38</v>
      </c>
      <c r="D148" t="s">
        <v>25</v>
      </c>
      <c r="E148">
        <v>2669.46</v>
      </c>
      <c r="F148">
        <v>35</v>
      </c>
      <c r="G148" t="s">
        <v>35</v>
      </c>
      <c r="H148">
        <v>2745.75</v>
      </c>
      <c r="I148">
        <v>3244.76</v>
      </c>
      <c r="J148" t="s">
        <v>30</v>
      </c>
      <c r="K148">
        <v>0.05</v>
      </c>
      <c r="L148" t="s">
        <v>27</v>
      </c>
      <c r="M148" t="s">
        <v>19</v>
      </c>
      <c r="N148" t="s">
        <v>25</v>
      </c>
      <c r="O148" t="s">
        <v>38</v>
      </c>
      <c r="P148" t="str">
        <f>Table1[[#This Row],[Region]]&amp;"|"&amp;Table1[[#This Row],[Sales Rep]]</f>
        <v>South|Eve</v>
      </c>
    </row>
    <row r="149" spans="1:16" x14ac:dyDescent="0.35">
      <c r="A149">
        <v>1005</v>
      </c>
      <c r="B149" s="1">
        <v>44993</v>
      </c>
      <c r="C149" t="s">
        <v>42</v>
      </c>
      <c r="D149" t="s">
        <v>15</v>
      </c>
      <c r="E149">
        <v>4426.26</v>
      </c>
      <c r="F149">
        <v>12</v>
      </c>
      <c r="G149" t="s">
        <v>29</v>
      </c>
      <c r="H149">
        <v>253.29</v>
      </c>
      <c r="I149">
        <v>683.78</v>
      </c>
      <c r="J149" t="s">
        <v>30</v>
      </c>
      <c r="K149">
        <v>0.25</v>
      </c>
      <c r="L149" t="s">
        <v>31</v>
      </c>
      <c r="M149" t="s">
        <v>19</v>
      </c>
      <c r="N149" t="s">
        <v>15</v>
      </c>
      <c r="O149" t="s">
        <v>42</v>
      </c>
      <c r="P149" t="str">
        <f>Table1[[#This Row],[Region]]&amp;"|"&amp;Table1[[#This Row],[Sales Rep]]</f>
        <v>North|Alice</v>
      </c>
    </row>
    <row r="150" spans="1:16" x14ac:dyDescent="0.35">
      <c r="A150">
        <v>1090</v>
      </c>
      <c r="B150" s="1">
        <v>45105</v>
      </c>
      <c r="C150" t="s">
        <v>33</v>
      </c>
      <c r="D150" t="s">
        <v>15</v>
      </c>
      <c r="E150">
        <v>5976.25</v>
      </c>
      <c r="F150">
        <v>41</v>
      </c>
      <c r="G150" t="s">
        <v>29</v>
      </c>
      <c r="H150">
        <v>3736.88</v>
      </c>
      <c r="I150">
        <v>3946.77</v>
      </c>
      <c r="J150" t="s">
        <v>17</v>
      </c>
      <c r="K150">
        <v>0.06</v>
      </c>
      <c r="L150" t="s">
        <v>31</v>
      </c>
      <c r="M150" t="s">
        <v>19</v>
      </c>
      <c r="N150" t="s">
        <v>15</v>
      </c>
      <c r="O150" t="s">
        <v>33</v>
      </c>
      <c r="P150" t="str">
        <f>Table1[[#This Row],[Region]]&amp;"|"&amp;Table1[[#This Row],[Sales Rep]]</f>
        <v>North|Charlie</v>
      </c>
    </row>
    <row r="151" spans="1:16" x14ac:dyDescent="0.35">
      <c r="A151">
        <v>1014</v>
      </c>
      <c r="B151" s="1">
        <v>44968</v>
      </c>
      <c r="C151" t="s">
        <v>24</v>
      </c>
      <c r="D151" t="s">
        <v>21</v>
      </c>
      <c r="E151">
        <v>823.51</v>
      </c>
      <c r="F151">
        <v>44</v>
      </c>
      <c r="G151" t="s">
        <v>26</v>
      </c>
      <c r="H151">
        <v>2257.48</v>
      </c>
      <c r="I151">
        <v>2747.81</v>
      </c>
      <c r="J151" t="s">
        <v>17</v>
      </c>
      <c r="K151">
        <v>0.27</v>
      </c>
      <c r="L151" t="s">
        <v>18</v>
      </c>
      <c r="M151" t="s">
        <v>19</v>
      </c>
      <c r="N151" t="s">
        <v>21</v>
      </c>
      <c r="O151" t="s">
        <v>24</v>
      </c>
      <c r="P151" t="str">
        <f>Table1[[#This Row],[Region]]&amp;"|"&amp;Table1[[#This Row],[Sales Rep]]</f>
        <v>West|David</v>
      </c>
    </row>
    <row r="152" spans="1:16" x14ac:dyDescent="0.35">
      <c r="A152">
        <v>1027</v>
      </c>
      <c r="B152" s="1">
        <v>44941</v>
      </c>
      <c r="C152" t="s">
        <v>14</v>
      </c>
      <c r="D152" t="s">
        <v>21</v>
      </c>
      <c r="E152">
        <v>6261.2</v>
      </c>
      <c r="F152">
        <v>26</v>
      </c>
      <c r="G152" t="s">
        <v>26</v>
      </c>
      <c r="H152">
        <v>149.11000000000001</v>
      </c>
      <c r="I152">
        <v>477.67</v>
      </c>
      <c r="J152" t="s">
        <v>17</v>
      </c>
      <c r="K152">
        <v>0.14000000000000001</v>
      </c>
      <c r="L152" t="s">
        <v>18</v>
      </c>
      <c r="M152" t="s">
        <v>22</v>
      </c>
      <c r="N152" t="s">
        <v>21</v>
      </c>
      <c r="O152" t="s">
        <v>14</v>
      </c>
      <c r="P152" t="str">
        <f>Table1[[#This Row],[Region]]&amp;"|"&amp;Table1[[#This Row],[Sales Rep]]</f>
        <v>West|Bob</v>
      </c>
    </row>
    <row r="153" spans="1:16" x14ac:dyDescent="0.35">
      <c r="A153">
        <v>1009</v>
      </c>
      <c r="B153" s="1">
        <v>45037</v>
      </c>
      <c r="C153" t="s">
        <v>38</v>
      </c>
      <c r="D153" t="s">
        <v>15</v>
      </c>
      <c r="E153">
        <v>9813.66</v>
      </c>
      <c r="F153">
        <v>47</v>
      </c>
      <c r="G153" t="s">
        <v>29</v>
      </c>
      <c r="H153">
        <v>359.41</v>
      </c>
      <c r="I153">
        <v>733</v>
      </c>
      <c r="J153" t="s">
        <v>17</v>
      </c>
      <c r="K153">
        <v>0.2</v>
      </c>
      <c r="L153" t="s">
        <v>27</v>
      </c>
      <c r="M153" t="s">
        <v>22</v>
      </c>
      <c r="N153" t="s">
        <v>15</v>
      </c>
      <c r="O153" t="s">
        <v>38</v>
      </c>
      <c r="P153" t="str">
        <f>Table1[[#This Row],[Region]]&amp;"|"&amp;Table1[[#This Row],[Sales Rep]]</f>
        <v>North|Eve</v>
      </c>
    </row>
    <row r="154" spans="1:16" x14ac:dyDescent="0.35">
      <c r="A154">
        <v>1079</v>
      </c>
      <c r="B154" s="1">
        <v>45083</v>
      </c>
      <c r="C154" t="s">
        <v>24</v>
      </c>
      <c r="D154" t="s">
        <v>25</v>
      </c>
      <c r="E154">
        <v>1982.07</v>
      </c>
      <c r="F154">
        <v>34</v>
      </c>
      <c r="G154" t="s">
        <v>16</v>
      </c>
      <c r="H154">
        <v>1967.96</v>
      </c>
      <c r="I154">
        <v>1993.4</v>
      </c>
      <c r="J154" t="s">
        <v>17</v>
      </c>
      <c r="K154">
        <v>0.15</v>
      </c>
      <c r="L154" t="s">
        <v>31</v>
      </c>
      <c r="M154" t="s">
        <v>19</v>
      </c>
      <c r="N154" t="s">
        <v>25</v>
      </c>
      <c r="O154" t="s">
        <v>24</v>
      </c>
      <c r="P154" t="str">
        <f>Table1[[#This Row],[Region]]&amp;"|"&amp;Table1[[#This Row],[Sales Rep]]</f>
        <v>South|David</v>
      </c>
    </row>
    <row r="155" spans="1:16" x14ac:dyDescent="0.35">
      <c r="A155">
        <v>1015</v>
      </c>
      <c r="B155" s="1">
        <v>45215</v>
      </c>
      <c r="C155" t="s">
        <v>33</v>
      </c>
      <c r="D155" t="s">
        <v>15</v>
      </c>
      <c r="E155">
        <v>7946.69</v>
      </c>
      <c r="F155">
        <v>23</v>
      </c>
      <c r="G155" t="s">
        <v>26</v>
      </c>
      <c r="H155">
        <v>2937.94</v>
      </c>
      <c r="I155">
        <v>3007.53</v>
      </c>
      <c r="J155" t="s">
        <v>17</v>
      </c>
      <c r="K155">
        <v>0.03</v>
      </c>
      <c r="L155" t="s">
        <v>18</v>
      </c>
      <c r="M155" t="s">
        <v>22</v>
      </c>
      <c r="N155" t="s">
        <v>15</v>
      </c>
      <c r="O155" t="s">
        <v>33</v>
      </c>
      <c r="P155" t="str">
        <f>Table1[[#This Row],[Region]]&amp;"|"&amp;Table1[[#This Row],[Sales Rep]]</f>
        <v>North|Charlie</v>
      </c>
    </row>
    <row r="156" spans="1:16" x14ac:dyDescent="0.35">
      <c r="A156">
        <v>1090</v>
      </c>
      <c r="B156" s="1">
        <v>45157</v>
      </c>
      <c r="C156" t="s">
        <v>14</v>
      </c>
      <c r="D156" t="s">
        <v>21</v>
      </c>
      <c r="E156">
        <v>9088.2000000000007</v>
      </c>
      <c r="F156">
        <v>31</v>
      </c>
      <c r="G156" t="s">
        <v>29</v>
      </c>
      <c r="H156">
        <v>2347.81</v>
      </c>
      <c r="I156">
        <v>2668.02</v>
      </c>
      <c r="J156" t="s">
        <v>17</v>
      </c>
      <c r="K156">
        <v>0.09</v>
      </c>
      <c r="L156" t="s">
        <v>27</v>
      </c>
      <c r="M156" t="s">
        <v>22</v>
      </c>
      <c r="N156" t="s">
        <v>21</v>
      </c>
      <c r="O156" t="s">
        <v>14</v>
      </c>
      <c r="P156" t="str">
        <f>Table1[[#This Row],[Region]]&amp;"|"&amp;Table1[[#This Row],[Sales Rep]]</f>
        <v>West|Bob</v>
      </c>
    </row>
    <row r="157" spans="1:16" x14ac:dyDescent="0.35">
      <c r="A157">
        <v>1042</v>
      </c>
      <c r="B157" s="1">
        <v>45083</v>
      </c>
      <c r="C157" t="s">
        <v>14</v>
      </c>
      <c r="D157" t="s">
        <v>15</v>
      </c>
      <c r="E157">
        <v>9442.65</v>
      </c>
      <c r="F157">
        <v>20</v>
      </c>
      <c r="G157" t="s">
        <v>26</v>
      </c>
      <c r="H157">
        <v>3115.06</v>
      </c>
      <c r="I157">
        <v>3565.58</v>
      </c>
      <c r="J157" t="s">
        <v>17</v>
      </c>
      <c r="K157">
        <v>0.3</v>
      </c>
      <c r="L157" t="s">
        <v>31</v>
      </c>
      <c r="M157" t="s">
        <v>22</v>
      </c>
      <c r="N157" t="s">
        <v>15</v>
      </c>
      <c r="O157" t="s">
        <v>14</v>
      </c>
      <c r="P157" t="str">
        <f>Table1[[#This Row],[Region]]&amp;"|"&amp;Table1[[#This Row],[Sales Rep]]</f>
        <v>North|Bob</v>
      </c>
    </row>
    <row r="158" spans="1:16" x14ac:dyDescent="0.35">
      <c r="A158">
        <v>1077</v>
      </c>
      <c r="B158" s="1">
        <v>44964</v>
      </c>
      <c r="C158" t="s">
        <v>38</v>
      </c>
      <c r="D158" t="s">
        <v>21</v>
      </c>
      <c r="E158">
        <v>9605.34</v>
      </c>
      <c r="F158">
        <v>12</v>
      </c>
      <c r="G158" t="s">
        <v>29</v>
      </c>
      <c r="H158">
        <v>2427.46</v>
      </c>
      <c r="I158">
        <v>2743.09</v>
      </c>
      <c r="J158" t="s">
        <v>30</v>
      </c>
      <c r="K158">
        <v>0.28999999999999998</v>
      </c>
      <c r="L158" t="s">
        <v>31</v>
      </c>
      <c r="M158" t="s">
        <v>22</v>
      </c>
      <c r="N158" t="s">
        <v>21</v>
      </c>
      <c r="O158" t="s">
        <v>38</v>
      </c>
      <c r="P158" t="str">
        <f>Table1[[#This Row],[Region]]&amp;"|"&amp;Table1[[#This Row],[Sales Rep]]</f>
        <v>West|Eve</v>
      </c>
    </row>
    <row r="159" spans="1:16" x14ac:dyDescent="0.35">
      <c r="A159">
        <v>1051</v>
      </c>
      <c r="B159" s="1">
        <v>45023</v>
      </c>
      <c r="C159" t="s">
        <v>42</v>
      </c>
      <c r="D159" t="s">
        <v>21</v>
      </c>
      <c r="E159">
        <v>5262.45</v>
      </c>
      <c r="F159">
        <v>23</v>
      </c>
      <c r="G159" t="s">
        <v>35</v>
      </c>
      <c r="H159">
        <v>3325.43</v>
      </c>
      <c r="I159">
        <v>3401.1</v>
      </c>
      <c r="J159" t="s">
        <v>30</v>
      </c>
      <c r="K159">
        <v>0.1</v>
      </c>
      <c r="L159" t="s">
        <v>18</v>
      </c>
      <c r="M159" t="s">
        <v>19</v>
      </c>
      <c r="N159" t="s">
        <v>21</v>
      </c>
      <c r="O159" t="s">
        <v>42</v>
      </c>
      <c r="P159" t="str">
        <f>Table1[[#This Row],[Region]]&amp;"|"&amp;Table1[[#This Row],[Sales Rep]]</f>
        <v>West|Alice</v>
      </c>
    </row>
    <row r="160" spans="1:16" x14ac:dyDescent="0.35">
      <c r="A160">
        <v>1063</v>
      </c>
      <c r="B160" s="1">
        <v>45215</v>
      </c>
      <c r="C160" t="s">
        <v>33</v>
      </c>
      <c r="D160" t="s">
        <v>15</v>
      </c>
      <c r="E160">
        <v>9775.35</v>
      </c>
      <c r="F160">
        <v>4</v>
      </c>
      <c r="G160" t="s">
        <v>29</v>
      </c>
      <c r="H160">
        <v>1134.67</v>
      </c>
      <c r="I160">
        <v>1201.3900000000001</v>
      </c>
      <c r="J160" t="s">
        <v>30</v>
      </c>
      <c r="K160">
        <v>0.3</v>
      </c>
      <c r="L160" t="s">
        <v>27</v>
      </c>
      <c r="M160" t="s">
        <v>22</v>
      </c>
      <c r="N160" t="s">
        <v>15</v>
      </c>
      <c r="O160" t="s">
        <v>33</v>
      </c>
      <c r="P160" t="str">
        <f>Table1[[#This Row],[Region]]&amp;"|"&amp;Table1[[#This Row],[Sales Rep]]</f>
        <v>North|Charlie</v>
      </c>
    </row>
    <row r="161" spans="1:16" x14ac:dyDescent="0.35">
      <c r="A161">
        <v>1096</v>
      </c>
      <c r="B161" s="1">
        <v>45180</v>
      </c>
      <c r="C161" t="s">
        <v>38</v>
      </c>
      <c r="D161" t="s">
        <v>25</v>
      </c>
      <c r="E161">
        <v>7597.37</v>
      </c>
      <c r="F161">
        <v>23</v>
      </c>
      <c r="G161" t="s">
        <v>35</v>
      </c>
      <c r="H161">
        <v>608.57000000000005</v>
      </c>
      <c r="I161">
        <v>1032.22</v>
      </c>
      <c r="J161" t="s">
        <v>30</v>
      </c>
      <c r="K161">
        <v>0.25</v>
      </c>
      <c r="L161" t="s">
        <v>18</v>
      </c>
      <c r="M161" t="s">
        <v>22</v>
      </c>
      <c r="N161" t="s">
        <v>25</v>
      </c>
      <c r="O161" t="s">
        <v>38</v>
      </c>
      <c r="P161" t="str">
        <f>Table1[[#This Row],[Region]]&amp;"|"&amp;Table1[[#This Row],[Sales Rep]]</f>
        <v>South|Eve</v>
      </c>
    </row>
    <row r="162" spans="1:16" x14ac:dyDescent="0.35">
      <c r="A162">
        <v>1052</v>
      </c>
      <c r="B162" s="1">
        <v>45122</v>
      </c>
      <c r="C162" t="s">
        <v>33</v>
      </c>
      <c r="D162" t="s">
        <v>34</v>
      </c>
      <c r="E162">
        <v>1700.55</v>
      </c>
      <c r="F162">
        <v>48</v>
      </c>
      <c r="G162" t="s">
        <v>26</v>
      </c>
      <c r="H162">
        <v>3002.35</v>
      </c>
      <c r="I162">
        <v>3080.61</v>
      </c>
      <c r="J162" t="s">
        <v>17</v>
      </c>
      <c r="K162">
        <v>0.18</v>
      </c>
      <c r="L162" t="s">
        <v>27</v>
      </c>
      <c r="M162" t="s">
        <v>22</v>
      </c>
      <c r="N162" t="s">
        <v>34</v>
      </c>
      <c r="O162" t="s">
        <v>33</v>
      </c>
      <c r="P162" t="str">
        <f>Table1[[#This Row],[Region]]&amp;"|"&amp;Table1[[#This Row],[Sales Rep]]</f>
        <v>East|Charlie</v>
      </c>
    </row>
    <row r="163" spans="1:16" x14ac:dyDescent="0.35">
      <c r="A163">
        <v>1096</v>
      </c>
      <c r="B163" s="1">
        <v>45012</v>
      </c>
      <c r="C163" t="s">
        <v>42</v>
      </c>
      <c r="D163" t="s">
        <v>15</v>
      </c>
      <c r="E163">
        <v>4821.3100000000004</v>
      </c>
      <c r="F163">
        <v>48</v>
      </c>
      <c r="G163" t="s">
        <v>29</v>
      </c>
      <c r="H163">
        <v>2449.21</v>
      </c>
      <c r="I163">
        <v>2714.12</v>
      </c>
      <c r="J163" t="s">
        <v>30</v>
      </c>
      <c r="K163">
        <v>0.01</v>
      </c>
      <c r="L163" t="s">
        <v>31</v>
      </c>
      <c r="M163" t="s">
        <v>19</v>
      </c>
      <c r="N163" t="s">
        <v>15</v>
      </c>
      <c r="O163" t="s">
        <v>42</v>
      </c>
      <c r="P163" t="str">
        <f>Table1[[#This Row],[Region]]&amp;"|"&amp;Table1[[#This Row],[Sales Rep]]</f>
        <v>North|Alice</v>
      </c>
    </row>
    <row r="164" spans="1:16" x14ac:dyDescent="0.35">
      <c r="A164">
        <v>1004</v>
      </c>
      <c r="B164" s="1">
        <v>45248</v>
      </c>
      <c r="C164" t="s">
        <v>42</v>
      </c>
      <c r="D164" t="s">
        <v>34</v>
      </c>
      <c r="E164">
        <v>7211.48</v>
      </c>
      <c r="F164">
        <v>1</v>
      </c>
      <c r="G164" t="s">
        <v>26</v>
      </c>
      <c r="H164">
        <v>182.99</v>
      </c>
      <c r="I164">
        <v>211.18</v>
      </c>
      <c r="J164" t="s">
        <v>17</v>
      </c>
      <c r="K164">
        <v>0.27</v>
      </c>
      <c r="L164" t="s">
        <v>27</v>
      </c>
      <c r="M164" t="s">
        <v>22</v>
      </c>
      <c r="N164" t="s">
        <v>34</v>
      </c>
      <c r="O164" t="s">
        <v>42</v>
      </c>
      <c r="P164" t="str">
        <f>Table1[[#This Row],[Region]]&amp;"|"&amp;Table1[[#This Row],[Sales Rep]]</f>
        <v>East|Alice</v>
      </c>
    </row>
    <row r="165" spans="1:16" x14ac:dyDescent="0.35">
      <c r="A165">
        <v>1094</v>
      </c>
      <c r="B165" s="1">
        <v>44936</v>
      </c>
      <c r="C165" t="s">
        <v>38</v>
      </c>
      <c r="D165" t="s">
        <v>15</v>
      </c>
      <c r="E165">
        <v>2548.67</v>
      </c>
      <c r="F165">
        <v>25</v>
      </c>
      <c r="G165" t="s">
        <v>35</v>
      </c>
      <c r="H165">
        <v>1933.39</v>
      </c>
      <c r="I165">
        <v>1982.92</v>
      </c>
      <c r="J165" t="s">
        <v>30</v>
      </c>
      <c r="K165">
        <v>0.17</v>
      </c>
      <c r="L165" t="s">
        <v>27</v>
      </c>
      <c r="M165" t="s">
        <v>19</v>
      </c>
      <c r="N165" t="s">
        <v>15</v>
      </c>
      <c r="O165" t="s">
        <v>38</v>
      </c>
      <c r="P165" t="str">
        <f>Table1[[#This Row],[Region]]&amp;"|"&amp;Table1[[#This Row],[Sales Rep]]</f>
        <v>North|Eve</v>
      </c>
    </row>
    <row r="166" spans="1:16" x14ac:dyDescent="0.35">
      <c r="A166">
        <v>1023</v>
      </c>
      <c r="B166" s="1">
        <v>44931</v>
      </c>
      <c r="C166" t="s">
        <v>42</v>
      </c>
      <c r="D166" t="s">
        <v>34</v>
      </c>
      <c r="E166">
        <v>6442.09</v>
      </c>
      <c r="F166">
        <v>2</v>
      </c>
      <c r="G166" t="s">
        <v>29</v>
      </c>
      <c r="H166">
        <v>575.32000000000005</v>
      </c>
      <c r="I166">
        <v>914.77</v>
      </c>
      <c r="J166" t="s">
        <v>17</v>
      </c>
      <c r="K166">
        <v>0.26</v>
      </c>
      <c r="L166" t="s">
        <v>27</v>
      </c>
      <c r="M166" t="s">
        <v>19</v>
      </c>
      <c r="N166" t="s">
        <v>34</v>
      </c>
      <c r="O166" t="s">
        <v>42</v>
      </c>
      <c r="P166" t="str">
        <f>Table1[[#This Row],[Region]]&amp;"|"&amp;Table1[[#This Row],[Sales Rep]]</f>
        <v>East|Alice</v>
      </c>
    </row>
    <row r="167" spans="1:16" x14ac:dyDescent="0.35">
      <c r="A167">
        <v>1015</v>
      </c>
      <c r="B167" s="1">
        <v>45049</v>
      </c>
      <c r="C167" t="s">
        <v>24</v>
      </c>
      <c r="D167" t="s">
        <v>25</v>
      </c>
      <c r="E167">
        <v>6699.34</v>
      </c>
      <c r="F167">
        <v>30</v>
      </c>
      <c r="G167" t="s">
        <v>26</v>
      </c>
      <c r="H167">
        <v>2680.22</v>
      </c>
      <c r="I167">
        <v>3027.9199999999901</v>
      </c>
      <c r="J167" t="s">
        <v>17</v>
      </c>
      <c r="K167">
        <v>0.25</v>
      </c>
      <c r="L167" t="s">
        <v>27</v>
      </c>
      <c r="M167" t="s">
        <v>19</v>
      </c>
      <c r="N167" t="s">
        <v>25</v>
      </c>
      <c r="O167" t="s">
        <v>24</v>
      </c>
      <c r="P167" t="str">
        <f>Table1[[#This Row],[Region]]&amp;"|"&amp;Table1[[#This Row],[Sales Rep]]</f>
        <v>South|David</v>
      </c>
    </row>
    <row r="168" spans="1:16" x14ac:dyDescent="0.35">
      <c r="A168">
        <v>1043</v>
      </c>
      <c r="B168" s="1">
        <v>45256</v>
      </c>
      <c r="C168" t="s">
        <v>14</v>
      </c>
      <c r="D168" t="s">
        <v>25</v>
      </c>
      <c r="E168">
        <v>1710.73</v>
      </c>
      <c r="F168">
        <v>3</v>
      </c>
      <c r="G168" t="s">
        <v>35</v>
      </c>
      <c r="H168">
        <v>2009.1</v>
      </c>
      <c r="I168">
        <v>2186.42</v>
      </c>
      <c r="J168" t="s">
        <v>30</v>
      </c>
      <c r="K168">
        <v>0.25</v>
      </c>
      <c r="L168" t="s">
        <v>27</v>
      </c>
      <c r="M168" t="s">
        <v>19</v>
      </c>
      <c r="N168" t="s">
        <v>25</v>
      </c>
      <c r="O168" t="s">
        <v>14</v>
      </c>
      <c r="P168" t="str">
        <f>Table1[[#This Row],[Region]]&amp;"|"&amp;Table1[[#This Row],[Sales Rep]]</f>
        <v>South|Bob</v>
      </c>
    </row>
    <row r="169" spans="1:16" x14ac:dyDescent="0.35">
      <c r="A169">
        <v>1029</v>
      </c>
      <c r="B169" s="1">
        <v>45279</v>
      </c>
      <c r="C169" t="s">
        <v>38</v>
      </c>
      <c r="D169" t="s">
        <v>15</v>
      </c>
      <c r="E169">
        <v>5694.34</v>
      </c>
      <c r="F169">
        <v>21</v>
      </c>
      <c r="G169" t="s">
        <v>26</v>
      </c>
      <c r="H169">
        <v>3085.1</v>
      </c>
      <c r="I169">
        <v>3200.75</v>
      </c>
      <c r="J169" t="s">
        <v>30</v>
      </c>
      <c r="K169">
        <v>0.21</v>
      </c>
      <c r="L169" t="s">
        <v>18</v>
      </c>
      <c r="M169" t="s">
        <v>22</v>
      </c>
      <c r="N169" t="s">
        <v>15</v>
      </c>
      <c r="O169" t="s">
        <v>38</v>
      </c>
      <c r="P169" t="str">
        <f>Table1[[#This Row],[Region]]&amp;"|"&amp;Table1[[#This Row],[Sales Rep]]</f>
        <v>North|Eve</v>
      </c>
    </row>
    <row r="170" spans="1:16" x14ac:dyDescent="0.35">
      <c r="A170">
        <v>1036</v>
      </c>
      <c r="B170" s="1">
        <v>45044</v>
      </c>
      <c r="C170" t="s">
        <v>33</v>
      </c>
      <c r="D170" t="s">
        <v>21</v>
      </c>
      <c r="E170">
        <v>7739.11</v>
      </c>
      <c r="F170">
        <v>25</v>
      </c>
      <c r="G170" t="s">
        <v>16</v>
      </c>
      <c r="H170">
        <v>4037.73</v>
      </c>
      <c r="I170">
        <v>4446.45</v>
      </c>
      <c r="J170" t="s">
        <v>17</v>
      </c>
      <c r="K170">
        <v>0.09</v>
      </c>
      <c r="L170" t="s">
        <v>27</v>
      </c>
      <c r="M170" t="s">
        <v>19</v>
      </c>
      <c r="N170" t="s">
        <v>21</v>
      </c>
      <c r="O170" t="s">
        <v>33</v>
      </c>
      <c r="P170" t="str">
        <f>Table1[[#This Row],[Region]]&amp;"|"&amp;Table1[[#This Row],[Sales Rep]]</f>
        <v>West|Charlie</v>
      </c>
    </row>
    <row r="171" spans="1:16" x14ac:dyDescent="0.35">
      <c r="A171">
        <v>1013</v>
      </c>
      <c r="B171" s="1">
        <v>45220</v>
      </c>
      <c r="C171" t="s">
        <v>24</v>
      </c>
      <c r="D171" t="s">
        <v>34</v>
      </c>
      <c r="E171">
        <v>5039.07</v>
      </c>
      <c r="F171">
        <v>20</v>
      </c>
      <c r="G171" t="s">
        <v>35</v>
      </c>
      <c r="H171">
        <v>1533.36</v>
      </c>
      <c r="I171">
        <v>1649.73999999999</v>
      </c>
      <c r="J171" t="s">
        <v>17</v>
      </c>
      <c r="K171">
        <v>0.1</v>
      </c>
      <c r="L171" t="s">
        <v>27</v>
      </c>
      <c r="M171" t="s">
        <v>19</v>
      </c>
      <c r="N171" t="s">
        <v>34</v>
      </c>
      <c r="O171" t="s">
        <v>24</v>
      </c>
      <c r="P171" t="str">
        <f>Table1[[#This Row],[Region]]&amp;"|"&amp;Table1[[#This Row],[Sales Rep]]</f>
        <v>East|David</v>
      </c>
    </row>
    <row r="172" spans="1:16" x14ac:dyDescent="0.35">
      <c r="A172">
        <v>1032</v>
      </c>
      <c r="B172" s="1">
        <v>45085</v>
      </c>
      <c r="C172" t="s">
        <v>38</v>
      </c>
      <c r="D172" t="s">
        <v>21</v>
      </c>
      <c r="E172">
        <v>219.82</v>
      </c>
      <c r="F172">
        <v>49</v>
      </c>
      <c r="G172" t="s">
        <v>35</v>
      </c>
      <c r="H172">
        <v>4812.41</v>
      </c>
      <c r="I172">
        <v>5088</v>
      </c>
      <c r="J172" t="s">
        <v>17</v>
      </c>
      <c r="K172">
        <v>0.09</v>
      </c>
      <c r="L172" t="s">
        <v>31</v>
      </c>
      <c r="M172" t="s">
        <v>19</v>
      </c>
      <c r="N172" t="s">
        <v>21</v>
      </c>
      <c r="O172" t="s">
        <v>38</v>
      </c>
      <c r="P172" t="str">
        <f>Table1[[#This Row],[Region]]&amp;"|"&amp;Table1[[#This Row],[Sales Rep]]</f>
        <v>West|Eve</v>
      </c>
    </row>
    <row r="173" spans="1:16" x14ac:dyDescent="0.35">
      <c r="A173">
        <v>1071</v>
      </c>
      <c r="B173" s="1">
        <v>45229</v>
      </c>
      <c r="C173" t="s">
        <v>42</v>
      </c>
      <c r="D173" t="s">
        <v>21</v>
      </c>
      <c r="E173">
        <v>189.48</v>
      </c>
      <c r="F173">
        <v>22</v>
      </c>
      <c r="G173" t="s">
        <v>35</v>
      </c>
      <c r="H173">
        <v>2701.39</v>
      </c>
      <c r="I173">
        <v>3185.81</v>
      </c>
      <c r="J173" t="s">
        <v>30</v>
      </c>
      <c r="K173">
        <v>0.01</v>
      </c>
      <c r="L173" t="s">
        <v>27</v>
      </c>
      <c r="M173" t="s">
        <v>19</v>
      </c>
      <c r="N173" t="s">
        <v>21</v>
      </c>
      <c r="O173" t="s">
        <v>42</v>
      </c>
      <c r="P173" t="str">
        <f>Table1[[#This Row],[Region]]&amp;"|"&amp;Table1[[#This Row],[Sales Rep]]</f>
        <v>West|Alice</v>
      </c>
    </row>
    <row r="174" spans="1:16" x14ac:dyDescent="0.35">
      <c r="A174">
        <v>1059</v>
      </c>
      <c r="B174" s="1">
        <v>45154</v>
      </c>
      <c r="C174" t="s">
        <v>42</v>
      </c>
      <c r="D174" t="s">
        <v>21</v>
      </c>
      <c r="E174">
        <v>3634.59</v>
      </c>
      <c r="F174">
        <v>21</v>
      </c>
      <c r="G174" t="s">
        <v>29</v>
      </c>
      <c r="H174">
        <v>3110.54</v>
      </c>
      <c r="I174">
        <v>3192.99</v>
      </c>
      <c r="J174" t="s">
        <v>30</v>
      </c>
      <c r="K174">
        <v>0.17</v>
      </c>
      <c r="L174" t="s">
        <v>31</v>
      </c>
      <c r="M174" t="s">
        <v>19</v>
      </c>
      <c r="N174" t="s">
        <v>21</v>
      </c>
      <c r="O174" t="s">
        <v>42</v>
      </c>
      <c r="P174" t="str">
        <f>Table1[[#This Row],[Region]]&amp;"|"&amp;Table1[[#This Row],[Sales Rep]]</f>
        <v>West|Alice</v>
      </c>
    </row>
    <row r="175" spans="1:16" x14ac:dyDescent="0.35">
      <c r="A175">
        <v>1086</v>
      </c>
      <c r="B175" s="1">
        <v>45291</v>
      </c>
      <c r="C175" t="s">
        <v>42</v>
      </c>
      <c r="D175" t="s">
        <v>25</v>
      </c>
      <c r="E175">
        <v>9269.32</v>
      </c>
      <c r="F175">
        <v>33</v>
      </c>
      <c r="G175" t="s">
        <v>29</v>
      </c>
      <c r="H175">
        <v>3419.33</v>
      </c>
      <c r="I175">
        <v>3890.3599999999901</v>
      </c>
      <c r="J175" t="s">
        <v>17</v>
      </c>
      <c r="K175">
        <v>0.21</v>
      </c>
      <c r="L175" t="s">
        <v>18</v>
      </c>
      <c r="M175" t="s">
        <v>22</v>
      </c>
      <c r="N175" t="s">
        <v>25</v>
      </c>
      <c r="O175" t="s">
        <v>42</v>
      </c>
      <c r="P175" t="str">
        <f>Table1[[#This Row],[Region]]&amp;"|"&amp;Table1[[#This Row],[Sales Rep]]</f>
        <v>South|Alice</v>
      </c>
    </row>
    <row r="176" spans="1:16" x14ac:dyDescent="0.35">
      <c r="A176">
        <v>1028</v>
      </c>
      <c r="B176" s="1">
        <v>45142</v>
      </c>
      <c r="C176" t="s">
        <v>42</v>
      </c>
      <c r="D176" t="s">
        <v>15</v>
      </c>
      <c r="E176">
        <v>2363.9</v>
      </c>
      <c r="F176">
        <v>38</v>
      </c>
      <c r="G176" t="s">
        <v>29</v>
      </c>
      <c r="H176">
        <v>3350.32</v>
      </c>
      <c r="I176">
        <v>3449.94</v>
      </c>
      <c r="J176" t="s">
        <v>30</v>
      </c>
      <c r="K176">
        <v>0.26</v>
      </c>
      <c r="L176" t="s">
        <v>18</v>
      </c>
      <c r="M176" t="s">
        <v>19</v>
      </c>
      <c r="N176" t="s">
        <v>15</v>
      </c>
      <c r="O176" t="s">
        <v>42</v>
      </c>
      <c r="P176" t="str">
        <f>Table1[[#This Row],[Region]]&amp;"|"&amp;Table1[[#This Row],[Sales Rep]]</f>
        <v>North|Alice</v>
      </c>
    </row>
    <row r="177" spans="1:16" x14ac:dyDescent="0.35">
      <c r="A177">
        <v>1066</v>
      </c>
      <c r="B177" s="1">
        <v>45110</v>
      </c>
      <c r="C177" t="s">
        <v>33</v>
      </c>
      <c r="D177" t="s">
        <v>15</v>
      </c>
      <c r="E177">
        <v>6380.2</v>
      </c>
      <c r="F177">
        <v>15</v>
      </c>
      <c r="G177" t="s">
        <v>16</v>
      </c>
      <c r="H177">
        <v>2579.31</v>
      </c>
      <c r="I177">
        <v>2867.36</v>
      </c>
      <c r="J177" t="s">
        <v>17</v>
      </c>
      <c r="K177">
        <v>0.04</v>
      </c>
      <c r="L177" t="s">
        <v>27</v>
      </c>
      <c r="M177" t="s">
        <v>22</v>
      </c>
      <c r="N177" t="s">
        <v>15</v>
      </c>
      <c r="O177" t="s">
        <v>33</v>
      </c>
      <c r="P177" t="str">
        <f>Table1[[#This Row],[Region]]&amp;"|"&amp;Table1[[#This Row],[Sales Rep]]</f>
        <v>North|Charlie</v>
      </c>
    </row>
    <row r="178" spans="1:16" x14ac:dyDescent="0.35">
      <c r="A178">
        <v>1042</v>
      </c>
      <c r="B178" s="1">
        <v>44941</v>
      </c>
      <c r="C178" t="s">
        <v>24</v>
      </c>
      <c r="D178" t="s">
        <v>25</v>
      </c>
      <c r="E178">
        <v>2298.5500000000002</v>
      </c>
      <c r="F178">
        <v>46</v>
      </c>
      <c r="G178" t="s">
        <v>16</v>
      </c>
      <c r="H178">
        <v>2172.38</v>
      </c>
      <c r="I178">
        <v>2367.11</v>
      </c>
      <c r="J178" t="s">
        <v>30</v>
      </c>
      <c r="K178">
        <v>0.16</v>
      </c>
      <c r="L178" t="s">
        <v>18</v>
      </c>
      <c r="M178" t="s">
        <v>22</v>
      </c>
      <c r="N178" t="s">
        <v>25</v>
      </c>
      <c r="O178" t="s">
        <v>24</v>
      </c>
      <c r="P178" t="str">
        <f>Table1[[#This Row],[Region]]&amp;"|"&amp;Table1[[#This Row],[Sales Rep]]</f>
        <v>South|David</v>
      </c>
    </row>
    <row r="179" spans="1:16" x14ac:dyDescent="0.35">
      <c r="A179">
        <v>1045</v>
      </c>
      <c r="B179" s="1">
        <v>45083</v>
      </c>
      <c r="C179" t="s">
        <v>14</v>
      </c>
      <c r="D179" t="s">
        <v>25</v>
      </c>
      <c r="E179">
        <v>3284.53</v>
      </c>
      <c r="F179">
        <v>15</v>
      </c>
      <c r="G179" t="s">
        <v>35</v>
      </c>
      <c r="H179">
        <v>316.22000000000003</v>
      </c>
      <c r="I179">
        <v>799.04</v>
      </c>
      <c r="J179" t="s">
        <v>30</v>
      </c>
      <c r="K179">
        <v>0</v>
      </c>
      <c r="L179" t="s">
        <v>27</v>
      </c>
      <c r="M179" t="s">
        <v>19</v>
      </c>
      <c r="N179" t="s">
        <v>25</v>
      </c>
      <c r="O179" t="s">
        <v>14</v>
      </c>
      <c r="P179" t="str">
        <f>Table1[[#This Row],[Region]]&amp;"|"&amp;Table1[[#This Row],[Sales Rep]]</f>
        <v>South|Bob</v>
      </c>
    </row>
    <row r="180" spans="1:16" x14ac:dyDescent="0.35">
      <c r="A180">
        <v>1062</v>
      </c>
      <c r="B180" s="1">
        <v>45062</v>
      </c>
      <c r="C180" t="s">
        <v>33</v>
      </c>
      <c r="D180" t="s">
        <v>15</v>
      </c>
      <c r="E180">
        <v>8495.6200000000008</v>
      </c>
      <c r="F180">
        <v>46</v>
      </c>
      <c r="G180" t="s">
        <v>16</v>
      </c>
      <c r="H180">
        <v>159.32</v>
      </c>
      <c r="I180">
        <v>303.36</v>
      </c>
      <c r="J180" t="s">
        <v>30</v>
      </c>
      <c r="K180">
        <v>0.03</v>
      </c>
      <c r="L180" t="s">
        <v>18</v>
      </c>
      <c r="M180" t="s">
        <v>22</v>
      </c>
      <c r="N180" t="s">
        <v>15</v>
      </c>
      <c r="O180" t="s">
        <v>33</v>
      </c>
      <c r="P180" t="str">
        <f>Table1[[#This Row],[Region]]&amp;"|"&amp;Table1[[#This Row],[Sales Rep]]</f>
        <v>North|Charlie</v>
      </c>
    </row>
    <row r="181" spans="1:16" x14ac:dyDescent="0.35">
      <c r="A181">
        <v>1057</v>
      </c>
      <c r="B181" s="1">
        <v>45187</v>
      </c>
      <c r="C181" t="s">
        <v>33</v>
      </c>
      <c r="D181" t="s">
        <v>21</v>
      </c>
      <c r="E181">
        <v>7315.73</v>
      </c>
      <c r="F181">
        <v>25</v>
      </c>
      <c r="G181" t="s">
        <v>26</v>
      </c>
      <c r="H181">
        <v>1821.91</v>
      </c>
      <c r="I181">
        <v>2027.74</v>
      </c>
      <c r="J181" t="s">
        <v>30</v>
      </c>
      <c r="K181">
        <v>0.02</v>
      </c>
      <c r="L181" t="s">
        <v>27</v>
      </c>
      <c r="M181" t="s">
        <v>22</v>
      </c>
      <c r="N181" t="s">
        <v>21</v>
      </c>
      <c r="O181" t="s">
        <v>33</v>
      </c>
      <c r="P181" t="str">
        <f>Table1[[#This Row],[Region]]&amp;"|"&amp;Table1[[#This Row],[Sales Rep]]</f>
        <v>West|Charlie</v>
      </c>
    </row>
    <row r="182" spans="1:16" x14ac:dyDescent="0.35">
      <c r="A182">
        <v>1006</v>
      </c>
      <c r="B182" s="1">
        <v>45083</v>
      </c>
      <c r="C182" t="s">
        <v>14</v>
      </c>
      <c r="D182" t="s">
        <v>34</v>
      </c>
      <c r="E182">
        <v>1044.45</v>
      </c>
      <c r="F182">
        <v>21</v>
      </c>
      <c r="G182" t="s">
        <v>35</v>
      </c>
      <c r="H182">
        <v>1701.62</v>
      </c>
      <c r="I182">
        <v>2193.2199999999998</v>
      </c>
      <c r="J182" t="s">
        <v>30</v>
      </c>
      <c r="K182">
        <v>0.22</v>
      </c>
      <c r="L182" t="s">
        <v>27</v>
      </c>
      <c r="M182" t="s">
        <v>22</v>
      </c>
      <c r="N182" t="s">
        <v>34</v>
      </c>
      <c r="O182" t="s">
        <v>14</v>
      </c>
      <c r="P182" t="str">
        <f>Table1[[#This Row],[Region]]&amp;"|"&amp;Table1[[#This Row],[Sales Rep]]</f>
        <v>East|Bob</v>
      </c>
    </row>
    <row r="183" spans="1:16" x14ac:dyDescent="0.35">
      <c r="A183">
        <v>1028</v>
      </c>
      <c r="B183" s="1">
        <v>44973</v>
      </c>
      <c r="C183" t="s">
        <v>14</v>
      </c>
      <c r="D183" t="s">
        <v>34</v>
      </c>
      <c r="E183">
        <v>4344.1499999999996</v>
      </c>
      <c r="F183">
        <v>24</v>
      </c>
      <c r="G183" t="s">
        <v>35</v>
      </c>
      <c r="H183">
        <v>1969.09</v>
      </c>
      <c r="I183">
        <v>2241.96</v>
      </c>
      <c r="J183" t="s">
        <v>17</v>
      </c>
      <c r="K183">
        <v>0.02</v>
      </c>
      <c r="L183" t="s">
        <v>31</v>
      </c>
      <c r="M183" t="s">
        <v>19</v>
      </c>
      <c r="N183" t="s">
        <v>34</v>
      </c>
      <c r="O183" t="s">
        <v>14</v>
      </c>
      <c r="P183" t="str">
        <f>Table1[[#This Row],[Region]]&amp;"|"&amp;Table1[[#This Row],[Sales Rep]]</f>
        <v>East|Bob</v>
      </c>
    </row>
    <row r="184" spans="1:16" x14ac:dyDescent="0.35">
      <c r="A184">
        <v>1028</v>
      </c>
      <c r="B184" s="1">
        <v>45250</v>
      </c>
      <c r="C184" t="s">
        <v>42</v>
      </c>
      <c r="D184" t="s">
        <v>34</v>
      </c>
      <c r="E184">
        <v>388.78</v>
      </c>
      <c r="F184">
        <v>5</v>
      </c>
      <c r="G184" t="s">
        <v>26</v>
      </c>
      <c r="H184">
        <v>734.92</v>
      </c>
      <c r="I184">
        <v>991.21</v>
      </c>
      <c r="J184" t="s">
        <v>17</v>
      </c>
      <c r="K184">
        <v>0.21</v>
      </c>
      <c r="L184" t="s">
        <v>31</v>
      </c>
      <c r="M184" t="s">
        <v>19</v>
      </c>
      <c r="N184" t="s">
        <v>34</v>
      </c>
      <c r="O184" t="s">
        <v>42</v>
      </c>
      <c r="P184" t="str">
        <f>Table1[[#This Row],[Region]]&amp;"|"&amp;Table1[[#This Row],[Sales Rep]]</f>
        <v>East|Alice</v>
      </c>
    </row>
    <row r="185" spans="1:16" x14ac:dyDescent="0.35">
      <c r="A185">
        <v>1044</v>
      </c>
      <c r="B185" s="1">
        <v>45258</v>
      </c>
      <c r="C185" t="s">
        <v>33</v>
      </c>
      <c r="D185" t="s">
        <v>21</v>
      </c>
      <c r="E185">
        <v>4860.8100000000004</v>
      </c>
      <c r="F185">
        <v>6</v>
      </c>
      <c r="G185" t="s">
        <v>35</v>
      </c>
      <c r="H185">
        <v>3703.93</v>
      </c>
      <c r="I185">
        <v>3840.24</v>
      </c>
      <c r="J185" t="s">
        <v>30</v>
      </c>
      <c r="K185">
        <v>7.0000000000000007E-2</v>
      </c>
      <c r="L185" t="s">
        <v>31</v>
      </c>
      <c r="M185" t="s">
        <v>19</v>
      </c>
      <c r="N185" t="s">
        <v>21</v>
      </c>
      <c r="O185" t="s">
        <v>33</v>
      </c>
      <c r="P185" t="str">
        <f>Table1[[#This Row],[Region]]&amp;"|"&amp;Table1[[#This Row],[Sales Rep]]</f>
        <v>West|Charlie</v>
      </c>
    </row>
    <row r="186" spans="1:16" x14ac:dyDescent="0.35">
      <c r="A186">
        <v>1084</v>
      </c>
      <c r="B186" s="1">
        <v>45099</v>
      </c>
      <c r="C186" t="s">
        <v>38</v>
      </c>
      <c r="D186" t="s">
        <v>15</v>
      </c>
      <c r="E186">
        <v>6658.1</v>
      </c>
      <c r="F186">
        <v>49</v>
      </c>
      <c r="G186" t="s">
        <v>16</v>
      </c>
      <c r="H186">
        <v>4291.97</v>
      </c>
      <c r="I186">
        <v>4645.6400000000003</v>
      </c>
      <c r="J186" t="s">
        <v>17</v>
      </c>
      <c r="K186">
        <v>0.26</v>
      </c>
      <c r="L186" t="s">
        <v>31</v>
      </c>
      <c r="M186" t="s">
        <v>19</v>
      </c>
      <c r="N186" t="s">
        <v>15</v>
      </c>
      <c r="O186" t="s">
        <v>38</v>
      </c>
      <c r="P186" t="str">
        <f>Table1[[#This Row],[Region]]&amp;"|"&amp;Table1[[#This Row],[Sales Rep]]</f>
        <v>North|Eve</v>
      </c>
    </row>
    <row r="187" spans="1:16" x14ac:dyDescent="0.35">
      <c r="A187">
        <v>1030</v>
      </c>
      <c r="B187" s="1">
        <v>45056</v>
      </c>
      <c r="C187" t="s">
        <v>14</v>
      </c>
      <c r="D187" t="s">
        <v>25</v>
      </c>
      <c r="E187">
        <v>1273.18</v>
      </c>
      <c r="F187">
        <v>43</v>
      </c>
      <c r="G187" t="s">
        <v>29</v>
      </c>
      <c r="H187">
        <v>4696.6400000000003</v>
      </c>
      <c r="I187">
        <v>4713.68</v>
      </c>
      <c r="J187" t="s">
        <v>17</v>
      </c>
      <c r="K187">
        <v>0.24</v>
      </c>
      <c r="L187" t="s">
        <v>27</v>
      </c>
      <c r="M187" t="s">
        <v>19</v>
      </c>
      <c r="N187" t="s">
        <v>25</v>
      </c>
      <c r="O187" t="s">
        <v>14</v>
      </c>
      <c r="P187" t="str">
        <f>Table1[[#This Row],[Region]]&amp;"|"&amp;Table1[[#This Row],[Sales Rep]]</f>
        <v>South|Bob</v>
      </c>
    </row>
    <row r="188" spans="1:16" x14ac:dyDescent="0.35">
      <c r="A188">
        <v>1062</v>
      </c>
      <c r="B188" s="1">
        <v>45021</v>
      </c>
      <c r="C188" t="s">
        <v>14</v>
      </c>
      <c r="D188" t="s">
        <v>15</v>
      </c>
      <c r="E188">
        <v>2959.96</v>
      </c>
      <c r="F188">
        <v>48</v>
      </c>
      <c r="G188" t="s">
        <v>26</v>
      </c>
      <c r="H188">
        <v>2487.19</v>
      </c>
      <c r="I188">
        <v>2521.4499999999998</v>
      </c>
      <c r="J188" t="s">
        <v>30</v>
      </c>
      <c r="K188">
        <v>0.28999999999999998</v>
      </c>
      <c r="L188" t="s">
        <v>18</v>
      </c>
      <c r="M188" t="s">
        <v>19</v>
      </c>
      <c r="N188" t="s">
        <v>15</v>
      </c>
      <c r="O188" t="s">
        <v>14</v>
      </c>
      <c r="P188" t="str">
        <f>Table1[[#This Row],[Region]]&amp;"|"&amp;Table1[[#This Row],[Sales Rep]]</f>
        <v>North|Bob</v>
      </c>
    </row>
    <row r="189" spans="1:16" x14ac:dyDescent="0.35">
      <c r="A189">
        <v>1075</v>
      </c>
      <c r="B189" s="1">
        <v>45041</v>
      </c>
      <c r="C189" t="s">
        <v>24</v>
      </c>
      <c r="D189" t="s">
        <v>21</v>
      </c>
      <c r="E189">
        <v>4038.58</v>
      </c>
      <c r="F189">
        <v>44</v>
      </c>
      <c r="G189" t="s">
        <v>16</v>
      </c>
      <c r="H189">
        <v>3519.29</v>
      </c>
      <c r="I189">
        <v>3822.98</v>
      </c>
      <c r="J189" t="s">
        <v>17</v>
      </c>
      <c r="K189">
        <v>0.27</v>
      </c>
      <c r="L189" t="s">
        <v>27</v>
      </c>
      <c r="M189" t="s">
        <v>19</v>
      </c>
      <c r="N189" t="s">
        <v>21</v>
      </c>
      <c r="O189" t="s">
        <v>24</v>
      </c>
      <c r="P189" t="str">
        <f>Table1[[#This Row],[Region]]&amp;"|"&amp;Table1[[#This Row],[Sales Rep]]</f>
        <v>West|David</v>
      </c>
    </row>
    <row r="190" spans="1:16" x14ac:dyDescent="0.35">
      <c r="A190">
        <v>1092</v>
      </c>
      <c r="B190" s="1">
        <v>45169</v>
      </c>
      <c r="C190" t="s">
        <v>38</v>
      </c>
      <c r="D190" t="s">
        <v>25</v>
      </c>
      <c r="E190">
        <v>9203.36</v>
      </c>
      <c r="F190">
        <v>47</v>
      </c>
      <c r="G190" t="s">
        <v>26</v>
      </c>
      <c r="H190">
        <v>4284.9799999999996</v>
      </c>
      <c r="I190">
        <v>4462.3999999999996</v>
      </c>
      <c r="J190" t="s">
        <v>30</v>
      </c>
      <c r="K190">
        <v>0.28000000000000003</v>
      </c>
      <c r="L190" t="s">
        <v>31</v>
      </c>
      <c r="M190" t="s">
        <v>22</v>
      </c>
      <c r="N190" t="s">
        <v>25</v>
      </c>
      <c r="O190" t="s">
        <v>38</v>
      </c>
      <c r="P190" t="str">
        <f>Table1[[#This Row],[Region]]&amp;"|"&amp;Table1[[#This Row],[Sales Rep]]</f>
        <v>South|Eve</v>
      </c>
    </row>
    <row r="191" spans="1:16" x14ac:dyDescent="0.35">
      <c r="A191">
        <v>1089</v>
      </c>
      <c r="B191" s="1">
        <v>45218</v>
      </c>
      <c r="C191" t="s">
        <v>38</v>
      </c>
      <c r="D191" t="s">
        <v>21</v>
      </c>
      <c r="E191">
        <v>9933.2199999999993</v>
      </c>
      <c r="F191">
        <v>23</v>
      </c>
      <c r="G191" t="s">
        <v>26</v>
      </c>
      <c r="H191">
        <v>2120.54</v>
      </c>
      <c r="I191">
        <v>2597.67</v>
      </c>
      <c r="J191" t="s">
        <v>17</v>
      </c>
      <c r="K191">
        <v>0.26</v>
      </c>
      <c r="L191" t="s">
        <v>31</v>
      </c>
      <c r="M191" t="s">
        <v>22</v>
      </c>
      <c r="N191" t="s">
        <v>21</v>
      </c>
      <c r="O191" t="s">
        <v>38</v>
      </c>
      <c r="P191" t="str">
        <f>Table1[[#This Row],[Region]]&amp;"|"&amp;Table1[[#This Row],[Sales Rep]]</f>
        <v>West|Eve</v>
      </c>
    </row>
    <row r="192" spans="1:16" x14ac:dyDescent="0.35">
      <c r="A192">
        <v>1062</v>
      </c>
      <c r="B192" s="1">
        <v>45208</v>
      </c>
      <c r="C192" t="s">
        <v>14</v>
      </c>
      <c r="D192" t="s">
        <v>34</v>
      </c>
      <c r="E192">
        <v>544.62</v>
      </c>
      <c r="F192">
        <v>4</v>
      </c>
      <c r="G192" t="s">
        <v>35</v>
      </c>
      <c r="H192">
        <v>1581.59</v>
      </c>
      <c r="I192">
        <v>2034.1499999999901</v>
      </c>
      <c r="J192" t="s">
        <v>17</v>
      </c>
      <c r="K192">
        <v>0.21</v>
      </c>
      <c r="L192" t="s">
        <v>18</v>
      </c>
      <c r="M192" t="s">
        <v>19</v>
      </c>
      <c r="N192" t="s">
        <v>34</v>
      </c>
      <c r="O192" t="s">
        <v>14</v>
      </c>
      <c r="P192" t="str">
        <f>Table1[[#This Row],[Region]]&amp;"|"&amp;Table1[[#This Row],[Sales Rep]]</f>
        <v>East|Bob</v>
      </c>
    </row>
    <row r="193" spans="1:16" x14ac:dyDescent="0.35">
      <c r="A193">
        <v>1097</v>
      </c>
      <c r="B193" s="1">
        <v>45225</v>
      </c>
      <c r="C193" t="s">
        <v>42</v>
      </c>
      <c r="D193" t="s">
        <v>34</v>
      </c>
      <c r="E193">
        <v>7633.98</v>
      </c>
      <c r="F193">
        <v>27</v>
      </c>
      <c r="G193" t="s">
        <v>35</v>
      </c>
      <c r="H193">
        <v>4686.79</v>
      </c>
      <c r="I193">
        <v>5046.51</v>
      </c>
      <c r="J193" t="s">
        <v>17</v>
      </c>
      <c r="K193">
        <v>0.05</v>
      </c>
      <c r="L193" t="s">
        <v>31</v>
      </c>
      <c r="M193" t="s">
        <v>22</v>
      </c>
      <c r="N193" t="s">
        <v>34</v>
      </c>
      <c r="O193" t="s">
        <v>42</v>
      </c>
      <c r="P193" t="str">
        <f>Table1[[#This Row],[Region]]&amp;"|"&amp;Table1[[#This Row],[Sales Rep]]</f>
        <v>East|Alice</v>
      </c>
    </row>
    <row r="194" spans="1:16" x14ac:dyDescent="0.35">
      <c r="A194">
        <v>1001</v>
      </c>
      <c r="B194" s="1">
        <v>45209</v>
      </c>
      <c r="C194" t="s">
        <v>24</v>
      </c>
      <c r="D194" t="s">
        <v>21</v>
      </c>
      <c r="E194">
        <v>3780.07</v>
      </c>
      <c r="F194">
        <v>18</v>
      </c>
      <c r="G194" t="s">
        <v>16</v>
      </c>
      <c r="H194">
        <v>2602.6</v>
      </c>
      <c r="I194">
        <v>3013.49</v>
      </c>
      <c r="J194" t="s">
        <v>17</v>
      </c>
      <c r="K194">
        <v>0.08</v>
      </c>
      <c r="L194" t="s">
        <v>27</v>
      </c>
      <c r="M194" t="s">
        <v>19</v>
      </c>
      <c r="N194" t="s">
        <v>21</v>
      </c>
      <c r="O194" t="s">
        <v>24</v>
      </c>
      <c r="P194" t="str">
        <f>Table1[[#This Row],[Region]]&amp;"|"&amp;Table1[[#This Row],[Sales Rep]]</f>
        <v>West|David</v>
      </c>
    </row>
    <row r="195" spans="1:16" x14ac:dyDescent="0.35">
      <c r="A195">
        <v>1027</v>
      </c>
      <c r="B195" s="1">
        <v>44995</v>
      </c>
      <c r="C195" t="s">
        <v>38</v>
      </c>
      <c r="D195" t="s">
        <v>25</v>
      </c>
      <c r="E195">
        <v>3985.34</v>
      </c>
      <c r="F195">
        <v>21</v>
      </c>
      <c r="G195" t="s">
        <v>26</v>
      </c>
      <c r="H195">
        <v>2511.41</v>
      </c>
      <c r="I195">
        <v>2848.3999999999901</v>
      </c>
      <c r="J195" t="s">
        <v>17</v>
      </c>
      <c r="K195">
        <v>0.06</v>
      </c>
      <c r="L195" t="s">
        <v>27</v>
      </c>
      <c r="M195" t="s">
        <v>19</v>
      </c>
      <c r="N195" t="s">
        <v>25</v>
      </c>
      <c r="O195" t="s">
        <v>38</v>
      </c>
      <c r="P195" t="str">
        <f>Table1[[#This Row],[Region]]&amp;"|"&amp;Table1[[#This Row],[Sales Rep]]</f>
        <v>South|Eve</v>
      </c>
    </row>
    <row r="196" spans="1:16" x14ac:dyDescent="0.35">
      <c r="A196">
        <v>1062</v>
      </c>
      <c r="B196" s="1">
        <v>45074</v>
      </c>
      <c r="C196" t="s">
        <v>14</v>
      </c>
      <c r="D196" t="s">
        <v>25</v>
      </c>
      <c r="E196">
        <v>7567.22</v>
      </c>
      <c r="F196">
        <v>28</v>
      </c>
      <c r="G196" t="s">
        <v>35</v>
      </c>
      <c r="H196">
        <v>933.16</v>
      </c>
      <c r="I196">
        <v>1004.69999999999</v>
      </c>
      <c r="J196" t="s">
        <v>17</v>
      </c>
      <c r="K196">
        <v>0.18</v>
      </c>
      <c r="L196" t="s">
        <v>27</v>
      </c>
      <c r="M196" t="s">
        <v>19</v>
      </c>
      <c r="N196" t="s">
        <v>25</v>
      </c>
      <c r="O196" t="s">
        <v>14</v>
      </c>
      <c r="P196" t="str">
        <f>Table1[[#This Row],[Region]]&amp;"|"&amp;Table1[[#This Row],[Sales Rep]]</f>
        <v>South|Bob</v>
      </c>
    </row>
    <row r="197" spans="1:16" x14ac:dyDescent="0.35">
      <c r="A197">
        <v>1077</v>
      </c>
      <c r="B197" s="1">
        <v>44937</v>
      </c>
      <c r="C197" t="s">
        <v>38</v>
      </c>
      <c r="D197" t="s">
        <v>15</v>
      </c>
      <c r="E197">
        <v>9192.42</v>
      </c>
      <c r="F197">
        <v>35</v>
      </c>
      <c r="G197" t="s">
        <v>35</v>
      </c>
      <c r="H197">
        <v>585.37</v>
      </c>
      <c r="I197">
        <v>970.49</v>
      </c>
      <c r="J197" t="s">
        <v>17</v>
      </c>
      <c r="K197">
        <v>0.15</v>
      </c>
      <c r="L197" t="s">
        <v>27</v>
      </c>
      <c r="M197" t="s">
        <v>22</v>
      </c>
      <c r="N197" t="s">
        <v>15</v>
      </c>
      <c r="O197" t="s">
        <v>38</v>
      </c>
      <c r="P197" t="str">
        <f>Table1[[#This Row],[Region]]&amp;"|"&amp;Table1[[#This Row],[Sales Rep]]</f>
        <v>North|Eve</v>
      </c>
    </row>
    <row r="198" spans="1:16" x14ac:dyDescent="0.35">
      <c r="A198">
        <v>1003</v>
      </c>
      <c r="B198" s="1">
        <v>45180</v>
      </c>
      <c r="C198" t="s">
        <v>24</v>
      </c>
      <c r="D198" t="s">
        <v>34</v>
      </c>
      <c r="E198">
        <v>9514.19</v>
      </c>
      <c r="F198">
        <v>22</v>
      </c>
      <c r="G198" t="s">
        <v>26</v>
      </c>
      <c r="H198">
        <v>4218.43</v>
      </c>
      <c r="I198">
        <v>4331.42</v>
      </c>
      <c r="J198" t="s">
        <v>30</v>
      </c>
      <c r="K198">
        <v>0.26</v>
      </c>
      <c r="L198" t="s">
        <v>27</v>
      </c>
      <c r="M198" t="s">
        <v>19</v>
      </c>
      <c r="N198" t="s">
        <v>34</v>
      </c>
      <c r="O198" t="s">
        <v>24</v>
      </c>
      <c r="P198" t="str">
        <f>Table1[[#This Row],[Region]]&amp;"|"&amp;Table1[[#This Row],[Sales Rep]]</f>
        <v>East|David</v>
      </c>
    </row>
    <row r="199" spans="1:16" x14ac:dyDescent="0.35">
      <c r="A199">
        <v>1070</v>
      </c>
      <c r="B199" s="1">
        <v>45256</v>
      </c>
      <c r="C199" t="s">
        <v>24</v>
      </c>
      <c r="D199" t="s">
        <v>15</v>
      </c>
      <c r="E199">
        <v>5813.51</v>
      </c>
      <c r="F199">
        <v>40</v>
      </c>
      <c r="G199" t="s">
        <v>16</v>
      </c>
      <c r="H199">
        <v>3089.96</v>
      </c>
      <c r="I199">
        <v>3258.45</v>
      </c>
      <c r="J199" t="s">
        <v>30</v>
      </c>
      <c r="K199">
        <v>0.28999999999999998</v>
      </c>
      <c r="L199" t="s">
        <v>18</v>
      </c>
      <c r="M199" t="s">
        <v>19</v>
      </c>
      <c r="N199" t="s">
        <v>15</v>
      </c>
      <c r="O199" t="s">
        <v>24</v>
      </c>
      <c r="P199" t="str">
        <f>Table1[[#This Row],[Region]]&amp;"|"&amp;Table1[[#This Row],[Sales Rep]]</f>
        <v>North|David</v>
      </c>
    </row>
    <row r="200" spans="1:16" x14ac:dyDescent="0.35">
      <c r="A200">
        <v>1072</v>
      </c>
      <c r="B200" s="1">
        <v>45286</v>
      </c>
      <c r="C200" t="s">
        <v>33</v>
      </c>
      <c r="D200" t="s">
        <v>15</v>
      </c>
      <c r="E200">
        <v>3635.5</v>
      </c>
      <c r="F200">
        <v>23</v>
      </c>
      <c r="G200" t="s">
        <v>16</v>
      </c>
      <c r="H200">
        <v>1662.83</v>
      </c>
      <c r="I200">
        <v>2074.25</v>
      </c>
      <c r="J200" t="s">
        <v>30</v>
      </c>
      <c r="K200">
        <v>0.12</v>
      </c>
      <c r="L200" t="s">
        <v>27</v>
      </c>
      <c r="M200" t="s">
        <v>19</v>
      </c>
      <c r="N200" t="s">
        <v>15</v>
      </c>
      <c r="O200" t="s">
        <v>33</v>
      </c>
      <c r="P200" t="str">
        <f>Table1[[#This Row],[Region]]&amp;"|"&amp;Table1[[#This Row],[Sales Rep]]</f>
        <v>North|Charlie</v>
      </c>
    </row>
    <row r="201" spans="1:16" x14ac:dyDescent="0.35">
      <c r="A201">
        <v>1027</v>
      </c>
      <c r="B201" s="1">
        <v>44964</v>
      </c>
      <c r="C201" t="s">
        <v>14</v>
      </c>
      <c r="D201" t="s">
        <v>21</v>
      </c>
      <c r="E201">
        <v>7896.74</v>
      </c>
      <c r="F201">
        <v>3</v>
      </c>
      <c r="G201" t="s">
        <v>26</v>
      </c>
      <c r="H201">
        <v>999.09</v>
      </c>
      <c r="I201">
        <v>1271.99</v>
      </c>
      <c r="J201" t="s">
        <v>30</v>
      </c>
      <c r="K201">
        <v>0.15</v>
      </c>
      <c r="L201" t="s">
        <v>31</v>
      </c>
      <c r="M201" t="s">
        <v>19</v>
      </c>
      <c r="N201" t="s">
        <v>21</v>
      </c>
      <c r="O201" t="s">
        <v>14</v>
      </c>
      <c r="P201" t="str">
        <f>Table1[[#This Row],[Region]]&amp;"|"&amp;Table1[[#This Row],[Sales Rep]]</f>
        <v>West|Bob</v>
      </c>
    </row>
    <row r="202" spans="1:16" x14ac:dyDescent="0.35">
      <c r="A202">
        <v>1009</v>
      </c>
      <c r="B202" s="1">
        <v>45060</v>
      </c>
      <c r="C202" t="s">
        <v>24</v>
      </c>
      <c r="D202" t="s">
        <v>21</v>
      </c>
      <c r="E202">
        <v>2584.91</v>
      </c>
      <c r="F202">
        <v>40</v>
      </c>
      <c r="G202" t="s">
        <v>16</v>
      </c>
      <c r="H202">
        <v>2799.71</v>
      </c>
      <c r="I202">
        <v>3231.08</v>
      </c>
      <c r="J202" t="s">
        <v>17</v>
      </c>
      <c r="K202">
        <v>0.28999999999999998</v>
      </c>
      <c r="L202" t="s">
        <v>31</v>
      </c>
      <c r="M202" t="s">
        <v>22</v>
      </c>
      <c r="N202" t="s">
        <v>21</v>
      </c>
      <c r="O202" t="s">
        <v>24</v>
      </c>
      <c r="P202" t="str">
        <f>Table1[[#This Row],[Region]]&amp;"|"&amp;Table1[[#This Row],[Sales Rep]]</f>
        <v>West|David</v>
      </c>
    </row>
    <row r="203" spans="1:16" x14ac:dyDescent="0.35">
      <c r="A203">
        <v>1062</v>
      </c>
      <c r="B203" s="1">
        <v>45126</v>
      </c>
      <c r="C203" t="s">
        <v>33</v>
      </c>
      <c r="D203" t="s">
        <v>15</v>
      </c>
      <c r="E203">
        <v>5684.33</v>
      </c>
      <c r="F203">
        <v>10</v>
      </c>
      <c r="G203" t="s">
        <v>35</v>
      </c>
      <c r="H203">
        <v>2940.4</v>
      </c>
      <c r="I203">
        <v>3054.79</v>
      </c>
      <c r="J203" t="s">
        <v>17</v>
      </c>
      <c r="K203">
        <v>0.08</v>
      </c>
      <c r="L203" t="s">
        <v>31</v>
      </c>
      <c r="M203" t="s">
        <v>19</v>
      </c>
      <c r="N203" t="s">
        <v>15</v>
      </c>
      <c r="O203" t="s">
        <v>33</v>
      </c>
      <c r="P203" t="str">
        <f>Table1[[#This Row],[Region]]&amp;"|"&amp;Table1[[#This Row],[Sales Rep]]</f>
        <v>North|Charlie</v>
      </c>
    </row>
    <row r="204" spans="1:16" x14ac:dyDescent="0.35">
      <c r="A204">
        <v>1037</v>
      </c>
      <c r="B204" s="1">
        <v>44949</v>
      </c>
      <c r="C204" t="s">
        <v>33</v>
      </c>
      <c r="D204" t="s">
        <v>34</v>
      </c>
      <c r="E204">
        <v>3649.93</v>
      </c>
      <c r="F204">
        <v>25</v>
      </c>
      <c r="G204" t="s">
        <v>26</v>
      </c>
      <c r="H204">
        <v>1074.6199999999999</v>
      </c>
      <c r="I204">
        <v>1382.4299999999901</v>
      </c>
      <c r="J204" t="s">
        <v>17</v>
      </c>
      <c r="K204">
        <v>0.24</v>
      </c>
      <c r="L204" t="s">
        <v>31</v>
      </c>
      <c r="M204" t="s">
        <v>22</v>
      </c>
      <c r="N204" t="s">
        <v>34</v>
      </c>
      <c r="O204" t="s">
        <v>33</v>
      </c>
      <c r="P204" t="str">
        <f>Table1[[#This Row],[Region]]&amp;"|"&amp;Table1[[#This Row],[Sales Rep]]</f>
        <v>East|Charlie</v>
      </c>
    </row>
    <row r="205" spans="1:16" x14ac:dyDescent="0.35">
      <c r="A205">
        <v>1097</v>
      </c>
      <c r="B205" s="1">
        <v>45229</v>
      </c>
      <c r="C205" t="s">
        <v>38</v>
      </c>
      <c r="D205" t="s">
        <v>21</v>
      </c>
      <c r="E205">
        <v>6600.65</v>
      </c>
      <c r="F205">
        <v>49</v>
      </c>
      <c r="G205" t="s">
        <v>35</v>
      </c>
      <c r="H205">
        <v>4264.46</v>
      </c>
      <c r="I205">
        <v>4315.5200000000004</v>
      </c>
      <c r="J205" t="s">
        <v>30</v>
      </c>
      <c r="K205">
        <v>7.0000000000000007E-2</v>
      </c>
      <c r="L205" t="s">
        <v>18</v>
      </c>
      <c r="M205" t="s">
        <v>22</v>
      </c>
      <c r="N205" t="s">
        <v>21</v>
      </c>
      <c r="O205" t="s">
        <v>38</v>
      </c>
      <c r="P205" t="str">
        <f>Table1[[#This Row],[Region]]&amp;"|"&amp;Table1[[#This Row],[Sales Rep]]</f>
        <v>West|Eve</v>
      </c>
    </row>
    <row r="206" spans="1:16" x14ac:dyDescent="0.35">
      <c r="A206">
        <v>1051</v>
      </c>
      <c r="B206" s="1">
        <v>45272</v>
      </c>
      <c r="C206" t="s">
        <v>38</v>
      </c>
      <c r="D206" t="s">
        <v>15</v>
      </c>
      <c r="E206">
        <v>2479.9499999999998</v>
      </c>
      <c r="F206">
        <v>8</v>
      </c>
      <c r="G206" t="s">
        <v>29</v>
      </c>
      <c r="H206">
        <v>467.11</v>
      </c>
      <c r="I206">
        <v>792.21</v>
      </c>
      <c r="J206" t="s">
        <v>30</v>
      </c>
      <c r="K206">
        <v>0.2</v>
      </c>
      <c r="L206" t="s">
        <v>31</v>
      </c>
      <c r="M206" t="s">
        <v>19</v>
      </c>
      <c r="N206" t="s">
        <v>15</v>
      </c>
      <c r="O206" t="s">
        <v>38</v>
      </c>
      <c r="P206" t="str">
        <f>Table1[[#This Row],[Region]]&amp;"|"&amp;Table1[[#This Row],[Sales Rep]]</f>
        <v>North|Eve</v>
      </c>
    </row>
    <row r="207" spans="1:16" x14ac:dyDescent="0.35">
      <c r="A207">
        <v>1044</v>
      </c>
      <c r="B207" s="1">
        <v>45228</v>
      </c>
      <c r="C207" t="s">
        <v>33</v>
      </c>
      <c r="D207" t="s">
        <v>15</v>
      </c>
      <c r="E207">
        <v>1996.77</v>
      </c>
      <c r="F207">
        <v>11</v>
      </c>
      <c r="G207" t="s">
        <v>29</v>
      </c>
      <c r="H207">
        <v>1812.66</v>
      </c>
      <c r="I207">
        <v>2196.3000000000002</v>
      </c>
      <c r="J207" t="s">
        <v>30</v>
      </c>
      <c r="K207">
        <v>0.08</v>
      </c>
      <c r="L207" t="s">
        <v>18</v>
      </c>
      <c r="M207" t="s">
        <v>19</v>
      </c>
      <c r="N207" t="s">
        <v>15</v>
      </c>
      <c r="O207" t="s">
        <v>33</v>
      </c>
      <c r="P207" t="str">
        <f>Table1[[#This Row],[Region]]&amp;"|"&amp;Table1[[#This Row],[Sales Rep]]</f>
        <v>North|Charlie</v>
      </c>
    </row>
    <row r="208" spans="1:16" x14ac:dyDescent="0.35">
      <c r="A208">
        <v>1024</v>
      </c>
      <c r="B208" s="1">
        <v>45289</v>
      </c>
      <c r="C208" t="s">
        <v>38</v>
      </c>
      <c r="D208" t="s">
        <v>15</v>
      </c>
      <c r="E208">
        <v>9190.57</v>
      </c>
      <c r="F208">
        <v>5</v>
      </c>
      <c r="G208" t="s">
        <v>16</v>
      </c>
      <c r="H208">
        <v>3417.9</v>
      </c>
      <c r="I208">
        <v>3714.52</v>
      </c>
      <c r="J208" t="s">
        <v>17</v>
      </c>
      <c r="K208">
        <v>0.27</v>
      </c>
      <c r="L208" t="s">
        <v>31</v>
      </c>
      <c r="M208" t="s">
        <v>22</v>
      </c>
      <c r="N208" t="s">
        <v>15</v>
      </c>
      <c r="O208" t="s">
        <v>38</v>
      </c>
      <c r="P208" t="str">
        <f>Table1[[#This Row],[Region]]&amp;"|"&amp;Table1[[#This Row],[Sales Rep]]</f>
        <v>North|Eve</v>
      </c>
    </row>
    <row r="209" spans="1:16" x14ac:dyDescent="0.35">
      <c r="A209">
        <v>1079</v>
      </c>
      <c r="B209" s="1">
        <v>45144</v>
      </c>
      <c r="C209" t="s">
        <v>24</v>
      </c>
      <c r="D209" t="s">
        <v>15</v>
      </c>
      <c r="E209">
        <v>1107.8599999999999</v>
      </c>
      <c r="F209">
        <v>45</v>
      </c>
      <c r="G209" t="s">
        <v>29</v>
      </c>
      <c r="H209">
        <v>1406.9</v>
      </c>
      <c r="I209">
        <v>1547.35</v>
      </c>
      <c r="J209" t="s">
        <v>30</v>
      </c>
      <c r="K209">
        <v>0.17</v>
      </c>
      <c r="L209" t="s">
        <v>18</v>
      </c>
      <c r="M209" t="s">
        <v>22</v>
      </c>
      <c r="N209" t="s">
        <v>15</v>
      </c>
      <c r="O209" t="s">
        <v>24</v>
      </c>
      <c r="P209" t="str">
        <f>Table1[[#This Row],[Region]]&amp;"|"&amp;Table1[[#This Row],[Sales Rep]]</f>
        <v>North|David</v>
      </c>
    </row>
    <row r="210" spans="1:16" x14ac:dyDescent="0.35">
      <c r="A210">
        <v>1059</v>
      </c>
      <c r="B210" s="1">
        <v>45067</v>
      </c>
      <c r="C210" t="s">
        <v>42</v>
      </c>
      <c r="D210" t="s">
        <v>15</v>
      </c>
      <c r="E210">
        <v>5108.9799999999996</v>
      </c>
      <c r="F210">
        <v>37</v>
      </c>
      <c r="G210" t="s">
        <v>35</v>
      </c>
      <c r="H210">
        <v>4146.99</v>
      </c>
      <c r="I210">
        <v>4172.3499999999904</v>
      </c>
      <c r="J210" t="s">
        <v>17</v>
      </c>
      <c r="K210">
        <v>0.06</v>
      </c>
      <c r="L210" t="s">
        <v>18</v>
      </c>
      <c r="M210" t="s">
        <v>22</v>
      </c>
      <c r="N210" t="s">
        <v>15</v>
      </c>
      <c r="O210" t="s">
        <v>42</v>
      </c>
      <c r="P210" t="str">
        <f>Table1[[#This Row],[Region]]&amp;"|"&amp;Table1[[#This Row],[Sales Rep]]</f>
        <v>North|Alice</v>
      </c>
    </row>
    <row r="211" spans="1:16" x14ac:dyDescent="0.35">
      <c r="A211">
        <v>1032</v>
      </c>
      <c r="B211" s="1">
        <v>45030</v>
      </c>
      <c r="C211" t="s">
        <v>24</v>
      </c>
      <c r="D211" t="s">
        <v>15</v>
      </c>
      <c r="E211">
        <v>2286.44</v>
      </c>
      <c r="F211">
        <v>45</v>
      </c>
      <c r="G211" t="s">
        <v>29</v>
      </c>
      <c r="H211">
        <v>3712.35</v>
      </c>
      <c r="I211">
        <v>3780.88</v>
      </c>
      <c r="J211" t="s">
        <v>30</v>
      </c>
      <c r="K211">
        <v>7.0000000000000007E-2</v>
      </c>
      <c r="L211" t="s">
        <v>18</v>
      </c>
      <c r="M211" t="s">
        <v>22</v>
      </c>
      <c r="N211" t="s">
        <v>15</v>
      </c>
      <c r="O211" t="s">
        <v>24</v>
      </c>
      <c r="P211" t="str">
        <f>Table1[[#This Row],[Region]]&amp;"|"&amp;Table1[[#This Row],[Sales Rep]]</f>
        <v>North|David</v>
      </c>
    </row>
    <row r="212" spans="1:16" x14ac:dyDescent="0.35">
      <c r="A212">
        <v>1096</v>
      </c>
      <c r="B212" s="1">
        <v>45136</v>
      </c>
      <c r="C212" t="s">
        <v>33</v>
      </c>
      <c r="D212" t="s">
        <v>21</v>
      </c>
      <c r="E212">
        <v>485.41</v>
      </c>
      <c r="F212">
        <v>38</v>
      </c>
      <c r="G212" t="s">
        <v>35</v>
      </c>
      <c r="H212">
        <v>3955.66</v>
      </c>
      <c r="I212">
        <v>4270.59</v>
      </c>
      <c r="J212" t="s">
        <v>17</v>
      </c>
      <c r="K212">
        <v>0.15</v>
      </c>
      <c r="L212" t="s">
        <v>31</v>
      </c>
      <c r="M212" t="s">
        <v>19</v>
      </c>
      <c r="N212" t="s">
        <v>21</v>
      </c>
      <c r="O212" t="s">
        <v>33</v>
      </c>
      <c r="P212" t="str">
        <f>Table1[[#This Row],[Region]]&amp;"|"&amp;Table1[[#This Row],[Sales Rep]]</f>
        <v>West|Charlie</v>
      </c>
    </row>
    <row r="213" spans="1:16" x14ac:dyDescent="0.35">
      <c r="A213">
        <v>1088</v>
      </c>
      <c r="B213" s="1">
        <v>45037</v>
      </c>
      <c r="C213" t="s">
        <v>33</v>
      </c>
      <c r="D213" t="s">
        <v>34</v>
      </c>
      <c r="E213">
        <v>456.59</v>
      </c>
      <c r="F213">
        <v>29</v>
      </c>
      <c r="G213" t="s">
        <v>16</v>
      </c>
      <c r="H213">
        <v>639.58000000000004</v>
      </c>
      <c r="I213">
        <v>1107.45</v>
      </c>
      <c r="J213" t="s">
        <v>30</v>
      </c>
      <c r="K213">
        <v>0.28999999999999998</v>
      </c>
      <c r="L213" t="s">
        <v>18</v>
      </c>
      <c r="M213" t="s">
        <v>22</v>
      </c>
      <c r="N213" t="s">
        <v>34</v>
      </c>
      <c r="O213" t="s">
        <v>33</v>
      </c>
      <c r="P213" t="str">
        <f>Table1[[#This Row],[Region]]&amp;"|"&amp;Table1[[#This Row],[Sales Rep]]</f>
        <v>East|Charlie</v>
      </c>
    </row>
    <row r="214" spans="1:16" x14ac:dyDescent="0.35">
      <c r="A214">
        <v>1052</v>
      </c>
      <c r="B214" s="1">
        <v>45030</v>
      </c>
      <c r="C214" t="s">
        <v>24</v>
      </c>
      <c r="D214" t="s">
        <v>15</v>
      </c>
      <c r="E214">
        <v>1834.7</v>
      </c>
      <c r="F214">
        <v>5</v>
      </c>
      <c r="G214" t="s">
        <v>16</v>
      </c>
      <c r="H214">
        <v>745.71</v>
      </c>
      <c r="I214">
        <v>856.91</v>
      </c>
      <c r="J214" t="s">
        <v>17</v>
      </c>
      <c r="K214">
        <v>0.23</v>
      </c>
      <c r="L214" t="s">
        <v>27</v>
      </c>
      <c r="M214" t="s">
        <v>22</v>
      </c>
      <c r="N214" t="s">
        <v>15</v>
      </c>
      <c r="O214" t="s">
        <v>24</v>
      </c>
      <c r="P214" t="str">
        <f>Table1[[#This Row],[Region]]&amp;"|"&amp;Table1[[#This Row],[Sales Rep]]</f>
        <v>North|David</v>
      </c>
    </row>
    <row r="215" spans="1:16" x14ac:dyDescent="0.35">
      <c r="A215">
        <v>1062</v>
      </c>
      <c r="B215" s="1">
        <v>45242</v>
      </c>
      <c r="C215" t="s">
        <v>38</v>
      </c>
      <c r="D215" t="s">
        <v>25</v>
      </c>
      <c r="E215">
        <v>8681.0300000000007</v>
      </c>
      <c r="F215">
        <v>9</v>
      </c>
      <c r="G215" t="s">
        <v>35</v>
      </c>
      <c r="H215">
        <v>1468.05</v>
      </c>
      <c r="I215">
        <v>1838.21</v>
      </c>
      <c r="J215" t="s">
        <v>30</v>
      </c>
      <c r="K215">
        <v>0.15</v>
      </c>
      <c r="L215" t="s">
        <v>27</v>
      </c>
      <c r="M215" t="s">
        <v>22</v>
      </c>
      <c r="N215" t="s">
        <v>25</v>
      </c>
      <c r="O215" t="s">
        <v>38</v>
      </c>
      <c r="P215" t="str">
        <f>Table1[[#This Row],[Region]]&amp;"|"&amp;Table1[[#This Row],[Sales Rep]]</f>
        <v>South|Eve</v>
      </c>
    </row>
    <row r="216" spans="1:16" x14ac:dyDescent="0.35">
      <c r="A216">
        <v>1058</v>
      </c>
      <c r="B216" s="1">
        <v>45097</v>
      </c>
      <c r="C216" t="s">
        <v>38</v>
      </c>
      <c r="D216" t="s">
        <v>21</v>
      </c>
      <c r="E216">
        <v>2896.54</v>
      </c>
      <c r="F216">
        <v>48</v>
      </c>
      <c r="G216" t="s">
        <v>29</v>
      </c>
      <c r="H216">
        <v>2614.48</v>
      </c>
      <c r="I216">
        <v>3049.04</v>
      </c>
      <c r="J216" t="s">
        <v>30</v>
      </c>
      <c r="K216">
        <v>0.1</v>
      </c>
      <c r="L216" t="s">
        <v>31</v>
      </c>
      <c r="M216" t="s">
        <v>22</v>
      </c>
      <c r="N216" t="s">
        <v>21</v>
      </c>
      <c r="O216" t="s">
        <v>38</v>
      </c>
      <c r="P216" t="str">
        <f>Table1[[#This Row],[Region]]&amp;"|"&amp;Table1[[#This Row],[Sales Rep]]</f>
        <v>West|Eve</v>
      </c>
    </row>
    <row r="217" spans="1:16" x14ac:dyDescent="0.35">
      <c r="A217">
        <v>1052</v>
      </c>
      <c r="B217" s="1">
        <v>45282</v>
      </c>
      <c r="C217" t="s">
        <v>33</v>
      </c>
      <c r="D217" t="s">
        <v>21</v>
      </c>
      <c r="E217">
        <v>9509.5499999999993</v>
      </c>
      <c r="F217">
        <v>2</v>
      </c>
      <c r="G217" t="s">
        <v>16</v>
      </c>
      <c r="H217">
        <v>3752.68</v>
      </c>
      <c r="I217">
        <v>4017.91</v>
      </c>
      <c r="J217" t="s">
        <v>17</v>
      </c>
      <c r="K217">
        <v>0.16</v>
      </c>
      <c r="L217" t="s">
        <v>27</v>
      </c>
      <c r="M217" t="s">
        <v>19</v>
      </c>
      <c r="N217" t="s">
        <v>21</v>
      </c>
      <c r="O217" t="s">
        <v>33</v>
      </c>
      <c r="P217" t="str">
        <f>Table1[[#This Row],[Region]]&amp;"|"&amp;Table1[[#This Row],[Sales Rep]]</f>
        <v>West|Charlie</v>
      </c>
    </row>
    <row r="218" spans="1:16" x14ac:dyDescent="0.35">
      <c r="A218">
        <v>1012</v>
      </c>
      <c r="B218" s="1">
        <v>45250</v>
      </c>
      <c r="C218" t="s">
        <v>14</v>
      </c>
      <c r="D218" t="s">
        <v>15</v>
      </c>
      <c r="E218">
        <v>5858.06</v>
      </c>
      <c r="F218">
        <v>1</v>
      </c>
      <c r="G218" t="s">
        <v>26</v>
      </c>
      <c r="H218">
        <v>4190.83</v>
      </c>
      <c r="I218">
        <v>4528.7699999999904</v>
      </c>
      <c r="J218" t="s">
        <v>17</v>
      </c>
      <c r="K218">
        <v>0.22</v>
      </c>
      <c r="L218" t="s">
        <v>27</v>
      </c>
      <c r="M218" t="s">
        <v>19</v>
      </c>
      <c r="N218" t="s">
        <v>15</v>
      </c>
      <c r="O218" t="s">
        <v>14</v>
      </c>
      <c r="P218" t="str">
        <f>Table1[[#This Row],[Region]]&amp;"|"&amp;Table1[[#This Row],[Sales Rep]]</f>
        <v>North|Bob</v>
      </c>
    </row>
    <row r="219" spans="1:16" x14ac:dyDescent="0.35">
      <c r="A219">
        <v>1039</v>
      </c>
      <c r="B219" s="1">
        <v>45059</v>
      </c>
      <c r="C219" t="s">
        <v>38</v>
      </c>
      <c r="D219" t="s">
        <v>21</v>
      </c>
      <c r="E219">
        <v>4422.4799999999996</v>
      </c>
      <c r="F219">
        <v>40</v>
      </c>
      <c r="G219" t="s">
        <v>16</v>
      </c>
      <c r="H219">
        <v>3536.46</v>
      </c>
      <c r="I219">
        <v>3945.82</v>
      </c>
      <c r="J219" t="s">
        <v>30</v>
      </c>
      <c r="K219">
        <v>0.24</v>
      </c>
      <c r="L219" t="s">
        <v>27</v>
      </c>
      <c r="M219" t="s">
        <v>19</v>
      </c>
      <c r="N219" t="s">
        <v>21</v>
      </c>
      <c r="O219" t="s">
        <v>38</v>
      </c>
      <c r="P219" t="str">
        <f>Table1[[#This Row],[Region]]&amp;"|"&amp;Table1[[#This Row],[Sales Rep]]</f>
        <v>West|Eve</v>
      </c>
    </row>
    <row r="220" spans="1:16" x14ac:dyDescent="0.35">
      <c r="A220">
        <v>1002</v>
      </c>
      <c r="B220" s="1">
        <v>45219</v>
      </c>
      <c r="C220" t="s">
        <v>24</v>
      </c>
      <c r="D220" t="s">
        <v>15</v>
      </c>
      <c r="E220">
        <v>5842.88</v>
      </c>
      <c r="F220">
        <v>30</v>
      </c>
      <c r="G220" t="s">
        <v>29</v>
      </c>
      <c r="H220">
        <v>4646.55</v>
      </c>
      <c r="I220">
        <v>4784.28</v>
      </c>
      <c r="J220" t="s">
        <v>17</v>
      </c>
      <c r="K220">
        <v>0.1</v>
      </c>
      <c r="L220" t="s">
        <v>31</v>
      </c>
      <c r="M220" t="s">
        <v>22</v>
      </c>
      <c r="N220" t="s">
        <v>15</v>
      </c>
      <c r="O220" t="s">
        <v>24</v>
      </c>
      <c r="P220" t="str">
        <f>Table1[[#This Row],[Region]]&amp;"|"&amp;Table1[[#This Row],[Sales Rep]]</f>
        <v>North|David</v>
      </c>
    </row>
    <row r="221" spans="1:16" x14ac:dyDescent="0.35">
      <c r="A221">
        <v>1003</v>
      </c>
      <c r="B221" s="1">
        <v>45254</v>
      </c>
      <c r="C221" t="s">
        <v>38</v>
      </c>
      <c r="D221" t="s">
        <v>34</v>
      </c>
      <c r="E221">
        <v>5215.3100000000004</v>
      </c>
      <c r="F221">
        <v>11</v>
      </c>
      <c r="G221" t="s">
        <v>26</v>
      </c>
      <c r="H221">
        <v>3706.78</v>
      </c>
      <c r="I221">
        <v>3862.26</v>
      </c>
      <c r="J221" t="s">
        <v>30</v>
      </c>
      <c r="K221">
        <v>0.22</v>
      </c>
      <c r="L221" t="s">
        <v>31</v>
      </c>
      <c r="M221" t="s">
        <v>22</v>
      </c>
      <c r="N221" t="s">
        <v>34</v>
      </c>
      <c r="O221" t="s">
        <v>38</v>
      </c>
      <c r="P221" t="str">
        <f>Table1[[#This Row],[Region]]&amp;"|"&amp;Table1[[#This Row],[Sales Rep]]</f>
        <v>East|Eve</v>
      </c>
    </row>
    <row r="222" spans="1:16" x14ac:dyDescent="0.35">
      <c r="A222">
        <v>1056</v>
      </c>
      <c r="B222" s="1">
        <v>45053</v>
      </c>
      <c r="C222" t="s">
        <v>24</v>
      </c>
      <c r="D222" t="s">
        <v>34</v>
      </c>
      <c r="E222">
        <v>7611.88</v>
      </c>
      <c r="F222">
        <v>28</v>
      </c>
      <c r="G222" t="s">
        <v>29</v>
      </c>
      <c r="H222">
        <v>1566.03</v>
      </c>
      <c r="I222">
        <v>1576.34</v>
      </c>
      <c r="J222" t="s">
        <v>17</v>
      </c>
      <c r="K222">
        <v>0.2</v>
      </c>
      <c r="L222" t="s">
        <v>27</v>
      </c>
      <c r="M222" t="s">
        <v>19</v>
      </c>
      <c r="N222" t="s">
        <v>34</v>
      </c>
      <c r="O222" t="s">
        <v>24</v>
      </c>
      <c r="P222" t="str">
        <f>Table1[[#This Row],[Region]]&amp;"|"&amp;Table1[[#This Row],[Sales Rep]]</f>
        <v>East|David</v>
      </c>
    </row>
    <row r="223" spans="1:16" x14ac:dyDescent="0.35">
      <c r="A223">
        <v>1081</v>
      </c>
      <c r="B223" s="1">
        <v>45032</v>
      </c>
      <c r="C223" t="s">
        <v>33</v>
      </c>
      <c r="D223" t="s">
        <v>21</v>
      </c>
      <c r="E223">
        <v>2896.71</v>
      </c>
      <c r="F223">
        <v>44</v>
      </c>
      <c r="G223" t="s">
        <v>35</v>
      </c>
      <c r="H223">
        <v>1362.15</v>
      </c>
      <c r="I223">
        <v>1844.07</v>
      </c>
      <c r="J223" t="s">
        <v>30</v>
      </c>
      <c r="K223">
        <v>0.28999999999999998</v>
      </c>
      <c r="L223" t="s">
        <v>31</v>
      </c>
      <c r="M223" t="s">
        <v>19</v>
      </c>
      <c r="N223" t="s">
        <v>21</v>
      </c>
      <c r="O223" t="s">
        <v>33</v>
      </c>
      <c r="P223" t="str">
        <f>Table1[[#This Row],[Region]]&amp;"|"&amp;Table1[[#This Row],[Sales Rep]]</f>
        <v>West|Charlie</v>
      </c>
    </row>
    <row r="224" spans="1:16" x14ac:dyDescent="0.35">
      <c r="A224">
        <v>1059</v>
      </c>
      <c r="B224" s="1">
        <v>45018</v>
      </c>
      <c r="C224" t="s">
        <v>38</v>
      </c>
      <c r="D224" t="s">
        <v>21</v>
      </c>
      <c r="E224">
        <v>3595.2</v>
      </c>
      <c r="F224">
        <v>12</v>
      </c>
      <c r="G224" t="s">
        <v>26</v>
      </c>
      <c r="H224">
        <v>3496.15</v>
      </c>
      <c r="I224">
        <v>3955.75</v>
      </c>
      <c r="J224" t="s">
        <v>17</v>
      </c>
      <c r="K224">
        <v>0.28000000000000003</v>
      </c>
      <c r="L224" t="s">
        <v>18</v>
      </c>
      <c r="M224" t="s">
        <v>22</v>
      </c>
      <c r="N224" t="s">
        <v>21</v>
      </c>
      <c r="O224" t="s">
        <v>38</v>
      </c>
      <c r="P224" t="str">
        <f>Table1[[#This Row],[Region]]&amp;"|"&amp;Table1[[#This Row],[Sales Rep]]</f>
        <v>West|Eve</v>
      </c>
    </row>
    <row r="225" spans="1:16" x14ac:dyDescent="0.35">
      <c r="A225">
        <v>1002</v>
      </c>
      <c r="B225" s="1">
        <v>45213</v>
      </c>
      <c r="C225" t="s">
        <v>24</v>
      </c>
      <c r="D225" t="s">
        <v>25</v>
      </c>
      <c r="E225">
        <v>8951.5300000000007</v>
      </c>
      <c r="F225">
        <v>39</v>
      </c>
      <c r="G225" t="s">
        <v>29</v>
      </c>
      <c r="H225">
        <v>1004.71</v>
      </c>
      <c r="I225">
        <v>1389.35</v>
      </c>
      <c r="J225" t="s">
        <v>30</v>
      </c>
      <c r="K225">
        <v>0.24</v>
      </c>
      <c r="L225" t="s">
        <v>27</v>
      </c>
      <c r="M225" t="s">
        <v>19</v>
      </c>
      <c r="N225" t="s">
        <v>25</v>
      </c>
      <c r="O225" t="s">
        <v>24</v>
      </c>
      <c r="P225" t="str">
        <f>Table1[[#This Row],[Region]]&amp;"|"&amp;Table1[[#This Row],[Sales Rep]]</f>
        <v>South|David</v>
      </c>
    </row>
    <row r="226" spans="1:16" x14ac:dyDescent="0.35">
      <c r="A226">
        <v>1002</v>
      </c>
      <c r="B226" s="1">
        <v>44977</v>
      </c>
      <c r="C226" t="s">
        <v>33</v>
      </c>
      <c r="D226" t="s">
        <v>21</v>
      </c>
      <c r="E226">
        <v>9469.92</v>
      </c>
      <c r="F226">
        <v>26</v>
      </c>
      <c r="G226" t="s">
        <v>26</v>
      </c>
      <c r="H226">
        <v>508.94</v>
      </c>
      <c r="I226">
        <v>557.69000000000005</v>
      </c>
      <c r="J226" t="s">
        <v>30</v>
      </c>
      <c r="K226">
        <v>0.22</v>
      </c>
      <c r="L226" t="s">
        <v>31</v>
      </c>
      <c r="M226" t="s">
        <v>22</v>
      </c>
      <c r="N226" t="s">
        <v>21</v>
      </c>
      <c r="O226" t="s">
        <v>33</v>
      </c>
      <c r="P226" t="str">
        <f>Table1[[#This Row],[Region]]&amp;"|"&amp;Table1[[#This Row],[Sales Rep]]</f>
        <v>West|Charlie</v>
      </c>
    </row>
    <row r="227" spans="1:16" x14ac:dyDescent="0.35">
      <c r="A227">
        <v>1092</v>
      </c>
      <c r="B227" s="1">
        <v>44955</v>
      </c>
      <c r="C227" t="s">
        <v>14</v>
      </c>
      <c r="D227" t="s">
        <v>25</v>
      </c>
      <c r="E227">
        <v>8936.33</v>
      </c>
      <c r="F227">
        <v>13</v>
      </c>
      <c r="G227" t="s">
        <v>29</v>
      </c>
      <c r="H227">
        <v>2684.5</v>
      </c>
      <c r="I227">
        <v>2913.78</v>
      </c>
      <c r="J227" t="s">
        <v>30</v>
      </c>
      <c r="K227">
        <v>0.08</v>
      </c>
      <c r="L227" t="s">
        <v>31</v>
      </c>
      <c r="M227" t="s">
        <v>22</v>
      </c>
      <c r="N227" t="s">
        <v>25</v>
      </c>
      <c r="O227" t="s">
        <v>14</v>
      </c>
      <c r="P227" t="str">
        <f>Table1[[#This Row],[Region]]&amp;"|"&amp;Table1[[#This Row],[Sales Rep]]</f>
        <v>South|Bob</v>
      </c>
    </row>
    <row r="228" spans="1:16" x14ac:dyDescent="0.35">
      <c r="A228">
        <v>1054</v>
      </c>
      <c r="B228" s="1">
        <v>45222</v>
      </c>
      <c r="C228" t="s">
        <v>24</v>
      </c>
      <c r="D228" t="s">
        <v>34</v>
      </c>
      <c r="E228">
        <v>4252.54</v>
      </c>
      <c r="F228">
        <v>8</v>
      </c>
      <c r="G228" t="s">
        <v>26</v>
      </c>
      <c r="H228">
        <v>4117.13</v>
      </c>
      <c r="I228">
        <v>4177.0600000000004</v>
      </c>
      <c r="J228" t="s">
        <v>17</v>
      </c>
      <c r="K228">
        <v>0.25</v>
      </c>
      <c r="L228" t="s">
        <v>27</v>
      </c>
      <c r="M228" t="s">
        <v>22</v>
      </c>
      <c r="N228" t="s">
        <v>34</v>
      </c>
      <c r="O228" t="s">
        <v>24</v>
      </c>
      <c r="P228" t="str">
        <f>Table1[[#This Row],[Region]]&amp;"|"&amp;Table1[[#This Row],[Sales Rep]]</f>
        <v>East|David</v>
      </c>
    </row>
    <row r="229" spans="1:16" x14ac:dyDescent="0.35">
      <c r="A229">
        <v>1087</v>
      </c>
      <c r="B229" s="1">
        <v>45223</v>
      </c>
      <c r="C229" t="s">
        <v>14</v>
      </c>
      <c r="D229" t="s">
        <v>34</v>
      </c>
      <c r="E229">
        <v>7825.62</v>
      </c>
      <c r="F229">
        <v>28</v>
      </c>
      <c r="G229" t="s">
        <v>29</v>
      </c>
      <c r="H229">
        <v>551.83000000000004</v>
      </c>
      <c r="I229">
        <v>569.63</v>
      </c>
      <c r="J229" t="s">
        <v>30</v>
      </c>
      <c r="K229">
        <v>0.13</v>
      </c>
      <c r="L229" t="s">
        <v>31</v>
      </c>
      <c r="M229" t="s">
        <v>22</v>
      </c>
      <c r="N229" t="s">
        <v>34</v>
      </c>
      <c r="O229" t="s">
        <v>14</v>
      </c>
      <c r="P229" t="str">
        <f>Table1[[#This Row],[Region]]&amp;"|"&amp;Table1[[#This Row],[Sales Rep]]</f>
        <v>East|Bob</v>
      </c>
    </row>
    <row r="230" spans="1:16" x14ac:dyDescent="0.35">
      <c r="A230">
        <v>1096</v>
      </c>
      <c r="B230" s="1">
        <v>45140</v>
      </c>
      <c r="C230" t="s">
        <v>14</v>
      </c>
      <c r="D230" t="s">
        <v>15</v>
      </c>
      <c r="E230">
        <v>4815.72</v>
      </c>
      <c r="F230">
        <v>30</v>
      </c>
      <c r="G230" t="s">
        <v>35</v>
      </c>
      <c r="H230">
        <v>3969.86</v>
      </c>
      <c r="I230">
        <v>4281.79</v>
      </c>
      <c r="J230" t="s">
        <v>17</v>
      </c>
      <c r="K230">
        <v>0.08</v>
      </c>
      <c r="L230" t="s">
        <v>27</v>
      </c>
      <c r="M230" t="s">
        <v>22</v>
      </c>
      <c r="N230" t="s">
        <v>15</v>
      </c>
      <c r="O230" t="s">
        <v>14</v>
      </c>
      <c r="P230" t="str">
        <f>Table1[[#This Row],[Region]]&amp;"|"&amp;Table1[[#This Row],[Sales Rep]]</f>
        <v>North|Bob</v>
      </c>
    </row>
    <row r="231" spans="1:16" x14ac:dyDescent="0.35">
      <c r="A231">
        <v>1097</v>
      </c>
      <c r="B231" s="1">
        <v>45193</v>
      </c>
      <c r="C231" t="s">
        <v>42</v>
      </c>
      <c r="D231" t="s">
        <v>34</v>
      </c>
      <c r="E231">
        <v>5025.6400000000003</v>
      </c>
      <c r="F231">
        <v>9</v>
      </c>
      <c r="G231" t="s">
        <v>26</v>
      </c>
      <c r="H231">
        <v>4067.28</v>
      </c>
      <c r="I231">
        <v>4548.09</v>
      </c>
      <c r="J231" t="s">
        <v>17</v>
      </c>
      <c r="K231">
        <v>0.12</v>
      </c>
      <c r="L231" t="s">
        <v>31</v>
      </c>
      <c r="M231" t="s">
        <v>22</v>
      </c>
      <c r="N231" t="s">
        <v>34</v>
      </c>
      <c r="O231" t="s">
        <v>42</v>
      </c>
      <c r="P231" t="str">
        <f>Table1[[#This Row],[Region]]&amp;"|"&amp;Table1[[#This Row],[Sales Rep]]</f>
        <v>East|Alice</v>
      </c>
    </row>
    <row r="232" spans="1:16" x14ac:dyDescent="0.35">
      <c r="A232">
        <v>1001</v>
      </c>
      <c r="B232" s="1">
        <v>45183</v>
      </c>
      <c r="C232" t="s">
        <v>38</v>
      </c>
      <c r="D232" t="s">
        <v>25</v>
      </c>
      <c r="E232">
        <v>2126.33</v>
      </c>
      <c r="F232">
        <v>39</v>
      </c>
      <c r="G232" t="s">
        <v>26</v>
      </c>
      <c r="H232">
        <v>2437.2600000000002</v>
      </c>
      <c r="I232">
        <v>2889.67</v>
      </c>
      <c r="J232" t="s">
        <v>17</v>
      </c>
      <c r="K232">
        <v>0.25</v>
      </c>
      <c r="L232" t="s">
        <v>18</v>
      </c>
      <c r="M232" t="s">
        <v>19</v>
      </c>
      <c r="N232" t="s">
        <v>25</v>
      </c>
      <c r="O232" t="s">
        <v>38</v>
      </c>
      <c r="P232" t="str">
        <f>Table1[[#This Row],[Region]]&amp;"|"&amp;Table1[[#This Row],[Sales Rep]]</f>
        <v>South|Eve</v>
      </c>
    </row>
    <row r="233" spans="1:16" x14ac:dyDescent="0.35">
      <c r="A233">
        <v>1019</v>
      </c>
      <c r="B233" s="1">
        <v>45228</v>
      </c>
      <c r="C233" t="s">
        <v>24</v>
      </c>
      <c r="D233" t="s">
        <v>21</v>
      </c>
      <c r="E233">
        <v>5952.19</v>
      </c>
      <c r="F233">
        <v>31</v>
      </c>
      <c r="G233" t="s">
        <v>26</v>
      </c>
      <c r="H233">
        <v>333.69</v>
      </c>
      <c r="I233">
        <v>685.1</v>
      </c>
      <c r="J233" t="s">
        <v>30</v>
      </c>
      <c r="K233">
        <v>0.04</v>
      </c>
      <c r="L233" t="s">
        <v>27</v>
      </c>
      <c r="M233" t="s">
        <v>19</v>
      </c>
      <c r="N233" t="s">
        <v>21</v>
      </c>
      <c r="O233" t="s">
        <v>24</v>
      </c>
      <c r="P233" t="str">
        <f>Table1[[#This Row],[Region]]&amp;"|"&amp;Table1[[#This Row],[Sales Rep]]</f>
        <v>West|David</v>
      </c>
    </row>
    <row r="234" spans="1:16" x14ac:dyDescent="0.35">
      <c r="A234">
        <v>1002</v>
      </c>
      <c r="B234" s="1">
        <v>45027</v>
      </c>
      <c r="C234" t="s">
        <v>14</v>
      </c>
      <c r="D234" t="s">
        <v>15</v>
      </c>
      <c r="E234">
        <v>1942.75</v>
      </c>
      <c r="F234">
        <v>21</v>
      </c>
      <c r="G234" t="s">
        <v>26</v>
      </c>
      <c r="H234">
        <v>914.22</v>
      </c>
      <c r="I234">
        <v>971.57</v>
      </c>
      <c r="J234" t="s">
        <v>17</v>
      </c>
      <c r="K234">
        <v>0.14000000000000001</v>
      </c>
      <c r="L234" t="s">
        <v>18</v>
      </c>
      <c r="M234" t="s">
        <v>19</v>
      </c>
      <c r="N234" t="s">
        <v>15</v>
      </c>
      <c r="O234" t="s">
        <v>14</v>
      </c>
      <c r="P234" t="str">
        <f>Table1[[#This Row],[Region]]&amp;"|"&amp;Table1[[#This Row],[Sales Rep]]</f>
        <v>North|Bob</v>
      </c>
    </row>
    <row r="235" spans="1:16" x14ac:dyDescent="0.35">
      <c r="A235">
        <v>1053</v>
      </c>
      <c r="B235" s="1">
        <v>45272</v>
      </c>
      <c r="C235" t="s">
        <v>42</v>
      </c>
      <c r="D235" t="s">
        <v>25</v>
      </c>
      <c r="E235">
        <v>3382.49</v>
      </c>
      <c r="F235">
        <v>47</v>
      </c>
      <c r="G235" t="s">
        <v>35</v>
      </c>
      <c r="H235">
        <v>3551.76</v>
      </c>
      <c r="I235">
        <v>3696.1</v>
      </c>
      <c r="J235" t="s">
        <v>17</v>
      </c>
      <c r="K235">
        <v>0.15</v>
      </c>
      <c r="L235" t="s">
        <v>27</v>
      </c>
      <c r="M235" t="s">
        <v>22</v>
      </c>
      <c r="N235" t="s">
        <v>25</v>
      </c>
      <c r="O235" t="s">
        <v>42</v>
      </c>
      <c r="P235" t="str">
        <f>Table1[[#This Row],[Region]]&amp;"|"&amp;Table1[[#This Row],[Sales Rep]]</f>
        <v>South|Alice</v>
      </c>
    </row>
    <row r="236" spans="1:16" x14ac:dyDescent="0.35">
      <c r="A236">
        <v>1044</v>
      </c>
      <c r="B236" s="1">
        <v>45036</v>
      </c>
      <c r="C236" t="s">
        <v>33</v>
      </c>
      <c r="D236" t="s">
        <v>21</v>
      </c>
      <c r="E236">
        <v>8564.7999999999993</v>
      </c>
      <c r="F236">
        <v>34</v>
      </c>
      <c r="G236" t="s">
        <v>26</v>
      </c>
      <c r="H236">
        <v>3573.3</v>
      </c>
      <c r="I236">
        <v>3740.13</v>
      </c>
      <c r="J236" t="s">
        <v>17</v>
      </c>
      <c r="K236">
        <v>0.01</v>
      </c>
      <c r="L236" t="s">
        <v>31</v>
      </c>
      <c r="M236" t="s">
        <v>19</v>
      </c>
      <c r="N236" t="s">
        <v>21</v>
      </c>
      <c r="O236" t="s">
        <v>33</v>
      </c>
      <c r="P236" t="str">
        <f>Table1[[#This Row],[Region]]&amp;"|"&amp;Table1[[#This Row],[Sales Rep]]</f>
        <v>West|Charlie</v>
      </c>
    </row>
    <row r="237" spans="1:16" x14ac:dyDescent="0.35">
      <c r="A237">
        <v>1090</v>
      </c>
      <c r="B237" s="1">
        <v>45108</v>
      </c>
      <c r="C237" t="s">
        <v>24</v>
      </c>
      <c r="D237" t="s">
        <v>15</v>
      </c>
      <c r="E237">
        <v>2150.0500000000002</v>
      </c>
      <c r="F237">
        <v>31</v>
      </c>
      <c r="G237" t="s">
        <v>16</v>
      </c>
      <c r="H237">
        <v>4496.8599999999997</v>
      </c>
      <c r="I237">
        <v>4880.7999999999902</v>
      </c>
      <c r="J237" t="s">
        <v>30</v>
      </c>
      <c r="K237">
        <v>0.06</v>
      </c>
      <c r="L237" t="s">
        <v>18</v>
      </c>
      <c r="M237" t="s">
        <v>22</v>
      </c>
      <c r="N237" t="s">
        <v>15</v>
      </c>
      <c r="O237" t="s">
        <v>24</v>
      </c>
      <c r="P237" t="str">
        <f>Table1[[#This Row],[Region]]&amp;"|"&amp;Table1[[#This Row],[Sales Rep]]</f>
        <v>North|David</v>
      </c>
    </row>
    <row r="238" spans="1:16" x14ac:dyDescent="0.35">
      <c r="A238">
        <v>1032</v>
      </c>
      <c r="B238" s="1">
        <v>45239</v>
      </c>
      <c r="C238" t="s">
        <v>14</v>
      </c>
      <c r="D238" t="s">
        <v>34</v>
      </c>
      <c r="E238">
        <v>804.47</v>
      </c>
      <c r="F238">
        <v>25</v>
      </c>
      <c r="G238" t="s">
        <v>35</v>
      </c>
      <c r="H238">
        <v>2934.3</v>
      </c>
      <c r="I238">
        <v>3337.4</v>
      </c>
      <c r="J238" t="s">
        <v>17</v>
      </c>
      <c r="K238">
        <v>0.25</v>
      </c>
      <c r="L238" t="s">
        <v>31</v>
      </c>
      <c r="M238" t="s">
        <v>22</v>
      </c>
      <c r="N238" t="s">
        <v>34</v>
      </c>
      <c r="O238" t="s">
        <v>14</v>
      </c>
      <c r="P238" t="str">
        <f>Table1[[#This Row],[Region]]&amp;"|"&amp;Table1[[#This Row],[Sales Rep]]</f>
        <v>East|Bob</v>
      </c>
    </row>
    <row r="239" spans="1:16" x14ac:dyDescent="0.35">
      <c r="A239">
        <v>1070</v>
      </c>
      <c r="B239" s="1">
        <v>44927</v>
      </c>
      <c r="C239" t="s">
        <v>38</v>
      </c>
      <c r="D239" t="s">
        <v>25</v>
      </c>
      <c r="E239">
        <v>783.18</v>
      </c>
      <c r="F239">
        <v>12</v>
      </c>
      <c r="G239" t="s">
        <v>16</v>
      </c>
      <c r="H239">
        <v>664.33</v>
      </c>
      <c r="I239">
        <v>863.03</v>
      </c>
      <c r="J239" t="s">
        <v>17</v>
      </c>
      <c r="K239">
        <v>0.25</v>
      </c>
      <c r="L239" t="s">
        <v>27</v>
      </c>
      <c r="M239" t="s">
        <v>22</v>
      </c>
      <c r="N239" t="s">
        <v>25</v>
      </c>
      <c r="O239" t="s">
        <v>38</v>
      </c>
      <c r="P239" t="str">
        <f>Table1[[#This Row],[Region]]&amp;"|"&amp;Table1[[#This Row],[Sales Rep]]</f>
        <v>South|Eve</v>
      </c>
    </row>
    <row r="240" spans="1:16" x14ac:dyDescent="0.35">
      <c r="A240">
        <v>1032</v>
      </c>
      <c r="B240" s="1">
        <v>45245</v>
      </c>
      <c r="C240" t="s">
        <v>42</v>
      </c>
      <c r="D240" t="s">
        <v>21</v>
      </c>
      <c r="E240">
        <v>9413.77</v>
      </c>
      <c r="F240">
        <v>1</v>
      </c>
      <c r="G240" t="s">
        <v>26</v>
      </c>
      <c r="H240">
        <v>651</v>
      </c>
      <c r="I240">
        <v>865.76</v>
      </c>
      <c r="J240" t="s">
        <v>17</v>
      </c>
      <c r="K240">
        <v>0.09</v>
      </c>
      <c r="L240" t="s">
        <v>27</v>
      </c>
      <c r="M240" t="s">
        <v>22</v>
      </c>
      <c r="N240" t="s">
        <v>21</v>
      </c>
      <c r="O240" t="s">
        <v>42</v>
      </c>
      <c r="P240" t="str">
        <f>Table1[[#This Row],[Region]]&amp;"|"&amp;Table1[[#This Row],[Sales Rep]]</f>
        <v>West|Alice</v>
      </c>
    </row>
    <row r="241" spans="1:16" x14ac:dyDescent="0.35">
      <c r="A241">
        <v>1068</v>
      </c>
      <c r="B241" s="1">
        <v>44981</v>
      </c>
      <c r="C241" t="s">
        <v>14</v>
      </c>
      <c r="D241" t="s">
        <v>15</v>
      </c>
      <c r="E241">
        <v>5118.51</v>
      </c>
      <c r="F241">
        <v>22</v>
      </c>
      <c r="G241" t="s">
        <v>29</v>
      </c>
      <c r="H241">
        <v>3619.61</v>
      </c>
      <c r="I241">
        <v>3651.42</v>
      </c>
      <c r="J241" t="s">
        <v>17</v>
      </c>
      <c r="K241">
        <v>0.26</v>
      </c>
      <c r="L241" t="s">
        <v>27</v>
      </c>
      <c r="M241" t="s">
        <v>19</v>
      </c>
      <c r="N241" t="s">
        <v>15</v>
      </c>
      <c r="O241" t="s">
        <v>14</v>
      </c>
      <c r="P241" t="str">
        <f>Table1[[#This Row],[Region]]&amp;"|"&amp;Table1[[#This Row],[Sales Rep]]</f>
        <v>North|Bob</v>
      </c>
    </row>
    <row r="242" spans="1:16" x14ac:dyDescent="0.35">
      <c r="A242">
        <v>1055</v>
      </c>
      <c r="B242" s="1">
        <v>45075</v>
      </c>
      <c r="C242" t="s">
        <v>38</v>
      </c>
      <c r="D242" t="s">
        <v>15</v>
      </c>
      <c r="E242">
        <v>4153.18</v>
      </c>
      <c r="F242">
        <v>40</v>
      </c>
      <c r="G242" t="s">
        <v>16</v>
      </c>
      <c r="H242">
        <v>959.73</v>
      </c>
      <c r="I242">
        <v>1111.4100000000001</v>
      </c>
      <c r="J242" t="s">
        <v>30</v>
      </c>
      <c r="K242">
        <v>0.23</v>
      </c>
      <c r="L242" t="s">
        <v>27</v>
      </c>
      <c r="M242" t="s">
        <v>19</v>
      </c>
      <c r="N242" t="s">
        <v>15</v>
      </c>
      <c r="O242" t="s">
        <v>38</v>
      </c>
      <c r="P242" t="str">
        <f>Table1[[#This Row],[Region]]&amp;"|"&amp;Table1[[#This Row],[Sales Rep]]</f>
        <v>North|Eve</v>
      </c>
    </row>
    <row r="243" spans="1:16" x14ac:dyDescent="0.35">
      <c r="A243">
        <v>1075</v>
      </c>
      <c r="B243" s="1">
        <v>45235</v>
      </c>
      <c r="C243" t="s">
        <v>14</v>
      </c>
      <c r="D243" t="s">
        <v>34</v>
      </c>
      <c r="E243">
        <v>8127.7</v>
      </c>
      <c r="F243">
        <v>37</v>
      </c>
      <c r="G243" t="s">
        <v>26</v>
      </c>
      <c r="H243">
        <v>1675.51</v>
      </c>
      <c r="I243">
        <v>1906.6399999999901</v>
      </c>
      <c r="J243" t="s">
        <v>30</v>
      </c>
      <c r="K243">
        <v>0.13</v>
      </c>
      <c r="L243" t="s">
        <v>27</v>
      </c>
      <c r="M243" t="s">
        <v>19</v>
      </c>
      <c r="N243" t="s">
        <v>34</v>
      </c>
      <c r="O243" t="s">
        <v>14</v>
      </c>
      <c r="P243" t="str">
        <f>Table1[[#This Row],[Region]]&amp;"|"&amp;Table1[[#This Row],[Sales Rep]]</f>
        <v>East|Bob</v>
      </c>
    </row>
    <row r="244" spans="1:16" x14ac:dyDescent="0.35">
      <c r="A244">
        <v>1056</v>
      </c>
      <c r="B244" s="1">
        <v>45063</v>
      </c>
      <c r="C244" t="s">
        <v>24</v>
      </c>
      <c r="D244" t="s">
        <v>21</v>
      </c>
      <c r="E244">
        <v>8374.68</v>
      </c>
      <c r="F244">
        <v>47</v>
      </c>
      <c r="G244" t="s">
        <v>16</v>
      </c>
      <c r="H244">
        <v>2461.6999999999998</v>
      </c>
      <c r="I244">
        <v>2529.02</v>
      </c>
      <c r="J244" t="s">
        <v>17</v>
      </c>
      <c r="K244">
        <v>0.22</v>
      </c>
      <c r="L244" t="s">
        <v>18</v>
      </c>
      <c r="M244" t="s">
        <v>22</v>
      </c>
      <c r="N244" t="s">
        <v>21</v>
      </c>
      <c r="O244" t="s">
        <v>24</v>
      </c>
      <c r="P244" t="str">
        <f>Table1[[#This Row],[Region]]&amp;"|"&amp;Table1[[#This Row],[Sales Rep]]</f>
        <v>West|David</v>
      </c>
    </row>
    <row r="245" spans="1:16" x14ac:dyDescent="0.35">
      <c r="A245">
        <v>1017</v>
      </c>
      <c r="B245" s="1">
        <v>45128</v>
      </c>
      <c r="C245" t="s">
        <v>24</v>
      </c>
      <c r="D245" t="s">
        <v>34</v>
      </c>
      <c r="E245">
        <v>3388.69</v>
      </c>
      <c r="F245">
        <v>1</v>
      </c>
      <c r="G245" t="s">
        <v>26</v>
      </c>
      <c r="H245">
        <v>172.59</v>
      </c>
      <c r="I245">
        <v>404.69</v>
      </c>
      <c r="J245" t="s">
        <v>17</v>
      </c>
      <c r="K245">
        <v>0.28999999999999998</v>
      </c>
      <c r="L245" t="s">
        <v>27</v>
      </c>
      <c r="M245" t="s">
        <v>19</v>
      </c>
      <c r="N245" t="s">
        <v>34</v>
      </c>
      <c r="O245" t="s">
        <v>24</v>
      </c>
      <c r="P245" t="str">
        <f>Table1[[#This Row],[Region]]&amp;"|"&amp;Table1[[#This Row],[Sales Rep]]</f>
        <v>East|David</v>
      </c>
    </row>
    <row r="246" spans="1:16" x14ac:dyDescent="0.35">
      <c r="A246">
        <v>1038</v>
      </c>
      <c r="B246" s="1">
        <v>45239</v>
      </c>
      <c r="C246" t="s">
        <v>24</v>
      </c>
      <c r="D246" t="s">
        <v>34</v>
      </c>
      <c r="E246">
        <v>6966.82</v>
      </c>
      <c r="F246">
        <v>1</v>
      </c>
      <c r="G246" t="s">
        <v>26</v>
      </c>
      <c r="H246">
        <v>1281.6500000000001</v>
      </c>
      <c r="I246">
        <v>1709.71</v>
      </c>
      <c r="J246" t="s">
        <v>17</v>
      </c>
      <c r="K246">
        <v>0.14000000000000001</v>
      </c>
      <c r="L246" t="s">
        <v>31</v>
      </c>
      <c r="M246" t="s">
        <v>19</v>
      </c>
      <c r="N246" t="s">
        <v>34</v>
      </c>
      <c r="O246" t="s">
        <v>24</v>
      </c>
      <c r="P246" t="str">
        <f>Table1[[#This Row],[Region]]&amp;"|"&amp;Table1[[#This Row],[Sales Rep]]</f>
        <v>East|David</v>
      </c>
    </row>
    <row r="247" spans="1:16" x14ac:dyDescent="0.35">
      <c r="A247">
        <v>1024</v>
      </c>
      <c r="B247" s="1">
        <v>45043</v>
      </c>
      <c r="C247" t="s">
        <v>42</v>
      </c>
      <c r="D247" t="s">
        <v>21</v>
      </c>
      <c r="E247">
        <v>7734.12</v>
      </c>
      <c r="F247">
        <v>42</v>
      </c>
      <c r="G247" t="s">
        <v>26</v>
      </c>
      <c r="H247">
        <v>2069.0500000000002</v>
      </c>
      <c r="I247">
        <v>2363.9</v>
      </c>
      <c r="J247" t="s">
        <v>17</v>
      </c>
      <c r="K247">
        <v>7.0000000000000007E-2</v>
      </c>
      <c r="L247" t="s">
        <v>18</v>
      </c>
      <c r="M247" t="s">
        <v>19</v>
      </c>
      <c r="N247" t="s">
        <v>21</v>
      </c>
      <c r="O247" t="s">
        <v>42</v>
      </c>
      <c r="P247" t="str">
        <f>Table1[[#This Row],[Region]]&amp;"|"&amp;Table1[[#This Row],[Sales Rep]]</f>
        <v>West|Alice</v>
      </c>
    </row>
    <row r="248" spans="1:16" x14ac:dyDescent="0.35">
      <c r="A248">
        <v>1069</v>
      </c>
      <c r="B248" s="1">
        <v>45080</v>
      </c>
      <c r="C248" t="s">
        <v>24</v>
      </c>
      <c r="D248" t="s">
        <v>21</v>
      </c>
      <c r="E248">
        <v>6581.04</v>
      </c>
      <c r="F248">
        <v>42</v>
      </c>
      <c r="G248" t="s">
        <v>29</v>
      </c>
      <c r="H248">
        <v>1434.2</v>
      </c>
      <c r="I248">
        <v>1482.88</v>
      </c>
      <c r="J248" t="s">
        <v>30</v>
      </c>
      <c r="K248">
        <v>0.28000000000000003</v>
      </c>
      <c r="L248" t="s">
        <v>31</v>
      </c>
      <c r="M248" t="s">
        <v>22</v>
      </c>
      <c r="N248" t="s">
        <v>21</v>
      </c>
      <c r="O248" t="s">
        <v>24</v>
      </c>
      <c r="P248" t="str">
        <f>Table1[[#This Row],[Region]]&amp;"|"&amp;Table1[[#This Row],[Sales Rep]]</f>
        <v>West|David</v>
      </c>
    </row>
    <row r="249" spans="1:16" x14ac:dyDescent="0.35">
      <c r="A249">
        <v>1098</v>
      </c>
      <c r="B249" s="1">
        <v>45217</v>
      </c>
      <c r="C249" t="s">
        <v>38</v>
      </c>
      <c r="D249" t="s">
        <v>21</v>
      </c>
      <c r="E249">
        <v>1600.79</v>
      </c>
      <c r="F249">
        <v>21</v>
      </c>
      <c r="G249" t="s">
        <v>16</v>
      </c>
      <c r="H249">
        <v>725.03</v>
      </c>
      <c r="I249">
        <v>828.94999999999902</v>
      </c>
      <c r="J249" t="s">
        <v>30</v>
      </c>
      <c r="K249">
        <v>0.18</v>
      </c>
      <c r="L249" t="s">
        <v>27</v>
      </c>
      <c r="M249" t="s">
        <v>19</v>
      </c>
      <c r="N249" t="s">
        <v>21</v>
      </c>
      <c r="O249" t="s">
        <v>38</v>
      </c>
      <c r="P249" t="str">
        <f>Table1[[#This Row],[Region]]&amp;"|"&amp;Table1[[#This Row],[Sales Rep]]</f>
        <v>West|Eve</v>
      </c>
    </row>
    <row r="250" spans="1:16" x14ac:dyDescent="0.35">
      <c r="A250">
        <v>1070</v>
      </c>
      <c r="B250" s="1">
        <v>44989</v>
      </c>
      <c r="C250" t="s">
        <v>14</v>
      </c>
      <c r="D250" t="s">
        <v>25</v>
      </c>
      <c r="E250">
        <v>8771.24</v>
      </c>
      <c r="F250">
        <v>15</v>
      </c>
      <c r="G250" t="s">
        <v>35</v>
      </c>
      <c r="H250">
        <v>3653.66</v>
      </c>
      <c r="I250">
        <v>3896.19</v>
      </c>
      <c r="J250" t="s">
        <v>30</v>
      </c>
      <c r="K250">
        <v>0.03</v>
      </c>
      <c r="L250" t="s">
        <v>31</v>
      </c>
      <c r="M250" t="s">
        <v>22</v>
      </c>
      <c r="N250" t="s">
        <v>25</v>
      </c>
      <c r="O250" t="s">
        <v>14</v>
      </c>
      <c r="P250" t="str">
        <f>Table1[[#This Row],[Region]]&amp;"|"&amp;Table1[[#This Row],[Sales Rep]]</f>
        <v>South|Bob</v>
      </c>
    </row>
    <row r="251" spans="1:16" x14ac:dyDescent="0.35">
      <c r="A251">
        <v>1086</v>
      </c>
      <c r="B251" s="1">
        <v>45170</v>
      </c>
      <c r="C251" t="s">
        <v>33</v>
      </c>
      <c r="D251" t="s">
        <v>21</v>
      </c>
      <c r="E251">
        <v>5437.04</v>
      </c>
      <c r="F251">
        <v>17</v>
      </c>
      <c r="G251" t="s">
        <v>35</v>
      </c>
      <c r="H251">
        <v>4075.08</v>
      </c>
      <c r="I251">
        <v>4262.21</v>
      </c>
      <c r="J251" t="s">
        <v>30</v>
      </c>
      <c r="K251">
        <v>0.17</v>
      </c>
      <c r="L251" t="s">
        <v>18</v>
      </c>
      <c r="M251" t="s">
        <v>19</v>
      </c>
      <c r="N251" t="s">
        <v>21</v>
      </c>
      <c r="O251" t="s">
        <v>33</v>
      </c>
      <c r="P251" t="str">
        <f>Table1[[#This Row],[Region]]&amp;"|"&amp;Table1[[#This Row],[Sales Rep]]</f>
        <v>West|Charlie</v>
      </c>
    </row>
    <row r="252" spans="1:16" x14ac:dyDescent="0.35">
      <c r="A252">
        <v>1011</v>
      </c>
      <c r="B252" s="1">
        <v>44951</v>
      </c>
      <c r="C252" t="s">
        <v>38</v>
      </c>
      <c r="D252" t="s">
        <v>15</v>
      </c>
      <c r="E252">
        <v>2896.48</v>
      </c>
      <c r="F252">
        <v>22</v>
      </c>
      <c r="G252" t="s">
        <v>35</v>
      </c>
      <c r="H252">
        <v>1324.52</v>
      </c>
      <c r="I252">
        <v>1510.3</v>
      </c>
      <c r="J252" t="s">
        <v>17</v>
      </c>
      <c r="K252">
        <v>0.15</v>
      </c>
      <c r="L252" t="s">
        <v>18</v>
      </c>
      <c r="M252" t="s">
        <v>22</v>
      </c>
      <c r="N252" t="s">
        <v>15</v>
      </c>
      <c r="O252" t="s">
        <v>38</v>
      </c>
      <c r="P252" t="str">
        <f>Table1[[#This Row],[Region]]&amp;"|"&amp;Table1[[#This Row],[Sales Rep]]</f>
        <v>North|Eve</v>
      </c>
    </row>
    <row r="253" spans="1:16" x14ac:dyDescent="0.35">
      <c r="A253">
        <v>1016</v>
      </c>
      <c r="B253" s="1">
        <v>45016</v>
      </c>
      <c r="C253" t="s">
        <v>38</v>
      </c>
      <c r="D253" t="s">
        <v>34</v>
      </c>
      <c r="E253">
        <v>4309.76</v>
      </c>
      <c r="F253">
        <v>38</v>
      </c>
      <c r="G253" t="s">
        <v>35</v>
      </c>
      <c r="H253">
        <v>3883.38</v>
      </c>
      <c r="I253">
        <v>4152.72</v>
      </c>
      <c r="J253" t="s">
        <v>17</v>
      </c>
      <c r="K253">
        <v>0.26</v>
      </c>
      <c r="L253" t="s">
        <v>18</v>
      </c>
      <c r="M253" t="s">
        <v>19</v>
      </c>
      <c r="N253" t="s">
        <v>34</v>
      </c>
      <c r="O253" t="s">
        <v>38</v>
      </c>
      <c r="P253" t="str">
        <f>Table1[[#This Row],[Region]]&amp;"|"&amp;Table1[[#This Row],[Sales Rep]]</f>
        <v>East|Eve</v>
      </c>
    </row>
    <row r="254" spans="1:16" x14ac:dyDescent="0.35">
      <c r="A254">
        <v>1097</v>
      </c>
      <c r="B254" s="1">
        <v>45001</v>
      </c>
      <c r="C254" t="s">
        <v>24</v>
      </c>
      <c r="D254" t="s">
        <v>25</v>
      </c>
      <c r="E254">
        <v>471.95</v>
      </c>
      <c r="F254">
        <v>35</v>
      </c>
      <c r="G254" t="s">
        <v>26</v>
      </c>
      <c r="H254">
        <v>1958.49</v>
      </c>
      <c r="I254">
        <v>2254.84</v>
      </c>
      <c r="J254" t="s">
        <v>30</v>
      </c>
      <c r="K254">
        <v>0.16</v>
      </c>
      <c r="L254" t="s">
        <v>31</v>
      </c>
      <c r="M254" t="s">
        <v>19</v>
      </c>
      <c r="N254" t="s">
        <v>25</v>
      </c>
      <c r="O254" t="s">
        <v>24</v>
      </c>
      <c r="P254" t="str">
        <f>Table1[[#This Row],[Region]]&amp;"|"&amp;Table1[[#This Row],[Sales Rep]]</f>
        <v>South|David</v>
      </c>
    </row>
    <row r="255" spans="1:16" x14ac:dyDescent="0.35">
      <c r="A255">
        <v>1073</v>
      </c>
      <c r="B255" s="1">
        <v>45220</v>
      </c>
      <c r="C255" t="s">
        <v>42</v>
      </c>
      <c r="D255" t="s">
        <v>21</v>
      </c>
      <c r="E255">
        <v>1365.88</v>
      </c>
      <c r="F255">
        <v>45</v>
      </c>
      <c r="G255" t="s">
        <v>16</v>
      </c>
      <c r="H255">
        <v>2558.09</v>
      </c>
      <c r="I255">
        <v>2958.55</v>
      </c>
      <c r="J255" t="s">
        <v>30</v>
      </c>
      <c r="K255">
        <v>0.08</v>
      </c>
      <c r="L255" t="s">
        <v>18</v>
      </c>
      <c r="M255" t="s">
        <v>19</v>
      </c>
      <c r="N255" t="s">
        <v>21</v>
      </c>
      <c r="O255" t="s">
        <v>42</v>
      </c>
      <c r="P255" t="str">
        <f>Table1[[#This Row],[Region]]&amp;"|"&amp;Table1[[#This Row],[Sales Rep]]</f>
        <v>West|Alice</v>
      </c>
    </row>
    <row r="256" spans="1:16" x14ac:dyDescent="0.35">
      <c r="A256">
        <v>1059</v>
      </c>
      <c r="B256" s="1">
        <v>45136</v>
      </c>
      <c r="C256" t="s">
        <v>14</v>
      </c>
      <c r="D256" t="s">
        <v>25</v>
      </c>
      <c r="E256">
        <v>7678.91</v>
      </c>
      <c r="F256">
        <v>16</v>
      </c>
      <c r="G256" t="s">
        <v>16</v>
      </c>
      <c r="H256">
        <v>4287.21</v>
      </c>
      <c r="I256">
        <v>4464.28</v>
      </c>
      <c r="J256" t="s">
        <v>17</v>
      </c>
      <c r="K256">
        <v>0.2</v>
      </c>
      <c r="L256" t="s">
        <v>31</v>
      </c>
      <c r="M256" t="s">
        <v>22</v>
      </c>
      <c r="N256" t="s">
        <v>25</v>
      </c>
      <c r="O256" t="s">
        <v>14</v>
      </c>
      <c r="P256" t="str">
        <f>Table1[[#This Row],[Region]]&amp;"|"&amp;Table1[[#This Row],[Sales Rep]]</f>
        <v>South|Bob</v>
      </c>
    </row>
    <row r="257" spans="1:16" x14ac:dyDescent="0.35">
      <c r="A257">
        <v>1070</v>
      </c>
      <c r="B257" s="1">
        <v>45273</v>
      </c>
      <c r="C257" t="s">
        <v>42</v>
      </c>
      <c r="D257" t="s">
        <v>21</v>
      </c>
      <c r="E257">
        <v>100.12</v>
      </c>
      <c r="F257">
        <v>8</v>
      </c>
      <c r="G257" t="s">
        <v>29</v>
      </c>
      <c r="H257">
        <v>3762.27</v>
      </c>
      <c r="I257">
        <v>4166.95</v>
      </c>
      <c r="J257" t="s">
        <v>17</v>
      </c>
      <c r="K257">
        <v>0.16</v>
      </c>
      <c r="L257" t="s">
        <v>27</v>
      </c>
      <c r="M257" t="s">
        <v>19</v>
      </c>
      <c r="N257" t="s">
        <v>21</v>
      </c>
      <c r="O257" t="s">
        <v>42</v>
      </c>
      <c r="P257" t="str">
        <f>Table1[[#This Row],[Region]]&amp;"|"&amp;Table1[[#This Row],[Sales Rep]]</f>
        <v>West|Alice</v>
      </c>
    </row>
    <row r="258" spans="1:16" x14ac:dyDescent="0.35">
      <c r="A258">
        <v>1080</v>
      </c>
      <c r="B258" s="1">
        <v>44943</v>
      </c>
      <c r="C258" t="s">
        <v>14</v>
      </c>
      <c r="D258" t="s">
        <v>25</v>
      </c>
      <c r="E258">
        <v>4224</v>
      </c>
      <c r="F258">
        <v>47</v>
      </c>
      <c r="G258" t="s">
        <v>16</v>
      </c>
      <c r="H258">
        <v>4035.33</v>
      </c>
      <c r="I258">
        <v>4211.25</v>
      </c>
      <c r="J258" t="s">
        <v>17</v>
      </c>
      <c r="K258">
        <v>7.0000000000000007E-2</v>
      </c>
      <c r="L258" t="s">
        <v>27</v>
      </c>
      <c r="M258" t="s">
        <v>19</v>
      </c>
      <c r="N258" t="s">
        <v>25</v>
      </c>
      <c r="O258" t="s">
        <v>14</v>
      </c>
      <c r="P258" t="str">
        <f>Table1[[#This Row],[Region]]&amp;"|"&amp;Table1[[#This Row],[Sales Rep]]</f>
        <v>South|Bob</v>
      </c>
    </row>
    <row r="259" spans="1:16" x14ac:dyDescent="0.35">
      <c r="A259">
        <v>1093</v>
      </c>
      <c r="B259" s="1">
        <v>45054</v>
      </c>
      <c r="C259" t="s">
        <v>14</v>
      </c>
      <c r="D259" t="s">
        <v>34</v>
      </c>
      <c r="E259">
        <v>5272.85</v>
      </c>
      <c r="F259">
        <v>17</v>
      </c>
      <c r="G259" t="s">
        <v>16</v>
      </c>
      <c r="H259">
        <v>727.38</v>
      </c>
      <c r="I259">
        <v>764.54</v>
      </c>
      <c r="J259" t="s">
        <v>17</v>
      </c>
      <c r="K259">
        <v>0.17</v>
      </c>
      <c r="L259" t="s">
        <v>31</v>
      </c>
      <c r="M259" t="s">
        <v>22</v>
      </c>
      <c r="N259" t="s">
        <v>34</v>
      </c>
      <c r="O259" t="s">
        <v>14</v>
      </c>
      <c r="P259" t="str">
        <f>Table1[[#This Row],[Region]]&amp;"|"&amp;Table1[[#This Row],[Sales Rep]]</f>
        <v>East|Bob</v>
      </c>
    </row>
    <row r="260" spans="1:16" x14ac:dyDescent="0.35">
      <c r="A260">
        <v>1003</v>
      </c>
      <c r="B260" s="1">
        <v>45290</v>
      </c>
      <c r="C260" t="s">
        <v>42</v>
      </c>
      <c r="D260" t="s">
        <v>34</v>
      </c>
      <c r="E260">
        <v>640.88</v>
      </c>
      <c r="F260">
        <v>17</v>
      </c>
      <c r="G260" t="s">
        <v>16</v>
      </c>
      <c r="H260">
        <v>395.11</v>
      </c>
      <c r="I260">
        <v>676.66</v>
      </c>
      <c r="J260" t="s">
        <v>17</v>
      </c>
      <c r="K260">
        <v>0.25</v>
      </c>
      <c r="L260" t="s">
        <v>18</v>
      </c>
      <c r="M260" t="s">
        <v>22</v>
      </c>
      <c r="N260" t="s">
        <v>34</v>
      </c>
      <c r="O260" t="s">
        <v>42</v>
      </c>
      <c r="P260" t="str">
        <f>Table1[[#This Row],[Region]]&amp;"|"&amp;Table1[[#This Row],[Sales Rep]]</f>
        <v>East|Alice</v>
      </c>
    </row>
    <row r="261" spans="1:16" x14ac:dyDescent="0.35">
      <c r="A261">
        <v>1020</v>
      </c>
      <c r="B261" s="1">
        <v>45177</v>
      </c>
      <c r="C261" t="s">
        <v>38</v>
      </c>
      <c r="D261" t="s">
        <v>15</v>
      </c>
      <c r="E261">
        <v>9733.4699999999993</v>
      </c>
      <c r="F261">
        <v>26</v>
      </c>
      <c r="G261" t="s">
        <v>29</v>
      </c>
      <c r="H261">
        <v>4472.3500000000004</v>
      </c>
      <c r="I261">
        <v>4770.42</v>
      </c>
      <c r="J261" t="s">
        <v>30</v>
      </c>
      <c r="K261">
        <v>0.01</v>
      </c>
      <c r="L261" t="s">
        <v>31</v>
      </c>
      <c r="M261" t="s">
        <v>22</v>
      </c>
      <c r="N261" t="s">
        <v>15</v>
      </c>
      <c r="O261" t="s">
        <v>38</v>
      </c>
      <c r="P261" t="str">
        <f>Table1[[#This Row],[Region]]&amp;"|"&amp;Table1[[#This Row],[Sales Rep]]</f>
        <v>North|Eve</v>
      </c>
    </row>
    <row r="262" spans="1:16" x14ac:dyDescent="0.35">
      <c r="A262">
        <v>1059</v>
      </c>
      <c r="B262" s="1">
        <v>45105</v>
      </c>
      <c r="C262" t="s">
        <v>14</v>
      </c>
      <c r="D262" t="s">
        <v>15</v>
      </c>
      <c r="E262">
        <v>2338.64</v>
      </c>
      <c r="F262">
        <v>13</v>
      </c>
      <c r="G262" t="s">
        <v>35</v>
      </c>
      <c r="H262">
        <v>1969.78</v>
      </c>
      <c r="I262">
        <v>2437.6999999999998</v>
      </c>
      <c r="J262" t="s">
        <v>30</v>
      </c>
      <c r="K262">
        <v>0.19</v>
      </c>
      <c r="L262" t="s">
        <v>31</v>
      </c>
      <c r="M262" t="s">
        <v>22</v>
      </c>
      <c r="N262" t="s">
        <v>15</v>
      </c>
      <c r="O262" t="s">
        <v>14</v>
      </c>
      <c r="P262" t="str">
        <f>Table1[[#This Row],[Region]]&amp;"|"&amp;Table1[[#This Row],[Sales Rep]]</f>
        <v>North|Bob</v>
      </c>
    </row>
    <row r="263" spans="1:16" x14ac:dyDescent="0.35">
      <c r="A263">
        <v>1036</v>
      </c>
      <c r="B263" s="1">
        <v>45108</v>
      </c>
      <c r="C263" t="s">
        <v>42</v>
      </c>
      <c r="D263" t="s">
        <v>21</v>
      </c>
      <c r="E263">
        <v>3111.57</v>
      </c>
      <c r="F263">
        <v>17</v>
      </c>
      <c r="G263" t="s">
        <v>16</v>
      </c>
      <c r="H263">
        <v>1475</v>
      </c>
      <c r="I263">
        <v>1840.77</v>
      </c>
      <c r="J263" t="s">
        <v>17</v>
      </c>
      <c r="K263">
        <v>0.1</v>
      </c>
      <c r="L263" t="s">
        <v>31</v>
      </c>
      <c r="M263" t="s">
        <v>19</v>
      </c>
      <c r="N263" t="s">
        <v>21</v>
      </c>
      <c r="O263" t="s">
        <v>42</v>
      </c>
      <c r="P263" t="str">
        <f>Table1[[#This Row],[Region]]&amp;"|"&amp;Table1[[#This Row],[Sales Rep]]</f>
        <v>West|Alice</v>
      </c>
    </row>
    <row r="264" spans="1:16" x14ac:dyDescent="0.35">
      <c r="A264">
        <v>1019</v>
      </c>
      <c r="B264" s="1">
        <v>45078</v>
      </c>
      <c r="C264" t="s">
        <v>14</v>
      </c>
      <c r="D264" t="s">
        <v>34</v>
      </c>
      <c r="E264">
        <v>3109.03</v>
      </c>
      <c r="F264">
        <v>38</v>
      </c>
      <c r="G264" t="s">
        <v>29</v>
      </c>
      <c r="H264">
        <v>3637.25</v>
      </c>
      <c r="I264">
        <v>4096.96</v>
      </c>
      <c r="J264" t="s">
        <v>17</v>
      </c>
      <c r="K264">
        <v>0.09</v>
      </c>
      <c r="L264" t="s">
        <v>27</v>
      </c>
      <c r="M264" t="s">
        <v>19</v>
      </c>
      <c r="N264" t="s">
        <v>34</v>
      </c>
      <c r="O264" t="s">
        <v>14</v>
      </c>
      <c r="P264" t="str">
        <f>Table1[[#This Row],[Region]]&amp;"|"&amp;Table1[[#This Row],[Sales Rep]]</f>
        <v>East|Bob</v>
      </c>
    </row>
    <row r="265" spans="1:16" x14ac:dyDescent="0.35">
      <c r="A265">
        <v>1090</v>
      </c>
      <c r="B265" s="1">
        <v>44951</v>
      </c>
      <c r="C265" t="s">
        <v>33</v>
      </c>
      <c r="D265" t="s">
        <v>25</v>
      </c>
      <c r="E265">
        <v>2381.12</v>
      </c>
      <c r="F265">
        <v>17</v>
      </c>
      <c r="G265" t="s">
        <v>29</v>
      </c>
      <c r="H265">
        <v>4190.26</v>
      </c>
      <c r="I265">
        <v>4645.3500000000004</v>
      </c>
      <c r="J265" t="s">
        <v>30</v>
      </c>
      <c r="K265">
        <v>0.12</v>
      </c>
      <c r="L265" t="s">
        <v>31</v>
      </c>
      <c r="M265" t="s">
        <v>22</v>
      </c>
      <c r="N265" t="s">
        <v>25</v>
      </c>
      <c r="O265" t="s">
        <v>33</v>
      </c>
      <c r="P265" t="str">
        <f>Table1[[#This Row],[Region]]&amp;"|"&amp;Table1[[#This Row],[Sales Rep]]</f>
        <v>South|Charlie</v>
      </c>
    </row>
    <row r="266" spans="1:16" x14ac:dyDescent="0.35">
      <c r="A266">
        <v>1067</v>
      </c>
      <c r="B266" s="1">
        <v>45106</v>
      </c>
      <c r="C266" t="s">
        <v>38</v>
      </c>
      <c r="D266" t="s">
        <v>25</v>
      </c>
      <c r="E266">
        <v>114.59</v>
      </c>
      <c r="F266">
        <v>48</v>
      </c>
      <c r="G266" t="s">
        <v>26</v>
      </c>
      <c r="H266">
        <v>4319.32</v>
      </c>
      <c r="I266">
        <v>4625.5599999999904</v>
      </c>
      <c r="J266" t="s">
        <v>17</v>
      </c>
      <c r="K266">
        <v>0.1</v>
      </c>
      <c r="L266" t="s">
        <v>27</v>
      </c>
      <c r="M266" t="s">
        <v>19</v>
      </c>
      <c r="N266" t="s">
        <v>25</v>
      </c>
      <c r="O266" t="s">
        <v>38</v>
      </c>
      <c r="P266" t="str">
        <f>Table1[[#This Row],[Region]]&amp;"|"&amp;Table1[[#This Row],[Sales Rep]]</f>
        <v>South|Eve</v>
      </c>
    </row>
    <row r="267" spans="1:16" x14ac:dyDescent="0.35">
      <c r="A267">
        <v>1019</v>
      </c>
      <c r="B267" s="1">
        <v>45124</v>
      </c>
      <c r="C267" t="s">
        <v>24</v>
      </c>
      <c r="D267" t="s">
        <v>25</v>
      </c>
      <c r="E267">
        <v>7320.51</v>
      </c>
      <c r="F267">
        <v>14</v>
      </c>
      <c r="G267" t="s">
        <v>29</v>
      </c>
      <c r="H267">
        <v>1614.19</v>
      </c>
      <c r="I267">
        <v>1882.79</v>
      </c>
      <c r="J267" t="s">
        <v>30</v>
      </c>
      <c r="K267">
        <v>0.25</v>
      </c>
      <c r="L267" t="s">
        <v>31</v>
      </c>
      <c r="M267" t="s">
        <v>22</v>
      </c>
      <c r="N267" t="s">
        <v>25</v>
      </c>
      <c r="O267" t="s">
        <v>24</v>
      </c>
      <c r="P267" t="str">
        <f>Table1[[#This Row],[Region]]&amp;"|"&amp;Table1[[#This Row],[Sales Rep]]</f>
        <v>South|David</v>
      </c>
    </row>
    <row r="268" spans="1:16" x14ac:dyDescent="0.35">
      <c r="A268">
        <v>1020</v>
      </c>
      <c r="B268" s="1">
        <v>45270</v>
      </c>
      <c r="C268" t="s">
        <v>14</v>
      </c>
      <c r="D268" t="s">
        <v>15</v>
      </c>
      <c r="E268">
        <v>9671.77</v>
      </c>
      <c r="F268">
        <v>45</v>
      </c>
      <c r="G268" t="s">
        <v>35</v>
      </c>
      <c r="H268">
        <v>4268.45</v>
      </c>
      <c r="I268">
        <v>4551.5999999999904</v>
      </c>
      <c r="J268" t="s">
        <v>30</v>
      </c>
      <c r="K268">
        <v>0.08</v>
      </c>
      <c r="L268" t="s">
        <v>27</v>
      </c>
      <c r="M268" t="s">
        <v>19</v>
      </c>
      <c r="N268" t="s">
        <v>15</v>
      </c>
      <c r="O268" t="s">
        <v>14</v>
      </c>
      <c r="P268" t="str">
        <f>Table1[[#This Row],[Region]]&amp;"|"&amp;Table1[[#This Row],[Sales Rep]]</f>
        <v>North|Bob</v>
      </c>
    </row>
    <row r="269" spans="1:16" x14ac:dyDescent="0.35">
      <c r="A269">
        <v>1096</v>
      </c>
      <c r="B269" s="1">
        <v>45087</v>
      </c>
      <c r="C269" t="s">
        <v>33</v>
      </c>
      <c r="D269" t="s">
        <v>25</v>
      </c>
      <c r="E269">
        <v>2320.5100000000002</v>
      </c>
      <c r="F269">
        <v>6</v>
      </c>
      <c r="G269" t="s">
        <v>16</v>
      </c>
      <c r="H269">
        <v>252.62</v>
      </c>
      <c r="I269">
        <v>742</v>
      </c>
      <c r="J269" t="s">
        <v>30</v>
      </c>
      <c r="K269">
        <v>0.22</v>
      </c>
      <c r="L269" t="s">
        <v>31</v>
      </c>
      <c r="M269" t="s">
        <v>22</v>
      </c>
      <c r="N269" t="s">
        <v>25</v>
      </c>
      <c r="O269" t="s">
        <v>33</v>
      </c>
      <c r="P269" t="str">
        <f>Table1[[#This Row],[Region]]&amp;"|"&amp;Table1[[#This Row],[Sales Rep]]</f>
        <v>South|Charlie</v>
      </c>
    </row>
    <row r="270" spans="1:16" x14ac:dyDescent="0.35">
      <c r="A270">
        <v>1071</v>
      </c>
      <c r="B270" s="1">
        <v>45103</v>
      </c>
      <c r="C270" t="s">
        <v>24</v>
      </c>
      <c r="D270" t="s">
        <v>15</v>
      </c>
      <c r="E270">
        <v>6664.17</v>
      </c>
      <c r="F270">
        <v>35</v>
      </c>
      <c r="G270" t="s">
        <v>29</v>
      </c>
      <c r="H270">
        <v>295.82</v>
      </c>
      <c r="I270">
        <v>684.67</v>
      </c>
      <c r="J270" t="s">
        <v>30</v>
      </c>
      <c r="K270">
        <v>0.03</v>
      </c>
      <c r="L270" t="s">
        <v>31</v>
      </c>
      <c r="M270" t="s">
        <v>19</v>
      </c>
      <c r="N270" t="s">
        <v>15</v>
      </c>
      <c r="O270" t="s">
        <v>24</v>
      </c>
      <c r="P270" t="str">
        <f>Table1[[#This Row],[Region]]&amp;"|"&amp;Table1[[#This Row],[Sales Rep]]</f>
        <v>North|David</v>
      </c>
    </row>
    <row r="271" spans="1:16" x14ac:dyDescent="0.35">
      <c r="A271">
        <v>1052</v>
      </c>
      <c r="B271" s="1">
        <v>45211</v>
      </c>
      <c r="C271" t="s">
        <v>24</v>
      </c>
      <c r="D271" t="s">
        <v>15</v>
      </c>
      <c r="E271">
        <v>7444.77</v>
      </c>
      <c r="F271">
        <v>46</v>
      </c>
      <c r="G271" t="s">
        <v>35</v>
      </c>
      <c r="H271">
        <v>3136.42</v>
      </c>
      <c r="I271">
        <v>3198.49</v>
      </c>
      <c r="J271" t="s">
        <v>17</v>
      </c>
      <c r="K271">
        <v>0.28999999999999998</v>
      </c>
      <c r="L271" t="s">
        <v>18</v>
      </c>
      <c r="M271" t="s">
        <v>22</v>
      </c>
      <c r="N271" t="s">
        <v>15</v>
      </c>
      <c r="O271" t="s">
        <v>24</v>
      </c>
      <c r="P271" t="str">
        <f>Table1[[#This Row],[Region]]&amp;"|"&amp;Table1[[#This Row],[Sales Rep]]</f>
        <v>North|David</v>
      </c>
    </row>
    <row r="272" spans="1:16" x14ac:dyDescent="0.35">
      <c r="A272">
        <v>1033</v>
      </c>
      <c r="B272" s="1">
        <v>44989</v>
      </c>
      <c r="C272" t="s">
        <v>14</v>
      </c>
      <c r="D272" t="s">
        <v>21</v>
      </c>
      <c r="E272">
        <v>8499.41</v>
      </c>
      <c r="F272">
        <v>14</v>
      </c>
      <c r="G272" t="s">
        <v>29</v>
      </c>
      <c r="H272">
        <v>362.38</v>
      </c>
      <c r="I272">
        <v>753.81</v>
      </c>
      <c r="J272" t="s">
        <v>17</v>
      </c>
      <c r="K272">
        <v>0.19</v>
      </c>
      <c r="L272" t="s">
        <v>18</v>
      </c>
      <c r="M272" t="s">
        <v>22</v>
      </c>
      <c r="N272" t="s">
        <v>21</v>
      </c>
      <c r="O272" t="s">
        <v>14</v>
      </c>
      <c r="P272" t="str">
        <f>Table1[[#This Row],[Region]]&amp;"|"&amp;Table1[[#This Row],[Sales Rep]]</f>
        <v>West|Bob</v>
      </c>
    </row>
    <row r="273" spans="1:16" x14ac:dyDescent="0.35">
      <c r="A273">
        <v>1040</v>
      </c>
      <c r="B273" s="1">
        <v>45076</v>
      </c>
      <c r="C273" t="s">
        <v>42</v>
      </c>
      <c r="D273" t="s">
        <v>25</v>
      </c>
      <c r="E273">
        <v>4284.03</v>
      </c>
      <c r="F273">
        <v>47</v>
      </c>
      <c r="G273" t="s">
        <v>29</v>
      </c>
      <c r="H273">
        <v>1656.82</v>
      </c>
      <c r="I273">
        <v>1750.3799999999901</v>
      </c>
      <c r="J273" t="s">
        <v>30</v>
      </c>
      <c r="K273">
        <v>0.21</v>
      </c>
      <c r="L273" t="s">
        <v>31</v>
      </c>
      <c r="M273" t="s">
        <v>19</v>
      </c>
      <c r="N273" t="s">
        <v>25</v>
      </c>
      <c r="O273" t="s">
        <v>42</v>
      </c>
      <c r="P273" t="str">
        <f>Table1[[#This Row],[Region]]&amp;"|"&amp;Table1[[#This Row],[Sales Rep]]</f>
        <v>South|Alice</v>
      </c>
    </row>
    <row r="274" spans="1:16" x14ac:dyDescent="0.35">
      <c r="A274">
        <v>1039</v>
      </c>
      <c r="B274" s="1">
        <v>45080</v>
      </c>
      <c r="C274" t="s">
        <v>14</v>
      </c>
      <c r="D274" t="s">
        <v>25</v>
      </c>
      <c r="E274">
        <v>3099.02</v>
      </c>
      <c r="F274">
        <v>8</v>
      </c>
      <c r="G274" t="s">
        <v>29</v>
      </c>
      <c r="H274">
        <v>3380.14</v>
      </c>
      <c r="I274">
        <v>3609.3399999999901</v>
      </c>
      <c r="J274" t="s">
        <v>17</v>
      </c>
      <c r="K274">
        <v>0.09</v>
      </c>
      <c r="L274" t="s">
        <v>31</v>
      </c>
      <c r="M274" t="s">
        <v>19</v>
      </c>
      <c r="N274" t="s">
        <v>25</v>
      </c>
      <c r="O274" t="s">
        <v>14</v>
      </c>
      <c r="P274" t="str">
        <f>Table1[[#This Row],[Region]]&amp;"|"&amp;Table1[[#This Row],[Sales Rep]]</f>
        <v>South|Bob</v>
      </c>
    </row>
    <row r="275" spans="1:16" x14ac:dyDescent="0.35">
      <c r="A275">
        <v>1082</v>
      </c>
      <c r="B275" s="1">
        <v>45082</v>
      </c>
      <c r="C275" t="s">
        <v>33</v>
      </c>
      <c r="D275" t="s">
        <v>34</v>
      </c>
      <c r="E275">
        <v>3320.42</v>
      </c>
      <c r="F275">
        <v>15</v>
      </c>
      <c r="G275" t="s">
        <v>29</v>
      </c>
      <c r="H275">
        <v>1719.47</v>
      </c>
      <c r="I275">
        <v>1832.6</v>
      </c>
      <c r="J275" t="s">
        <v>17</v>
      </c>
      <c r="K275">
        <v>0.12</v>
      </c>
      <c r="L275" t="s">
        <v>31</v>
      </c>
      <c r="M275" t="s">
        <v>19</v>
      </c>
      <c r="N275" t="s">
        <v>34</v>
      </c>
      <c r="O275" t="s">
        <v>33</v>
      </c>
      <c r="P275" t="str">
        <f>Table1[[#This Row],[Region]]&amp;"|"&amp;Table1[[#This Row],[Sales Rep]]</f>
        <v>East|Charlie</v>
      </c>
    </row>
    <row r="276" spans="1:16" x14ac:dyDescent="0.35">
      <c r="A276">
        <v>1001</v>
      </c>
      <c r="B276" s="1">
        <v>44975</v>
      </c>
      <c r="C276" t="s">
        <v>24</v>
      </c>
      <c r="D276" t="s">
        <v>21</v>
      </c>
      <c r="E276">
        <v>7154.95</v>
      </c>
      <c r="F276">
        <v>27</v>
      </c>
      <c r="G276" t="s">
        <v>29</v>
      </c>
      <c r="H276">
        <v>939.02</v>
      </c>
      <c r="I276">
        <v>1286.92</v>
      </c>
      <c r="J276" t="s">
        <v>17</v>
      </c>
      <c r="K276">
        <v>7.0000000000000007E-2</v>
      </c>
      <c r="L276" t="s">
        <v>31</v>
      </c>
      <c r="M276" t="s">
        <v>22</v>
      </c>
      <c r="N276" t="s">
        <v>21</v>
      </c>
      <c r="O276" t="s">
        <v>24</v>
      </c>
      <c r="P276" t="str">
        <f>Table1[[#This Row],[Region]]&amp;"|"&amp;Table1[[#This Row],[Sales Rep]]</f>
        <v>West|David</v>
      </c>
    </row>
    <row r="277" spans="1:16" x14ac:dyDescent="0.35">
      <c r="A277">
        <v>1011</v>
      </c>
      <c r="B277" s="1">
        <v>45263</v>
      </c>
      <c r="C277" t="s">
        <v>14</v>
      </c>
      <c r="D277" t="s">
        <v>34</v>
      </c>
      <c r="E277">
        <v>8186.12</v>
      </c>
      <c r="F277">
        <v>13</v>
      </c>
      <c r="G277" t="s">
        <v>35</v>
      </c>
      <c r="H277">
        <v>1442.69</v>
      </c>
      <c r="I277">
        <v>1882.57</v>
      </c>
      <c r="J277" t="s">
        <v>17</v>
      </c>
      <c r="K277">
        <v>0.28000000000000003</v>
      </c>
      <c r="L277" t="s">
        <v>18</v>
      </c>
      <c r="M277" t="s">
        <v>19</v>
      </c>
      <c r="N277" t="s">
        <v>34</v>
      </c>
      <c r="O277" t="s">
        <v>14</v>
      </c>
      <c r="P277" t="str">
        <f>Table1[[#This Row],[Region]]&amp;"|"&amp;Table1[[#This Row],[Sales Rep]]</f>
        <v>East|Bob</v>
      </c>
    </row>
    <row r="278" spans="1:16" x14ac:dyDescent="0.35">
      <c r="A278">
        <v>1092</v>
      </c>
      <c r="B278" s="1">
        <v>45010</v>
      </c>
      <c r="C278" t="s">
        <v>42</v>
      </c>
      <c r="D278" t="s">
        <v>21</v>
      </c>
      <c r="E278">
        <v>1897.98</v>
      </c>
      <c r="F278">
        <v>49</v>
      </c>
      <c r="G278" t="s">
        <v>16</v>
      </c>
      <c r="H278">
        <v>2315</v>
      </c>
      <c r="I278">
        <v>2467.2800000000002</v>
      </c>
      <c r="J278" t="s">
        <v>30</v>
      </c>
      <c r="K278">
        <v>0.15</v>
      </c>
      <c r="L278" t="s">
        <v>27</v>
      </c>
      <c r="M278" t="s">
        <v>22</v>
      </c>
      <c r="N278" t="s">
        <v>21</v>
      </c>
      <c r="O278" t="s">
        <v>42</v>
      </c>
      <c r="P278" t="str">
        <f>Table1[[#This Row],[Region]]&amp;"|"&amp;Table1[[#This Row],[Sales Rep]]</f>
        <v>West|Alice</v>
      </c>
    </row>
    <row r="279" spans="1:16" x14ac:dyDescent="0.35">
      <c r="A279">
        <v>1057</v>
      </c>
      <c r="B279" s="1">
        <v>45287</v>
      </c>
      <c r="C279" t="s">
        <v>14</v>
      </c>
      <c r="D279" t="s">
        <v>25</v>
      </c>
      <c r="E279">
        <v>3772.32</v>
      </c>
      <c r="F279">
        <v>31</v>
      </c>
      <c r="G279" t="s">
        <v>16</v>
      </c>
      <c r="H279">
        <v>2403.16</v>
      </c>
      <c r="I279">
        <v>2453.35</v>
      </c>
      <c r="J279" t="s">
        <v>17</v>
      </c>
      <c r="K279">
        <v>0.19</v>
      </c>
      <c r="L279" t="s">
        <v>31</v>
      </c>
      <c r="M279" t="s">
        <v>19</v>
      </c>
      <c r="N279" t="s">
        <v>25</v>
      </c>
      <c r="O279" t="s">
        <v>14</v>
      </c>
      <c r="P279" t="str">
        <f>Table1[[#This Row],[Region]]&amp;"|"&amp;Table1[[#This Row],[Sales Rep]]</f>
        <v>South|Bob</v>
      </c>
    </row>
    <row r="280" spans="1:16" x14ac:dyDescent="0.35">
      <c r="A280">
        <v>1089</v>
      </c>
      <c r="B280" s="1">
        <v>45103</v>
      </c>
      <c r="C280" t="s">
        <v>38</v>
      </c>
      <c r="D280" t="s">
        <v>15</v>
      </c>
      <c r="E280">
        <v>9029.2099999999991</v>
      </c>
      <c r="F280">
        <v>35</v>
      </c>
      <c r="G280" t="s">
        <v>16</v>
      </c>
      <c r="H280">
        <v>3925.85</v>
      </c>
      <c r="I280">
        <v>4082.1099999999901</v>
      </c>
      <c r="J280" t="s">
        <v>30</v>
      </c>
      <c r="K280">
        <v>0.22</v>
      </c>
      <c r="L280" t="s">
        <v>18</v>
      </c>
      <c r="M280" t="s">
        <v>19</v>
      </c>
      <c r="N280" t="s">
        <v>15</v>
      </c>
      <c r="O280" t="s">
        <v>38</v>
      </c>
      <c r="P280" t="str">
        <f>Table1[[#This Row],[Region]]&amp;"|"&amp;Table1[[#This Row],[Sales Rep]]</f>
        <v>North|Eve</v>
      </c>
    </row>
    <row r="281" spans="1:16" x14ac:dyDescent="0.35">
      <c r="A281">
        <v>1050</v>
      </c>
      <c r="B281" s="1">
        <v>45074</v>
      </c>
      <c r="C281" t="s">
        <v>42</v>
      </c>
      <c r="D281" t="s">
        <v>15</v>
      </c>
      <c r="E281">
        <v>8086.27</v>
      </c>
      <c r="F281">
        <v>6</v>
      </c>
      <c r="G281" t="s">
        <v>16</v>
      </c>
      <c r="H281">
        <v>3763.26</v>
      </c>
      <c r="I281">
        <v>4102.72</v>
      </c>
      <c r="J281" t="s">
        <v>30</v>
      </c>
      <c r="K281">
        <v>0.11</v>
      </c>
      <c r="L281" t="s">
        <v>31</v>
      </c>
      <c r="M281" t="s">
        <v>22</v>
      </c>
      <c r="N281" t="s">
        <v>15</v>
      </c>
      <c r="O281" t="s">
        <v>42</v>
      </c>
      <c r="P281" t="str">
        <f>Table1[[#This Row],[Region]]&amp;"|"&amp;Table1[[#This Row],[Sales Rep]]</f>
        <v>North|Alice</v>
      </c>
    </row>
    <row r="282" spans="1:16" x14ac:dyDescent="0.35">
      <c r="A282">
        <v>1023</v>
      </c>
      <c r="B282" s="1">
        <v>45044</v>
      </c>
      <c r="C282" t="s">
        <v>33</v>
      </c>
      <c r="D282" t="s">
        <v>15</v>
      </c>
      <c r="E282">
        <v>9850.1</v>
      </c>
      <c r="F282">
        <v>5</v>
      </c>
      <c r="G282" t="s">
        <v>35</v>
      </c>
      <c r="H282">
        <v>2311.25</v>
      </c>
      <c r="I282">
        <v>2482.34</v>
      </c>
      <c r="J282" t="s">
        <v>17</v>
      </c>
      <c r="K282">
        <v>0.22</v>
      </c>
      <c r="L282" t="s">
        <v>31</v>
      </c>
      <c r="M282" t="s">
        <v>22</v>
      </c>
      <c r="N282" t="s">
        <v>15</v>
      </c>
      <c r="O282" t="s">
        <v>33</v>
      </c>
      <c r="P282" t="str">
        <f>Table1[[#This Row],[Region]]&amp;"|"&amp;Table1[[#This Row],[Sales Rep]]</f>
        <v>North|Charlie</v>
      </c>
    </row>
    <row r="283" spans="1:16" x14ac:dyDescent="0.35">
      <c r="A283">
        <v>1031</v>
      </c>
      <c r="B283" s="1">
        <v>45268</v>
      </c>
      <c r="C283" t="s">
        <v>24</v>
      </c>
      <c r="D283" t="s">
        <v>15</v>
      </c>
      <c r="E283">
        <v>7567.06</v>
      </c>
      <c r="F283">
        <v>22</v>
      </c>
      <c r="G283" t="s">
        <v>26</v>
      </c>
      <c r="H283">
        <v>4236.05</v>
      </c>
      <c r="I283">
        <v>4382.32</v>
      </c>
      <c r="J283" t="s">
        <v>30</v>
      </c>
      <c r="K283">
        <v>0.2</v>
      </c>
      <c r="L283" t="s">
        <v>27</v>
      </c>
      <c r="M283" t="s">
        <v>19</v>
      </c>
      <c r="N283" t="s">
        <v>15</v>
      </c>
      <c r="O283" t="s">
        <v>24</v>
      </c>
      <c r="P283" t="str">
        <f>Table1[[#This Row],[Region]]&amp;"|"&amp;Table1[[#This Row],[Sales Rep]]</f>
        <v>North|David</v>
      </c>
    </row>
    <row r="284" spans="1:16" x14ac:dyDescent="0.35">
      <c r="A284">
        <v>1094</v>
      </c>
      <c r="B284" s="1">
        <v>44989</v>
      </c>
      <c r="C284" t="s">
        <v>14</v>
      </c>
      <c r="D284" t="s">
        <v>15</v>
      </c>
      <c r="E284">
        <v>3992.63</v>
      </c>
      <c r="F284">
        <v>49</v>
      </c>
      <c r="G284" t="s">
        <v>26</v>
      </c>
      <c r="H284">
        <v>615.47</v>
      </c>
      <c r="I284">
        <v>715.84</v>
      </c>
      <c r="J284" t="s">
        <v>17</v>
      </c>
      <c r="K284">
        <v>0.21</v>
      </c>
      <c r="L284" t="s">
        <v>31</v>
      </c>
      <c r="M284" t="s">
        <v>22</v>
      </c>
      <c r="N284" t="s">
        <v>15</v>
      </c>
      <c r="O284" t="s">
        <v>14</v>
      </c>
      <c r="P284" t="str">
        <f>Table1[[#This Row],[Region]]&amp;"|"&amp;Table1[[#This Row],[Sales Rep]]</f>
        <v>North|Bob</v>
      </c>
    </row>
    <row r="285" spans="1:16" x14ac:dyDescent="0.35">
      <c r="A285">
        <v>1042</v>
      </c>
      <c r="B285" s="1">
        <v>45115</v>
      </c>
      <c r="C285" t="s">
        <v>42</v>
      </c>
      <c r="D285" t="s">
        <v>34</v>
      </c>
      <c r="E285">
        <v>5947.31</v>
      </c>
      <c r="F285">
        <v>23</v>
      </c>
      <c r="G285" t="s">
        <v>35</v>
      </c>
      <c r="H285">
        <v>1314</v>
      </c>
      <c r="I285">
        <v>1567.78</v>
      </c>
      <c r="J285" t="s">
        <v>17</v>
      </c>
      <c r="K285">
        <v>0.15</v>
      </c>
      <c r="L285" t="s">
        <v>31</v>
      </c>
      <c r="M285" t="s">
        <v>22</v>
      </c>
      <c r="N285" t="s">
        <v>34</v>
      </c>
      <c r="O285" t="s">
        <v>42</v>
      </c>
      <c r="P285" t="str">
        <f>Table1[[#This Row],[Region]]&amp;"|"&amp;Table1[[#This Row],[Sales Rep]]</f>
        <v>East|Alice</v>
      </c>
    </row>
    <row r="286" spans="1:16" x14ac:dyDescent="0.35">
      <c r="A286">
        <v>1099</v>
      </c>
      <c r="B286" s="1">
        <v>45286</v>
      </c>
      <c r="C286" t="s">
        <v>38</v>
      </c>
      <c r="D286" t="s">
        <v>21</v>
      </c>
      <c r="E286">
        <v>6644.04</v>
      </c>
      <c r="F286">
        <v>25</v>
      </c>
      <c r="G286" t="s">
        <v>35</v>
      </c>
      <c r="H286">
        <v>4148.4799999999996</v>
      </c>
      <c r="I286">
        <v>4293.6899999999996</v>
      </c>
      <c r="J286" t="s">
        <v>30</v>
      </c>
      <c r="K286">
        <v>0.11</v>
      </c>
      <c r="L286" t="s">
        <v>27</v>
      </c>
      <c r="M286" t="s">
        <v>19</v>
      </c>
      <c r="N286" t="s">
        <v>21</v>
      </c>
      <c r="O286" t="s">
        <v>38</v>
      </c>
      <c r="P286" t="str">
        <f>Table1[[#This Row],[Region]]&amp;"|"&amp;Table1[[#This Row],[Sales Rep]]</f>
        <v>West|Eve</v>
      </c>
    </row>
    <row r="287" spans="1:16" x14ac:dyDescent="0.35">
      <c r="A287">
        <v>1007</v>
      </c>
      <c r="B287" s="1">
        <v>44975</v>
      </c>
      <c r="C287" t="s">
        <v>42</v>
      </c>
      <c r="D287" t="s">
        <v>25</v>
      </c>
      <c r="E287">
        <v>876.71</v>
      </c>
      <c r="F287">
        <v>34</v>
      </c>
      <c r="G287" t="s">
        <v>29</v>
      </c>
      <c r="H287">
        <v>1921.07</v>
      </c>
      <c r="I287">
        <v>2289.27</v>
      </c>
      <c r="J287" t="s">
        <v>17</v>
      </c>
      <c r="K287">
        <v>7.0000000000000007E-2</v>
      </c>
      <c r="L287" t="s">
        <v>27</v>
      </c>
      <c r="M287" t="s">
        <v>22</v>
      </c>
      <c r="N287" t="s">
        <v>25</v>
      </c>
      <c r="O287" t="s">
        <v>42</v>
      </c>
      <c r="P287" t="str">
        <f>Table1[[#This Row],[Region]]&amp;"|"&amp;Table1[[#This Row],[Sales Rep]]</f>
        <v>South|Alice</v>
      </c>
    </row>
    <row r="288" spans="1:16" x14ac:dyDescent="0.35">
      <c r="A288">
        <v>1016</v>
      </c>
      <c r="B288" s="1">
        <v>45253</v>
      </c>
      <c r="C288" t="s">
        <v>38</v>
      </c>
      <c r="D288" t="s">
        <v>34</v>
      </c>
      <c r="E288">
        <v>5490.52</v>
      </c>
      <c r="F288">
        <v>26</v>
      </c>
      <c r="G288" t="s">
        <v>29</v>
      </c>
      <c r="H288">
        <v>4906.8500000000004</v>
      </c>
      <c r="I288">
        <v>4954.3900000000003</v>
      </c>
      <c r="J288" t="s">
        <v>30</v>
      </c>
      <c r="K288">
        <v>0.25</v>
      </c>
      <c r="L288" t="s">
        <v>27</v>
      </c>
      <c r="M288" t="s">
        <v>19</v>
      </c>
      <c r="N288" t="s">
        <v>34</v>
      </c>
      <c r="O288" t="s">
        <v>38</v>
      </c>
      <c r="P288" t="str">
        <f>Table1[[#This Row],[Region]]&amp;"|"&amp;Table1[[#This Row],[Sales Rep]]</f>
        <v>East|Eve</v>
      </c>
    </row>
    <row r="289" spans="1:16" x14ac:dyDescent="0.35">
      <c r="A289">
        <v>1090</v>
      </c>
      <c r="B289" s="1">
        <v>45183</v>
      </c>
      <c r="C289" t="s">
        <v>33</v>
      </c>
      <c r="D289" t="s">
        <v>21</v>
      </c>
      <c r="E289">
        <v>7122.28</v>
      </c>
      <c r="F289">
        <v>47</v>
      </c>
      <c r="G289" t="s">
        <v>29</v>
      </c>
      <c r="H289">
        <v>2357.9499999999998</v>
      </c>
      <c r="I289">
        <v>2693.33</v>
      </c>
      <c r="J289" t="s">
        <v>30</v>
      </c>
      <c r="K289">
        <v>0.18</v>
      </c>
      <c r="L289" t="s">
        <v>27</v>
      </c>
      <c r="M289" t="s">
        <v>19</v>
      </c>
      <c r="N289" t="s">
        <v>21</v>
      </c>
      <c r="O289" t="s">
        <v>33</v>
      </c>
      <c r="P289" t="str">
        <f>Table1[[#This Row],[Region]]&amp;"|"&amp;Table1[[#This Row],[Sales Rep]]</f>
        <v>West|Charlie</v>
      </c>
    </row>
    <row r="290" spans="1:16" x14ac:dyDescent="0.35">
      <c r="A290">
        <v>1060</v>
      </c>
      <c r="B290" s="1">
        <v>45150</v>
      </c>
      <c r="C290" t="s">
        <v>24</v>
      </c>
      <c r="D290" t="s">
        <v>15</v>
      </c>
      <c r="E290">
        <v>1756.48</v>
      </c>
      <c r="F290">
        <v>5</v>
      </c>
      <c r="G290" t="s">
        <v>16</v>
      </c>
      <c r="H290">
        <v>3970.08</v>
      </c>
      <c r="I290">
        <v>4096.4799999999996</v>
      </c>
      <c r="J290" t="s">
        <v>17</v>
      </c>
      <c r="K290">
        <v>0.13</v>
      </c>
      <c r="L290" t="s">
        <v>18</v>
      </c>
      <c r="M290" t="s">
        <v>22</v>
      </c>
      <c r="N290" t="s">
        <v>15</v>
      </c>
      <c r="O290" t="s">
        <v>24</v>
      </c>
      <c r="P290" t="str">
        <f>Table1[[#This Row],[Region]]&amp;"|"&amp;Table1[[#This Row],[Sales Rep]]</f>
        <v>North|David</v>
      </c>
    </row>
    <row r="291" spans="1:16" x14ac:dyDescent="0.35">
      <c r="A291">
        <v>1002</v>
      </c>
      <c r="B291" s="1">
        <v>45067</v>
      </c>
      <c r="C291" t="s">
        <v>33</v>
      </c>
      <c r="D291" t="s">
        <v>21</v>
      </c>
      <c r="E291">
        <v>7828.25</v>
      </c>
      <c r="F291">
        <v>26</v>
      </c>
      <c r="G291" t="s">
        <v>29</v>
      </c>
      <c r="H291">
        <v>2041.42</v>
      </c>
      <c r="I291">
        <v>2291.17</v>
      </c>
      <c r="J291" t="s">
        <v>17</v>
      </c>
      <c r="K291">
        <v>0.28000000000000003</v>
      </c>
      <c r="L291" t="s">
        <v>18</v>
      </c>
      <c r="M291" t="s">
        <v>19</v>
      </c>
      <c r="N291" t="s">
        <v>21</v>
      </c>
      <c r="O291" t="s">
        <v>33</v>
      </c>
      <c r="P291" t="str">
        <f>Table1[[#This Row],[Region]]&amp;"|"&amp;Table1[[#This Row],[Sales Rep]]</f>
        <v>West|Charlie</v>
      </c>
    </row>
    <row r="292" spans="1:16" x14ac:dyDescent="0.35">
      <c r="A292">
        <v>1001</v>
      </c>
      <c r="B292" s="1">
        <v>45141</v>
      </c>
      <c r="C292" t="s">
        <v>14</v>
      </c>
      <c r="D292" t="s">
        <v>21</v>
      </c>
      <c r="E292">
        <v>5879.35</v>
      </c>
      <c r="F292">
        <v>20</v>
      </c>
      <c r="G292" t="s">
        <v>26</v>
      </c>
      <c r="H292">
        <v>2153.52</v>
      </c>
      <c r="I292">
        <v>2303.6999999999998</v>
      </c>
      <c r="J292" t="s">
        <v>17</v>
      </c>
      <c r="K292">
        <v>0.01</v>
      </c>
      <c r="L292" t="s">
        <v>18</v>
      </c>
      <c r="M292" t="s">
        <v>22</v>
      </c>
      <c r="N292" t="s">
        <v>21</v>
      </c>
      <c r="O292" t="s">
        <v>14</v>
      </c>
      <c r="P292" t="str">
        <f>Table1[[#This Row],[Region]]&amp;"|"&amp;Table1[[#This Row],[Sales Rep]]</f>
        <v>West|Bob</v>
      </c>
    </row>
    <row r="293" spans="1:16" x14ac:dyDescent="0.35">
      <c r="A293">
        <v>1048</v>
      </c>
      <c r="B293" s="1">
        <v>45137</v>
      </c>
      <c r="C293" t="s">
        <v>42</v>
      </c>
      <c r="D293" t="s">
        <v>15</v>
      </c>
      <c r="E293">
        <v>9527</v>
      </c>
      <c r="F293">
        <v>6</v>
      </c>
      <c r="G293" t="s">
        <v>16</v>
      </c>
      <c r="H293">
        <v>1945.27</v>
      </c>
      <c r="I293">
        <v>2309.4299999999998</v>
      </c>
      <c r="J293" t="s">
        <v>30</v>
      </c>
      <c r="K293">
        <v>0.26</v>
      </c>
      <c r="L293" t="s">
        <v>31</v>
      </c>
      <c r="M293" t="s">
        <v>19</v>
      </c>
      <c r="N293" t="s">
        <v>15</v>
      </c>
      <c r="O293" t="s">
        <v>42</v>
      </c>
      <c r="P293" t="str">
        <f>Table1[[#This Row],[Region]]&amp;"|"&amp;Table1[[#This Row],[Sales Rep]]</f>
        <v>North|Alice</v>
      </c>
    </row>
    <row r="294" spans="1:16" x14ac:dyDescent="0.35">
      <c r="A294">
        <v>1012</v>
      </c>
      <c r="B294" s="1">
        <v>45244</v>
      </c>
      <c r="C294" t="s">
        <v>38</v>
      </c>
      <c r="D294" t="s">
        <v>15</v>
      </c>
      <c r="E294">
        <v>519.98</v>
      </c>
      <c r="F294">
        <v>6</v>
      </c>
      <c r="G294" t="s">
        <v>29</v>
      </c>
      <c r="H294">
        <v>3609.42</v>
      </c>
      <c r="I294">
        <v>4082.62</v>
      </c>
      <c r="J294" t="s">
        <v>17</v>
      </c>
      <c r="K294">
        <v>0.3</v>
      </c>
      <c r="L294" t="s">
        <v>27</v>
      </c>
      <c r="M294" t="s">
        <v>22</v>
      </c>
      <c r="N294" t="s">
        <v>15</v>
      </c>
      <c r="O294" t="s">
        <v>38</v>
      </c>
      <c r="P294" t="str">
        <f>Table1[[#This Row],[Region]]&amp;"|"&amp;Table1[[#This Row],[Sales Rep]]</f>
        <v>North|Eve</v>
      </c>
    </row>
    <row r="295" spans="1:16" x14ac:dyDescent="0.35">
      <c r="A295">
        <v>1069</v>
      </c>
      <c r="B295" s="1">
        <v>44958</v>
      </c>
      <c r="C295" t="s">
        <v>38</v>
      </c>
      <c r="D295" t="s">
        <v>15</v>
      </c>
      <c r="E295">
        <v>2726.73</v>
      </c>
      <c r="F295">
        <v>18</v>
      </c>
      <c r="G295" t="s">
        <v>16</v>
      </c>
      <c r="H295">
        <v>2760.21</v>
      </c>
      <c r="I295">
        <v>3219.58</v>
      </c>
      <c r="J295" t="s">
        <v>30</v>
      </c>
      <c r="K295">
        <v>0.27</v>
      </c>
      <c r="L295" t="s">
        <v>27</v>
      </c>
      <c r="M295" t="s">
        <v>22</v>
      </c>
      <c r="N295" t="s">
        <v>15</v>
      </c>
      <c r="O295" t="s">
        <v>38</v>
      </c>
      <c r="P295" t="str">
        <f>Table1[[#This Row],[Region]]&amp;"|"&amp;Table1[[#This Row],[Sales Rep]]</f>
        <v>North|Eve</v>
      </c>
    </row>
    <row r="296" spans="1:16" x14ac:dyDescent="0.35">
      <c r="A296">
        <v>1037</v>
      </c>
      <c r="B296" s="1">
        <v>45084</v>
      </c>
      <c r="C296" t="s">
        <v>42</v>
      </c>
      <c r="D296" t="s">
        <v>25</v>
      </c>
      <c r="E296">
        <v>6055.38</v>
      </c>
      <c r="F296">
        <v>4</v>
      </c>
      <c r="G296" t="s">
        <v>26</v>
      </c>
      <c r="H296">
        <v>4721.7</v>
      </c>
      <c r="I296">
        <v>5017.58</v>
      </c>
      <c r="J296" t="s">
        <v>30</v>
      </c>
      <c r="K296">
        <v>0.24</v>
      </c>
      <c r="L296" t="s">
        <v>18</v>
      </c>
      <c r="M296" t="s">
        <v>22</v>
      </c>
      <c r="N296" t="s">
        <v>25</v>
      </c>
      <c r="O296" t="s">
        <v>42</v>
      </c>
      <c r="P296" t="str">
        <f>Table1[[#This Row],[Region]]&amp;"|"&amp;Table1[[#This Row],[Sales Rep]]</f>
        <v>South|Alice</v>
      </c>
    </row>
    <row r="297" spans="1:16" x14ac:dyDescent="0.35">
      <c r="A297">
        <v>1032</v>
      </c>
      <c r="B297" s="1">
        <v>45211</v>
      </c>
      <c r="C297" t="s">
        <v>42</v>
      </c>
      <c r="D297" t="s">
        <v>15</v>
      </c>
      <c r="E297">
        <v>3035.94</v>
      </c>
      <c r="F297">
        <v>17</v>
      </c>
      <c r="G297" t="s">
        <v>29</v>
      </c>
      <c r="H297">
        <v>1291.9100000000001</v>
      </c>
      <c r="I297">
        <v>1528.59</v>
      </c>
      <c r="J297" t="s">
        <v>17</v>
      </c>
      <c r="K297">
        <v>0.11</v>
      </c>
      <c r="L297" t="s">
        <v>31</v>
      </c>
      <c r="M297" t="s">
        <v>22</v>
      </c>
      <c r="N297" t="s">
        <v>15</v>
      </c>
      <c r="O297" t="s">
        <v>42</v>
      </c>
      <c r="P297" t="str">
        <f>Table1[[#This Row],[Region]]&amp;"|"&amp;Table1[[#This Row],[Sales Rep]]</f>
        <v>North|Alice</v>
      </c>
    </row>
    <row r="298" spans="1:16" x14ac:dyDescent="0.35">
      <c r="A298">
        <v>1009</v>
      </c>
      <c r="B298" s="1">
        <v>45231</v>
      </c>
      <c r="C298" t="s">
        <v>14</v>
      </c>
      <c r="D298" t="s">
        <v>25</v>
      </c>
      <c r="E298">
        <v>7172.8</v>
      </c>
      <c r="F298">
        <v>14</v>
      </c>
      <c r="G298" t="s">
        <v>26</v>
      </c>
      <c r="H298">
        <v>547.79</v>
      </c>
      <c r="I298">
        <v>958.76</v>
      </c>
      <c r="J298" t="s">
        <v>17</v>
      </c>
      <c r="K298">
        <v>7.0000000000000007E-2</v>
      </c>
      <c r="L298" t="s">
        <v>31</v>
      </c>
      <c r="M298" t="s">
        <v>22</v>
      </c>
      <c r="N298" t="s">
        <v>25</v>
      </c>
      <c r="O298" t="s">
        <v>14</v>
      </c>
      <c r="P298" t="str">
        <f>Table1[[#This Row],[Region]]&amp;"|"&amp;Table1[[#This Row],[Sales Rep]]</f>
        <v>South|Bob</v>
      </c>
    </row>
    <row r="299" spans="1:16" x14ac:dyDescent="0.35">
      <c r="A299">
        <v>1099</v>
      </c>
      <c r="B299" s="1">
        <v>45212</v>
      </c>
      <c r="C299" t="s">
        <v>33</v>
      </c>
      <c r="D299" t="s">
        <v>15</v>
      </c>
      <c r="E299">
        <v>7614.15</v>
      </c>
      <c r="F299">
        <v>14</v>
      </c>
      <c r="G299" t="s">
        <v>26</v>
      </c>
      <c r="H299">
        <v>1996.64</v>
      </c>
      <c r="I299">
        <v>2341.4699999999998</v>
      </c>
      <c r="J299" t="s">
        <v>17</v>
      </c>
      <c r="K299">
        <v>0.22</v>
      </c>
      <c r="L299" t="s">
        <v>31</v>
      </c>
      <c r="M299" t="s">
        <v>19</v>
      </c>
      <c r="N299" t="s">
        <v>15</v>
      </c>
      <c r="O299" t="s">
        <v>33</v>
      </c>
      <c r="P299" t="str">
        <f>Table1[[#This Row],[Region]]&amp;"|"&amp;Table1[[#This Row],[Sales Rep]]</f>
        <v>North|Charlie</v>
      </c>
    </row>
    <row r="300" spans="1:16" x14ac:dyDescent="0.35">
      <c r="A300">
        <v>1019</v>
      </c>
      <c r="B300" s="1">
        <v>45070</v>
      </c>
      <c r="C300" t="s">
        <v>38</v>
      </c>
      <c r="D300" t="s">
        <v>25</v>
      </c>
      <c r="E300">
        <v>1114.9100000000001</v>
      </c>
      <c r="F300">
        <v>13</v>
      </c>
      <c r="G300" t="s">
        <v>26</v>
      </c>
      <c r="H300">
        <v>3102.73</v>
      </c>
      <c r="I300">
        <v>3202.68</v>
      </c>
      <c r="J300" t="s">
        <v>30</v>
      </c>
      <c r="K300">
        <v>0.09</v>
      </c>
      <c r="L300" t="s">
        <v>18</v>
      </c>
      <c r="M300" t="s">
        <v>19</v>
      </c>
      <c r="N300" t="s">
        <v>25</v>
      </c>
      <c r="O300" t="s">
        <v>38</v>
      </c>
      <c r="P300" t="str">
        <f>Table1[[#This Row],[Region]]&amp;"|"&amp;Table1[[#This Row],[Sales Rep]]</f>
        <v>South|Eve</v>
      </c>
    </row>
    <row r="301" spans="1:16" x14ac:dyDescent="0.35">
      <c r="A301">
        <v>1048</v>
      </c>
      <c r="B301" s="1">
        <v>44945</v>
      </c>
      <c r="C301" t="s">
        <v>14</v>
      </c>
      <c r="D301" t="s">
        <v>21</v>
      </c>
      <c r="E301">
        <v>5187.16</v>
      </c>
      <c r="F301">
        <v>7</v>
      </c>
      <c r="G301" t="s">
        <v>29</v>
      </c>
      <c r="H301">
        <v>4310.95</v>
      </c>
      <c r="I301">
        <v>4723.2</v>
      </c>
      <c r="J301" t="s">
        <v>17</v>
      </c>
      <c r="K301">
        <v>0.05</v>
      </c>
      <c r="L301" t="s">
        <v>31</v>
      </c>
      <c r="M301" t="s">
        <v>22</v>
      </c>
      <c r="N301" t="s">
        <v>21</v>
      </c>
      <c r="O301" t="s">
        <v>14</v>
      </c>
      <c r="P301" t="str">
        <f>Table1[[#This Row],[Region]]&amp;"|"&amp;Table1[[#This Row],[Sales Rep]]</f>
        <v>West|Bob</v>
      </c>
    </row>
    <row r="302" spans="1:16" x14ac:dyDescent="0.35">
      <c r="A302">
        <v>1080</v>
      </c>
      <c r="B302" s="1">
        <v>44944</v>
      </c>
      <c r="C302" t="s">
        <v>33</v>
      </c>
      <c r="D302" t="s">
        <v>34</v>
      </c>
      <c r="E302">
        <v>5138.0200000000004</v>
      </c>
      <c r="F302">
        <v>44</v>
      </c>
      <c r="G302" t="s">
        <v>35</v>
      </c>
      <c r="H302">
        <v>1763.67</v>
      </c>
      <c r="I302">
        <v>1983.82</v>
      </c>
      <c r="J302" t="s">
        <v>30</v>
      </c>
      <c r="K302">
        <v>0.24</v>
      </c>
      <c r="L302" t="s">
        <v>31</v>
      </c>
      <c r="M302" t="s">
        <v>19</v>
      </c>
      <c r="N302" t="s">
        <v>34</v>
      </c>
      <c r="O302" t="s">
        <v>33</v>
      </c>
      <c r="P302" t="str">
        <f>Table1[[#This Row],[Region]]&amp;"|"&amp;Table1[[#This Row],[Sales Rep]]</f>
        <v>East|Charlie</v>
      </c>
    </row>
    <row r="303" spans="1:16" x14ac:dyDescent="0.35">
      <c r="A303">
        <v>1003</v>
      </c>
      <c r="B303" s="1">
        <v>45183</v>
      </c>
      <c r="C303" t="s">
        <v>14</v>
      </c>
      <c r="D303" t="s">
        <v>21</v>
      </c>
      <c r="E303">
        <v>3755.88</v>
      </c>
      <c r="F303">
        <v>15</v>
      </c>
      <c r="G303" t="s">
        <v>29</v>
      </c>
      <c r="H303">
        <v>3286.24</v>
      </c>
      <c r="I303">
        <v>3388.8399999999901</v>
      </c>
      <c r="J303" t="s">
        <v>17</v>
      </c>
      <c r="K303">
        <v>0.09</v>
      </c>
      <c r="L303" t="s">
        <v>31</v>
      </c>
      <c r="M303" t="s">
        <v>22</v>
      </c>
      <c r="N303" t="s">
        <v>21</v>
      </c>
      <c r="O303" t="s">
        <v>14</v>
      </c>
      <c r="P303" t="str">
        <f>Table1[[#This Row],[Region]]&amp;"|"&amp;Table1[[#This Row],[Sales Rep]]</f>
        <v>West|Bob</v>
      </c>
    </row>
    <row r="304" spans="1:16" x14ac:dyDescent="0.35">
      <c r="A304">
        <v>1020</v>
      </c>
      <c r="B304" s="1">
        <v>45004</v>
      </c>
      <c r="C304" t="s">
        <v>38</v>
      </c>
      <c r="D304" t="s">
        <v>21</v>
      </c>
      <c r="E304">
        <v>9335.9599999999991</v>
      </c>
      <c r="F304">
        <v>19</v>
      </c>
      <c r="G304" t="s">
        <v>26</v>
      </c>
      <c r="H304">
        <v>1783.48</v>
      </c>
      <c r="I304">
        <v>1931.56</v>
      </c>
      <c r="J304" t="s">
        <v>17</v>
      </c>
      <c r="K304">
        <v>0.27</v>
      </c>
      <c r="L304" t="s">
        <v>27</v>
      </c>
      <c r="M304" t="s">
        <v>22</v>
      </c>
      <c r="N304" t="s">
        <v>21</v>
      </c>
      <c r="O304" t="s">
        <v>38</v>
      </c>
      <c r="P304" t="str">
        <f>Table1[[#This Row],[Region]]&amp;"|"&amp;Table1[[#This Row],[Sales Rep]]</f>
        <v>West|Eve</v>
      </c>
    </row>
    <row r="305" spans="1:16" x14ac:dyDescent="0.35">
      <c r="A305">
        <v>1024</v>
      </c>
      <c r="B305" s="1">
        <v>45101</v>
      </c>
      <c r="C305" t="s">
        <v>42</v>
      </c>
      <c r="D305" t="s">
        <v>15</v>
      </c>
      <c r="E305">
        <v>8292.31</v>
      </c>
      <c r="F305">
        <v>43</v>
      </c>
      <c r="G305" t="s">
        <v>29</v>
      </c>
      <c r="H305">
        <v>3105.24</v>
      </c>
      <c r="I305">
        <v>3246.33</v>
      </c>
      <c r="J305" t="s">
        <v>30</v>
      </c>
      <c r="K305">
        <v>0.25</v>
      </c>
      <c r="L305" t="s">
        <v>18</v>
      </c>
      <c r="M305" t="s">
        <v>19</v>
      </c>
      <c r="N305" t="s">
        <v>15</v>
      </c>
      <c r="O305" t="s">
        <v>42</v>
      </c>
      <c r="P305" t="str">
        <f>Table1[[#This Row],[Region]]&amp;"|"&amp;Table1[[#This Row],[Sales Rep]]</f>
        <v>North|Alice</v>
      </c>
    </row>
    <row r="306" spans="1:16" x14ac:dyDescent="0.35">
      <c r="A306">
        <v>1054</v>
      </c>
      <c r="B306" s="1">
        <v>45120</v>
      </c>
      <c r="C306" t="s">
        <v>42</v>
      </c>
      <c r="D306" t="s">
        <v>25</v>
      </c>
      <c r="E306">
        <v>7002.37</v>
      </c>
      <c r="F306">
        <v>47</v>
      </c>
      <c r="G306" t="s">
        <v>26</v>
      </c>
      <c r="H306">
        <v>4429.8</v>
      </c>
      <c r="I306">
        <v>4694.21</v>
      </c>
      <c r="J306" t="s">
        <v>30</v>
      </c>
      <c r="K306">
        <v>0.25</v>
      </c>
      <c r="L306" t="s">
        <v>27</v>
      </c>
      <c r="M306" t="s">
        <v>19</v>
      </c>
      <c r="N306" t="s">
        <v>25</v>
      </c>
      <c r="O306" t="s">
        <v>42</v>
      </c>
      <c r="P306" t="str">
        <f>Table1[[#This Row],[Region]]&amp;"|"&amp;Table1[[#This Row],[Sales Rep]]</f>
        <v>South|Alice</v>
      </c>
    </row>
    <row r="307" spans="1:16" x14ac:dyDescent="0.35">
      <c r="A307">
        <v>1033</v>
      </c>
      <c r="B307" s="1">
        <v>45039</v>
      </c>
      <c r="C307" t="s">
        <v>33</v>
      </c>
      <c r="D307" t="s">
        <v>34</v>
      </c>
      <c r="E307">
        <v>7171.83</v>
      </c>
      <c r="F307">
        <v>44</v>
      </c>
      <c r="G307" t="s">
        <v>35</v>
      </c>
      <c r="H307">
        <v>1195.22</v>
      </c>
      <c r="I307">
        <v>1320.06</v>
      </c>
      <c r="J307" t="s">
        <v>17</v>
      </c>
      <c r="K307">
        <v>0.23</v>
      </c>
      <c r="L307" t="s">
        <v>27</v>
      </c>
      <c r="M307" t="s">
        <v>22</v>
      </c>
      <c r="N307" t="s">
        <v>34</v>
      </c>
      <c r="O307" t="s">
        <v>33</v>
      </c>
      <c r="P307" t="str">
        <f>Table1[[#This Row],[Region]]&amp;"|"&amp;Table1[[#This Row],[Sales Rep]]</f>
        <v>East|Charlie</v>
      </c>
    </row>
    <row r="308" spans="1:16" x14ac:dyDescent="0.35">
      <c r="A308">
        <v>1024</v>
      </c>
      <c r="B308" s="1">
        <v>45040</v>
      </c>
      <c r="C308" t="s">
        <v>24</v>
      </c>
      <c r="D308" t="s">
        <v>15</v>
      </c>
      <c r="E308">
        <v>4670.99</v>
      </c>
      <c r="F308">
        <v>35</v>
      </c>
      <c r="G308" t="s">
        <v>16</v>
      </c>
      <c r="H308">
        <v>2051</v>
      </c>
      <c r="I308">
        <v>2121.5500000000002</v>
      </c>
      <c r="J308" t="s">
        <v>17</v>
      </c>
      <c r="K308">
        <v>0.26</v>
      </c>
      <c r="L308" t="s">
        <v>18</v>
      </c>
      <c r="M308" t="s">
        <v>22</v>
      </c>
      <c r="N308" t="s">
        <v>15</v>
      </c>
      <c r="O308" t="s">
        <v>24</v>
      </c>
      <c r="P308" t="str">
        <f>Table1[[#This Row],[Region]]&amp;"|"&amp;Table1[[#This Row],[Sales Rep]]</f>
        <v>North|David</v>
      </c>
    </row>
    <row r="309" spans="1:16" x14ac:dyDescent="0.35">
      <c r="A309">
        <v>1075</v>
      </c>
      <c r="B309" s="1">
        <v>45148</v>
      </c>
      <c r="C309" t="s">
        <v>33</v>
      </c>
      <c r="D309" t="s">
        <v>15</v>
      </c>
      <c r="E309">
        <v>9217.85</v>
      </c>
      <c r="F309">
        <v>17</v>
      </c>
      <c r="G309" t="s">
        <v>35</v>
      </c>
      <c r="H309">
        <v>4966.66</v>
      </c>
      <c r="I309">
        <v>5037.2699999999904</v>
      </c>
      <c r="J309" t="s">
        <v>17</v>
      </c>
      <c r="K309">
        <v>0.24</v>
      </c>
      <c r="L309" t="s">
        <v>27</v>
      </c>
      <c r="M309" t="s">
        <v>22</v>
      </c>
      <c r="N309" t="s">
        <v>15</v>
      </c>
      <c r="O309" t="s">
        <v>33</v>
      </c>
      <c r="P309" t="str">
        <f>Table1[[#This Row],[Region]]&amp;"|"&amp;Table1[[#This Row],[Sales Rep]]</f>
        <v>North|Charlie</v>
      </c>
    </row>
    <row r="310" spans="1:16" x14ac:dyDescent="0.35">
      <c r="A310">
        <v>1072</v>
      </c>
      <c r="B310" s="1">
        <v>45092</v>
      </c>
      <c r="C310" t="s">
        <v>24</v>
      </c>
      <c r="D310" t="s">
        <v>15</v>
      </c>
      <c r="E310">
        <v>6976.49</v>
      </c>
      <c r="F310">
        <v>35</v>
      </c>
      <c r="G310" t="s">
        <v>35</v>
      </c>
      <c r="H310">
        <v>4349.3599999999997</v>
      </c>
      <c r="I310">
        <v>4645.17</v>
      </c>
      <c r="J310" t="s">
        <v>17</v>
      </c>
      <c r="K310">
        <v>0.18</v>
      </c>
      <c r="L310" t="s">
        <v>31</v>
      </c>
      <c r="M310" t="s">
        <v>22</v>
      </c>
      <c r="N310" t="s">
        <v>15</v>
      </c>
      <c r="O310" t="s">
        <v>24</v>
      </c>
      <c r="P310" t="str">
        <f>Table1[[#This Row],[Region]]&amp;"|"&amp;Table1[[#This Row],[Sales Rep]]</f>
        <v>North|David</v>
      </c>
    </row>
    <row r="311" spans="1:16" x14ac:dyDescent="0.35">
      <c r="A311">
        <v>1036</v>
      </c>
      <c r="B311" s="1">
        <v>45245</v>
      </c>
      <c r="C311" t="s">
        <v>14</v>
      </c>
      <c r="D311" t="s">
        <v>21</v>
      </c>
      <c r="E311">
        <v>7316.91</v>
      </c>
      <c r="F311">
        <v>19</v>
      </c>
      <c r="G311" t="s">
        <v>16</v>
      </c>
      <c r="H311">
        <v>2844.97</v>
      </c>
      <c r="I311">
        <v>3215</v>
      </c>
      <c r="J311" t="s">
        <v>17</v>
      </c>
      <c r="K311">
        <v>0.09</v>
      </c>
      <c r="L311" t="s">
        <v>31</v>
      </c>
      <c r="M311" t="s">
        <v>22</v>
      </c>
      <c r="N311" t="s">
        <v>21</v>
      </c>
      <c r="O311" t="s">
        <v>14</v>
      </c>
      <c r="P311" t="str">
        <f>Table1[[#This Row],[Region]]&amp;"|"&amp;Table1[[#This Row],[Sales Rep]]</f>
        <v>West|Bob</v>
      </c>
    </row>
    <row r="312" spans="1:16" x14ac:dyDescent="0.35">
      <c r="A312">
        <v>1038</v>
      </c>
      <c r="B312" s="1">
        <v>45058</v>
      </c>
      <c r="C312" t="s">
        <v>14</v>
      </c>
      <c r="D312" t="s">
        <v>25</v>
      </c>
      <c r="E312">
        <v>8630.74</v>
      </c>
      <c r="F312">
        <v>20</v>
      </c>
      <c r="G312" t="s">
        <v>29</v>
      </c>
      <c r="H312">
        <v>2607.31</v>
      </c>
      <c r="I312">
        <v>2774.86</v>
      </c>
      <c r="J312" t="s">
        <v>30</v>
      </c>
      <c r="K312">
        <v>0.27</v>
      </c>
      <c r="L312" t="s">
        <v>31</v>
      </c>
      <c r="M312" t="s">
        <v>22</v>
      </c>
      <c r="N312" t="s">
        <v>25</v>
      </c>
      <c r="O312" t="s">
        <v>14</v>
      </c>
      <c r="P312" t="str">
        <f>Table1[[#This Row],[Region]]&amp;"|"&amp;Table1[[#This Row],[Sales Rep]]</f>
        <v>South|Bob</v>
      </c>
    </row>
    <row r="313" spans="1:16" x14ac:dyDescent="0.35">
      <c r="A313">
        <v>1084</v>
      </c>
      <c r="B313" s="1">
        <v>45190</v>
      </c>
      <c r="C313" t="s">
        <v>38</v>
      </c>
      <c r="D313" t="s">
        <v>25</v>
      </c>
      <c r="E313">
        <v>2813.31</v>
      </c>
      <c r="F313">
        <v>36</v>
      </c>
      <c r="G313" t="s">
        <v>16</v>
      </c>
      <c r="H313">
        <v>1458.77</v>
      </c>
      <c r="I313">
        <v>1485.75</v>
      </c>
      <c r="J313" t="s">
        <v>30</v>
      </c>
      <c r="K313">
        <v>0.25</v>
      </c>
      <c r="L313" t="s">
        <v>31</v>
      </c>
      <c r="M313" t="s">
        <v>19</v>
      </c>
      <c r="N313" t="s">
        <v>25</v>
      </c>
      <c r="O313" t="s">
        <v>38</v>
      </c>
      <c r="P313" t="str">
        <f>Table1[[#This Row],[Region]]&amp;"|"&amp;Table1[[#This Row],[Sales Rep]]</f>
        <v>South|Eve</v>
      </c>
    </row>
    <row r="314" spans="1:16" x14ac:dyDescent="0.35">
      <c r="A314">
        <v>1099</v>
      </c>
      <c r="B314" s="1">
        <v>44981</v>
      </c>
      <c r="C314" t="s">
        <v>24</v>
      </c>
      <c r="D314" t="s">
        <v>34</v>
      </c>
      <c r="E314">
        <v>8090</v>
      </c>
      <c r="F314">
        <v>35</v>
      </c>
      <c r="G314" t="s">
        <v>29</v>
      </c>
      <c r="H314">
        <v>2610.19</v>
      </c>
      <c r="I314">
        <v>2682.53</v>
      </c>
      <c r="J314" t="s">
        <v>30</v>
      </c>
      <c r="K314">
        <v>0.14000000000000001</v>
      </c>
      <c r="L314" t="s">
        <v>18</v>
      </c>
      <c r="M314" t="s">
        <v>22</v>
      </c>
      <c r="N314" t="s">
        <v>34</v>
      </c>
      <c r="O314" t="s">
        <v>24</v>
      </c>
      <c r="P314" t="str">
        <f>Table1[[#This Row],[Region]]&amp;"|"&amp;Table1[[#This Row],[Sales Rep]]</f>
        <v>East|David</v>
      </c>
    </row>
    <row r="315" spans="1:16" x14ac:dyDescent="0.35">
      <c r="A315">
        <v>1089</v>
      </c>
      <c r="B315" s="1">
        <v>45285</v>
      </c>
      <c r="C315" t="s">
        <v>38</v>
      </c>
      <c r="D315" t="s">
        <v>25</v>
      </c>
      <c r="E315">
        <v>2032.88</v>
      </c>
      <c r="F315">
        <v>32</v>
      </c>
      <c r="G315" t="s">
        <v>29</v>
      </c>
      <c r="H315">
        <v>4248.5</v>
      </c>
      <c r="I315">
        <v>4706.7</v>
      </c>
      <c r="J315" t="s">
        <v>30</v>
      </c>
      <c r="K315">
        <v>0.01</v>
      </c>
      <c r="L315" t="s">
        <v>27</v>
      </c>
      <c r="M315" t="s">
        <v>22</v>
      </c>
      <c r="N315" t="s">
        <v>25</v>
      </c>
      <c r="O315" t="s">
        <v>38</v>
      </c>
      <c r="P315" t="str">
        <f>Table1[[#This Row],[Region]]&amp;"|"&amp;Table1[[#This Row],[Sales Rep]]</f>
        <v>South|Eve</v>
      </c>
    </row>
    <row r="316" spans="1:16" x14ac:dyDescent="0.35">
      <c r="A316">
        <v>1099</v>
      </c>
      <c r="B316" s="1">
        <v>45057</v>
      </c>
      <c r="C316" t="s">
        <v>42</v>
      </c>
      <c r="D316" t="s">
        <v>25</v>
      </c>
      <c r="E316">
        <v>3518.89</v>
      </c>
      <c r="F316">
        <v>48</v>
      </c>
      <c r="G316" t="s">
        <v>26</v>
      </c>
      <c r="H316">
        <v>3441.61</v>
      </c>
      <c r="I316">
        <v>3693.45</v>
      </c>
      <c r="J316" t="s">
        <v>17</v>
      </c>
      <c r="K316">
        <v>0.19</v>
      </c>
      <c r="L316" t="s">
        <v>27</v>
      </c>
      <c r="M316" t="s">
        <v>19</v>
      </c>
      <c r="N316" t="s">
        <v>25</v>
      </c>
      <c r="O316" t="s">
        <v>42</v>
      </c>
      <c r="P316" t="str">
        <f>Table1[[#This Row],[Region]]&amp;"|"&amp;Table1[[#This Row],[Sales Rep]]</f>
        <v>South|Alice</v>
      </c>
    </row>
    <row r="317" spans="1:16" x14ac:dyDescent="0.35">
      <c r="A317">
        <v>1025</v>
      </c>
      <c r="B317" s="1">
        <v>45214</v>
      </c>
      <c r="C317" t="s">
        <v>24</v>
      </c>
      <c r="D317" t="s">
        <v>15</v>
      </c>
      <c r="E317">
        <v>3422.54</v>
      </c>
      <c r="F317">
        <v>44</v>
      </c>
      <c r="G317" t="s">
        <v>26</v>
      </c>
      <c r="H317">
        <v>1485.72</v>
      </c>
      <c r="I317">
        <v>1717.97</v>
      </c>
      <c r="J317" t="s">
        <v>30</v>
      </c>
      <c r="K317">
        <v>0.02</v>
      </c>
      <c r="L317" t="s">
        <v>31</v>
      </c>
      <c r="M317" t="s">
        <v>22</v>
      </c>
      <c r="N317" t="s">
        <v>15</v>
      </c>
      <c r="O317" t="s">
        <v>24</v>
      </c>
      <c r="P317" t="str">
        <f>Table1[[#This Row],[Region]]&amp;"|"&amp;Table1[[#This Row],[Sales Rep]]</f>
        <v>North|David</v>
      </c>
    </row>
    <row r="318" spans="1:16" x14ac:dyDescent="0.35">
      <c r="A318">
        <v>1093</v>
      </c>
      <c r="B318" s="1">
        <v>45192</v>
      </c>
      <c r="C318" t="s">
        <v>33</v>
      </c>
      <c r="D318" t="s">
        <v>15</v>
      </c>
      <c r="E318">
        <v>9787.4</v>
      </c>
      <c r="F318">
        <v>40</v>
      </c>
      <c r="G318" t="s">
        <v>16</v>
      </c>
      <c r="H318">
        <v>1047.25</v>
      </c>
      <c r="I318">
        <v>1075.8900000000001</v>
      </c>
      <c r="J318" t="s">
        <v>30</v>
      </c>
      <c r="K318">
        <v>0.28000000000000003</v>
      </c>
      <c r="L318" t="s">
        <v>31</v>
      </c>
      <c r="M318" t="s">
        <v>22</v>
      </c>
      <c r="N318" t="s">
        <v>15</v>
      </c>
      <c r="O318" t="s">
        <v>33</v>
      </c>
      <c r="P318" t="str">
        <f>Table1[[#This Row],[Region]]&amp;"|"&amp;Table1[[#This Row],[Sales Rep]]</f>
        <v>North|Charlie</v>
      </c>
    </row>
    <row r="319" spans="1:16" x14ac:dyDescent="0.35">
      <c r="A319">
        <v>1018</v>
      </c>
      <c r="B319" s="1">
        <v>45292</v>
      </c>
      <c r="C319" t="s">
        <v>42</v>
      </c>
      <c r="D319" t="s">
        <v>21</v>
      </c>
      <c r="E319">
        <v>8579.7199999999993</v>
      </c>
      <c r="F319">
        <v>24</v>
      </c>
      <c r="G319" t="s">
        <v>35</v>
      </c>
      <c r="H319">
        <v>1362.78</v>
      </c>
      <c r="I319">
        <v>1729.81</v>
      </c>
      <c r="J319" t="s">
        <v>30</v>
      </c>
      <c r="K319">
        <v>0.28999999999999998</v>
      </c>
      <c r="L319" t="s">
        <v>27</v>
      </c>
      <c r="M319" t="s">
        <v>19</v>
      </c>
      <c r="N319" t="s">
        <v>21</v>
      </c>
      <c r="O319" t="s">
        <v>42</v>
      </c>
      <c r="P319" t="str">
        <f>Table1[[#This Row],[Region]]&amp;"|"&amp;Table1[[#This Row],[Sales Rep]]</f>
        <v>West|Alice</v>
      </c>
    </row>
    <row r="320" spans="1:16" x14ac:dyDescent="0.35">
      <c r="A320">
        <v>1082</v>
      </c>
      <c r="B320" s="1">
        <v>45088</v>
      </c>
      <c r="C320" t="s">
        <v>42</v>
      </c>
      <c r="D320" t="s">
        <v>15</v>
      </c>
      <c r="E320">
        <v>7041.58</v>
      </c>
      <c r="F320">
        <v>17</v>
      </c>
      <c r="G320" t="s">
        <v>16</v>
      </c>
      <c r="H320">
        <v>890.31</v>
      </c>
      <c r="I320">
        <v>1159.06</v>
      </c>
      <c r="J320" t="s">
        <v>17</v>
      </c>
      <c r="K320">
        <v>0.06</v>
      </c>
      <c r="L320" t="s">
        <v>18</v>
      </c>
      <c r="M320" t="s">
        <v>22</v>
      </c>
      <c r="N320" t="s">
        <v>15</v>
      </c>
      <c r="O320" t="s">
        <v>42</v>
      </c>
      <c r="P320" t="str">
        <f>Table1[[#This Row],[Region]]&amp;"|"&amp;Table1[[#This Row],[Sales Rep]]</f>
        <v>North|Alice</v>
      </c>
    </row>
    <row r="321" spans="1:16" x14ac:dyDescent="0.35">
      <c r="A321">
        <v>1066</v>
      </c>
      <c r="B321" s="1">
        <v>45013</v>
      </c>
      <c r="C321" t="s">
        <v>33</v>
      </c>
      <c r="D321" t="s">
        <v>15</v>
      </c>
      <c r="E321">
        <v>7297.86</v>
      </c>
      <c r="F321">
        <v>7</v>
      </c>
      <c r="G321" t="s">
        <v>29</v>
      </c>
      <c r="H321">
        <v>523.41999999999996</v>
      </c>
      <c r="I321">
        <v>632.43999999999903</v>
      </c>
      <c r="J321" t="s">
        <v>30</v>
      </c>
      <c r="K321">
        <v>0.2</v>
      </c>
      <c r="L321" t="s">
        <v>27</v>
      </c>
      <c r="M321" t="s">
        <v>19</v>
      </c>
      <c r="N321" t="s">
        <v>15</v>
      </c>
      <c r="O321" t="s">
        <v>33</v>
      </c>
      <c r="P321" t="str">
        <f>Table1[[#This Row],[Region]]&amp;"|"&amp;Table1[[#This Row],[Sales Rep]]</f>
        <v>North|Charlie</v>
      </c>
    </row>
    <row r="322" spans="1:16" x14ac:dyDescent="0.35">
      <c r="A322">
        <v>1054</v>
      </c>
      <c r="B322" s="1">
        <v>44981</v>
      </c>
      <c r="C322" t="s">
        <v>42</v>
      </c>
      <c r="D322" t="s">
        <v>15</v>
      </c>
      <c r="E322">
        <v>5664.52</v>
      </c>
      <c r="F322">
        <v>43</v>
      </c>
      <c r="G322" t="s">
        <v>26</v>
      </c>
      <c r="H322">
        <v>2124.7199999999998</v>
      </c>
      <c r="I322">
        <v>2188.66</v>
      </c>
      <c r="J322" t="s">
        <v>17</v>
      </c>
      <c r="K322">
        <v>0.03</v>
      </c>
      <c r="L322" t="s">
        <v>31</v>
      </c>
      <c r="M322" t="s">
        <v>22</v>
      </c>
      <c r="N322" t="s">
        <v>15</v>
      </c>
      <c r="O322" t="s">
        <v>42</v>
      </c>
      <c r="P322" t="str">
        <f>Table1[[#This Row],[Region]]&amp;"|"&amp;Table1[[#This Row],[Sales Rep]]</f>
        <v>North|Alice</v>
      </c>
    </row>
    <row r="323" spans="1:16" x14ac:dyDescent="0.35">
      <c r="A323">
        <v>1035</v>
      </c>
      <c r="B323" s="1">
        <v>45214</v>
      </c>
      <c r="C323" t="s">
        <v>24</v>
      </c>
      <c r="D323" t="s">
        <v>15</v>
      </c>
      <c r="E323">
        <v>9476.2000000000007</v>
      </c>
      <c r="F323">
        <v>1</v>
      </c>
      <c r="G323" t="s">
        <v>16</v>
      </c>
      <c r="H323">
        <v>610.83000000000004</v>
      </c>
      <c r="I323">
        <v>808.69</v>
      </c>
      <c r="J323" t="s">
        <v>30</v>
      </c>
      <c r="K323">
        <v>0.22</v>
      </c>
      <c r="L323" t="s">
        <v>31</v>
      </c>
      <c r="M323" t="s">
        <v>19</v>
      </c>
      <c r="N323" t="s">
        <v>15</v>
      </c>
      <c r="O323" t="s">
        <v>24</v>
      </c>
      <c r="P323" t="str">
        <f>Table1[[#This Row],[Region]]&amp;"|"&amp;Table1[[#This Row],[Sales Rep]]</f>
        <v>North|David</v>
      </c>
    </row>
    <row r="324" spans="1:16" x14ac:dyDescent="0.35">
      <c r="A324">
        <v>1080</v>
      </c>
      <c r="B324" s="1">
        <v>45104</v>
      </c>
      <c r="C324" t="s">
        <v>38</v>
      </c>
      <c r="D324" t="s">
        <v>21</v>
      </c>
      <c r="E324">
        <v>5012.96</v>
      </c>
      <c r="F324">
        <v>35</v>
      </c>
      <c r="G324" t="s">
        <v>16</v>
      </c>
      <c r="H324">
        <v>900.97</v>
      </c>
      <c r="I324">
        <v>1321.18</v>
      </c>
      <c r="J324" t="s">
        <v>17</v>
      </c>
      <c r="K324">
        <v>0.1</v>
      </c>
      <c r="L324" t="s">
        <v>18</v>
      </c>
      <c r="M324" t="s">
        <v>19</v>
      </c>
      <c r="N324" t="s">
        <v>21</v>
      </c>
      <c r="O324" t="s">
        <v>38</v>
      </c>
      <c r="P324" t="str">
        <f>Table1[[#This Row],[Region]]&amp;"|"&amp;Table1[[#This Row],[Sales Rep]]</f>
        <v>West|Eve</v>
      </c>
    </row>
    <row r="325" spans="1:16" x14ac:dyDescent="0.35">
      <c r="A325">
        <v>1061</v>
      </c>
      <c r="B325" s="1">
        <v>45275</v>
      </c>
      <c r="C325" t="s">
        <v>42</v>
      </c>
      <c r="D325" t="s">
        <v>15</v>
      </c>
      <c r="E325">
        <v>3867.13</v>
      </c>
      <c r="F325">
        <v>32</v>
      </c>
      <c r="G325" t="s">
        <v>26</v>
      </c>
      <c r="H325">
        <v>2759.26</v>
      </c>
      <c r="I325">
        <v>3193.25</v>
      </c>
      <c r="J325" t="s">
        <v>30</v>
      </c>
      <c r="K325">
        <v>0.2</v>
      </c>
      <c r="L325" t="s">
        <v>27</v>
      </c>
      <c r="M325" t="s">
        <v>19</v>
      </c>
      <c r="N325" t="s">
        <v>15</v>
      </c>
      <c r="O325" t="s">
        <v>42</v>
      </c>
      <c r="P325" t="str">
        <f>Table1[[#This Row],[Region]]&amp;"|"&amp;Table1[[#This Row],[Sales Rep]]</f>
        <v>North|Alice</v>
      </c>
    </row>
    <row r="326" spans="1:16" x14ac:dyDescent="0.35">
      <c r="A326">
        <v>1041</v>
      </c>
      <c r="B326" s="1">
        <v>44934</v>
      </c>
      <c r="C326" t="s">
        <v>24</v>
      </c>
      <c r="D326" t="s">
        <v>34</v>
      </c>
      <c r="E326">
        <v>1714.05</v>
      </c>
      <c r="F326">
        <v>36</v>
      </c>
      <c r="G326" t="s">
        <v>26</v>
      </c>
      <c r="H326">
        <v>864.77</v>
      </c>
      <c r="I326">
        <v>1170.1599999999901</v>
      </c>
      <c r="J326" t="s">
        <v>17</v>
      </c>
      <c r="K326">
        <v>0.11</v>
      </c>
      <c r="L326" t="s">
        <v>18</v>
      </c>
      <c r="M326" t="s">
        <v>22</v>
      </c>
      <c r="N326" t="s">
        <v>34</v>
      </c>
      <c r="O326" t="s">
        <v>24</v>
      </c>
      <c r="P326" t="str">
        <f>Table1[[#This Row],[Region]]&amp;"|"&amp;Table1[[#This Row],[Sales Rep]]</f>
        <v>East|David</v>
      </c>
    </row>
    <row r="327" spans="1:16" x14ac:dyDescent="0.35">
      <c r="A327">
        <v>1100</v>
      </c>
      <c r="B327" s="1">
        <v>45247</v>
      </c>
      <c r="C327" t="s">
        <v>14</v>
      </c>
      <c r="D327" t="s">
        <v>34</v>
      </c>
      <c r="E327">
        <v>7883.44</v>
      </c>
      <c r="F327">
        <v>13</v>
      </c>
      <c r="G327" t="s">
        <v>26</v>
      </c>
      <c r="H327">
        <v>366.2</v>
      </c>
      <c r="I327">
        <v>732.69</v>
      </c>
      <c r="J327" t="s">
        <v>30</v>
      </c>
      <c r="K327">
        <v>0.04</v>
      </c>
      <c r="L327" t="s">
        <v>18</v>
      </c>
      <c r="M327" t="s">
        <v>22</v>
      </c>
      <c r="N327" t="s">
        <v>34</v>
      </c>
      <c r="O327" t="s">
        <v>14</v>
      </c>
      <c r="P327" t="str">
        <f>Table1[[#This Row],[Region]]&amp;"|"&amp;Table1[[#This Row],[Sales Rep]]</f>
        <v>East|Bob</v>
      </c>
    </row>
    <row r="328" spans="1:16" x14ac:dyDescent="0.35">
      <c r="A328">
        <v>1033</v>
      </c>
      <c r="B328" s="1">
        <v>45239</v>
      </c>
      <c r="C328" t="s">
        <v>24</v>
      </c>
      <c r="D328" t="s">
        <v>34</v>
      </c>
      <c r="E328">
        <v>7370.99</v>
      </c>
      <c r="F328">
        <v>6</v>
      </c>
      <c r="G328" t="s">
        <v>29</v>
      </c>
      <c r="H328">
        <v>1621.07</v>
      </c>
      <c r="I328">
        <v>1687.5</v>
      </c>
      <c r="J328" t="s">
        <v>17</v>
      </c>
      <c r="K328">
        <v>0.12</v>
      </c>
      <c r="L328" t="s">
        <v>31</v>
      </c>
      <c r="M328" t="s">
        <v>19</v>
      </c>
      <c r="N328" t="s">
        <v>34</v>
      </c>
      <c r="O328" t="s">
        <v>24</v>
      </c>
      <c r="P328" t="str">
        <f>Table1[[#This Row],[Region]]&amp;"|"&amp;Table1[[#This Row],[Sales Rep]]</f>
        <v>East|David</v>
      </c>
    </row>
    <row r="329" spans="1:16" x14ac:dyDescent="0.35">
      <c r="A329">
        <v>1068</v>
      </c>
      <c r="B329" s="1">
        <v>45173</v>
      </c>
      <c r="C329" t="s">
        <v>38</v>
      </c>
      <c r="D329" t="s">
        <v>34</v>
      </c>
      <c r="E329">
        <v>3905.11</v>
      </c>
      <c r="F329">
        <v>14</v>
      </c>
      <c r="G329" t="s">
        <v>26</v>
      </c>
      <c r="H329">
        <v>1140.58</v>
      </c>
      <c r="I329">
        <v>1438.76</v>
      </c>
      <c r="J329" t="s">
        <v>17</v>
      </c>
      <c r="K329">
        <v>0.03</v>
      </c>
      <c r="L329" t="s">
        <v>27</v>
      </c>
      <c r="M329" t="s">
        <v>19</v>
      </c>
      <c r="N329" t="s">
        <v>34</v>
      </c>
      <c r="O329" t="s">
        <v>38</v>
      </c>
      <c r="P329" t="str">
        <f>Table1[[#This Row],[Region]]&amp;"|"&amp;Table1[[#This Row],[Sales Rep]]</f>
        <v>East|Eve</v>
      </c>
    </row>
    <row r="330" spans="1:16" x14ac:dyDescent="0.35">
      <c r="A330">
        <v>1033</v>
      </c>
      <c r="B330" s="1">
        <v>45249</v>
      </c>
      <c r="C330" t="s">
        <v>24</v>
      </c>
      <c r="D330" t="s">
        <v>15</v>
      </c>
      <c r="E330">
        <v>349.41</v>
      </c>
      <c r="F330">
        <v>37</v>
      </c>
      <c r="G330" t="s">
        <v>35</v>
      </c>
      <c r="H330">
        <v>2600.7600000000002</v>
      </c>
      <c r="I330">
        <v>2937.57</v>
      </c>
      <c r="J330" t="s">
        <v>30</v>
      </c>
      <c r="K330">
        <v>0.17</v>
      </c>
      <c r="L330" t="s">
        <v>31</v>
      </c>
      <c r="M330" t="s">
        <v>22</v>
      </c>
      <c r="N330" t="s">
        <v>15</v>
      </c>
      <c r="O330" t="s">
        <v>24</v>
      </c>
      <c r="P330" t="str">
        <f>Table1[[#This Row],[Region]]&amp;"|"&amp;Table1[[#This Row],[Sales Rep]]</f>
        <v>North|David</v>
      </c>
    </row>
    <row r="331" spans="1:16" x14ac:dyDescent="0.35">
      <c r="A331">
        <v>1014</v>
      </c>
      <c r="B331" s="1">
        <v>45181</v>
      </c>
      <c r="C331" t="s">
        <v>33</v>
      </c>
      <c r="D331" t="s">
        <v>34</v>
      </c>
      <c r="E331">
        <v>8406.07</v>
      </c>
      <c r="F331">
        <v>48</v>
      </c>
      <c r="G331" t="s">
        <v>16</v>
      </c>
      <c r="H331">
        <v>556.72</v>
      </c>
      <c r="I331">
        <v>665.07</v>
      </c>
      <c r="J331" t="s">
        <v>17</v>
      </c>
      <c r="K331">
        <v>0.01</v>
      </c>
      <c r="L331" t="s">
        <v>27</v>
      </c>
      <c r="M331" t="s">
        <v>22</v>
      </c>
      <c r="N331" t="s">
        <v>34</v>
      </c>
      <c r="O331" t="s">
        <v>33</v>
      </c>
      <c r="P331" t="str">
        <f>Table1[[#This Row],[Region]]&amp;"|"&amp;Table1[[#This Row],[Sales Rep]]</f>
        <v>East|Charlie</v>
      </c>
    </row>
    <row r="332" spans="1:16" x14ac:dyDescent="0.35">
      <c r="A332">
        <v>1021</v>
      </c>
      <c r="B332" s="1">
        <v>45254</v>
      </c>
      <c r="C332" t="s">
        <v>38</v>
      </c>
      <c r="D332" t="s">
        <v>15</v>
      </c>
      <c r="E332">
        <v>213.04</v>
      </c>
      <c r="F332">
        <v>15</v>
      </c>
      <c r="G332" t="s">
        <v>26</v>
      </c>
      <c r="H332">
        <v>3771.27</v>
      </c>
      <c r="I332">
        <v>4212.55</v>
      </c>
      <c r="J332" t="s">
        <v>17</v>
      </c>
      <c r="K332">
        <v>0.16</v>
      </c>
      <c r="L332" t="s">
        <v>31</v>
      </c>
      <c r="M332" t="s">
        <v>22</v>
      </c>
      <c r="N332" t="s">
        <v>15</v>
      </c>
      <c r="O332" t="s">
        <v>38</v>
      </c>
      <c r="P332" t="str">
        <f>Table1[[#This Row],[Region]]&amp;"|"&amp;Table1[[#This Row],[Sales Rep]]</f>
        <v>North|Eve</v>
      </c>
    </row>
    <row r="333" spans="1:16" x14ac:dyDescent="0.35">
      <c r="A333">
        <v>1048</v>
      </c>
      <c r="B333" s="1">
        <v>44980</v>
      </c>
      <c r="C333" t="s">
        <v>14</v>
      </c>
      <c r="D333" t="s">
        <v>21</v>
      </c>
      <c r="E333">
        <v>7066.63</v>
      </c>
      <c r="F333">
        <v>47</v>
      </c>
      <c r="G333" t="s">
        <v>26</v>
      </c>
      <c r="H333">
        <v>4535.8599999999997</v>
      </c>
      <c r="I333">
        <v>4641.41</v>
      </c>
      <c r="J333" t="s">
        <v>30</v>
      </c>
      <c r="K333">
        <v>0.27</v>
      </c>
      <c r="L333" t="s">
        <v>31</v>
      </c>
      <c r="M333" t="s">
        <v>22</v>
      </c>
      <c r="N333" t="s">
        <v>21</v>
      </c>
      <c r="O333" t="s">
        <v>14</v>
      </c>
      <c r="P333" t="str">
        <f>Table1[[#This Row],[Region]]&amp;"|"&amp;Table1[[#This Row],[Sales Rep]]</f>
        <v>West|Bob</v>
      </c>
    </row>
    <row r="334" spans="1:16" x14ac:dyDescent="0.35">
      <c r="A334">
        <v>1020</v>
      </c>
      <c r="B334" s="1">
        <v>45175</v>
      </c>
      <c r="C334" t="s">
        <v>33</v>
      </c>
      <c r="D334" t="s">
        <v>34</v>
      </c>
      <c r="E334">
        <v>9705.5499999999993</v>
      </c>
      <c r="F334">
        <v>4</v>
      </c>
      <c r="G334" t="s">
        <v>29</v>
      </c>
      <c r="H334">
        <v>3730</v>
      </c>
      <c r="I334">
        <v>3893.6</v>
      </c>
      <c r="J334" t="s">
        <v>30</v>
      </c>
      <c r="K334">
        <v>0.25</v>
      </c>
      <c r="L334" t="s">
        <v>27</v>
      </c>
      <c r="M334" t="s">
        <v>22</v>
      </c>
      <c r="N334" t="s">
        <v>34</v>
      </c>
      <c r="O334" t="s">
        <v>33</v>
      </c>
      <c r="P334" t="str">
        <f>Table1[[#This Row],[Region]]&amp;"|"&amp;Table1[[#This Row],[Sales Rep]]</f>
        <v>East|Charlie</v>
      </c>
    </row>
    <row r="335" spans="1:16" x14ac:dyDescent="0.35">
      <c r="A335">
        <v>1008</v>
      </c>
      <c r="B335" s="1">
        <v>45165</v>
      </c>
      <c r="C335" t="s">
        <v>24</v>
      </c>
      <c r="D335" t="s">
        <v>25</v>
      </c>
      <c r="E335">
        <v>4432.8500000000004</v>
      </c>
      <c r="F335">
        <v>40</v>
      </c>
      <c r="G335" t="s">
        <v>29</v>
      </c>
      <c r="H335">
        <v>2687.49</v>
      </c>
      <c r="I335">
        <v>3001.56</v>
      </c>
      <c r="J335" t="s">
        <v>17</v>
      </c>
      <c r="K335">
        <v>0.26</v>
      </c>
      <c r="L335" t="s">
        <v>27</v>
      </c>
      <c r="M335" t="s">
        <v>19</v>
      </c>
      <c r="N335" t="s">
        <v>25</v>
      </c>
      <c r="O335" t="s">
        <v>24</v>
      </c>
      <c r="P335" t="str">
        <f>Table1[[#This Row],[Region]]&amp;"|"&amp;Table1[[#This Row],[Sales Rep]]</f>
        <v>South|David</v>
      </c>
    </row>
    <row r="336" spans="1:16" x14ac:dyDescent="0.35">
      <c r="A336">
        <v>1007</v>
      </c>
      <c r="B336" s="1">
        <v>45155</v>
      </c>
      <c r="C336" t="s">
        <v>38</v>
      </c>
      <c r="D336" t="s">
        <v>34</v>
      </c>
      <c r="E336">
        <v>2426.2399999999998</v>
      </c>
      <c r="F336">
        <v>16</v>
      </c>
      <c r="G336" t="s">
        <v>16</v>
      </c>
      <c r="H336">
        <v>4310.3100000000004</v>
      </c>
      <c r="I336">
        <v>4633.1000000000004</v>
      </c>
      <c r="J336" t="s">
        <v>30</v>
      </c>
      <c r="K336">
        <v>0.28000000000000003</v>
      </c>
      <c r="L336" t="s">
        <v>31</v>
      </c>
      <c r="M336" t="s">
        <v>22</v>
      </c>
      <c r="N336" t="s">
        <v>34</v>
      </c>
      <c r="O336" t="s">
        <v>38</v>
      </c>
      <c r="P336" t="str">
        <f>Table1[[#This Row],[Region]]&amp;"|"&amp;Table1[[#This Row],[Sales Rep]]</f>
        <v>East|Eve</v>
      </c>
    </row>
    <row r="337" spans="1:16" x14ac:dyDescent="0.35">
      <c r="A337">
        <v>1067</v>
      </c>
      <c r="B337" s="1">
        <v>44993</v>
      </c>
      <c r="C337" t="s">
        <v>14</v>
      </c>
      <c r="D337" t="s">
        <v>34</v>
      </c>
      <c r="E337">
        <v>7078.22</v>
      </c>
      <c r="F337">
        <v>28</v>
      </c>
      <c r="G337" t="s">
        <v>35</v>
      </c>
      <c r="H337">
        <v>3489.85</v>
      </c>
      <c r="I337">
        <v>3842.5499999999902</v>
      </c>
      <c r="J337" t="s">
        <v>30</v>
      </c>
      <c r="K337">
        <v>0.03</v>
      </c>
      <c r="L337" t="s">
        <v>27</v>
      </c>
      <c r="M337" t="s">
        <v>19</v>
      </c>
      <c r="N337" t="s">
        <v>34</v>
      </c>
      <c r="O337" t="s">
        <v>14</v>
      </c>
      <c r="P337" t="str">
        <f>Table1[[#This Row],[Region]]&amp;"|"&amp;Table1[[#This Row],[Sales Rep]]</f>
        <v>East|Bob</v>
      </c>
    </row>
    <row r="338" spans="1:16" x14ac:dyDescent="0.35">
      <c r="A338">
        <v>1017</v>
      </c>
      <c r="B338" s="1">
        <v>44977</v>
      </c>
      <c r="C338" t="s">
        <v>33</v>
      </c>
      <c r="D338" t="s">
        <v>15</v>
      </c>
      <c r="E338">
        <v>8189.57</v>
      </c>
      <c r="F338">
        <v>16</v>
      </c>
      <c r="G338" t="s">
        <v>16</v>
      </c>
      <c r="H338">
        <v>102.23</v>
      </c>
      <c r="I338">
        <v>167.12</v>
      </c>
      <c r="J338" t="s">
        <v>30</v>
      </c>
      <c r="K338">
        <v>0.04</v>
      </c>
      <c r="L338" t="s">
        <v>31</v>
      </c>
      <c r="M338" t="s">
        <v>22</v>
      </c>
      <c r="N338" t="s">
        <v>15</v>
      </c>
      <c r="O338" t="s">
        <v>33</v>
      </c>
      <c r="P338" t="str">
        <f>Table1[[#This Row],[Region]]&amp;"|"&amp;Table1[[#This Row],[Sales Rep]]</f>
        <v>North|Charlie</v>
      </c>
    </row>
    <row r="339" spans="1:16" x14ac:dyDescent="0.35">
      <c r="A339">
        <v>1033</v>
      </c>
      <c r="B339" s="1">
        <v>45023</v>
      </c>
      <c r="C339" t="s">
        <v>14</v>
      </c>
      <c r="D339" t="s">
        <v>34</v>
      </c>
      <c r="E339">
        <v>5509.66</v>
      </c>
      <c r="F339">
        <v>4</v>
      </c>
      <c r="G339" t="s">
        <v>26</v>
      </c>
      <c r="H339">
        <v>2000.75</v>
      </c>
      <c r="I339">
        <v>2426.9899999999998</v>
      </c>
      <c r="J339" t="s">
        <v>17</v>
      </c>
      <c r="K339">
        <v>0.17</v>
      </c>
      <c r="L339" t="s">
        <v>27</v>
      </c>
      <c r="M339" t="s">
        <v>19</v>
      </c>
      <c r="N339" t="s">
        <v>34</v>
      </c>
      <c r="O339" t="s">
        <v>14</v>
      </c>
      <c r="P339" t="str">
        <f>Table1[[#This Row],[Region]]&amp;"|"&amp;Table1[[#This Row],[Sales Rep]]</f>
        <v>East|Bob</v>
      </c>
    </row>
    <row r="340" spans="1:16" x14ac:dyDescent="0.35">
      <c r="A340">
        <v>1048</v>
      </c>
      <c r="B340" s="1">
        <v>45018</v>
      </c>
      <c r="C340" t="s">
        <v>24</v>
      </c>
      <c r="D340" t="s">
        <v>25</v>
      </c>
      <c r="E340">
        <v>9673.65</v>
      </c>
      <c r="F340">
        <v>45</v>
      </c>
      <c r="G340" t="s">
        <v>35</v>
      </c>
      <c r="H340">
        <v>4262.21</v>
      </c>
      <c r="I340">
        <v>4533.3100000000004</v>
      </c>
      <c r="J340" t="s">
        <v>17</v>
      </c>
      <c r="K340">
        <v>0.27</v>
      </c>
      <c r="L340" t="s">
        <v>31</v>
      </c>
      <c r="M340" t="s">
        <v>19</v>
      </c>
      <c r="N340" t="s">
        <v>25</v>
      </c>
      <c r="O340" t="s">
        <v>24</v>
      </c>
      <c r="P340" t="str">
        <f>Table1[[#This Row],[Region]]&amp;"|"&amp;Table1[[#This Row],[Sales Rep]]</f>
        <v>South|David</v>
      </c>
    </row>
    <row r="341" spans="1:16" x14ac:dyDescent="0.35">
      <c r="A341">
        <v>1076</v>
      </c>
      <c r="B341" s="1">
        <v>45190</v>
      </c>
      <c r="C341" t="s">
        <v>14</v>
      </c>
      <c r="D341" t="s">
        <v>15</v>
      </c>
      <c r="E341">
        <v>611.52</v>
      </c>
      <c r="F341">
        <v>26</v>
      </c>
      <c r="G341" t="s">
        <v>35</v>
      </c>
      <c r="H341">
        <v>1762</v>
      </c>
      <c r="I341">
        <v>2002.95</v>
      </c>
      <c r="J341" t="s">
        <v>17</v>
      </c>
      <c r="K341">
        <v>0.28999999999999998</v>
      </c>
      <c r="L341" t="s">
        <v>31</v>
      </c>
      <c r="M341" t="s">
        <v>22</v>
      </c>
      <c r="N341" t="s">
        <v>15</v>
      </c>
      <c r="O341" t="s">
        <v>14</v>
      </c>
      <c r="P341" t="str">
        <f>Table1[[#This Row],[Region]]&amp;"|"&amp;Table1[[#This Row],[Sales Rep]]</f>
        <v>North|Bob</v>
      </c>
    </row>
    <row r="342" spans="1:16" x14ac:dyDescent="0.35">
      <c r="A342">
        <v>1059</v>
      </c>
      <c r="B342" s="1">
        <v>45217</v>
      </c>
      <c r="C342" t="s">
        <v>42</v>
      </c>
      <c r="D342" t="s">
        <v>15</v>
      </c>
      <c r="E342">
        <v>5097.4799999999996</v>
      </c>
      <c r="F342">
        <v>28</v>
      </c>
      <c r="G342" t="s">
        <v>35</v>
      </c>
      <c r="H342">
        <v>224.32</v>
      </c>
      <c r="I342">
        <v>715.06</v>
      </c>
      <c r="J342" t="s">
        <v>17</v>
      </c>
      <c r="K342">
        <v>0.01</v>
      </c>
      <c r="L342" t="s">
        <v>31</v>
      </c>
      <c r="M342" t="s">
        <v>19</v>
      </c>
      <c r="N342" t="s">
        <v>15</v>
      </c>
      <c r="O342" t="s">
        <v>42</v>
      </c>
      <c r="P342" t="str">
        <f>Table1[[#This Row],[Region]]&amp;"|"&amp;Table1[[#This Row],[Sales Rep]]</f>
        <v>North|Alice</v>
      </c>
    </row>
    <row r="343" spans="1:16" x14ac:dyDescent="0.35">
      <c r="A343">
        <v>1086</v>
      </c>
      <c r="B343" s="1">
        <v>45022</v>
      </c>
      <c r="C343" t="s">
        <v>33</v>
      </c>
      <c r="D343" t="s">
        <v>21</v>
      </c>
      <c r="E343">
        <v>7212.69</v>
      </c>
      <c r="F343">
        <v>32</v>
      </c>
      <c r="G343" t="s">
        <v>35</v>
      </c>
      <c r="H343">
        <v>3743.59</v>
      </c>
      <c r="I343">
        <v>4116.38</v>
      </c>
      <c r="J343" t="s">
        <v>17</v>
      </c>
      <c r="K343">
        <v>0.11</v>
      </c>
      <c r="L343" t="s">
        <v>18</v>
      </c>
      <c r="M343" t="s">
        <v>19</v>
      </c>
      <c r="N343" t="s">
        <v>21</v>
      </c>
      <c r="O343" t="s">
        <v>33</v>
      </c>
      <c r="P343" t="str">
        <f>Table1[[#This Row],[Region]]&amp;"|"&amp;Table1[[#This Row],[Sales Rep]]</f>
        <v>West|Charlie</v>
      </c>
    </row>
    <row r="344" spans="1:16" x14ac:dyDescent="0.35">
      <c r="A344">
        <v>1022</v>
      </c>
      <c r="B344" s="1">
        <v>45014</v>
      </c>
      <c r="C344" t="s">
        <v>14</v>
      </c>
      <c r="D344" t="s">
        <v>21</v>
      </c>
      <c r="E344">
        <v>8640.14</v>
      </c>
      <c r="F344">
        <v>45</v>
      </c>
      <c r="G344" t="s">
        <v>16</v>
      </c>
      <c r="H344">
        <v>4020.09</v>
      </c>
      <c r="I344">
        <v>4087.91</v>
      </c>
      <c r="J344" t="s">
        <v>17</v>
      </c>
      <c r="K344">
        <v>0.06</v>
      </c>
      <c r="L344" t="s">
        <v>27</v>
      </c>
      <c r="M344" t="s">
        <v>19</v>
      </c>
      <c r="N344" t="s">
        <v>21</v>
      </c>
      <c r="O344" t="s">
        <v>14</v>
      </c>
      <c r="P344" t="str">
        <f>Table1[[#This Row],[Region]]&amp;"|"&amp;Table1[[#This Row],[Sales Rep]]</f>
        <v>West|Bob</v>
      </c>
    </row>
    <row r="345" spans="1:16" x14ac:dyDescent="0.35">
      <c r="A345">
        <v>1030</v>
      </c>
      <c r="B345" s="1">
        <v>45004</v>
      </c>
      <c r="C345" t="s">
        <v>24</v>
      </c>
      <c r="D345" t="s">
        <v>34</v>
      </c>
      <c r="E345">
        <v>1874.63</v>
      </c>
      <c r="F345">
        <v>2</v>
      </c>
      <c r="G345" t="s">
        <v>29</v>
      </c>
      <c r="H345">
        <v>844.94</v>
      </c>
      <c r="I345">
        <v>1225.6400000000001</v>
      </c>
      <c r="J345" t="s">
        <v>17</v>
      </c>
      <c r="K345">
        <v>0.23</v>
      </c>
      <c r="L345" t="s">
        <v>31</v>
      </c>
      <c r="M345" t="s">
        <v>19</v>
      </c>
      <c r="N345" t="s">
        <v>34</v>
      </c>
      <c r="O345" t="s">
        <v>24</v>
      </c>
      <c r="P345" t="str">
        <f>Table1[[#This Row],[Region]]&amp;"|"&amp;Table1[[#This Row],[Sales Rep]]</f>
        <v>East|David</v>
      </c>
    </row>
    <row r="346" spans="1:16" x14ac:dyDescent="0.35">
      <c r="A346">
        <v>1038</v>
      </c>
      <c r="B346" s="1">
        <v>45214</v>
      </c>
      <c r="C346" t="s">
        <v>24</v>
      </c>
      <c r="D346" t="s">
        <v>21</v>
      </c>
      <c r="E346">
        <v>8020.03</v>
      </c>
      <c r="F346">
        <v>31</v>
      </c>
      <c r="G346" t="s">
        <v>29</v>
      </c>
      <c r="H346">
        <v>2709.84</v>
      </c>
      <c r="I346">
        <v>2766.51</v>
      </c>
      <c r="J346" t="s">
        <v>30</v>
      </c>
      <c r="K346">
        <v>0.19</v>
      </c>
      <c r="L346" t="s">
        <v>18</v>
      </c>
      <c r="M346" t="s">
        <v>22</v>
      </c>
      <c r="N346" t="s">
        <v>21</v>
      </c>
      <c r="O346" t="s">
        <v>24</v>
      </c>
      <c r="P346" t="str">
        <f>Table1[[#This Row],[Region]]&amp;"|"&amp;Table1[[#This Row],[Sales Rep]]</f>
        <v>West|David</v>
      </c>
    </row>
    <row r="347" spans="1:16" x14ac:dyDescent="0.35">
      <c r="A347">
        <v>1051</v>
      </c>
      <c r="B347" s="1">
        <v>45046</v>
      </c>
      <c r="C347" t="s">
        <v>14</v>
      </c>
      <c r="D347" t="s">
        <v>21</v>
      </c>
      <c r="E347">
        <v>5571.8</v>
      </c>
      <c r="F347">
        <v>3</v>
      </c>
      <c r="G347" t="s">
        <v>26</v>
      </c>
      <c r="H347">
        <v>1000.18</v>
      </c>
      <c r="I347">
        <v>1023.64</v>
      </c>
      <c r="J347" t="s">
        <v>17</v>
      </c>
      <c r="K347">
        <v>0.04</v>
      </c>
      <c r="L347" t="s">
        <v>31</v>
      </c>
      <c r="M347" t="s">
        <v>19</v>
      </c>
      <c r="N347" t="s">
        <v>21</v>
      </c>
      <c r="O347" t="s">
        <v>14</v>
      </c>
      <c r="P347" t="str">
        <f>Table1[[#This Row],[Region]]&amp;"|"&amp;Table1[[#This Row],[Sales Rep]]</f>
        <v>West|Bob</v>
      </c>
    </row>
    <row r="348" spans="1:16" x14ac:dyDescent="0.35">
      <c r="A348">
        <v>1054</v>
      </c>
      <c r="B348" s="1">
        <v>45228</v>
      </c>
      <c r="C348" t="s">
        <v>24</v>
      </c>
      <c r="D348" t="s">
        <v>21</v>
      </c>
      <c r="E348">
        <v>4025.88</v>
      </c>
      <c r="F348">
        <v>8</v>
      </c>
      <c r="G348" t="s">
        <v>29</v>
      </c>
      <c r="H348">
        <v>3610.21</v>
      </c>
      <c r="I348">
        <v>3817.99</v>
      </c>
      <c r="J348" t="s">
        <v>17</v>
      </c>
      <c r="K348">
        <v>0.15</v>
      </c>
      <c r="L348" t="s">
        <v>18</v>
      </c>
      <c r="M348" t="s">
        <v>22</v>
      </c>
      <c r="N348" t="s">
        <v>21</v>
      </c>
      <c r="O348" t="s">
        <v>24</v>
      </c>
      <c r="P348" t="str">
        <f>Table1[[#This Row],[Region]]&amp;"|"&amp;Table1[[#This Row],[Sales Rep]]</f>
        <v>West|David</v>
      </c>
    </row>
    <row r="349" spans="1:16" x14ac:dyDescent="0.35">
      <c r="A349">
        <v>1008</v>
      </c>
      <c r="B349" s="1">
        <v>45091</v>
      </c>
      <c r="C349" t="s">
        <v>38</v>
      </c>
      <c r="D349" t="s">
        <v>15</v>
      </c>
      <c r="E349">
        <v>1403.98</v>
      </c>
      <c r="F349">
        <v>24</v>
      </c>
      <c r="G349" t="s">
        <v>29</v>
      </c>
      <c r="H349">
        <v>1394.17</v>
      </c>
      <c r="I349">
        <v>1891.02</v>
      </c>
      <c r="J349" t="s">
        <v>30</v>
      </c>
      <c r="K349">
        <v>0.21</v>
      </c>
      <c r="L349" t="s">
        <v>31</v>
      </c>
      <c r="M349" t="s">
        <v>19</v>
      </c>
      <c r="N349" t="s">
        <v>15</v>
      </c>
      <c r="O349" t="s">
        <v>38</v>
      </c>
      <c r="P349" t="str">
        <f>Table1[[#This Row],[Region]]&amp;"|"&amp;Table1[[#This Row],[Sales Rep]]</f>
        <v>North|Eve</v>
      </c>
    </row>
    <row r="350" spans="1:16" x14ac:dyDescent="0.35">
      <c r="A350">
        <v>1027</v>
      </c>
      <c r="B350" s="1">
        <v>45108</v>
      </c>
      <c r="C350" t="s">
        <v>38</v>
      </c>
      <c r="D350" t="s">
        <v>15</v>
      </c>
      <c r="E350">
        <v>8666.43</v>
      </c>
      <c r="F350">
        <v>15</v>
      </c>
      <c r="G350" t="s">
        <v>29</v>
      </c>
      <c r="H350">
        <v>1615.26</v>
      </c>
      <c r="I350">
        <v>1710.95</v>
      </c>
      <c r="J350" t="s">
        <v>30</v>
      </c>
      <c r="K350">
        <v>0.23</v>
      </c>
      <c r="L350" t="s">
        <v>31</v>
      </c>
      <c r="M350" t="s">
        <v>22</v>
      </c>
      <c r="N350" t="s">
        <v>15</v>
      </c>
      <c r="O350" t="s">
        <v>38</v>
      </c>
      <c r="P350" t="str">
        <f>Table1[[#This Row],[Region]]&amp;"|"&amp;Table1[[#This Row],[Sales Rep]]</f>
        <v>North|Eve</v>
      </c>
    </row>
    <row r="351" spans="1:16" x14ac:dyDescent="0.35">
      <c r="A351">
        <v>1027</v>
      </c>
      <c r="B351" s="1">
        <v>45149</v>
      </c>
      <c r="C351" t="s">
        <v>38</v>
      </c>
      <c r="D351" t="s">
        <v>15</v>
      </c>
      <c r="E351">
        <v>1657</v>
      </c>
      <c r="F351">
        <v>43</v>
      </c>
      <c r="G351" t="s">
        <v>29</v>
      </c>
      <c r="H351">
        <v>4232.6099999999997</v>
      </c>
      <c r="I351">
        <v>4572.21</v>
      </c>
      <c r="J351" t="s">
        <v>30</v>
      </c>
      <c r="K351">
        <v>0.01</v>
      </c>
      <c r="L351" t="s">
        <v>18</v>
      </c>
      <c r="M351" t="s">
        <v>22</v>
      </c>
      <c r="N351" t="s">
        <v>15</v>
      </c>
      <c r="O351" t="s">
        <v>38</v>
      </c>
      <c r="P351" t="str">
        <f>Table1[[#This Row],[Region]]&amp;"|"&amp;Table1[[#This Row],[Sales Rep]]</f>
        <v>North|Eve</v>
      </c>
    </row>
    <row r="352" spans="1:16" x14ac:dyDescent="0.35">
      <c r="A352">
        <v>1098</v>
      </c>
      <c r="B352" s="1">
        <v>45237</v>
      </c>
      <c r="C352" t="s">
        <v>42</v>
      </c>
      <c r="D352" t="s">
        <v>21</v>
      </c>
      <c r="E352">
        <v>3166.9</v>
      </c>
      <c r="F352">
        <v>31</v>
      </c>
      <c r="G352" t="s">
        <v>26</v>
      </c>
      <c r="H352">
        <v>2407.8000000000002</v>
      </c>
      <c r="I352">
        <v>2502.7600000000002</v>
      </c>
      <c r="J352" t="s">
        <v>17</v>
      </c>
      <c r="K352">
        <v>0.27</v>
      </c>
      <c r="L352" t="s">
        <v>18</v>
      </c>
      <c r="M352" t="s">
        <v>22</v>
      </c>
      <c r="N352" t="s">
        <v>21</v>
      </c>
      <c r="O352" t="s">
        <v>42</v>
      </c>
      <c r="P352" t="str">
        <f>Table1[[#This Row],[Region]]&amp;"|"&amp;Table1[[#This Row],[Sales Rep]]</f>
        <v>West|Alice</v>
      </c>
    </row>
    <row r="353" spans="1:16" x14ac:dyDescent="0.35">
      <c r="A353">
        <v>1021</v>
      </c>
      <c r="B353" s="1">
        <v>44933</v>
      </c>
      <c r="C353" t="s">
        <v>14</v>
      </c>
      <c r="D353" t="s">
        <v>15</v>
      </c>
      <c r="E353">
        <v>2971.45</v>
      </c>
      <c r="F353">
        <v>9</v>
      </c>
      <c r="G353" t="s">
        <v>16</v>
      </c>
      <c r="H353">
        <v>3365.28</v>
      </c>
      <c r="I353">
        <v>3730.43</v>
      </c>
      <c r="J353" t="s">
        <v>30</v>
      </c>
      <c r="K353">
        <v>0.17</v>
      </c>
      <c r="L353" t="s">
        <v>27</v>
      </c>
      <c r="M353" t="s">
        <v>19</v>
      </c>
      <c r="N353" t="s">
        <v>15</v>
      </c>
      <c r="O353" t="s">
        <v>14</v>
      </c>
      <c r="P353" t="str">
        <f>Table1[[#This Row],[Region]]&amp;"|"&amp;Table1[[#This Row],[Sales Rep]]</f>
        <v>North|Bob</v>
      </c>
    </row>
    <row r="354" spans="1:16" x14ac:dyDescent="0.35">
      <c r="A354">
        <v>1030</v>
      </c>
      <c r="B354" s="1">
        <v>45256</v>
      </c>
      <c r="C354" t="s">
        <v>42</v>
      </c>
      <c r="D354" t="s">
        <v>21</v>
      </c>
      <c r="E354">
        <v>8727</v>
      </c>
      <c r="F354">
        <v>39</v>
      </c>
      <c r="G354" t="s">
        <v>35</v>
      </c>
      <c r="H354">
        <v>2041.75</v>
      </c>
      <c r="I354">
        <v>2299.37</v>
      </c>
      <c r="J354" t="s">
        <v>17</v>
      </c>
      <c r="K354">
        <v>0.24</v>
      </c>
      <c r="L354" t="s">
        <v>27</v>
      </c>
      <c r="M354" t="s">
        <v>22</v>
      </c>
      <c r="N354" t="s">
        <v>21</v>
      </c>
      <c r="O354" t="s">
        <v>42</v>
      </c>
      <c r="P354" t="str">
        <f>Table1[[#This Row],[Region]]&amp;"|"&amp;Table1[[#This Row],[Sales Rep]]</f>
        <v>West|Alice</v>
      </c>
    </row>
    <row r="355" spans="1:16" x14ac:dyDescent="0.35">
      <c r="A355">
        <v>1097</v>
      </c>
      <c r="B355" s="1">
        <v>45189</v>
      </c>
      <c r="C355" t="s">
        <v>24</v>
      </c>
      <c r="D355" t="s">
        <v>15</v>
      </c>
      <c r="E355">
        <v>6759.76</v>
      </c>
      <c r="F355">
        <v>45</v>
      </c>
      <c r="G355" t="s">
        <v>29</v>
      </c>
      <c r="H355">
        <v>1525.13</v>
      </c>
      <c r="I355">
        <v>1868.32</v>
      </c>
      <c r="J355" t="s">
        <v>17</v>
      </c>
      <c r="K355">
        <v>0.24</v>
      </c>
      <c r="L355" t="s">
        <v>18</v>
      </c>
      <c r="M355" t="s">
        <v>22</v>
      </c>
      <c r="N355" t="s">
        <v>15</v>
      </c>
      <c r="O355" t="s">
        <v>24</v>
      </c>
      <c r="P355" t="str">
        <f>Table1[[#This Row],[Region]]&amp;"|"&amp;Table1[[#This Row],[Sales Rep]]</f>
        <v>North|David</v>
      </c>
    </row>
    <row r="356" spans="1:16" x14ac:dyDescent="0.35">
      <c r="A356">
        <v>1028</v>
      </c>
      <c r="B356" s="1">
        <v>45087</v>
      </c>
      <c r="C356" t="s">
        <v>42</v>
      </c>
      <c r="D356" t="s">
        <v>15</v>
      </c>
      <c r="E356">
        <v>7987.15</v>
      </c>
      <c r="F356">
        <v>2</v>
      </c>
      <c r="G356" t="s">
        <v>16</v>
      </c>
      <c r="H356">
        <v>3146.12</v>
      </c>
      <c r="I356">
        <v>3255.5299999999902</v>
      </c>
      <c r="J356" t="s">
        <v>17</v>
      </c>
      <c r="K356">
        <v>0.06</v>
      </c>
      <c r="L356" t="s">
        <v>27</v>
      </c>
      <c r="M356" t="s">
        <v>19</v>
      </c>
      <c r="N356" t="s">
        <v>15</v>
      </c>
      <c r="O356" t="s">
        <v>42</v>
      </c>
      <c r="P356" t="str">
        <f>Table1[[#This Row],[Region]]&amp;"|"&amp;Table1[[#This Row],[Sales Rep]]</f>
        <v>North|Alice</v>
      </c>
    </row>
    <row r="357" spans="1:16" x14ac:dyDescent="0.35">
      <c r="A357">
        <v>1064</v>
      </c>
      <c r="B357" s="1">
        <v>45077</v>
      </c>
      <c r="C357" t="s">
        <v>24</v>
      </c>
      <c r="D357" t="s">
        <v>25</v>
      </c>
      <c r="E357">
        <v>2579.63</v>
      </c>
      <c r="F357">
        <v>8</v>
      </c>
      <c r="G357" t="s">
        <v>29</v>
      </c>
      <c r="H357">
        <v>816.54</v>
      </c>
      <c r="I357">
        <v>1191.9000000000001</v>
      </c>
      <c r="J357" t="s">
        <v>30</v>
      </c>
      <c r="K357">
        <v>0.03</v>
      </c>
      <c r="L357" t="s">
        <v>18</v>
      </c>
      <c r="M357" t="s">
        <v>22</v>
      </c>
      <c r="N357" t="s">
        <v>25</v>
      </c>
      <c r="O357" t="s">
        <v>24</v>
      </c>
      <c r="P357" t="str">
        <f>Table1[[#This Row],[Region]]&amp;"|"&amp;Table1[[#This Row],[Sales Rep]]</f>
        <v>South|David</v>
      </c>
    </row>
    <row r="358" spans="1:16" x14ac:dyDescent="0.35">
      <c r="A358">
        <v>1097</v>
      </c>
      <c r="B358" s="1">
        <v>45011</v>
      </c>
      <c r="C358" t="s">
        <v>24</v>
      </c>
      <c r="D358" t="s">
        <v>34</v>
      </c>
      <c r="E358">
        <v>6286.25</v>
      </c>
      <c r="F358">
        <v>7</v>
      </c>
      <c r="G358" t="s">
        <v>29</v>
      </c>
      <c r="H358">
        <v>1896.35</v>
      </c>
      <c r="I358">
        <v>2394.1999999999998</v>
      </c>
      <c r="J358" t="s">
        <v>30</v>
      </c>
      <c r="K358">
        <v>0.22</v>
      </c>
      <c r="L358" t="s">
        <v>27</v>
      </c>
      <c r="M358" t="s">
        <v>19</v>
      </c>
      <c r="N358" t="s">
        <v>34</v>
      </c>
      <c r="O358" t="s">
        <v>24</v>
      </c>
      <c r="P358" t="str">
        <f>Table1[[#This Row],[Region]]&amp;"|"&amp;Table1[[#This Row],[Sales Rep]]</f>
        <v>East|David</v>
      </c>
    </row>
    <row r="359" spans="1:16" x14ac:dyDescent="0.35">
      <c r="A359">
        <v>1069</v>
      </c>
      <c r="B359" s="1">
        <v>45073</v>
      </c>
      <c r="C359" t="s">
        <v>33</v>
      </c>
      <c r="D359" t="s">
        <v>21</v>
      </c>
      <c r="E359">
        <v>5760.29</v>
      </c>
      <c r="F359">
        <v>44</v>
      </c>
      <c r="G359" t="s">
        <v>35</v>
      </c>
      <c r="H359">
        <v>1084.73</v>
      </c>
      <c r="I359">
        <v>1420.9</v>
      </c>
      <c r="J359" t="s">
        <v>17</v>
      </c>
      <c r="K359">
        <v>0.05</v>
      </c>
      <c r="L359" t="s">
        <v>31</v>
      </c>
      <c r="M359" t="s">
        <v>19</v>
      </c>
      <c r="N359" t="s">
        <v>21</v>
      </c>
      <c r="O359" t="s">
        <v>33</v>
      </c>
      <c r="P359" t="str">
        <f>Table1[[#This Row],[Region]]&amp;"|"&amp;Table1[[#This Row],[Sales Rep]]</f>
        <v>West|Charlie</v>
      </c>
    </row>
    <row r="360" spans="1:16" x14ac:dyDescent="0.35">
      <c r="A360">
        <v>1061</v>
      </c>
      <c r="B360" s="1">
        <v>45038</v>
      </c>
      <c r="C360" t="s">
        <v>38</v>
      </c>
      <c r="D360" t="s">
        <v>25</v>
      </c>
      <c r="E360">
        <v>8345.02</v>
      </c>
      <c r="F360">
        <v>39</v>
      </c>
      <c r="G360" t="s">
        <v>35</v>
      </c>
      <c r="H360">
        <v>3494.19</v>
      </c>
      <c r="I360">
        <v>3746</v>
      </c>
      <c r="J360" t="s">
        <v>17</v>
      </c>
      <c r="K360">
        <v>0.25</v>
      </c>
      <c r="L360" t="s">
        <v>27</v>
      </c>
      <c r="M360" t="s">
        <v>22</v>
      </c>
      <c r="N360" t="s">
        <v>25</v>
      </c>
      <c r="O360" t="s">
        <v>38</v>
      </c>
      <c r="P360" t="str">
        <f>Table1[[#This Row],[Region]]&amp;"|"&amp;Table1[[#This Row],[Sales Rep]]</f>
        <v>South|Eve</v>
      </c>
    </row>
    <row r="361" spans="1:16" x14ac:dyDescent="0.35">
      <c r="A361">
        <v>1048</v>
      </c>
      <c r="B361" s="1">
        <v>44962</v>
      </c>
      <c r="C361" t="s">
        <v>24</v>
      </c>
      <c r="D361" t="s">
        <v>15</v>
      </c>
      <c r="E361">
        <v>9070.26</v>
      </c>
      <c r="F361">
        <v>42</v>
      </c>
      <c r="G361" t="s">
        <v>35</v>
      </c>
      <c r="H361">
        <v>4723.83</v>
      </c>
      <c r="I361">
        <v>5186.1899999999996</v>
      </c>
      <c r="J361" t="s">
        <v>17</v>
      </c>
      <c r="K361">
        <v>0.22</v>
      </c>
      <c r="L361" t="s">
        <v>31</v>
      </c>
      <c r="M361" t="s">
        <v>19</v>
      </c>
      <c r="N361" t="s">
        <v>15</v>
      </c>
      <c r="O361" t="s">
        <v>24</v>
      </c>
      <c r="P361" t="str">
        <f>Table1[[#This Row],[Region]]&amp;"|"&amp;Table1[[#This Row],[Sales Rep]]</f>
        <v>North|David</v>
      </c>
    </row>
    <row r="362" spans="1:16" x14ac:dyDescent="0.35">
      <c r="A362">
        <v>1019</v>
      </c>
      <c r="B362" s="1">
        <v>45211</v>
      </c>
      <c r="C362" t="s">
        <v>33</v>
      </c>
      <c r="D362" t="s">
        <v>21</v>
      </c>
      <c r="E362">
        <v>220.35</v>
      </c>
      <c r="F362">
        <v>16</v>
      </c>
      <c r="G362" t="s">
        <v>29</v>
      </c>
      <c r="H362">
        <v>4977.78</v>
      </c>
      <c r="I362">
        <v>4995.55</v>
      </c>
      <c r="J362" t="s">
        <v>30</v>
      </c>
      <c r="K362">
        <v>0.25</v>
      </c>
      <c r="L362" t="s">
        <v>31</v>
      </c>
      <c r="M362" t="s">
        <v>19</v>
      </c>
      <c r="N362" t="s">
        <v>21</v>
      </c>
      <c r="O362" t="s">
        <v>33</v>
      </c>
      <c r="P362" t="str">
        <f>Table1[[#This Row],[Region]]&amp;"|"&amp;Table1[[#This Row],[Sales Rep]]</f>
        <v>West|Charlie</v>
      </c>
    </row>
    <row r="363" spans="1:16" x14ac:dyDescent="0.35">
      <c r="A363">
        <v>1004</v>
      </c>
      <c r="B363" s="1">
        <v>45114</v>
      </c>
      <c r="C363" t="s">
        <v>38</v>
      </c>
      <c r="D363" t="s">
        <v>15</v>
      </c>
      <c r="E363">
        <v>6772.8</v>
      </c>
      <c r="F363">
        <v>35</v>
      </c>
      <c r="G363" t="s">
        <v>29</v>
      </c>
      <c r="H363">
        <v>2278.87</v>
      </c>
      <c r="I363">
        <v>2646.5299999999902</v>
      </c>
      <c r="J363" t="s">
        <v>17</v>
      </c>
      <c r="K363">
        <v>0.09</v>
      </c>
      <c r="L363" t="s">
        <v>27</v>
      </c>
      <c r="M363" t="s">
        <v>19</v>
      </c>
      <c r="N363" t="s">
        <v>15</v>
      </c>
      <c r="O363" t="s">
        <v>38</v>
      </c>
      <c r="P363" t="str">
        <f>Table1[[#This Row],[Region]]&amp;"|"&amp;Table1[[#This Row],[Sales Rep]]</f>
        <v>North|Eve</v>
      </c>
    </row>
    <row r="364" spans="1:16" x14ac:dyDescent="0.35">
      <c r="A364">
        <v>1035</v>
      </c>
      <c r="B364" s="1">
        <v>45008</v>
      </c>
      <c r="C364" t="s">
        <v>24</v>
      </c>
      <c r="D364" t="s">
        <v>34</v>
      </c>
      <c r="E364">
        <v>613.16999999999996</v>
      </c>
      <c r="F364">
        <v>30</v>
      </c>
      <c r="G364" t="s">
        <v>29</v>
      </c>
      <c r="H364">
        <v>1300.03</v>
      </c>
      <c r="I364">
        <v>1745.52</v>
      </c>
      <c r="J364" t="s">
        <v>30</v>
      </c>
      <c r="K364">
        <v>0.09</v>
      </c>
      <c r="L364" t="s">
        <v>18</v>
      </c>
      <c r="M364" t="s">
        <v>22</v>
      </c>
      <c r="N364" t="s">
        <v>34</v>
      </c>
      <c r="O364" t="s">
        <v>24</v>
      </c>
      <c r="P364" t="str">
        <f>Table1[[#This Row],[Region]]&amp;"|"&amp;Table1[[#This Row],[Sales Rep]]</f>
        <v>East|David</v>
      </c>
    </row>
    <row r="365" spans="1:16" x14ac:dyDescent="0.35">
      <c r="A365">
        <v>1064</v>
      </c>
      <c r="B365" s="1">
        <v>44928</v>
      </c>
      <c r="C365" t="s">
        <v>24</v>
      </c>
      <c r="D365" t="s">
        <v>25</v>
      </c>
      <c r="E365">
        <v>5533.7</v>
      </c>
      <c r="F365">
        <v>10</v>
      </c>
      <c r="G365" t="s">
        <v>35</v>
      </c>
      <c r="H365">
        <v>2242.0100000000002</v>
      </c>
      <c r="I365">
        <v>2282.23</v>
      </c>
      <c r="J365" t="s">
        <v>17</v>
      </c>
      <c r="K365">
        <v>0.2</v>
      </c>
      <c r="L365" t="s">
        <v>31</v>
      </c>
      <c r="M365" t="s">
        <v>19</v>
      </c>
      <c r="N365" t="s">
        <v>25</v>
      </c>
      <c r="O365" t="s">
        <v>24</v>
      </c>
      <c r="P365" t="str">
        <f>Table1[[#This Row],[Region]]&amp;"|"&amp;Table1[[#This Row],[Sales Rep]]</f>
        <v>South|David</v>
      </c>
    </row>
    <row r="366" spans="1:16" x14ac:dyDescent="0.35">
      <c r="A366">
        <v>1049</v>
      </c>
      <c r="B366" s="1">
        <v>45229</v>
      </c>
      <c r="C366" t="s">
        <v>42</v>
      </c>
      <c r="D366" t="s">
        <v>34</v>
      </c>
      <c r="E366">
        <v>2947.56</v>
      </c>
      <c r="F366">
        <v>38</v>
      </c>
      <c r="G366" t="s">
        <v>26</v>
      </c>
      <c r="H366">
        <v>4243.9799999999996</v>
      </c>
      <c r="I366">
        <v>4474.5099999999902</v>
      </c>
      <c r="J366" t="s">
        <v>30</v>
      </c>
      <c r="K366">
        <v>0.01</v>
      </c>
      <c r="L366" t="s">
        <v>31</v>
      </c>
      <c r="M366" t="s">
        <v>19</v>
      </c>
      <c r="N366" t="s">
        <v>34</v>
      </c>
      <c r="O366" t="s">
        <v>42</v>
      </c>
      <c r="P366" t="str">
        <f>Table1[[#This Row],[Region]]&amp;"|"&amp;Table1[[#This Row],[Sales Rep]]</f>
        <v>East|Alice</v>
      </c>
    </row>
    <row r="367" spans="1:16" x14ac:dyDescent="0.35">
      <c r="A367">
        <v>1017</v>
      </c>
      <c r="B367" s="1">
        <v>45123</v>
      </c>
      <c r="C367" t="s">
        <v>42</v>
      </c>
      <c r="D367" t="s">
        <v>25</v>
      </c>
      <c r="E367">
        <v>3137.09</v>
      </c>
      <c r="F367">
        <v>18</v>
      </c>
      <c r="G367" t="s">
        <v>16</v>
      </c>
      <c r="H367">
        <v>1069.73</v>
      </c>
      <c r="I367">
        <v>1180.04</v>
      </c>
      <c r="J367" t="s">
        <v>17</v>
      </c>
      <c r="K367">
        <v>0.22</v>
      </c>
      <c r="L367" t="s">
        <v>27</v>
      </c>
      <c r="M367" t="s">
        <v>19</v>
      </c>
      <c r="N367" t="s">
        <v>25</v>
      </c>
      <c r="O367" t="s">
        <v>42</v>
      </c>
      <c r="P367" t="str">
        <f>Table1[[#This Row],[Region]]&amp;"|"&amp;Table1[[#This Row],[Sales Rep]]</f>
        <v>South|Alice</v>
      </c>
    </row>
    <row r="368" spans="1:16" x14ac:dyDescent="0.35">
      <c r="A368">
        <v>1044</v>
      </c>
      <c r="B368" s="1">
        <v>44937</v>
      </c>
      <c r="C368" t="s">
        <v>38</v>
      </c>
      <c r="D368" t="s">
        <v>15</v>
      </c>
      <c r="E368">
        <v>3594.29</v>
      </c>
      <c r="F368">
        <v>5</v>
      </c>
      <c r="G368" t="s">
        <v>26</v>
      </c>
      <c r="H368">
        <v>4762.87</v>
      </c>
      <c r="I368">
        <v>5050.46</v>
      </c>
      <c r="J368" t="s">
        <v>30</v>
      </c>
      <c r="K368">
        <v>0.25</v>
      </c>
      <c r="L368" t="s">
        <v>18</v>
      </c>
      <c r="M368" t="s">
        <v>22</v>
      </c>
      <c r="N368" t="s">
        <v>15</v>
      </c>
      <c r="O368" t="s">
        <v>38</v>
      </c>
      <c r="P368" t="str">
        <f>Table1[[#This Row],[Region]]&amp;"|"&amp;Table1[[#This Row],[Sales Rep]]</f>
        <v>North|Eve</v>
      </c>
    </row>
    <row r="369" spans="1:16" x14ac:dyDescent="0.35">
      <c r="A369">
        <v>1092</v>
      </c>
      <c r="B369" s="1">
        <v>45160</v>
      </c>
      <c r="C369" t="s">
        <v>24</v>
      </c>
      <c r="D369" t="s">
        <v>34</v>
      </c>
      <c r="E369">
        <v>6250.8</v>
      </c>
      <c r="F369">
        <v>29</v>
      </c>
      <c r="G369" t="s">
        <v>29</v>
      </c>
      <c r="H369">
        <v>1742.24</v>
      </c>
      <c r="I369">
        <v>2070.52</v>
      </c>
      <c r="J369" t="s">
        <v>30</v>
      </c>
      <c r="K369">
        <v>0.12</v>
      </c>
      <c r="L369" t="s">
        <v>18</v>
      </c>
      <c r="M369" t="s">
        <v>19</v>
      </c>
      <c r="N369" t="s">
        <v>34</v>
      </c>
      <c r="O369" t="s">
        <v>24</v>
      </c>
      <c r="P369" t="str">
        <f>Table1[[#This Row],[Region]]&amp;"|"&amp;Table1[[#This Row],[Sales Rep]]</f>
        <v>East|David</v>
      </c>
    </row>
    <row r="370" spans="1:16" x14ac:dyDescent="0.35">
      <c r="A370">
        <v>1030</v>
      </c>
      <c r="B370" s="1">
        <v>45121</v>
      </c>
      <c r="C370" t="s">
        <v>14</v>
      </c>
      <c r="D370" t="s">
        <v>34</v>
      </c>
      <c r="E370">
        <v>3407.09</v>
      </c>
      <c r="F370">
        <v>39</v>
      </c>
      <c r="G370" t="s">
        <v>29</v>
      </c>
      <c r="H370">
        <v>4929.7299999999996</v>
      </c>
      <c r="I370">
        <v>5088.0199999999904</v>
      </c>
      <c r="J370" t="s">
        <v>30</v>
      </c>
      <c r="K370">
        <v>0.23</v>
      </c>
      <c r="L370" t="s">
        <v>27</v>
      </c>
      <c r="M370" t="s">
        <v>22</v>
      </c>
      <c r="N370" t="s">
        <v>34</v>
      </c>
      <c r="O370" t="s">
        <v>14</v>
      </c>
      <c r="P370" t="str">
        <f>Table1[[#This Row],[Region]]&amp;"|"&amp;Table1[[#This Row],[Sales Rep]]</f>
        <v>East|Bob</v>
      </c>
    </row>
    <row r="371" spans="1:16" x14ac:dyDescent="0.35">
      <c r="A371">
        <v>1093</v>
      </c>
      <c r="B371" s="1">
        <v>45045</v>
      </c>
      <c r="C371" t="s">
        <v>42</v>
      </c>
      <c r="D371" t="s">
        <v>15</v>
      </c>
      <c r="E371">
        <v>7353.72</v>
      </c>
      <c r="F371">
        <v>34</v>
      </c>
      <c r="G371" t="s">
        <v>26</v>
      </c>
      <c r="H371">
        <v>4201.1099999999997</v>
      </c>
      <c r="I371">
        <v>4436.5</v>
      </c>
      <c r="J371" t="s">
        <v>30</v>
      </c>
      <c r="K371">
        <v>0.05</v>
      </c>
      <c r="L371" t="s">
        <v>18</v>
      </c>
      <c r="M371" t="s">
        <v>19</v>
      </c>
      <c r="N371" t="s">
        <v>15</v>
      </c>
      <c r="O371" t="s">
        <v>42</v>
      </c>
      <c r="P371" t="str">
        <f>Table1[[#This Row],[Region]]&amp;"|"&amp;Table1[[#This Row],[Sales Rep]]</f>
        <v>North|Alice</v>
      </c>
    </row>
    <row r="372" spans="1:16" x14ac:dyDescent="0.35">
      <c r="A372">
        <v>1046</v>
      </c>
      <c r="B372" s="1">
        <v>44946</v>
      </c>
      <c r="C372" t="s">
        <v>38</v>
      </c>
      <c r="D372" t="s">
        <v>34</v>
      </c>
      <c r="E372">
        <v>4104.82</v>
      </c>
      <c r="F372">
        <v>43</v>
      </c>
      <c r="G372" t="s">
        <v>29</v>
      </c>
      <c r="H372">
        <v>4052.42</v>
      </c>
      <c r="I372">
        <v>4199.3</v>
      </c>
      <c r="J372" t="s">
        <v>30</v>
      </c>
      <c r="K372">
        <v>0.1</v>
      </c>
      <c r="L372" t="s">
        <v>27</v>
      </c>
      <c r="M372" t="s">
        <v>22</v>
      </c>
      <c r="N372" t="s">
        <v>34</v>
      </c>
      <c r="O372" t="s">
        <v>38</v>
      </c>
      <c r="P372" t="str">
        <f>Table1[[#This Row],[Region]]&amp;"|"&amp;Table1[[#This Row],[Sales Rep]]</f>
        <v>East|Eve</v>
      </c>
    </row>
    <row r="373" spans="1:16" x14ac:dyDescent="0.35">
      <c r="A373">
        <v>1006</v>
      </c>
      <c r="B373" s="1">
        <v>45187</v>
      </c>
      <c r="C373" t="s">
        <v>24</v>
      </c>
      <c r="D373" t="s">
        <v>21</v>
      </c>
      <c r="E373">
        <v>776.7</v>
      </c>
      <c r="F373">
        <v>45</v>
      </c>
      <c r="G373" t="s">
        <v>16</v>
      </c>
      <c r="H373">
        <v>1623.63</v>
      </c>
      <c r="I373">
        <v>1814.63</v>
      </c>
      <c r="J373" t="s">
        <v>30</v>
      </c>
      <c r="K373">
        <v>0.28999999999999998</v>
      </c>
      <c r="L373" t="s">
        <v>27</v>
      </c>
      <c r="M373" t="s">
        <v>22</v>
      </c>
      <c r="N373" t="s">
        <v>21</v>
      </c>
      <c r="O373" t="s">
        <v>24</v>
      </c>
      <c r="P373" t="str">
        <f>Table1[[#This Row],[Region]]&amp;"|"&amp;Table1[[#This Row],[Sales Rep]]</f>
        <v>West|David</v>
      </c>
    </row>
    <row r="374" spans="1:16" x14ac:dyDescent="0.35">
      <c r="A374">
        <v>1099</v>
      </c>
      <c r="B374" s="1">
        <v>45219</v>
      </c>
      <c r="C374" t="s">
        <v>24</v>
      </c>
      <c r="D374" t="s">
        <v>25</v>
      </c>
      <c r="E374">
        <v>7859.22</v>
      </c>
      <c r="F374">
        <v>23</v>
      </c>
      <c r="G374" t="s">
        <v>29</v>
      </c>
      <c r="H374">
        <v>93.45</v>
      </c>
      <c r="I374">
        <v>181.62</v>
      </c>
      <c r="J374" t="s">
        <v>17</v>
      </c>
      <c r="K374">
        <v>0.3</v>
      </c>
      <c r="L374" t="s">
        <v>27</v>
      </c>
      <c r="M374" t="s">
        <v>22</v>
      </c>
      <c r="N374" t="s">
        <v>25</v>
      </c>
      <c r="O374" t="s">
        <v>24</v>
      </c>
      <c r="P374" t="str">
        <f>Table1[[#This Row],[Region]]&amp;"|"&amp;Table1[[#This Row],[Sales Rep]]</f>
        <v>South|David</v>
      </c>
    </row>
    <row r="375" spans="1:16" x14ac:dyDescent="0.35">
      <c r="A375">
        <v>1037</v>
      </c>
      <c r="B375" s="1">
        <v>45182</v>
      </c>
      <c r="C375" t="s">
        <v>14</v>
      </c>
      <c r="D375" t="s">
        <v>25</v>
      </c>
      <c r="E375">
        <v>2929.01</v>
      </c>
      <c r="F375">
        <v>5</v>
      </c>
      <c r="G375" t="s">
        <v>16</v>
      </c>
      <c r="H375">
        <v>1941.56</v>
      </c>
      <c r="I375">
        <v>2385.48</v>
      </c>
      <c r="J375" t="s">
        <v>17</v>
      </c>
      <c r="K375">
        <v>0.15</v>
      </c>
      <c r="L375" t="s">
        <v>31</v>
      </c>
      <c r="M375" t="s">
        <v>19</v>
      </c>
      <c r="N375" t="s">
        <v>25</v>
      </c>
      <c r="O375" t="s">
        <v>14</v>
      </c>
      <c r="P375" t="str">
        <f>Table1[[#This Row],[Region]]&amp;"|"&amp;Table1[[#This Row],[Sales Rep]]</f>
        <v>South|Bob</v>
      </c>
    </row>
    <row r="376" spans="1:16" x14ac:dyDescent="0.35">
      <c r="A376">
        <v>1024</v>
      </c>
      <c r="B376" s="1">
        <v>45148</v>
      </c>
      <c r="C376" t="s">
        <v>38</v>
      </c>
      <c r="D376" t="s">
        <v>25</v>
      </c>
      <c r="E376">
        <v>4384.3900000000003</v>
      </c>
      <c r="F376">
        <v>30</v>
      </c>
      <c r="G376" t="s">
        <v>26</v>
      </c>
      <c r="H376">
        <v>1543.96</v>
      </c>
      <c r="I376">
        <v>1558.87</v>
      </c>
      <c r="J376" t="s">
        <v>17</v>
      </c>
      <c r="K376">
        <v>0.28000000000000003</v>
      </c>
      <c r="L376" t="s">
        <v>31</v>
      </c>
      <c r="M376" t="s">
        <v>19</v>
      </c>
      <c r="N376" t="s">
        <v>25</v>
      </c>
      <c r="O376" t="s">
        <v>38</v>
      </c>
      <c r="P376" t="str">
        <f>Table1[[#This Row],[Region]]&amp;"|"&amp;Table1[[#This Row],[Sales Rep]]</f>
        <v>South|Eve</v>
      </c>
    </row>
    <row r="377" spans="1:16" x14ac:dyDescent="0.35">
      <c r="A377">
        <v>1093</v>
      </c>
      <c r="B377" s="1">
        <v>45152</v>
      </c>
      <c r="C377" t="s">
        <v>24</v>
      </c>
      <c r="D377" t="s">
        <v>21</v>
      </c>
      <c r="E377">
        <v>6885.89</v>
      </c>
      <c r="F377">
        <v>6</v>
      </c>
      <c r="G377" t="s">
        <v>26</v>
      </c>
      <c r="H377">
        <v>235.12</v>
      </c>
      <c r="I377">
        <v>677.5</v>
      </c>
      <c r="J377" t="s">
        <v>17</v>
      </c>
      <c r="K377">
        <v>0.16</v>
      </c>
      <c r="L377" t="s">
        <v>31</v>
      </c>
      <c r="M377" t="s">
        <v>19</v>
      </c>
      <c r="N377" t="s">
        <v>21</v>
      </c>
      <c r="O377" t="s">
        <v>24</v>
      </c>
      <c r="P377" t="str">
        <f>Table1[[#This Row],[Region]]&amp;"|"&amp;Table1[[#This Row],[Sales Rep]]</f>
        <v>West|David</v>
      </c>
    </row>
    <row r="378" spans="1:16" x14ac:dyDescent="0.35">
      <c r="A378">
        <v>1046</v>
      </c>
      <c r="B378" s="1">
        <v>44979</v>
      </c>
      <c r="C378" t="s">
        <v>42</v>
      </c>
      <c r="D378" t="s">
        <v>25</v>
      </c>
      <c r="E378">
        <v>3391.32</v>
      </c>
      <c r="F378">
        <v>46</v>
      </c>
      <c r="G378" t="s">
        <v>29</v>
      </c>
      <c r="H378">
        <v>2551.56</v>
      </c>
      <c r="I378">
        <v>2841.68</v>
      </c>
      <c r="J378" t="s">
        <v>30</v>
      </c>
      <c r="K378">
        <v>0.09</v>
      </c>
      <c r="L378" t="s">
        <v>27</v>
      </c>
      <c r="M378" t="s">
        <v>22</v>
      </c>
      <c r="N378" t="s">
        <v>25</v>
      </c>
      <c r="O378" t="s">
        <v>42</v>
      </c>
      <c r="P378" t="str">
        <f>Table1[[#This Row],[Region]]&amp;"|"&amp;Table1[[#This Row],[Sales Rep]]</f>
        <v>South|Alice</v>
      </c>
    </row>
    <row r="379" spans="1:16" x14ac:dyDescent="0.35">
      <c r="A379">
        <v>1053</v>
      </c>
      <c r="B379" s="1">
        <v>45281</v>
      </c>
      <c r="C379" t="s">
        <v>14</v>
      </c>
      <c r="D379" t="s">
        <v>15</v>
      </c>
      <c r="E379">
        <v>660.2</v>
      </c>
      <c r="F379">
        <v>44</v>
      </c>
      <c r="G379" t="s">
        <v>16</v>
      </c>
      <c r="H379">
        <v>2045</v>
      </c>
      <c r="I379">
        <v>2217.5100000000002</v>
      </c>
      <c r="J379" t="s">
        <v>17</v>
      </c>
      <c r="K379">
        <v>0.08</v>
      </c>
      <c r="L379" t="s">
        <v>31</v>
      </c>
      <c r="M379" t="s">
        <v>19</v>
      </c>
      <c r="N379" t="s">
        <v>15</v>
      </c>
      <c r="O379" t="s">
        <v>14</v>
      </c>
      <c r="P379" t="str">
        <f>Table1[[#This Row],[Region]]&amp;"|"&amp;Table1[[#This Row],[Sales Rep]]</f>
        <v>North|Bob</v>
      </c>
    </row>
    <row r="380" spans="1:16" x14ac:dyDescent="0.35">
      <c r="A380">
        <v>1095</v>
      </c>
      <c r="B380" s="1">
        <v>45268</v>
      </c>
      <c r="C380" t="s">
        <v>38</v>
      </c>
      <c r="D380" t="s">
        <v>34</v>
      </c>
      <c r="E380">
        <v>3801.82</v>
      </c>
      <c r="F380">
        <v>4</v>
      </c>
      <c r="G380" t="s">
        <v>29</v>
      </c>
      <c r="H380">
        <v>3191.05</v>
      </c>
      <c r="I380">
        <v>3555.35</v>
      </c>
      <c r="J380" t="s">
        <v>30</v>
      </c>
      <c r="K380">
        <v>0.28000000000000003</v>
      </c>
      <c r="L380" t="s">
        <v>31</v>
      </c>
      <c r="M380" t="s">
        <v>19</v>
      </c>
      <c r="N380" t="s">
        <v>34</v>
      </c>
      <c r="O380" t="s">
        <v>38</v>
      </c>
      <c r="P380" t="str">
        <f>Table1[[#This Row],[Region]]&amp;"|"&amp;Table1[[#This Row],[Sales Rep]]</f>
        <v>East|Eve</v>
      </c>
    </row>
    <row r="381" spans="1:16" x14ac:dyDescent="0.35">
      <c r="A381">
        <v>1099</v>
      </c>
      <c r="B381" s="1">
        <v>45290</v>
      </c>
      <c r="C381" t="s">
        <v>14</v>
      </c>
      <c r="D381" t="s">
        <v>21</v>
      </c>
      <c r="E381">
        <v>9450.0400000000009</v>
      </c>
      <c r="F381">
        <v>29</v>
      </c>
      <c r="G381" t="s">
        <v>35</v>
      </c>
      <c r="H381">
        <v>3124.87</v>
      </c>
      <c r="I381">
        <v>3383.67</v>
      </c>
      <c r="J381" t="s">
        <v>30</v>
      </c>
      <c r="K381">
        <v>0.05</v>
      </c>
      <c r="L381" t="s">
        <v>31</v>
      </c>
      <c r="M381" t="s">
        <v>22</v>
      </c>
      <c r="N381" t="s">
        <v>21</v>
      </c>
      <c r="O381" t="s">
        <v>14</v>
      </c>
      <c r="P381" t="str">
        <f>Table1[[#This Row],[Region]]&amp;"|"&amp;Table1[[#This Row],[Sales Rep]]</f>
        <v>West|Bob</v>
      </c>
    </row>
    <row r="382" spans="1:16" x14ac:dyDescent="0.35">
      <c r="A382">
        <v>1060</v>
      </c>
      <c r="B382" s="1">
        <v>45206</v>
      </c>
      <c r="C382" t="s">
        <v>42</v>
      </c>
      <c r="D382" t="s">
        <v>25</v>
      </c>
      <c r="E382">
        <v>6453.17</v>
      </c>
      <c r="F382">
        <v>23</v>
      </c>
      <c r="G382" t="s">
        <v>35</v>
      </c>
      <c r="H382">
        <v>647.70000000000005</v>
      </c>
      <c r="I382">
        <v>902.26</v>
      </c>
      <c r="J382" t="s">
        <v>30</v>
      </c>
      <c r="K382">
        <v>0.17</v>
      </c>
      <c r="L382" t="s">
        <v>27</v>
      </c>
      <c r="M382" t="s">
        <v>19</v>
      </c>
      <c r="N382" t="s">
        <v>25</v>
      </c>
      <c r="O382" t="s">
        <v>42</v>
      </c>
      <c r="P382" t="str">
        <f>Table1[[#This Row],[Region]]&amp;"|"&amp;Table1[[#This Row],[Sales Rep]]</f>
        <v>South|Alice</v>
      </c>
    </row>
    <row r="383" spans="1:16" x14ac:dyDescent="0.35">
      <c r="A383">
        <v>1097</v>
      </c>
      <c r="B383" s="1">
        <v>45007</v>
      </c>
      <c r="C383" t="s">
        <v>38</v>
      </c>
      <c r="D383" t="s">
        <v>15</v>
      </c>
      <c r="E383">
        <v>6747.64</v>
      </c>
      <c r="F383">
        <v>6</v>
      </c>
      <c r="G383" t="s">
        <v>35</v>
      </c>
      <c r="H383">
        <v>4885.9799999999996</v>
      </c>
      <c r="I383">
        <v>4949.95</v>
      </c>
      <c r="J383" t="s">
        <v>17</v>
      </c>
      <c r="K383">
        <v>0.17</v>
      </c>
      <c r="L383" t="s">
        <v>27</v>
      </c>
      <c r="M383" t="s">
        <v>19</v>
      </c>
      <c r="N383" t="s">
        <v>15</v>
      </c>
      <c r="O383" t="s">
        <v>38</v>
      </c>
      <c r="P383" t="str">
        <f>Table1[[#This Row],[Region]]&amp;"|"&amp;Table1[[#This Row],[Sales Rep]]</f>
        <v>North|Eve</v>
      </c>
    </row>
    <row r="384" spans="1:16" x14ac:dyDescent="0.35">
      <c r="A384">
        <v>1063</v>
      </c>
      <c r="B384" s="1">
        <v>45128</v>
      </c>
      <c r="C384" t="s">
        <v>14</v>
      </c>
      <c r="D384" t="s">
        <v>34</v>
      </c>
      <c r="E384">
        <v>6359.59</v>
      </c>
      <c r="F384">
        <v>32</v>
      </c>
      <c r="G384" t="s">
        <v>35</v>
      </c>
      <c r="H384">
        <v>975.31</v>
      </c>
      <c r="I384">
        <v>1176.17</v>
      </c>
      <c r="J384" t="s">
        <v>30</v>
      </c>
      <c r="K384">
        <v>0.22</v>
      </c>
      <c r="L384" t="s">
        <v>27</v>
      </c>
      <c r="M384" t="s">
        <v>22</v>
      </c>
      <c r="N384" t="s">
        <v>34</v>
      </c>
      <c r="O384" t="s">
        <v>14</v>
      </c>
      <c r="P384" t="str">
        <f>Table1[[#This Row],[Region]]&amp;"|"&amp;Table1[[#This Row],[Sales Rep]]</f>
        <v>East|Bob</v>
      </c>
    </row>
    <row r="385" spans="1:16" x14ac:dyDescent="0.35">
      <c r="A385">
        <v>1085</v>
      </c>
      <c r="B385" s="1">
        <v>45084</v>
      </c>
      <c r="C385" t="s">
        <v>33</v>
      </c>
      <c r="D385" t="s">
        <v>34</v>
      </c>
      <c r="E385">
        <v>2070.02</v>
      </c>
      <c r="F385">
        <v>42</v>
      </c>
      <c r="G385" t="s">
        <v>29</v>
      </c>
      <c r="H385">
        <v>2254.11</v>
      </c>
      <c r="I385">
        <v>2382.23</v>
      </c>
      <c r="J385" t="s">
        <v>17</v>
      </c>
      <c r="K385">
        <v>0.15</v>
      </c>
      <c r="L385" t="s">
        <v>31</v>
      </c>
      <c r="M385" t="s">
        <v>22</v>
      </c>
      <c r="N385" t="s">
        <v>34</v>
      </c>
      <c r="O385" t="s">
        <v>33</v>
      </c>
      <c r="P385" t="str">
        <f>Table1[[#This Row],[Region]]&amp;"|"&amp;Table1[[#This Row],[Sales Rep]]</f>
        <v>East|Charlie</v>
      </c>
    </row>
    <row r="386" spans="1:16" x14ac:dyDescent="0.35">
      <c r="A386">
        <v>1032</v>
      </c>
      <c r="B386" s="1">
        <v>45046</v>
      </c>
      <c r="C386" t="s">
        <v>42</v>
      </c>
      <c r="D386" t="s">
        <v>21</v>
      </c>
      <c r="E386">
        <v>4241.51</v>
      </c>
      <c r="F386">
        <v>18</v>
      </c>
      <c r="G386" t="s">
        <v>35</v>
      </c>
      <c r="H386">
        <v>2466.1799999999998</v>
      </c>
      <c r="I386">
        <v>2483.87</v>
      </c>
      <c r="J386" t="s">
        <v>17</v>
      </c>
      <c r="K386">
        <v>0.08</v>
      </c>
      <c r="L386" t="s">
        <v>18</v>
      </c>
      <c r="M386" t="s">
        <v>19</v>
      </c>
      <c r="N386" t="s">
        <v>21</v>
      </c>
      <c r="O386" t="s">
        <v>42</v>
      </c>
      <c r="P386" t="str">
        <f>Table1[[#This Row],[Region]]&amp;"|"&amp;Table1[[#This Row],[Sales Rep]]</f>
        <v>West|Alice</v>
      </c>
    </row>
    <row r="387" spans="1:16" x14ac:dyDescent="0.35">
      <c r="A387">
        <v>1087</v>
      </c>
      <c r="B387" s="1">
        <v>44985</v>
      </c>
      <c r="C387" t="s">
        <v>42</v>
      </c>
      <c r="D387" t="s">
        <v>21</v>
      </c>
      <c r="E387">
        <v>7534.3</v>
      </c>
      <c r="F387">
        <v>15</v>
      </c>
      <c r="G387" t="s">
        <v>16</v>
      </c>
      <c r="H387">
        <v>4074.66</v>
      </c>
      <c r="I387">
        <v>4261.1099999999997</v>
      </c>
      <c r="J387" t="s">
        <v>17</v>
      </c>
      <c r="K387">
        <v>0.05</v>
      </c>
      <c r="L387" t="s">
        <v>31</v>
      </c>
      <c r="M387" t="s">
        <v>22</v>
      </c>
      <c r="N387" t="s">
        <v>21</v>
      </c>
      <c r="O387" t="s">
        <v>42</v>
      </c>
      <c r="P387" t="str">
        <f>Table1[[#This Row],[Region]]&amp;"|"&amp;Table1[[#This Row],[Sales Rep]]</f>
        <v>West|Alice</v>
      </c>
    </row>
    <row r="388" spans="1:16" x14ac:dyDescent="0.35">
      <c r="A388">
        <v>1033</v>
      </c>
      <c r="B388" s="1">
        <v>45141</v>
      </c>
      <c r="C388" t="s">
        <v>42</v>
      </c>
      <c r="D388" t="s">
        <v>21</v>
      </c>
      <c r="E388">
        <v>1103.5899999999999</v>
      </c>
      <c r="F388">
        <v>40</v>
      </c>
      <c r="G388" t="s">
        <v>26</v>
      </c>
      <c r="H388">
        <v>541.19000000000005</v>
      </c>
      <c r="I388">
        <v>595.20000000000005</v>
      </c>
      <c r="J388" t="s">
        <v>17</v>
      </c>
      <c r="K388">
        <v>0.19</v>
      </c>
      <c r="L388" t="s">
        <v>31</v>
      </c>
      <c r="M388" t="s">
        <v>19</v>
      </c>
      <c r="N388" t="s">
        <v>21</v>
      </c>
      <c r="O388" t="s">
        <v>42</v>
      </c>
      <c r="P388" t="str">
        <f>Table1[[#This Row],[Region]]&amp;"|"&amp;Table1[[#This Row],[Sales Rep]]</f>
        <v>West|Alice</v>
      </c>
    </row>
    <row r="389" spans="1:16" x14ac:dyDescent="0.35">
      <c r="A389">
        <v>1067</v>
      </c>
      <c r="B389" s="1">
        <v>45054</v>
      </c>
      <c r="C389" t="s">
        <v>33</v>
      </c>
      <c r="D389" t="s">
        <v>15</v>
      </c>
      <c r="E389">
        <v>2850.74</v>
      </c>
      <c r="F389">
        <v>32</v>
      </c>
      <c r="G389" t="s">
        <v>26</v>
      </c>
      <c r="H389">
        <v>2171.79</v>
      </c>
      <c r="I389">
        <v>2307.64</v>
      </c>
      <c r="J389" t="s">
        <v>17</v>
      </c>
      <c r="K389">
        <v>0.22</v>
      </c>
      <c r="L389" t="s">
        <v>27</v>
      </c>
      <c r="M389" t="s">
        <v>19</v>
      </c>
      <c r="N389" t="s">
        <v>15</v>
      </c>
      <c r="O389" t="s">
        <v>33</v>
      </c>
      <c r="P389" t="str">
        <f>Table1[[#This Row],[Region]]&amp;"|"&amp;Table1[[#This Row],[Sales Rep]]</f>
        <v>North|Charlie</v>
      </c>
    </row>
    <row r="390" spans="1:16" x14ac:dyDescent="0.35">
      <c r="A390">
        <v>1018</v>
      </c>
      <c r="B390" s="1">
        <v>45150</v>
      </c>
      <c r="C390" t="s">
        <v>33</v>
      </c>
      <c r="D390" t="s">
        <v>15</v>
      </c>
      <c r="E390">
        <v>2835.56</v>
      </c>
      <c r="F390">
        <v>9</v>
      </c>
      <c r="G390" t="s">
        <v>35</v>
      </c>
      <c r="H390">
        <v>3161.09</v>
      </c>
      <c r="I390">
        <v>3216.42</v>
      </c>
      <c r="J390" t="s">
        <v>30</v>
      </c>
      <c r="K390">
        <v>0.17</v>
      </c>
      <c r="L390" t="s">
        <v>27</v>
      </c>
      <c r="M390" t="s">
        <v>19</v>
      </c>
      <c r="N390" t="s">
        <v>15</v>
      </c>
      <c r="O390" t="s">
        <v>33</v>
      </c>
      <c r="P390" t="str">
        <f>Table1[[#This Row],[Region]]&amp;"|"&amp;Table1[[#This Row],[Sales Rep]]</f>
        <v>North|Charlie</v>
      </c>
    </row>
    <row r="391" spans="1:16" x14ac:dyDescent="0.35">
      <c r="A391">
        <v>1025</v>
      </c>
      <c r="B391" s="1">
        <v>45135</v>
      </c>
      <c r="C391" t="s">
        <v>24</v>
      </c>
      <c r="D391" t="s">
        <v>21</v>
      </c>
      <c r="E391">
        <v>4376.99</v>
      </c>
      <c r="F391">
        <v>37</v>
      </c>
      <c r="G391" t="s">
        <v>35</v>
      </c>
      <c r="H391">
        <v>1115.02</v>
      </c>
      <c r="I391">
        <v>1174.48</v>
      </c>
      <c r="J391" t="s">
        <v>30</v>
      </c>
      <c r="K391">
        <v>0.22</v>
      </c>
      <c r="L391" t="s">
        <v>31</v>
      </c>
      <c r="M391" t="s">
        <v>19</v>
      </c>
      <c r="N391" t="s">
        <v>21</v>
      </c>
      <c r="O391" t="s">
        <v>24</v>
      </c>
      <c r="P391" t="str">
        <f>Table1[[#This Row],[Region]]&amp;"|"&amp;Table1[[#This Row],[Sales Rep]]</f>
        <v>West|David</v>
      </c>
    </row>
    <row r="392" spans="1:16" x14ac:dyDescent="0.35">
      <c r="A392">
        <v>1095</v>
      </c>
      <c r="B392" s="1">
        <v>45041</v>
      </c>
      <c r="C392" t="s">
        <v>14</v>
      </c>
      <c r="D392" t="s">
        <v>25</v>
      </c>
      <c r="E392">
        <v>9805.65</v>
      </c>
      <c r="F392">
        <v>10</v>
      </c>
      <c r="G392" t="s">
        <v>35</v>
      </c>
      <c r="H392">
        <v>3155.97</v>
      </c>
      <c r="I392">
        <v>3263.49</v>
      </c>
      <c r="J392" t="s">
        <v>17</v>
      </c>
      <c r="K392">
        <v>0.04</v>
      </c>
      <c r="L392" t="s">
        <v>31</v>
      </c>
      <c r="M392" t="s">
        <v>19</v>
      </c>
      <c r="N392" t="s">
        <v>25</v>
      </c>
      <c r="O392" t="s">
        <v>14</v>
      </c>
      <c r="P392" t="str">
        <f>Table1[[#This Row],[Region]]&amp;"|"&amp;Table1[[#This Row],[Sales Rep]]</f>
        <v>South|Bob</v>
      </c>
    </row>
    <row r="393" spans="1:16" x14ac:dyDescent="0.35">
      <c r="A393">
        <v>1054</v>
      </c>
      <c r="B393" s="1">
        <v>45135</v>
      </c>
      <c r="C393" t="s">
        <v>24</v>
      </c>
      <c r="D393" t="s">
        <v>34</v>
      </c>
      <c r="E393">
        <v>768.28</v>
      </c>
      <c r="F393">
        <v>20</v>
      </c>
      <c r="G393" t="s">
        <v>29</v>
      </c>
      <c r="H393">
        <v>4622.1400000000003</v>
      </c>
      <c r="I393">
        <v>5122.07</v>
      </c>
      <c r="J393" t="s">
        <v>30</v>
      </c>
      <c r="K393">
        <v>0.26</v>
      </c>
      <c r="L393" t="s">
        <v>18</v>
      </c>
      <c r="M393" t="s">
        <v>22</v>
      </c>
      <c r="N393" t="s">
        <v>34</v>
      </c>
      <c r="O393" t="s">
        <v>24</v>
      </c>
      <c r="P393" t="str">
        <f>Table1[[#This Row],[Region]]&amp;"|"&amp;Table1[[#This Row],[Sales Rep]]</f>
        <v>East|David</v>
      </c>
    </row>
    <row r="394" spans="1:16" x14ac:dyDescent="0.35">
      <c r="A394">
        <v>1058</v>
      </c>
      <c r="B394" s="1">
        <v>44940</v>
      </c>
      <c r="C394" t="s">
        <v>14</v>
      </c>
      <c r="D394" t="s">
        <v>34</v>
      </c>
      <c r="E394">
        <v>5235.1400000000003</v>
      </c>
      <c r="F394">
        <v>6</v>
      </c>
      <c r="G394" t="s">
        <v>26</v>
      </c>
      <c r="H394">
        <v>4987.71</v>
      </c>
      <c r="I394">
        <v>4998.78</v>
      </c>
      <c r="J394" t="s">
        <v>17</v>
      </c>
      <c r="K394">
        <v>0.17</v>
      </c>
      <c r="L394" t="s">
        <v>18</v>
      </c>
      <c r="M394" t="s">
        <v>22</v>
      </c>
      <c r="N394" t="s">
        <v>34</v>
      </c>
      <c r="O394" t="s">
        <v>14</v>
      </c>
      <c r="P394" t="str">
        <f>Table1[[#This Row],[Region]]&amp;"|"&amp;Table1[[#This Row],[Sales Rep]]</f>
        <v>East|Bob</v>
      </c>
    </row>
    <row r="395" spans="1:16" x14ac:dyDescent="0.35">
      <c r="A395">
        <v>1067</v>
      </c>
      <c r="B395" s="1">
        <v>44935</v>
      </c>
      <c r="C395" t="s">
        <v>33</v>
      </c>
      <c r="D395" t="s">
        <v>15</v>
      </c>
      <c r="E395">
        <v>1875.71</v>
      </c>
      <c r="F395">
        <v>48</v>
      </c>
      <c r="G395" t="s">
        <v>35</v>
      </c>
      <c r="H395">
        <v>210.63</v>
      </c>
      <c r="I395">
        <v>533.57999999999902</v>
      </c>
      <c r="J395" t="s">
        <v>30</v>
      </c>
      <c r="K395">
        <v>0.04</v>
      </c>
      <c r="L395" t="s">
        <v>27</v>
      </c>
      <c r="M395" t="s">
        <v>19</v>
      </c>
      <c r="N395" t="s">
        <v>15</v>
      </c>
      <c r="O395" t="s">
        <v>33</v>
      </c>
      <c r="P395" t="str">
        <f>Table1[[#This Row],[Region]]&amp;"|"&amp;Table1[[#This Row],[Sales Rep]]</f>
        <v>North|Charlie</v>
      </c>
    </row>
    <row r="396" spans="1:16" x14ac:dyDescent="0.35">
      <c r="A396">
        <v>1046</v>
      </c>
      <c r="B396" s="1">
        <v>44966</v>
      </c>
      <c r="C396" t="s">
        <v>33</v>
      </c>
      <c r="D396" t="s">
        <v>34</v>
      </c>
      <c r="E396">
        <v>9709.7000000000007</v>
      </c>
      <c r="F396">
        <v>3</v>
      </c>
      <c r="G396" t="s">
        <v>16</v>
      </c>
      <c r="H396">
        <v>1216.1600000000001</v>
      </c>
      <c r="I396">
        <v>1295.3699999999999</v>
      </c>
      <c r="J396" t="s">
        <v>30</v>
      </c>
      <c r="K396">
        <v>0.14000000000000001</v>
      </c>
      <c r="L396" t="s">
        <v>18</v>
      </c>
      <c r="M396" t="s">
        <v>22</v>
      </c>
      <c r="N396" t="s">
        <v>34</v>
      </c>
      <c r="O396" t="s">
        <v>33</v>
      </c>
      <c r="P396" t="str">
        <f>Table1[[#This Row],[Region]]&amp;"|"&amp;Table1[[#This Row],[Sales Rep]]</f>
        <v>East|Charlie</v>
      </c>
    </row>
    <row r="397" spans="1:16" x14ac:dyDescent="0.35">
      <c r="A397">
        <v>1024</v>
      </c>
      <c r="B397" s="1">
        <v>45163</v>
      </c>
      <c r="C397" t="s">
        <v>24</v>
      </c>
      <c r="D397" t="s">
        <v>25</v>
      </c>
      <c r="E397">
        <v>1221.7</v>
      </c>
      <c r="F397">
        <v>42</v>
      </c>
      <c r="G397" t="s">
        <v>35</v>
      </c>
      <c r="H397">
        <v>1586.02</v>
      </c>
      <c r="I397">
        <v>2047.13</v>
      </c>
      <c r="J397" t="s">
        <v>30</v>
      </c>
      <c r="K397">
        <v>0.25</v>
      </c>
      <c r="L397" t="s">
        <v>18</v>
      </c>
      <c r="M397" t="s">
        <v>22</v>
      </c>
      <c r="N397" t="s">
        <v>25</v>
      </c>
      <c r="O397" t="s">
        <v>24</v>
      </c>
      <c r="P397" t="str">
        <f>Table1[[#This Row],[Region]]&amp;"|"&amp;Table1[[#This Row],[Sales Rep]]</f>
        <v>South|David</v>
      </c>
    </row>
    <row r="398" spans="1:16" x14ac:dyDescent="0.35">
      <c r="A398">
        <v>1032</v>
      </c>
      <c r="B398" s="1">
        <v>45207</v>
      </c>
      <c r="C398" t="s">
        <v>38</v>
      </c>
      <c r="D398" t="s">
        <v>34</v>
      </c>
      <c r="E398">
        <v>4095.65</v>
      </c>
      <c r="F398">
        <v>11</v>
      </c>
      <c r="G398" t="s">
        <v>26</v>
      </c>
      <c r="H398">
        <v>2025.67</v>
      </c>
      <c r="I398">
        <v>2081.5500000000002</v>
      </c>
      <c r="J398" t="s">
        <v>30</v>
      </c>
      <c r="K398">
        <v>0.27</v>
      </c>
      <c r="L398" t="s">
        <v>27</v>
      </c>
      <c r="M398" t="s">
        <v>19</v>
      </c>
      <c r="N398" t="s">
        <v>34</v>
      </c>
      <c r="O398" t="s">
        <v>38</v>
      </c>
      <c r="P398" t="str">
        <f>Table1[[#This Row],[Region]]&amp;"|"&amp;Table1[[#This Row],[Sales Rep]]</f>
        <v>East|Eve</v>
      </c>
    </row>
    <row r="399" spans="1:16" x14ac:dyDescent="0.35">
      <c r="A399">
        <v>1047</v>
      </c>
      <c r="B399" s="1">
        <v>45285</v>
      </c>
      <c r="C399" t="s">
        <v>24</v>
      </c>
      <c r="D399" t="s">
        <v>15</v>
      </c>
      <c r="E399">
        <v>7405.06</v>
      </c>
      <c r="F399">
        <v>43</v>
      </c>
      <c r="G399" t="s">
        <v>35</v>
      </c>
      <c r="H399">
        <v>1249.17</v>
      </c>
      <c r="I399">
        <v>1727.15</v>
      </c>
      <c r="J399" t="s">
        <v>30</v>
      </c>
      <c r="K399">
        <v>0.08</v>
      </c>
      <c r="L399" t="s">
        <v>18</v>
      </c>
      <c r="M399" t="s">
        <v>22</v>
      </c>
      <c r="N399" t="s">
        <v>15</v>
      </c>
      <c r="O399" t="s">
        <v>24</v>
      </c>
      <c r="P399" t="str">
        <f>Table1[[#This Row],[Region]]&amp;"|"&amp;Table1[[#This Row],[Sales Rep]]</f>
        <v>North|David</v>
      </c>
    </row>
    <row r="400" spans="1:16" x14ac:dyDescent="0.35">
      <c r="A400">
        <v>1086</v>
      </c>
      <c r="B400" s="1">
        <v>45127</v>
      </c>
      <c r="C400" t="s">
        <v>14</v>
      </c>
      <c r="D400" t="s">
        <v>15</v>
      </c>
      <c r="E400">
        <v>7075.09</v>
      </c>
      <c r="F400">
        <v>17</v>
      </c>
      <c r="G400" t="s">
        <v>26</v>
      </c>
      <c r="H400">
        <v>1057.27</v>
      </c>
      <c r="I400">
        <v>1366.62</v>
      </c>
      <c r="J400" t="s">
        <v>30</v>
      </c>
      <c r="K400">
        <v>0.21</v>
      </c>
      <c r="L400" t="s">
        <v>31</v>
      </c>
      <c r="M400" t="s">
        <v>22</v>
      </c>
      <c r="N400" t="s">
        <v>15</v>
      </c>
      <c r="O400" t="s">
        <v>14</v>
      </c>
      <c r="P400" t="str">
        <f>Table1[[#This Row],[Region]]&amp;"|"&amp;Table1[[#This Row],[Sales Rep]]</f>
        <v>North|Bob</v>
      </c>
    </row>
    <row r="401" spans="1:16" x14ac:dyDescent="0.35">
      <c r="A401">
        <v>1023</v>
      </c>
      <c r="B401" s="1">
        <v>45172</v>
      </c>
      <c r="C401" t="s">
        <v>24</v>
      </c>
      <c r="D401" t="s">
        <v>25</v>
      </c>
      <c r="E401">
        <v>4285.01</v>
      </c>
      <c r="F401">
        <v>32</v>
      </c>
      <c r="G401" t="s">
        <v>35</v>
      </c>
      <c r="H401">
        <v>4775.04</v>
      </c>
      <c r="I401">
        <v>4785.66</v>
      </c>
      <c r="J401" t="s">
        <v>30</v>
      </c>
      <c r="K401">
        <v>0.03</v>
      </c>
      <c r="L401" t="s">
        <v>18</v>
      </c>
      <c r="M401" t="s">
        <v>19</v>
      </c>
      <c r="N401" t="s">
        <v>25</v>
      </c>
      <c r="O401" t="s">
        <v>24</v>
      </c>
      <c r="P401" t="str">
        <f>Table1[[#This Row],[Region]]&amp;"|"&amp;Table1[[#This Row],[Sales Rep]]</f>
        <v>South|David</v>
      </c>
    </row>
    <row r="402" spans="1:16" x14ac:dyDescent="0.35">
      <c r="A402">
        <v>1066</v>
      </c>
      <c r="B402" s="1">
        <v>45204</v>
      </c>
      <c r="C402" t="s">
        <v>42</v>
      </c>
      <c r="D402" t="s">
        <v>25</v>
      </c>
      <c r="E402">
        <v>3530.59</v>
      </c>
      <c r="F402">
        <v>4</v>
      </c>
      <c r="G402" t="s">
        <v>16</v>
      </c>
      <c r="H402">
        <v>4596.68</v>
      </c>
      <c r="I402">
        <v>5044.74</v>
      </c>
      <c r="J402" t="s">
        <v>30</v>
      </c>
      <c r="K402">
        <v>0.01</v>
      </c>
      <c r="L402" t="s">
        <v>27</v>
      </c>
      <c r="M402" t="s">
        <v>19</v>
      </c>
      <c r="N402" t="s">
        <v>25</v>
      </c>
      <c r="O402" t="s">
        <v>42</v>
      </c>
      <c r="P402" t="str">
        <f>Table1[[#This Row],[Region]]&amp;"|"&amp;Table1[[#This Row],[Sales Rep]]</f>
        <v>South|Alice</v>
      </c>
    </row>
    <row r="403" spans="1:16" x14ac:dyDescent="0.35">
      <c r="A403">
        <v>1027</v>
      </c>
      <c r="B403" s="1">
        <v>45161</v>
      </c>
      <c r="C403" t="s">
        <v>14</v>
      </c>
      <c r="D403" t="s">
        <v>34</v>
      </c>
      <c r="E403">
        <v>4036.36</v>
      </c>
      <c r="F403">
        <v>4</v>
      </c>
      <c r="G403" t="s">
        <v>35</v>
      </c>
      <c r="H403">
        <v>282.61</v>
      </c>
      <c r="I403">
        <v>548.25</v>
      </c>
      <c r="J403" t="s">
        <v>30</v>
      </c>
      <c r="K403">
        <v>0.17</v>
      </c>
      <c r="L403" t="s">
        <v>31</v>
      </c>
      <c r="M403" t="s">
        <v>19</v>
      </c>
      <c r="N403" t="s">
        <v>34</v>
      </c>
      <c r="O403" t="s">
        <v>14</v>
      </c>
      <c r="P403" t="str">
        <f>Table1[[#This Row],[Region]]&amp;"|"&amp;Table1[[#This Row],[Sales Rep]]</f>
        <v>East|Bob</v>
      </c>
    </row>
    <row r="404" spans="1:16" x14ac:dyDescent="0.35">
      <c r="A404">
        <v>1002</v>
      </c>
      <c r="B404" s="1">
        <v>44930</v>
      </c>
      <c r="C404" t="s">
        <v>14</v>
      </c>
      <c r="D404" t="s">
        <v>34</v>
      </c>
      <c r="E404">
        <v>2716.34</v>
      </c>
      <c r="F404">
        <v>17</v>
      </c>
      <c r="G404" t="s">
        <v>16</v>
      </c>
      <c r="H404">
        <v>1727.12</v>
      </c>
      <c r="I404">
        <v>1865.83</v>
      </c>
      <c r="J404" t="s">
        <v>30</v>
      </c>
      <c r="K404">
        <v>0.21</v>
      </c>
      <c r="L404" t="s">
        <v>18</v>
      </c>
      <c r="M404" t="s">
        <v>19</v>
      </c>
      <c r="N404" t="s">
        <v>34</v>
      </c>
      <c r="O404" t="s">
        <v>14</v>
      </c>
      <c r="P404" t="str">
        <f>Table1[[#This Row],[Region]]&amp;"|"&amp;Table1[[#This Row],[Sales Rep]]</f>
        <v>East|Bob</v>
      </c>
    </row>
    <row r="405" spans="1:16" x14ac:dyDescent="0.35">
      <c r="A405">
        <v>1090</v>
      </c>
      <c r="B405" s="1">
        <v>45080</v>
      </c>
      <c r="C405" t="s">
        <v>38</v>
      </c>
      <c r="D405" t="s">
        <v>15</v>
      </c>
      <c r="E405">
        <v>2132.8000000000002</v>
      </c>
      <c r="F405">
        <v>41</v>
      </c>
      <c r="G405" t="s">
        <v>16</v>
      </c>
      <c r="H405">
        <v>2055.4899999999998</v>
      </c>
      <c r="I405">
        <v>2441.46</v>
      </c>
      <c r="J405" t="s">
        <v>30</v>
      </c>
      <c r="K405">
        <v>0.24</v>
      </c>
      <c r="L405" t="s">
        <v>31</v>
      </c>
      <c r="M405" t="s">
        <v>19</v>
      </c>
      <c r="N405" t="s">
        <v>15</v>
      </c>
      <c r="O405" t="s">
        <v>38</v>
      </c>
      <c r="P405" t="str">
        <f>Table1[[#This Row],[Region]]&amp;"|"&amp;Table1[[#This Row],[Sales Rep]]</f>
        <v>North|Eve</v>
      </c>
    </row>
    <row r="406" spans="1:16" x14ac:dyDescent="0.35">
      <c r="A406">
        <v>1017</v>
      </c>
      <c r="B406" s="1">
        <v>44955</v>
      </c>
      <c r="C406" t="s">
        <v>33</v>
      </c>
      <c r="D406" t="s">
        <v>25</v>
      </c>
      <c r="E406">
        <v>4882.09</v>
      </c>
      <c r="F406">
        <v>19</v>
      </c>
      <c r="G406" t="s">
        <v>35</v>
      </c>
      <c r="H406">
        <v>1233.1199999999999</v>
      </c>
      <c r="I406">
        <v>1697.1899999999901</v>
      </c>
      <c r="J406" t="s">
        <v>30</v>
      </c>
      <c r="K406">
        <v>0.1</v>
      </c>
      <c r="L406" t="s">
        <v>31</v>
      </c>
      <c r="M406" t="s">
        <v>19</v>
      </c>
      <c r="N406" t="s">
        <v>25</v>
      </c>
      <c r="O406" t="s">
        <v>33</v>
      </c>
      <c r="P406" t="str">
        <f>Table1[[#This Row],[Region]]&amp;"|"&amp;Table1[[#This Row],[Sales Rep]]</f>
        <v>South|Charlie</v>
      </c>
    </row>
    <row r="407" spans="1:16" x14ac:dyDescent="0.35">
      <c r="A407">
        <v>1033</v>
      </c>
      <c r="B407" s="1">
        <v>45035</v>
      </c>
      <c r="C407" t="s">
        <v>14</v>
      </c>
      <c r="D407" t="s">
        <v>25</v>
      </c>
      <c r="E407">
        <v>2758.48</v>
      </c>
      <c r="F407">
        <v>5</v>
      </c>
      <c r="G407" t="s">
        <v>16</v>
      </c>
      <c r="H407">
        <v>3162.92</v>
      </c>
      <c r="I407">
        <v>3409.93</v>
      </c>
      <c r="J407" t="s">
        <v>30</v>
      </c>
      <c r="K407">
        <v>0</v>
      </c>
      <c r="L407" t="s">
        <v>18</v>
      </c>
      <c r="M407" t="s">
        <v>19</v>
      </c>
      <c r="N407" t="s">
        <v>25</v>
      </c>
      <c r="O407" t="s">
        <v>14</v>
      </c>
      <c r="P407" t="str">
        <f>Table1[[#This Row],[Region]]&amp;"|"&amp;Table1[[#This Row],[Sales Rep]]</f>
        <v>South|Bob</v>
      </c>
    </row>
    <row r="408" spans="1:16" x14ac:dyDescent="0.35">
      <c r="A408">
        <v>1009</v>
      </c>
      <c r="B408" s="1">
        <v>45024</v>
      </c>
      <c r="C408" t="s">
        <v>33</v>
      </c>
      <c r="D408" t="s">
        <v>25</v>
      </c>
      <c r="E408">
        <v>2945.87</v>
      </c>
      <c r="F408">
        <v>32</v>
      </c>
      <c r="G408" t="s">
        <v>29</v>
      </c>
      <c r="H408">
        <v>3219.88</v>
      </c>
      <c r="I408">
        <v>3384.5</v>
      </c>
      <c r="J408" t="s">
        <v>17</v>
      </c>
      <c r="K408">
        <v>0.14000000000000001</v>
      </c>
      <c r="L408" t="s">
        <v>18</v>
      </c>
      <c r="M408" t="s">
        <v>22</v>
      </c>
      <c r="N408" t="s">
        <v>25</v>
      </c>
      <c r="O408" t="s">
        <v>33</v>
      </c>
      <c r="P408" t="str">
        <f>Table1[[#This Row],[Region]]&amp;"|"&amp;Table1[[#This Row],[Sales Rep]]</f>
        <v>South|Charlie</v>
      </c>
    </row>
    <row r="409" spans="1:16" x14ac:dyDescent="0.35">
      <c r="A409">
        <v>1043</v>
      </c>
      <c r="B409" s="1">
        <v>45141</v>
      </c>
      <c r="C409" t="s">
        <v>24</v>
      </c>
      <c r="D409" t="s">
        <v>34</v>
      </c>
      <c r="E409">
        <v>6601.89</v>
      </c>
      <c r="F409">
        <v>22</v>
      </c>
      <c r="G409" t="s">
        <v>35</v>
      </c>
      <c r="H409">
        <v>4260</v>
      </c>
      <c r="I409">
        <v>4656.58</v>
      </c>
      <c r="J409" t="s">
        <v>30</v>
      </c>
      <c r="K409">
        <v>0</v>
      </c>
      <c r="L409" t="s">
        <v>27</v>
      </c>
      <c r="M409" t="s">
        <v>19</v>
      </c>
      <c r="N409" t="s">
        <v>34</v>
      </c>
      <c r="O409" t="s">
        <v>24</v>
      </c>
      <c r="P409" t="str">
        <f>Table1[[#This Row],[Region]]&amp;"|"&amp;Table1[[#This Row],[Sales Rep]]</f>
        <v>East|David</v>
      </c>
    </row>
    <row r="410" spans="1:16" x14ac:dyDescent="0.35">
      <c r="A410">
        <v>1048</v>
      </c>
      <c r="B410" s="1">
        <v>45219</v>
      </c>
      <c r="C410" t="s">
        <v>42</v>
      </c>
      <c r="D410" t="s">
        <v>25</v>
      </c>
      <c r="E410">
        <v>9688.52</v>
      </c>
      <c r="F410">
        <v>6</v>
      </c>
      <c r="G410" t="s">
        <v>35</v>
      </c>
      <c r="H410">
        <v>3717.3</v>
      </c>
      <c r="I410">
        <v>4061.37</v>
      </c>
      <c r="J410" t="s">
        <v>30</v>
      </c>
      <c r="K410">
        <v>0.03</v>
      </c>
      <c r="L410" t="s">
        <v>27</v>
      </c>
      <c r="M410" t="s">
        <v>22</v>
      </c>
      <c r="N410" t="s">
        <v>25</v>
      </c>
      <c r="O410" t="s">
        <v>42</v>
      </c>
      <c r="P410" t="str">
        <f>Table1[[#This Row],[Region]]&amp;"|"&amp;Table1[[#This Row],[Sales Rep]]</f>
        <v>South|Alice</v>
      </c>
    </row>
    <row r="411" spans="1:16" x14ac:dyDescent="0.35">
      <c r="A411">
        <v>1039</v>
      </c>
      <c r="B411" s="1">
        <v>45001</v>
      </c>
      <c r="C411" t="s">
        <v>38</v>
      </c>
      <c r="D411" t="s">
        <v>15</v>
      </c>
      <c r="E411">
        <v>6076.01</v>
      </c>
      <c r="F411">
        <v>35</v>
      </c>
      <c r="G411" t="s">
        <v>16</v>
      </c>
      <c r="H411">
        <v>2735.74</v>
      </c>
      <c r="I411">
        <v>3181.22999999999</v>
      </c>
      <c r="J411" t="s">
        <v>30</v>
      </c>
      <c r="K411">
        <v>0.1</v>
      </c>
      <c r="L411" t="s">
        <v>31</v>
      </c>
      <c r="M411" t="s">
        <v>22</v>
      </c>
      <c r="N411" t="s">
        <v>15</v>
      </c>
      <c r="O411" t="s">
        <v>38</v>
      </c>
      <c r="P411" t="str">
        <f>Table1[[#This Row],[Region]]&amp;"|"&amp;Table1[[#This Row],[Sales Rep]]</f>
        <v>North|Eve</v>
      </c>
    </row>
    <row r="412" spans="1:16" x14ac:dyDescent="0.35">
      <c r="A412">
        <v>1093</v>
      </c>
      <c r="B412" s="1">
        <v>45252</v>
      </c>
      <c r="C412" t="s">
        <v>33</v>
      </c>
      <c r="D412" t="s">
        <v>15</v>
      </c>
      <c r="E412">
        <v>862.1</v>
      </c>
      <c r="F412">
        <v>22</v>
      </c>
      <c r="G412" t="s">
        <v>16</v>
      </c>
      <c r="H412">
        <v>3285.25</v>
      </c>
      <c r="I412">
        <v>3634.58</v>
      </c>
      <c r="J412" t="s">
        <v>30</v>
      </c>
      <c r="K412">
        <v>0.13</v>
      </c>
      <c r="L412" t="s">
        <v>27</v>
      </c>
      <c r="M412" t="s">
        <v>19</v>
      </c>
      <c r="N412" t="s">
        <v>15</v>
      </c>
      <c r="O412" t="s">
        <v>33</v>
      </c>
      <c r="P412" t="str">
        <f>Table1[[#This Row],[Region]]&amp;"|"&amp;Table1[[#This Row],[Sales Rep]]</f>
        <v>North|Charlie</v>
      </c>
    </row>
    <row r="413" spans="1:16" x14ac:dyDescent="0.35">
      <c r="A413">
        <v>1042</v>
      </c>
      <c r="B413" s="1">
        <v>45072</v>
      </c>
      <c r="C413" t="s">
        <v>14</v>
      </c>
      <c r="D413" t="s">
        <v>34</v>
      </c>
      <c r="E413">
        <v>848.28</v>
      </c>
      <c r="F413">
        <v>1</v>
      </c>
      <c r="G413" t="s">
        <v>35</v>
      </c>
      <c r="H413">
        <v>1406.24</v>
      </c>
      <c r="I413">
        <v>1535.57</v>
      </c>
      <c r="J413" t="s">
        <v>30</v>
      </c>
      <c r="K413">
        <v>0.08</v>
      </c>
      <c r="L413" t="s">
        <v>31</v>
      </c>
      <c r="M413" t="s">
        <v>22</v>
      </c>
      <c r="N413" t="s">
        <v>34</v>
      </c>
      <c r="O413" t="s">
        <v>14</v>
      </c>
      <c r="P413" t="str">
        <f>Table1[[#This Row],[Region]]&amp;"|"&amp;Table1[[#This Row],[Sales Rep]]</f>
        <v>East|Bob</v>
      </c>
    </row>
    <row r="414" spans="1:16" x14ac:dyDescent="0.35">
      <c r="A414">
        <v>1026</v>
      </c>
      <c r="B414" s="1">
        <v>45054</v>
      </c>
      <c r="C414" t="s">
        <v>33</v>
      </c>
      <c r="D414" t="s">
        <v>21</v>
      </c>
      <c r="E414">
        <v>9519.09</v>
      </c>
      <c r="F414">
        <v>20</v>
      </c>
      <c r="G414" t="s">
        <v>29</v>
      </c>
      <c r="H414">
        <v>2985.63</v>
      </c>
      <c r="I414">
        <v>3452.14</v>
      </c>
      <c r="J414" t="s">
        <v>30</v>
      </c>
      <c r="K414">
        <v>0.17</v>
      </c>
      <c r="L414" t="s">
        <v>31</v>
      </c>
      <c r="M414" t="s">
        <v>22</v>
      </c>
      <c r="N414" t="s">
        <v>21</v>
      </c>
      <c r="O414" t="s">
        <v>33</v>
      </c>
      <c r="P414" t="str">
        <f>Table1[[#This Row],[Region]]&amp;"|"&amp;Table1[[#This Row],[Sales Rep]]</f>
        <v>West|Charlie</v>
      </c>
    </row>
    <row r="415" spans="1:16" x14ac:dyDescent="0.35">
      <c r="A415">
        <v>1099</v>
      </c>
      <c r="B415" s="1">
        <v>45267</v>
      </c>
      <c r="C415" t="s">
        <v>14</v>
      </c>
      <c r="D415" t="s">
        <v>34</v>
      </c>
      <c r="E415">
        <v>3043.18</v>
      </c>
      <c r="F415">
        <v>22</v>
      </c>
      <c r="G415" t="s">
        <v>16</v>
      </c>
      <c r="H415">
        <v>2471.67</v>
      </c>
      <c r="I415">
        <v>2533.04</v>
      </c>
      <c r="J415" t="s">
        <v>17</v>
      </c>
      <c r="K415">
        <v>0.02</v>
      </c>
      <c r="L415" t="s">
        <v>27</v>
      </c>
      <c r="M415" t="s">
        <v>22</v>
      </c>
      <c r="N415" t="s">
        <v>34</v>
      </c>
      <c r="O415" t="s">
        <v>14</v>
      </c>
      <c r="P415" t="str">
        <f>Table1[[#This Row],[Region]]&amp;"|"&amp;Table1[[#This Row],[Sales Rep]]</f>
        <v>East|Bob</v>
      </c>
    </row>
    <row r="416" spans="1:16" x14ac:dyDescent="0.35">
      <c r="A416">
        <v>1050</v>
      </c>
      <c r="B416" s="1">
        <v>44968</v>
      </c>
      <c r="C416" t="s">
        <v>33</v>
      </c>
      <c r="D416" t="s">
        <v>21</v>
      </c>
      <c r="E416">
        <v>1011.46</v>
      </c>
      <c r="F416">
        <v>48</v>
      </c>
      <c r="G416" t="s">
        <v>16</v>
      </c>
      <c r="H416">
        <v>710.06</v>
      </c>
      <c r="I416">
        <v>851.349999999999</v>
      </c>
      <c r="J416" t="s">
        <v>17</v>
      </c>
      <c r="K416">
        <v>0.04</v>
      </c>
      <c r="L416" t="s">
        <v>27</v>
      </c>
      <c r="M416" t="s">
        <v>19</v>
      </c>
      <c r="N416" t="s">
        <v>21</v>
      </c>
      <c r="O416" t="s">
        <v>33</v>
      </c>
      <c r="P416" t="str">
        <f>Table1[[#This Row],[Region]]&amp;"|"&amp;Table1[[#This Row],[Sales Rep]]</f>
        <v>West|Charlie</v>
      </c>
    </row>
    <row r="417" spans="1:16" x14ac:dyDescent="0.35">
      <c r="A417">
        <v>1025</v>
      </c>
      <c r="B417" s="1">
        <v>45282</v>
      </c>
      <c r="C417" t="s">
        <v>14</v>
      </c>
      <c r="D417" t="s">
        <v>25</v>
      </c>
      <c r="E417">
        <v>6030.54</v>
      </c>
      <c r="F417">
        <v>11</v>
      </c>
      <c r="G417" t="s">
        <v>26</v>
      </c>
      <c r="H417">
        <v>1250.5899999999999</v>
      </c>
      <c r="I417">
        <v>1515.48999999999</v>
      </c>
      <c r="J417" t="s">
        <v>17</v>
      </c>
      <c r="K417">
        <v>0.21</v>
      </c>
      <c r="L417" t="s">
        <v>27</v>
      </c>
      <c r="M417" t="s">
        <v>22</v>
      </c>
      <c r="N417" t="s">
        <v>25</v>
      </c>
      <c r="O417" t="s">
        <v>14</v>
      </c>
      <c r="P417" t="str">
        <f>Table1[[#This Row],[Region]]&amp;"|"&amp;Table1[[#This Row],[Sales Rep]]</f>
        <v>South|Bob</v>
      </c>
    </row>
    <row r="418" spans="1:16" x14ac:dyDescent="0.35">
      <c r="A418">
        <v>1024</v>
      </c>
      <c r="B418" s="1">
        <v>44967</v>
      </c>
      <c r="C418" t="s">
        <v>24</v>
      </c>
      <c r="D418" t="s">
        <v>34</v>
      </c>
      <c r="E418">
        <v>6274.12</v>
      </c>
      <c r="F418">
        <v>13</v>
      </c>
      <c r="G418" t="s">
        <v>29</v>
      </c>
      <c r="H418">
        <v>1493.88</v>
      </c>
      <c r="I418">
        <v>1781.09</v>
      </c>
      <c r="J418" t="s">
        <v>30</v>
      </c>
      <c r="K418">
        <v>0.04</v>
      </c>
      <c r="L418" t="s">
        <v>18</v>
      </c>
      <c r="M418" t="s">
        <v>22</v>
      </c>
      <c r="N418" t="s">
        <v>34</v>
      </c>
      <c r="O418" t="s">
        <v>24</v>
      </c>
      <c r="P418" t="str">
        <f>Table1[[#This Row],[Region]]&amp;"|"&amp;Table1[[#This Row],[Sales Rep]]</f>
        <v>East|David</v>
      </c>
    </row>
    <row r="419" spans="1:16" x14ac:dyDescent="0.35">
      <c r="A419">
        <v>1013</v>
      </c>
      <c r="B419" s="1">
        <v>44960</v>
      </c>
      <c r="C419" t="s">
        <v>14</v>
      </c>
      <c r="D419" t="s">
        <v>15</v>
      </c>
      <c r="E419">
        <v>6520.2</v>
      </c>
      <c r="F419">
        <v>42</v>
      </c>
      <c r="G419" t="s">
        <v>29</v>
      </c>
      <c r="H419">
        <v>4625.33</v>
      </c>
      <c r="I419">
        <v>4642.83</v>
      </c>
      <c r="J419" t="s">
        <v>30</v>
      </c>
      <c r="K419">
        <v>0.19</v>
      </c>
      <c r="L419" t="s">
        <v>31</v>
      </c>
      <c r="M419" t="s">
        <v>19</v>
      </c>
      <c r="N419" t="s">
        <v>15</v>
      </c>
      <c r="O419" t="s">
        <v>14</v>
      </c>
      <c r="P419" t="str">
        <f>Table1[[#This Row],[Region]]&amp;"|"&amp;Table1[[#This Row],[Sales Rep]]</f>
        <v>North|Bob</v>
      </c>
    </row>
    <row r="420" spans="1:16" x14ac:dyDescent="0.35">
      <c r="A420">
        <v>1060</v>
      </c>
      <c r="B420" s="1">
        <v>44943</v>
      </c>
      <c r="C420" t="s">
        <v>14</v>
      </c>
      <c r="D420" t="s">
        <v>25</v>
      </c>
      <c r="E420">
        <v>2747.28</v>
      </c>
      <c r="F420">
        <v>3</v>
      </c>
      <c r="G420" t="s">
        <v>35</v>
      </c>
      <c r="H420">
        <v>1190.4100000000001</v>
      </c>
      <c r="I420">
        <v>1582.89</v>
      </c>
      <c r="J420" t="s">
        <v>30</v>
      </c>
      <c r="K420">
        <v>0.02</v>
      </c>
      <c r="L420" t="s">
        <v>31</v>
      </c>
      <c r="M420" t="s">
        <v>22</v>
      </c>
      <c r="N420" t="s">
        <v>25</v>
      </c>
      <c r="O420" t="s">
        <v>14</v>
      </c>
      <c r="P420" t="str">
        <f>Table1[[#This Row],[Region]]&amp;"|"&amp;Table1[[#This Row],[Sales Rep]]</f>
        <v>South|Bob</v>
      </c>
    </row>
    <row r="421" spans="1:16" x14ac:dyDescent="0.35">
      <c r="A421">
        <v>1007</v>
      </c>
      <c r="B421" s="1">
        <v>45091</v>
      </c>
      <c r="C421" t="s">
        <v>42</v>
      </c>
      <c r="D421" t="s">
        <v>15</v>
      </c>
      <c r="E421">
        <v>249.6</v>
      </c>
      <c r="F421">
        <v>9</v>
      </c>
      <c r="G421" t="s">
        <v>29</v>
      </c>
      <c r="H421">
        <v>1481.76</v>
      </c>
      <c r="I421">
        <v>1668.95</v>
      </c>
      <c r="J421" t="s">
        <v>17</v>
      </c>
      <c r="K421">
        <v>0.12</v>
      </c>
      <c r="L421" t="s">
        <v>31</v>
      </c>
      <c r="M421" t="s">
        <v>22</v>
      </c>
      <c r="N421" t="s">
        <v>15</v>
      </c>
      <c r="O421" t="s">
        <v>42</v>
      </c>
      <c r="P421" t="str">
        <f>Table1[[#This Row],[Region]]&amp;"|"&amp;Table1[[#This Row],[Sales Rep]]</f>
        <v>North|Alice</v>
      </c>
    </row>
    <row r="422" spans="1:16" x14ac:dyDescent="0.35">
      <c r="A422">
        <v>1057</v>
      </c>
      <c r="B422" s="1">
        <v>45079</v>
      </c>
      <c r="C422" t="s">
        <v>14</v>
      </c>
      <c r="D422" t="s">
        <v>25</v>
      </c>
      <c r="E422">
        <v>9653.65</v>
      </c>
      <c r="F422">
        <v>12</v>
      </c>
      <c r="G422" t="s">
        <v>35</v>
      </c>
      <c r="H422">
        <v>1878.3</v>
      </c>
      <c r="I422">
        <v>2087.4499999999998</v>
      </c>
      <c r="J422" t="s">
        <v>30</v>
      </c>
      <c r="K422">
        <v>0.05</v>
      </c>
      <c r="L422" t="s">
        <v>27</v>
      </c>
      <c r="M422" t="s">
        <v>22</v>
      </c>
      <c r="N422" t="s">
        <v>25</v>
      </c>
      <c r="O422" t="s">
        <v>14</v>
      </c>
      <c r="P422" t="str">
        <f>Table1[[#This Row],[Region]]&amp;"|"&amp;Table1[[#This Row],[Sales Rep]]</f>
        <v>South|Bob</v>
      </c>
    </row>
    <row r="423" spans="1:16" x14ac:dyDescent="0.35">
      <c r="A423">
        <v>1036</v>
      </c>
      <c r="B423" s="1">
        <v>45002</v>
      </c>
      <c r="C423" t="s">
        <v>42</v>
      </c>
      <c r="D423" t="s">
        <v>34</v>
      </c>
      <c r="E423">
        <v>2583.84</v>
      </c>
      <c r="F423">
        <v>23</v>
      </c>
      <c r="G423" t="s">
        <v>26</v>
      </c>
      <c r="H423">
        <v>3335.53</v>
      </c>
      <c r="I423">
        <v>3742.12</v>
      </c>
      <c r="J423" t="s">
        <v>30</v>
      </c>
      <c r="K423">
        <v>0.03</v>
      </c>
      <c r="L423" t="s">
        <v>27</v>
      </c>
      <c r="M423" t="s">
        <v>22</v>
      </c>
      <c r="N423" t="s">
        <v>34</v>
      </c>
      <c r="O423" t="s">
        <v>42</v>
      </c>
      <c r="P423" t="str">
        <f>Table1[[#This Row],[Region]]&amp;"|"&amp;Table1[[#This Row],[Sales Rep]]</f>
        <v>East|Alice</v>
      </c>
    </row>
    <row r="424" spans="1:16" x14ac:dyDescent="0.35">
      <c r="A424">
        <v>1045</v>
      </c>
      <c r="B424" s="1">
        <v>45013</v>
      </c>
      <c r="C424" t="s">
        <v>38</v>
      </c>
      <c r="D424" t="s">
        <v>21</v>
      </c>
      <c r="E424">
        <v>6792.66</v>
      </c>
      <c r="F424">
        <v>14</v>
      </c>
      <c r="G424" t="s">
        <v>29</v>
      </c>
      <c r="H424">
        <v>635.28</v>
      </c>
      <c r="I424">
        <v>831.13</v>
      </c>
      <c r="J424" t="s">
        <v>17</v>
      </c>
      <c r="K424">
        <v>0.17</v>
      </c>
      <c r="L424" t="s">
        <v>27</v>
      </c>
      <c r="M424" t="s">
        <v>22</v>
      </c>
      <c r="N424" t="s">
        <v>21</v>
      </c>
      <c r="O424" t="s">
        <v>38</v>
      </c>
      <c r="P424" t="str">
        <f>Table1[[#This Row],[Region]]&amp;"|"&amp;Table1[[#This Row],[Sales Rep]]</f>
        <v>West|Eve</v>
      </c>
    </row>
    <row r="425" spans="1:16" x14ac:dyDescent="0.35">
      <c r="A425">
        <v>1020</v>
      </c>
      <c r="B425" s="1">
        <v>45043</v>
      </c>
      <c r="C425" t="s">
        <v>42</v>
      </c>
      <c r="D425" t="s">
        <v>25</v>
      </c>
      <c r="E425">
        <v>7095.64</v>
      </c>
      <c r="F425">
        <v>33</v>
      </c>
      <c r="G425" t="s">
        <v>16</v>
      </c>
      <c r="H425">
        <v>4772.03</v>
      </c>
      <c r="I425">
        <v>4805.17</v>
      </c>
      <c r="J425" t="s">
        <v>17</v>
      </c>
      <c r="K425">
        <v>0.28000000000000003</v>
      </c>
      <c r="L425" t="s">
        <v>27</v>
      </c>
      <c r="M425" t="s">
        <v>19</v>
      </c>
      <c r="N425" t="s">
        <v>25</v>
      </c>
      <c r="O425" t="s">
        <v>42</v>
      </c>
      <c r="P425" t="str">
        <f>Table1[[#This Row],[Region]]&amp;"|"&amp;Table1[[#This Row],[Sales Rep]]</f>
        <v>South|Alice</v>
      </c>
    </row>
    <row r="426" spans="1:16" x14ac:dyDescent="0.35">
      <c r="A426">
        <v>1065</v>
      </c>
      <c r="B426" s="1">
        <v>45288</v>
      </c>
      <c r="C426" t="s">
        <v>24</v>
      </c>
      <c r="D426" t="s">
        <v>21</v>
      </c>
      <c r="E426">
        <v>6139.07</v>
      </c>
      <c r="F426">
        <v>18</v>
      </c>
      <c r="G426" t="s">
        <v>26</v>
      </c>
      <c r="H426">
        <v>4334.58</v>
      </c>
      <c r="I426">
        <v>4431.04</v>
      </c>
      <c r="J426" t="s">
        <v>30</v>
      </c>
      <c r="K426">
        <v>0.02</v>
      </c>
      <c r="L426" t="s">
        <v>27</v>
      </c>
      <c r="M426" t="s">
        <v>22</v>
      </c>
      <c r="N426" t="s">
        <v>21</v>
      </c>
      <c r="O426" t="s">
        <v>24</v>
      </c>
      <c r="P426" t="str">
        <f>Table1[[#This Row],[Region]]&amp;"|"&amp;Table1[[#This Row],[Sales Rep]]</f>
        <v>West|David</v>
      </c>
    </row>
    <row r="427" spans="1:16" x14ac:dyDescent="0.35">
      <c r="A427">
        <v>1008</v>
      </c>
      <c r="B427" s="1">
        <v>45268</v>
      </c>
      <c r="C427" t="s">
        <v>42</v>
      </c>
      <c r="D427" t="s">
        <v>25</v>
      </c>
      <c r="E427">
        <v>3197.78</v>
      </c>
      <c r="F427">
        <v>49</v>
      </c>
      <c r="G427" t="s">
        <v>35</v>
      </c>
      <c r="H427">
        <v>2907.22</v>
      </c>
      <c r="I427">
        <v>3385.6099999999901</v>
      </c>
      <c r="J427" t="s">
        <v>30</v>
      </c>
      <c r="K427">
        <v>0.13</v>
      </c>
      <c r="L427" t="s">
        <v>18</v>
      </c>
      <c r="M427" t="s">
        <v>19</v>
      </c>
      <c r="N427" t="s">
        <v>25</v>
      </c>
      <c r="O427" t="s">
        <v>42</v>
      </c>
      <c r="P427" t="str">
        <f>Table1[[#This Row],[Region]]&amp;"|"&amp;Table1[[#This Row],[Sales Rep]]</f>
        <v>South|Alice</v>
      </c>
    </row>
    <row r="428" spans="1:16" x14ac:dyDescent="0.35">
      <c r="A428">
        <v>1016</v>
      </c>
      <c r="B428" s="1">
        <v>44953</v>
      </c>
      <c r="C428" t="s">
        <v>38</v>
      </c>
      <c r="D428" t="s">
        <v>15</v>
      </c>
      <c r="E428">
        <v>2783.85</v>
      </c>
      <c r="F428">
        <v>41</v>
      </c>
      <c r="G428" t="s">
        <v>26</v>
      </c>
      <c r="H428">
        <v>3386.49</v>
      </c>
      <c r="I428">
        <v>3430.99</v>
      </c>
      <c r="J428" t="s">
        <v>30</v>
      </c>
      <c r="K428">
        <v>0.21</v>
      </c>
      <c r="L428" t="s">
        <v>27</v>
      </c>
      <c r="M428" t="s">
        <v>22</v>
      </c>
      <c r="N428" t="s">
        <v>15</v>
      </c>
      <c r="O428" t="s">
        <v>38</v>
      </c>
      <c r="P428" t="str">
        <f>Table1[[#This Row],[Region]]&amp;"|"&amp;Table1[[#This Row],[Sales Rep]]</f>
        <v>North|Eve</v>
      </c>
    </row>
    <row r="429" spans="1:16" x14ac:dyDescent="0.35">
      <c r="A429">
        <v>1014</v>
      </c>
      <c r="B429" s="1">
        <v>45239</v>
      </c>
      <c r="C429" t="s">
        <v>24</v>
      </c>
      <c r="D429" t="s">
        <v>15</v>
      </c>
      <c r="E429">
        <v>6016.92</v>
      </c>
      <c r="F429">
        <v>9</v>
      </c>
      <c r="G429" t="s">
        <v>35</v>
      </c>
      <c r="H429">
        <v>132.47</v>
      </c>
      <c r="I429">
        <v>316.39</v>
      </c>
      <c r="J429" t="s">
        <v>30</v>
      </c>
      <c r="K429">
        <v>0.14000000000000001</v>
      </c>
      <c r="L429" t="s">
        <v>31</v>
      </c>
      <c r="M429" t="s">
        <v>19</v>
      </c>
      <c r="N429" t="s">
        <v>15</v>
      </c>
      <c r="O429" t="s">
        <v>24</v>
      </c>
      <c r="P429" t="str">
        <f>Table1[[#This Row],[Region]]&amp;"|"&amp;Table1[[#This Row],[Sales Rep]]</f>
        <v>North|David</v>
      </c>
    </row>
    <row r="430" spans="1:16" x14ac:dyDescent="0.35">
      <c r="A430">
        <v>1076</v>
      </c>
      <c r="B430" s="1">
        <v>45213</v>
      </c>
      <c r="C430" t="s">
        <v>33</v>
      </c>
      <c r="D430" t="s">
        <v>25</v>
      </c>
      <c r="E430">
        <v>8674.35</v>
      </c>
      <c r="F430">
        <v>23</v>
      </c>
      <c r="G430" t="s">
        <v>26</v>
      </c>
      <c r="H430">
        <v>1727.78</v>
      </c>
      <c r="I430">
        <v>1984.34</v>
      </c>
      <c r="J430" t="s">
        <v>17</v>
      </c>
      <c r="K430">
        <v>0.24</v>
      </c>
      <c r="L430" t="s">
        <v>27</v>
      </c>
      <c r="M430" t="s">
        <v>19</v>
      </c>
      <c r="N430" t="s">
        <v>25</v>
      </c>
      <c r="O430" t="s">
        <v>33</v>
      </c>
      <c r="P430" t="str">
        <f>Table1[[#This Row],[Region]]&amp;"|"&amp;Table1[[#This Row],[Sales Rep]]</f>
        <v>South|Charlie</v>
      </c>
    </row>
    <row r="431" spans="1:16" x14ac:dyDescent="0.35">
      <c r="A431">
        <v>1087</v>
      </c>
      <c r="B431" s="1">
        <v>45060</v>
      </c>
      <c r="C431" t="s">
        <v>33</v>
      </c>
      <c r="D431" t="s">
        <v>21</v>
      </c>
      <c r="E431">
        <v>9472.66</v>
      </c>
      <c r="F431">
        <v>10</v>
      </c>
      <c r="G431" t="s">
        <v>35</v>
      </c>
      <c r="H431">
        <v>3988.52</v>
      </c>
      <c r="I431">
        <v>4240.2299999999996</v>
      </c>
      <c r="J431" t="s">
        <v>30</v>
      </c>
      <c r="K431">
        <v>0.05</v>
      </c>
      <c r="L431" t="s">
        <v>31</v>
      </c>
      <c r="M431" t="s">
        <v>19</v>
      </c>
      <c r="N431" t="s">
        <v>21</v>
      </c>
      <c r="O431" t="s">
        <v>33</v>
      </c>
      <c r="P431" t="str">
        <f>Table1[[#This Row],[Region]]&amp;"|"&amp;Table1[[#This Row],[Sales Rep]]</f>
        <v>West|Charlie</v>
      </c>
    </row>
    <row r="432" spans="1:16" x14ac:dyDescent="0.35">
      <c r="A432">
        <v>1015</v>
      </c>
      <c r="B432" s="1">
        <v>45145</v>
      </c>
      <c r="C432" t="s">
        <v>42</v>
      </c>
      <c r="D432" t="s">
        <v>34</v>
      </c>
      <c r="E432">
        <v>1148.47</v>
      </c>
      <c r="F432">
        <v>19</v>
      </c>
      <c r="G432" t="s">
        <v>29</v>
      </c>
      <c r="H432">
        <v>433.54</v>
      </c>
      <c r="I432">
        <v>445.48</v>
      </c>
      <c r="J432" t="s">
        <v>30</v>
      </c>
      <c r="K432">
        <v>0.28999999999999998</v>
      </c>
      <c r="L432" t="s">
        <v>27</v>
      </c>
      <c r="M432" t="s">
        <v>22</v>
      </c>
      <c r="N432" t="s">
        <v>34</v>
      </c>
      <c r="O432" t="s">
        <v>42</v>
      </c>
      <c r="P432" t="str">
        <f>Table1[[#This Row],[Region]]&amp;"|"&amp;Table1[[#This Row],[Sales Rep]]</f>
        <v>East|Alice</v>
      </c>
    </row>
    <row r="433" spans="1:16" x14ac:dyDescent="0.35">
      <c r="A433">
        <v>1092</v>
      </c>
      <c r="B433" s="1">
        <v>45094</v>
      </c>
      <c r="C433" t="s">
        <v>42</v>
      </c>
      <c r="D433" t="s">
        <v>34</v>
      </c>
      <c r="E433">
        <v>1632.8</v>
      </c>
      <c r="F433">
        <v>47</v>
      </c>
      <c r="G433" t="s">
        <v>16</v>
      </c>
      <c r="H433">
        <v>1447.45</v>
      </c>
      <c r="I433">
        <v>1703.02</v>
      </c>
      <c r="J433" t="s">
        <v>17</v>
      </c>
      <c r="K433">
        <v>0.12</v>
      </c>
      <c r="L433" t="s">
        <v>27</v>
      </c>
      <c r="M433" t="s">
        <v>22</v>
      </c>
      <c r="N433" t="s">
        <v>34</v>
      </c>
      <c r="O433" t="s">
        <v>42</v>
      </c>
      <c r="P433" t="str">
        <f>Table1[[#This Row],[Region]]&amp;"|"&amp;Table1[[#This Row],[Sales Rep]]</f>
        <v>East|Alice</v>
      </c>
    </row>
    <row r="434" spans="1:16" x14ac:dyDescent="0.35">
      <c r="A434">
        <v>1098</v>
      </c>
      <c r="B434" s="1">
        <v>45024</v>
      </c>
      <c r="C434" t="s">
        <v>38</v>
      </c>
      <c r="D434" t="s">
        <v>15</v>
      </c>
      <c r="E434">
        <v>9452.89</v>
      </c>
      <c r="F434">
        <v>5</v>
      </c>
      <c r="G434" t="s">
        <v>35</v>
      </c>
      <c r="H434">
        <v>2947.22</v>
      </c>
      <c r="I434">
        <v>3145.27</v>
      </c>
      <c r="J434" t="s">
        <v>30</v>
      </c>
      <c r="K434">
        <v>0.1</v>
      </c>
      <c r="L434" t="s">
        <v>31</v>
      </c>
      <c r="M434" t="s">
        <v>22</v>
      </c>
      <c r="N434" t="s">
        <v>15</v>
      </c>
      <c r="O434" t="s">
        <v>38</v>
      </c>
      <c r="P434" t="str">
        <f>Table1[[#This Row],[Region]]&amp;"|"&amp;Table1[[#This Row],[Sales Rep]]</f>
        <v>North|Eve</v>
      </c>
    </row>
    <row r="435" spans="1:16" x14ac:dyDescent="0.35">
      <c r="A435">
        <v>1066</v>
      </c>
      <c r="B435" s="1">
        <v>45194</v>
      </c>
      <c r="C435" t="s">
        <v>38</v>
      </c>
      <c r="D435" t="s">
        <v>34</v>
      </c>
      <c r="E435">
        <v>7391.7</v>
      </c>
      <c r="F435">
        <v>47</v>
      </c>
      <c r="G435" t="s">
        <v>26</v>
      </c>
      <c r="H435">
        <v>1319.24</v>
      </c>
      <c r="I435">
        <v>1805.56</v>
      </c>
      <c r="J435" t="s">
        <v>30</v>
      </c>
      <c r="K435">
        <v>0.26</v>
      </c>
      <c r="L435" t="s">
        <v>31</v>
      </c>
      <c r="M435" t="s">
        <v>22</v>
      </c>
      <c r="N435" t="s">
        <v>34</v>
      </c>
      <c r="O435" t="s">
        <v>38</v>
      </c>
      <c r="P435" t="str">
        <f>Table1[[#This Row],[Region]]&amp;"|"&amp;Table1[[#This Row],[Sales Rep]]</f>
        <v>East|Eve</v>
      </c>
    </row>
    <row r="436" spans="1:16" x14ac:dyDescent="0.35">
      <c r="A436">
        <v>1032</v>
      </c>
      <c r="B436" s="1">
        <v>45163</v>
      </c>
      <c r="C436" t="s">
        <v>14</v>
      </c>
      <c r="D436" t="s">
        <v>15</v>
      </c>
      <c r="E436">
        <v>8841.64</v>
      </c>
      <c r="F436">
        <v>23</v>
      </c>
      <c r="G436" t="s">
        <v>35</v>
      </c>
      <c r="H436">
        <v>4673.1899999999996</v>
      </c>
      <c r="I436">
        <v>4761.1799999999903</v>
      </c>
      <c r="J436" t="s">
        <v>17</v>
      </c>
      <c r="K436">
        <v>0.17</v>
      </c>
      <c r="L436" t="s">
        <v>31</v>
      </c>
      <c r="M436" t="s">
        <v>22</v>
      </c>
      <c r="N436" t="s">
        <v>15</v>
      </c>
      <c r="O436" t="s">
        <v>14</v>
      </c>
      <c r="P436" t="str">
        <f>Table1[[#This Row],[Region]]&amp;"|"&amp;Table1[[#This Row],[Sales Rep]]</f>
        <v>North|Bob</v>
      </c>
    </row>
    <row r="437" spans="1:16" x14ac:dyDescent="0.35">
      <c r="A437">
        <v>1087</v>
      </c>
      <c r="B437" s="1">
        <v>45235</v>
      </c>
      <c r="C437" t="s">
        <v>38</v>
      </c>
      <c r="D437" t="s">
        <v>34</v>
      </c>
      <c r="E437">
        <v>2106.06</v>
      </c>
      <c r="F437">
        <v>30</v>
      </c>
      <c r="G437" t="s">
        <v>35</v>
      </c>
      <c r="H437">
        <v>698.74</v>
      </c>
      <c r="I437">
        <v>882.28</v>
      </c>
      <c r="J437" t="s">
        <v>17</v>
      </c>
      <c r="K437">
        <v>0.15</v>
      </c>
      <c r="L437" t="s">
        <v>31</v>
      </c>
      <c r="M437" t="s">
        <v>19</v>
      </c>
      <c r="N437" t="s">
        <v>34</v>
      </c>
      <c r="O437" t="s">
        <v>38</v>
      </c>
      <c r="P437" t="str">
        <f>Table1[[#This Row],[Region]]&amp;"|"&amp;Table1[[#This Row],[Sales Rep]]</f>
        <v>East|Eve</v>
      </c>
    </row>
    <row r="438" spans="1:16" x14ac:dyDescent="0.35">
      <c r="A438">
        <v>1063</v>
      </c>
      <c r="B438" s="1">
        <v>45099</v>
      </c>
      <c r="C438" t="s">
        <v>14</v>
      </c>
      <c r="D438" t="s">
        <v>25</v>
      </c>
      <c r="E438">
        <v>5917.1</v>
      </c>
      <c r="F438">
        <v>25</v>
      </c>
      <c r="G438" t="s">
        <v>35</v>
      </c>
      <c r="H438">
        <v>3997.1</v>
      </c>
      <c r="I438">
        <v>4212.6499999999996</v>
      </c>
      <c r="J438" t="s">
        <v>30</v>
      </c>
      <c r="K438">
        <v>0.22</v>
      </c>
      <c r="L438" t="s">
        <v>18</v>
      </c>
      <c r="M438" t="s">
        <v>19</v>
      </c>
      <c r="N438" t="s">
        <v>25</v>
      </c>
      <c r="O438" t="s">
        <v>14</v>
      </c>
      <c r="P438" t="str">
        <f>Table1[[#This Row],[Region]]&amp;"|"&amp;Table1[[#This Row],[Sales Rep]]</f>
        <v>South|Bob</v>
      </c>
    </row>
    <row r="439" spans="1:16" x14ac:dyDescent="0.35">
      <c r="A439">
        <v>1086</v>
      </c>
      <c r="B439" s="1">
        <v>45116</v>
      </c>
      <c r="C439" t="s">
        <v>24</v>
      </c>
      <c r="D439" t="s">
        <v>15</v>
      </c>
      <c r="E439">
        <v>7041.28</v>
      </c>
      <c r="F439">
        <v>28</v>
      </c>
      <c r="G439" t="s">
        <v>26</v>
      </c>
      <c r="H439">
        <v>2564.35</v>
      </c>
      <c r="I439">
        <v>2765.79</v>
      </c>
      <c r="J439" t="s">
        <v>17</v>
      </c>
      <c r="K439">
        <v>0.17</v>
      </c>
      <c r="L439" t="s">
        <v>31</v>
      </c>
      <c r="M439" t="s">
        <v>19</v>
      </c>
      <c r="N439" t="s">
        <v>15</v>
      </c>
      <c r="O439" t="s">
        <v>24</v>
      </c>
      <c r="P439" t="str">
        <f>Table1[[#This Row],[Region]]&amp;"|"&amp;Table1[[#This Row],[Sales Rep]]</f>
        <v>North|David</v>
      </c>
    </row>
    <row r="440" spans="1:16" x14ac:dyDescent="0.35">
      <c r="A440">
        <v>1051</v>
      </c>
      <c r="B440" s="1">
        <v>45048</v>
      </c>
      <c r="C440" t="s">
        <v>42</v>
      </c>
      <c r="D440" t="s">
        <v>15</v>
      </c>
      <c r="E440">
        <v>6833.11</v>
      </c>
      <c r="F440">
        <v>34</v>
      </c>
      <c r="G440" t="s">
        <v>16</v>
      </c>
      <c r="H440">
        <v>3764.14</v>
      </c>
      <c r="I440">
        <v>4100.3999999999996</v>
      </c>
      <c r="J440" t="s">
        <v>17</v>
      </c>
      <c r="K440">
        <v>0.05</v>
      </c>
      <c r="L440" t="s">
        <v>27</v>
      </c>
      <c r="M440" t="s">
        <v>22</v>
      </c>
      <c r="N440" t="s">
        <v>15</v>
      </c>
      <c r="O440" t="s">
        <v>42</v>
      </c>
      <c r="P440" t="str">
        <f>Table1[[#This Row],[Region]]&amp;"|"&amp;Table1[[#This Row],[Sales Rep]]</f>
        <v>North|Alice</v>
      </c>
    </row>
    <row r="441" spans="1:16" x14ac:dyDescent="0.35">
      <c r="A441">
        <v>1025</v>
      </c>
      <c r="B441" s="1">
        <v>44972</v>
      </c>
      <c r="C441" t="s">
        <v>24</v>
      </c>
      <c r="D441" t="s">
        <v>25</v>
      </c>
      <c r="E441">
        <v>4140.7</v>
      </c>
      <c r="F441">
        <v>45</v>
      </c>
      <c r="G441" t="s">
        <v>29</v>
      </c>
      <c r="H441">
        <v>1588.04</v>
      </c>
      <c r="I441">
        <v>1703.6399999999901</v>
      </c>
      <c r="J441" t="s">
        <v>30</v>
      </c>
      <c r="K441">
        <v>0.2</v>
      </c>
      <c r="L441" t="s">
        <v>27</v>
      </c>
      <c r="M441" t="s">
        <v>22</v>
      </c>
      <c r="N441" t="s">
        <v>25</v>
      </c>
      <c r="O441" t="s">
        <v>24</v>
      </c>
      <c r="P441" t="str">
        <f>Table1[[#This Row],[Region]]&amp;"|"&amp;Table1[[#This Row],[Sales Rep]]</f>
        <v>South|David</v>
      </c>
    </row>
    <row r="442" spans="1:16" x14ac:dyDescent="0.35">
      <c r="A442">
        <v>1058</v>
      </c>
      <c r="B442" s="1">
        <v>44990</v>
      </c>
      <c r="C442" t="s">
        <v>38</v>
      </c>
      <c r="D442" t="s">
        <v>15</v>
      </c>
      <c r="E442">
        <v>252.41</v>
      </c>
      <c r="F442">
        <v>48</v>
      </c>
      <c r="G442" t="s">
        <v>16</v>
      </c>
      <c r="H442">
        <v>2596.7199999999998</v>
      </c>
      <c r="I442">
        <v>2715.0499999999902</v>
      </c>
      <c r="J442" t="s">
        <v>17</v>
      </c>
      <c r="K442">
        <v>0.04</v>
      </c>
      <c r="L442" t="s">
        <v>18</v>
      </c>
      <c r="M442" t="s">
        <v>19</v>
      </c>
      <c r="N442" t="s">
        <v>15</v>
      </c>
      <c r="O442" t="s">
        <v>38</v>
      </c>
      <c r="P442" t="str">
        <f>Table1[[#This Row],[Region]]&amp;"|"&amp;Table1[[#This Row],[Sales Rep]]</f>
        <v>North|Eve</v>
      </c>
    </row>
    <row r="443" spans="1:16" x14ac:dyDescent="0.35">
      <c r="A443">
        <v>1063</v>
      </c>
      <c r="B443" s="1">
        <v>45056</v>
      </c>
      <c r="C443" t="s">
        <v>24</v>
      </c>
      <c r="D443" t="s">
        <v>34</v>
      </c>
      <c r="E443">
        <v>5870.97</v>
      </c>
      <c r="F443">
        <v>47</v>
      </c>
      <c r="G443" t="s">
        <v>35</v>
      </c>
      <c r="H443">
        <v>4291.33</v>
      </c>
      <c r="I443">
        <v>4658.6400000000003</v>
      </c>
      <c r="J443" t="s">
        <v>30</v>
      </c>
      <c r="K443">
        <v>0.24</v>
      </c>
      <c r="L443" t="s">
        <v>31</v>
      </c>
      <c r="M443" t="s">
        <v>22</v>
      </c>
      <c r="N443" t="s">
        <v>34</v>
      </c>
      <c r="O443" t="s">
        <v>24</v>
      </c>
      <c r="P443" t="str">
        <f>Table1[[#This Row],[Region]]&amp;"|"&amp;Table1[[#This Row],[Sales Rep]]</f>
        <v>East|David</v>
      </c>
    </row>
    <row r="444" spans="1:16" x14ac:dyDescent="0.35">
      <c r="A444">
        <v>1062</v>
      </c>
      <c r="B444" s="1">
        <v>45236</v>
      </c>
      <c r="C444" t="s">
        <v>24</v>
      </c>
      <c r="D444" t="s">
        <v>34</v>
      </c>
      <c r="E444">
        <v>2605.71</v>
      </c>
      <c r="F444">
        <v>25</v>
      </c>
      <c r="G444" t="s">
        <v>26</v>
      </c>
      <c r="H444">
        <v>2361.0500000000002</v>
      </c>
      <c r="I444">
        <v>2616.19</v>
      </c>
      <c r="J444" t="s">
        <v>30</v>
      </c>
      <c r="K444">
        <v>0.3</v>
      </c>
      <c r="L444" t="s">
        <v>27</v>
      </c>
      <c r="M444" t="s">
        <v>22</v>
      </c>
      <c r="N444" t="s">
        <v>34</v>
      </c>
      <c r="O444" t="s">
        <v>24</v>
      </c>
      <c r="P444" t="str">
        <f>Table1[[#This Row],[Region]]&amp;"|"&amp;Table1[[#This Row],[Sales Rep]]</f>
        <v>East|David</v>
      </c>
    </row>
    <row r="445" spans="1:16" x14ac:dyDescent="0.35">
      <c r="A445">
        <v>1022</v>
      </c>
      <c r="B445" s="1">
        <v>45289</v>
      </c>
      <c r="C445" t="s">
        <v>24</v>
      </c>
      <c r="D445" t="s">
        <v>15</v>
      </c>
      <c r="E445">
        <v>4557.5200000000004</v>
      </c>
      <c r="F445">
        <v>10</v>
      </c>
      <c r="G445" t="s">
        <v>16</v>
      </c>
      <c r="H445">
        <v>1830.61</v>
      </c>
      <c r="I445">
        <v>2044.04</v>
      </c>
      <c r="J445" t="s">
        <v>30</v>
      </c>
      <c r="K445">
        <v>0.11</v>
      </c>
      <c r="L445" t="s">
        <v>18</v>
      </c>
      <c r="M445" t="s">
        <v>19</v>
      </c>
      <c r="N445" t="s">
        <v>15</v>
      </c>
      <c r="O445" t="s">
        <v>24</v>
      </c>
      <c r="P445" t="str">
        <f>Table1[[#This Row],[Region]]&amp;"|"&amp;Table1[[#This Row],[Sales Rep]]</f>
        <v>North|David</v>
      </c>
    </row>
    <row r="446" spans="1:16" x14ac:dyDescent="0.35">
      <c r="A446">
        <v>1058</v>
      </c>
      <c r="B446" s="1">
        <v>45119</v>
      </c>
      <c r="C446" t="s">
        <v>38</v>
      </c>
      <c r="D446" t="s">
        <v>34</v>
      </c>
      <c r="E446">
        <v>9580.0499999999993</v>
      </c>
      <c r="F446">
        <v>14</v>
      </c>
      <c r="G446" t="s">
        <v>35</v>
      </c>
      <c r="H446">
        <v>2703.97</v>
      </c>
      <c r="I446">
        <v>2796.8799999999901</v>
      </c>
      <c r="J446" t="s">
        <v>30</v>
      </c>
      <c r="K446">
        <v>0.13</v>
      </c>
      <c r="L446" t="s">
        <v>27</v>
      </c>
      <c r="M446" t="s">
        <v>19</v>
      </c>
      <c r="N446" t="s">
        <v>34</v>
      </c>
      <c r="O446" t="s">
        <v>38</v>
      </c>
      <c r="P446" t="str">
        <f>Table1[[#This Row],[Region]]&amp;"|"&amp;Table1[[#This Row],[Sales Rep]]</f>
        <v>East|Eve</v>
      </c>
    </row>
    <row r="447" spans="1:16" x14ac:dyDescent="0.35">
      <c r="A447">
        <v>1058</v>
      </c>
      <c r="B447" s="1">
        <v>45233</v>
      </c>
      <c r="C447" t="s">
        <v>24</v>
      </c>
      <c r="D447" t="s">
        <v>21</v>
      </c>
      <c r="E447">
        <v>4050.45</v>
      </c>
      <c r="F447">
        <v>42</v>
      </c>
      <c r="G447" t="s">
        <v>29</v>
      </c>
      <c r="H447">
        <v>3600.95</v>
      </c>
      <c r="I447">
        <v>3702.8399999999901</v>
      </c>
      <c r="J447" t="s">
        <v>17</v>
      </c>
      <c r="K447">
        <v>0.01</v>
      </c>
      <c r="L447" t="s">
        <v>18</v>
      </c>
      <c r="M447" t="s">
        <v>22</v>
      </c>
      <c r="N447" t="s">
        <v>21</v>
      </c>
      <c r="O447" t="s">
        <v>24</v>
      </c>
      <c r="P447" t="str">
        <f>Table1[[#This Row],[Region]]&amp;"|"&amp;Table1[[#This Row],[Sales Rep]]</f>
        <v>West|David</v>
      </c>
    </row>
    <row r="448" spans="1:16" x14ac:dyDescent="0.35">
      <c r="A448">
        <v>1086</v>
      </c>
      <c r="B448" s="1">
        <v>45107</v>
      </c>
      <c r="C448" t="s">
        <v>14</v>
      </c>
      <c r="D448" t="s">
        <v>15</v>
      </c>
      <c r="E448">
        <v>8414.0400000000009</v>
      </c>
      <c r="F448">
        <v>46</v>
      </c>
      <c r="G448" t="s">
        <v>29</v>
      </c>
      <c r="H448">
        <v>2245.64</v>
      </c>
      <c r="I448">
        <v>2260.81</v>
      </c>
      <c r="J448" t="s">
        <v>30</v>
      </c>
      <c r="K448">
        <v>0</v>
      </c>
      <c r="L448" t="s">
        <v>18</v>
      </c>
      <c r="M448" t="s">
        <v>22</v>
      </c>
      <c r="N448" t="s">
        <v>15</v>
      </c>
      <c r="O448" t="s">
        <v>14</v>
      </c>
      <c r="P448" t="str">
        <f>Table1[[#This Row],[Region]]&amp;"|"&amp;Table1[[#This Row],[Sales Rep]]</f>
        <v>North|Bob</v>
      </c>
    </row>
    <row r="449" spans="1:16" x14ac:dyDescent="0.35">
      <c r="A449">
        <v>1049</v>
      </c>
      <c r="B449" s="1">
        <v>45218</v>
      </c>
      <c r="C449" t="s">
        <v>38</v>
      </c>
      <c r="D449" t="s">
        <v>25</v>
      </c>
      <c r="E449">
        <v>1966.55</v>
      </c>
      <c r="F449">
        <v>30</v>
      </c>
      <c r="G449" t="s">
        <v>29</v>
      </c>
      <c r="H449">
        <v>4697.4399999999996</v>
      </c>
      <c r="I449">
        <v>4752.24</v>
      </c>
      <c r="J449" t="s">
        <v>30</v>
      </c>
      <c r="K449">
        <v>0.28000000000000003</v>
      </c>
      <c r="L449" t="s">
        <v>31</v>
      </c>
      <c r="M449" t="s">
        <v>19</v>
      </c>
      <c r="N449" t="s">
        <v>25</v>
      </c>
      <c r="O449" t="s">
        <v>38</v>
      </c>
      <c r="P449" t="str">
        <f>Table1[[#This Row],[Region]]&amp;"|"&amp;Table1[[#This Row],[Sales Rep]]</f>
        <v>South|Eve</v>
      </c>
    </row>
    <row r="450" spans="1:16" x14ac:dyDescent="0.35">
      <c r="A450">
        <v>1052</v>
      </c>
      <c r="B450" s="1">
        <v>45208</v>
      </c>
      <c r="C450" t="s">
        <v>24</v>
      </c>
      <c r="D450" t="s">
        <v>21</v>
      </c>
      <c r="E450">
        <v>6757.36</v>
      </c>
      <c r="F450">
        <v>41</v>
      </c>
      <c r="G450" t="s">
        <v>35</v>
      </c>
      <c r="H450">
        <v>1509.98</v>
      </c>
      <c r="I450">
        <v>1792.83</v>
      </c>
      <c r="J450" t="s">
        <v>30</v>
      </c>
      <c r="K450">
        <v>0.04</v>
      </c>
      <c r="L450" t="s">
        <v>18</v>
      </c>
      <c r="M450" t="s">
        <v>22</v>
      </c>
      <c r="N450" t="s">
        <v>21</v>
      </c>
      <c r="O450" t="s">
        <v>24</v>
      </c>
      <c r="P450" t="str">
        <f>Table1[[#This Row],[Region]]&amp;"|"&amp;Table1[[#This Row],[Sales Rep]]</f>
        <v>West|David</v>
      </c>
    </row>
    <row r="451" spans="1:16" x14ac:dyDescent="0.35">
      <c r="A451">
        <v>1042</v>
      </c>
      <c r="B451" s="1">
        <v>44955</v>
      </c>
      <c r="C451" t="s">
        <v>38</v>
      </c>
      <c r="D451" t="s">
        <v>15</v>
      </c>
      <c r="E451">
        <v>9772.3700000000008</v>
      </c>
      <c r="F451">
        <v>25</v>
      </c>
      <c r="G451" t="s">
        <v>26</v>
      </c>
      <c r="H451">
        <v>2403.54</v>
      </c>
      <c r="I451">
        <v>2850.56</v>
      </c>
      <c r="J451" t="s">
        <v>30</v>
      </c>
      <c r="K451">
        <v>0.13</v>
      </c>
      <c r="L451" t="s">
        <v>27</v>
      </c>
      <c r="M451" t="s">
        <v>19</v>
      </c>
      <c r="N451" t="s">
        <v>15</v>
      </c>
      <c r="O451" t="s">
        <v>38</v>
      </c>
      <c r="P451" t="str">
        <f>Table1[[#This Row],[Region]]&amp;"|"&amp;Table1[[#This Row],[Sales Rep]]</f>
        <v>North|Eve</v>
      </c>
    </row>
    <row r="452" spans="1:16" x14ac:dyDescent="0.35">
      <c r="A452">
        <v>1070</v>
      </c>
      <c r="B452" s="1">
        <v>45075</v>
      </c>
      <c r="C452" t="s">
        <v>33</v>
      </c>
      <c r="D452" t="s">
        <v>25</v>
      </c>
      <c r="E452">
        <v>1108.74</v>
      </c>
      <c r="F452">
        <v>14</v>
      </c>
      <c r="G452" t="s">
        <v>16</v>
      </c>
      <c r="H452">
        <v>3796.79</v>
      </c>
      <c r="I452">
        <v>3947.5</v>
      </c>
      <c r="J452" t="s">
        <v>17</v>
      </c>
      <c r="K452">
        <v>0.24</v>
      </c>
      <c r="L452" t="s">
        <v>27</v>
      </c>
      <c r="M452" t="s">
        <v>19</v>
      </c>
      <c r="N452" t="s">
        <v>25</v>
      </c>
      <c r="O452" t="s">
        <v>33</v>
      </c>
      <c r="P452" t="str">
        <f>Table1[[#This Row],[Region]]&amp;"|"&amp;Table1[[#This Row],[Sales Rep]]</f>
        <v>South|Charlie</v>
      </c>
    </row>
    <row r="453" spans="1:16" x14ac:dyDescent="0.35">
      <c r="A453">
        <v>1015</v>
      </c>
      <c r="B453" s="1">
        <v>45193</v>
      </c>
      <c r="C453" t="s">
        <v>14</v>
      </c>
      <c r="D453" t="s">
        <v>34</v>
      </c>
      <c r="E453">
        <v>182.37</v>
      </c>
      <c r="F453">
        <v>35</v>
      </c>
      <c r="G453" t="s">
        <v>29</v>
      </c>
      <c r="H453">
        <v>3461.15</v>
      </c>
      <c r="I453">
        <v>3631.75</v>
      </c>
      <c r="J453" t="s">
        <v>17</v>
      </c>
      <c r="K453">
        <v>0.27</v>
      </c>
      <c r="L453" t="s">
        <v>31</v>
      </c>
      <c r="M453" t="s">
        <v>19</v>
      </c>
      <c r="N453" t="s">
        <v>34</v>
      </c>
      <c r="O453" t="s">
        <v>14</v>
      </c>
      <c r="P453" t="str">
        <f>Table1[[#This Row],[Region]]&amp;"|"&amp;Table1[[#This Row],[Sales Rep]]</f>
        <v>East|Bob</v>
      </c>
    </row>
    <row r="454" spans="1:16" x14ac:dyDescent="0.35">
      <c r="A454">
        <v>1054</v>
      </c>
      <c r="B454" s="1">
        <v>45222</v>
      </c>
      <c r="C454" t="s">
        <v>24</v>
      </c>
      <c r="D454" t="s">
        <v>25</v>
      </c>
      <c r="E454">
        <v>4392.47</v>
      </c>
      <c r="F454">
        <v>48</v>
      </c>
      <c r="G454" t="s">
        <v>35</v>
      </c>
      <c r="H454">
        <v>4325.0200000000004</v>
      </c>
      <c r="I454">
        <v>4391.67</v>
      </c>
      <c r="J454" t="s">
        <v>17</v>
      </c>
      <c r="K454">
        <v>0.16</v>
      </c>
      <c r="L454" t="s">
        <v>31</v>
      </c>
      <c r="M454" t="s">
        <v>22</v>
      </c>
      <c r="N454" t="s">
        <v>25</v>
      </c>
      <c r="O454" t="s">
        <v>24</v>
      </c>
      <c r="P454" t="str">
        <f>Table1[[#This Row],[Region]]&amp;"|"&amp;Table1[[#This Row],[Sales Rep]]</f>
        <v>South|David</v>
      </c>
    </row>
    <row r="455" spans="1:16" x14ac:dyDescent="0.35">
      <c r="A455">
        <v>1060</v>
      </c>
      <c r="B455" s="1">
        <v>44937</v>
      </c>
      <c r="C455" t="s">
        <v>33</v>
      </c>
      <c r="D455" t="s">
        <v>21</v>
      </c>
      <c r="E455">
        <v>1016.99</v>
      </c>
      <c r="F455">
        <v>34</v>
      </c>
      <c r="G455" t="s">
        <v>35</v>
      </c>
      <c r="H455">
        <v>4984.21</v>
      </c>
      <c r="I455">
        <v>5184.6400000000003</v>
      </c>
      <c r="J455" t="s">
        <v>30</v>
      </c>
      <c r="K455">
        <v>0.17</v>
      </c>
      <c r="L455" t="s">
        <v>18</v>
      </c>
      <c r="M455" t="s">
        <v>19</v>
      </c>
      <c r="N455" t="s">
        <v>21</v>
      </c>
      <c r="O455" t="s">
        <v>33</v>
      </c>
      <c r="P455" t="str">
        <f>Table1[[#This Row],[Region]]&amp;"|"&amp;Table1[[#This Row],[Sales Rep]]</f>
        <v>West|Charlie</v>
      </c>
    </row>
    <row r="456" spans="1:16" x14ac:dyDescent="0.35">
      <c r="A456">
        <v>1097</v>
      </c>
      <c r="B456" s="1">
        <v>45090</v>
      </c>
      <c r="C456" t="s">
        <v>33</v>
      </c>
      <c r="D456" t="s">
        <v>34</v>
      </c>
      <c r="E456">
        <v>7509.01</v>
      </c>
      <c r="F456">
        <v>10</v>
      </c>
      <c r="G456" t="s">
        <v>16</v>
      </c>
      <c r="H456">
        <v>2162.9499999999998</v>
      </c>
      <c r="I456">
        <v>2191.1899999999901</v>
      </c>
      <c r="J456" t="s">
        <v>17</v>
      </c>
      <c r="K456">
        <v>0.2</v>
      </c>
      <c r="L456" t="s">
        <v>31</v>
      </c>
      <c r="M456" t="s">
        <v>19</v>
      </c>
      <c r="N456" t="s">
        <v>34</v>
      </c>
      <c r="O456" t="s">
        <v>33</v>
      </c>
      <c r="P456" t="str">
        <f>Table1[[#This Row],[Region]]&amp;"|"&amp;Table1[[#This Row],[Sales Rep]]</f>
        <v>East|Charlie</v>
      </c>
    </row>
    <row r="457" spans="1:16" x14ac:dyDescent="0.35">
      <c r="A457">
        <v>1008</v>
      </c>
      <c r="B457" s="1">
        <v>45039</v>
      </c>
      <c r="C457" t="s">
        <v>38</v>
      </c>
      <c r="D457" t="s">
        <v>15</v>
      </c>
      <c r="E457">
        <v>9154.0300000000007</v>
      </c>
      <c r="F457">
        <v>35</v>
      </c>
      <c r="G457" t="s">
        <v>29</v>
      </c>
      <c r="H457">
        <v>600.20000000000005</v>
      </c>
      <c r="I457">
        <v>1059.82</v>
      </c>
      <c r="J457" t="s">
        <v>17</v>
      </c>
      <c r="K457">
        <v>0.28999999999999998</v>
      </c>
      <c r="L457" t="s">
        <v>27</v>
      </c>
      <c r="M457" t="s">
        <v>22</v>
      </c>
      <c r="N457" t="s">
        <v>15</v>
      </c>
      <c r="O457" t="s">
        <v>38</v>
      </c>
      <c r="P457" t="str">
        <f>Table1[[#This Row],[Region]]&amp;"|"&amp;Table1[[#This Row],[Sales Rep]]</f>
        <v>North|Eve</v>
      </c>
    </row>
    <row r="458" spans="1:16" x14ac:dyDescent="0.35">
      <c r="A458">
        <v>1053</v>
      </c>
      <c r="B458" s="1">
        <v>45113</v>
      </c>
      <c r="C458" t="s">
        <v>33</v>
      </c>
      <c r="D458" t="s">
        <v>34</v>
      </c>
      <c r="E458">
        <v>4396.8100000000004</v>
      </c>
      <c r="F458">
        <v>11</v>
      </c>
      <c r="G458" t="s">
        <v>35</v>
      </c>
      <c r="H458">
        <v>200.56</v>
      </c>
      <c r="I458">
        <v>540.38</v>
      </c>
      <c r="J458" t="s">
        <v>30</v>
      </c>
      <c r="K458">
        <v>0.18</v>
      </c>
      <c r="L458" t="s">
        <v>27</v>
      </c>
      <c r="M458" t="s">
        <v>19</v>
      </c>
      <c r="N458" t="s">
        <v>34</v>
      </c>
      <c r="O458" t="s">
        <v>33</v>
      </c>
      <c r="P458" t="str">
        <f>Table1[[#This Row],[Region]]&amp;"|"&amp;Table1[[#This Row],[Sales Rep]]</f>
        <v>East|Charlie</v>
      </c>
    </row>
    <row r="459" spans="1:16" x14ac:dyDescent="0.35">
      <c r="A459">
        <v>1060</v>
      </c>
      <c r="B459" s="1">
        <v>45221</v>
      </c>
      <c r="C459" t="s">
        <v>14</v>
      </c>
      <c r="D459" t="s">
        <v>15</v>
      </c>
      <c r="E459">
        <v>2661.25</v>
      </c>
      <c r="F459">
        <v>11</v>
      </c>
      <c r="G459" t="s">
        <v>16</v>
      </c>
      <c r="H459">
        <v>3648.04</v>
      </c>
      <c r="I459">
        <v>4143.51</v>
      </c>
      <c r="J459" t="s">
        <v>17</v>
      </c>
      <c r="K459">
        <v>0.17</v>
      </c>
      <c r="L459" t="s">
        <v>31</v>
      </c>
      <c r="M459" t="s">
        <v>22</v>
      </c>
      <c r="N459" t="s">
        <v>15</v>
      </c>
      <c r="O459" t="s">
        <v>14</v>
      </c>
      <c r="P459" t="str">
        <f>Table1[[#This Row],[Region]]&amp;"|"&amp;Table1[[#This Row],[Sales Rep]]</f>
        <v>North|Bob</v>
      </c>
    </row>
    <row r="460" spans="1:16" x14ac:dyDescent="0.35">
      <c r="A460">
        <v>1005</v>
      </c>
      <c r="B460" s="1">
        <v>45158</v>
      </c>
      <c r="C460" t="s">
        <v>14</v>
      </c>
      <c r="D460" t="s">
        <v>15</v>
      </c>
      <c r="E460">
        <v>4400.59</v>
      </c>
      <c r="F460">
        <v>21</v>
      </c>
      <c r="G460" t="s">
        <v>26</v>
      </c>
      <c r="H460">
        <v>4376.37</v>
      </c>
      <c r="I460">
        <v>4818.95</v>
      </c>
      <c r="J460" t="s">
        <v>30</v>
      </c>
      <c r="K460">
        <v>0</v>
      </c>
      <c r="L460" t="s">
        <v>31</v>
      </c>
      <c r="M460" t="s">
        <v>22</v>
      </c>
      <c r="N460" t="s">
        <v>15</v>
      </c>
      <c r="O460" t="s">
        <v>14</v>
      </c>
      <c r="P460" t="str">
        <f>Table1[[#This Row],[Region]]&amp;"|"&amp;Table1[[#This Row],[Sales Rep]]</f>
        <v>North|Bob</v>
      </c>
    </row>
    <row r="461" spans="1:16" x14ac:dyDescent="0.35">
      <c r="A461">
        <v>1068</v>
      </c>
      <c r="B461" s="1">
        <v>45153</v>
      </c>
      <c r="C461" t="s">
        <v>42</v>
      </c>
      <c r="D461" t="s">
        <v>25</v>
      </c>
      <c r="E461">
        <v>7262.13</v>
      </c>
      <c r="F461">
        <v>21</v>
      </c>
      <c r="G461" t="s">
        <v>26</v>
      </c>
      <c r="H461">
        <v>1142.53</v>
      </c>
      <c r="I461">
        <v>1384.3</v>
      </c>
      <c r="J461" t="s">
        <v>17</v>
      </c>
      <c r="K461">
        <v>0.02</v>
      </c>
      <c r="L461" t="s">
        <v>31</v>
      </c>
      <c r="M461" t="s">
        <v>22</v>
      </c>
      <c r="N461" t="s">
        <v>25</v>
      </c>
      <c r="O461" t="s">
        <v>42</v>
      </c>
      <c r="P461" t="str">
        <f>Table1[[#This Row],[Region]]&amp;"|"&amp;Table1[[#This Row],[Sales Rep]]</f>
        <v>South|Alice</v>
      </c>
    </row>
    <row r="462" spans="1:16" x14ac:dyDescent="0.35">
      <c r="A462">
        <v>1006</v>
      </c>
      <c r="B462" s="1">
        <v>45236</v>
      </c>
      <c r="C462" t="s">
        <v>14</v>
      </c>
      <c r="D462" t="s">
        <v>25</v>
      </c>
      <c r="E462">
        <v>189.64</v>
      </c>
      <c r="F462">
        <v>22</v>
      </c>
      <c r="G462" t="s">
        <v>26</v>
      </c>
      <c r="H462">
        <v>834.32</v>
      </c>
      <c r="I462">
        <v>1098.97</v>
      </c>
      <c r="J462" t="s">
        <v>17</v>
      </c>
      <c r="K462">
        <v>0.17</v>
      </c>
      <c r="L462" t="s">
        <v>18</v>
      </c>
      <c r="M462" t="s">
        <v>19</v>
      </c>
      <c r="N462" t="s">
        <v>25</v>
      </c>
      <c r="O462" t="s">
        <v>14</v>
      </c>
      <c r="P462" t="str">
        <f>Table1[[#This Row],[Region]]&amp;"|"&amp;Table1[[#This Row],[Sales Rep]]</f>
        <v>South|Bob</v>
      </c>
    </row>
    <row r="463" spans="1:16" x14ac:dyDescent="0.35">
      <c r="A463">
        <v>1096</v>
      </c>
      <c r="B463" s="1">
        <v>45024</v>
      </c>
      <c r="C463" t="s">
        <v>33</v>
      </c>
      <c r="D463" t="s">
        <v>25</v>
      </c>
      <c r="E463">
        <v>5935.59</v>
      </c>
      <c r="F463">
        <v>45</v>
      </c>
      <c r="G463" t="s">
        <v>29</v>
      </c>
      <c r="H463">
        <v>357.92</v>
      </c>
      <c r="I463">
        <v>461.3</v>
      </c>
      <c r="J463" t="s">
        <v>17</v>
      </c>
      <c r="K463">
        <v>0.28000000000000003</v>
      </c>
      <c r="L463" t="s">
        <v>18</v>
      </c>
      <c r="M463" t="s">
        <v>19</v>
      </c>
      <c r="N463" t="s">
        <v>25</v>
      </c>
      <c r="O463" t="s">
        <v>33</v>
      </c>
      <c r="P463" t="str">
        <f>Table1[[#This Row],[Region]]&amp;"|"&amp;Table1[[#This Row],[Sales Rep]]</f>
        <v>South|Charlie</v>
      </c>
    </row>
    <row r="464" spans="1:16" x14ac:dyDescent="0.35">
      <c r="A464">
        <v>1094</v>
      </c>
      <c r="B464" s="1">
        <v>44981</v>
      </c>
      <c r="C464" t="s">
        <v>14</v>
      </c>
      <c r="D464" t="s">
        <v>21</v>
      </c>
      <c r="E464">
        <v>6171.59</v>
      </c>
      <c r="F464">
        <v>7</v>
      </c>
      <c r="G464" t="s">
        <v>16</v>
      </c>
      <c r="H464">
        <v>4122.38</v>
      </c>
      <c r="I464">
        <v>4358.78</v>
      </c>
      <c r="J464" t="s">
        <v>17</v>
      </c>
      <c r="K464">
        <v>0.26</v>
      </c>
      <c r="L464" t="s">
        <v>27</v>
      </c>
      <c r="M464" t="s">
        <v>22</v>
      </c>
      <c r="N464" t="s">
        <v>21</v>
      </c>
      <c r="O464" t="s">
        <v>14</v>
      </c>
      <c r="P464" t="str">
        <f>Table1[[#This Row],[Region]]&amp;"|"&amp;Table1[[#This Row],[Sales Rep]]</f>
        <v>West|Bob</v>
      </c>
    </row>
    <row r="465" spans="1:16" x14ac:dyDescent="0.35">
      <c r="A465">
        <v>1047</v>
      </c>
      <c r="B465" s="1">
        <v>45037</v>
      </c>
      <c r="C465" t="s">
        <v>38</v>
      </c>
      <c r="D465" t="s">
        <v>21</v>
      </c>
      <c r="E465">
        <v>6413.11</v>
      </c>
      <c r="F465">
        <v>17</v>
      </c>
      <c r="G465" t="s">
        <v>16</v>
      </c>
      <c r="H465">
        <v>1591.34</v>
      </c>
      <c r="I465">
        <v>2043.82</v>
      </c>
      <c r="J465" t="s">
        <v>30</v>
      </c>
      <c r="K465">
        <v>0.28999999999999998</v>
      </c>
      <c r="L465" t="s">
        <v>18</v>
      </c>
      <c r="M465" t="s">
        <v>22</v>
      </c>
      <c r="N465" t="s">
        <v>21</v>
      </c>
      <c r="O465" t="s">
        <v>38</v>
      </c>
      <c r="P465" t="str">
        <f>Table1[[#This Row],[Region]]&amp;"|"&amp;Table1[[#This Row],[Sales Rep]]</f>
        <v>West|Eve</v>
      </c>
    </row>
    <row r="466" spans="1:16" x14ac:dyDescent="0.35">
      <c r="A466">
        <v>1099</v>
      </c>
      <c r="B466" s="1">
        <v>45078</v>
      </c>
      <c r="C466" t="s">
        <v>42</v>
      </c>
      <c r="D466" t="s">
        <v>25</v>
      </c>
      <c r="E466">
        <v>2496.02</v>
      </c>
      <c r="F466">
        <v>2</v>
      </c>
      <c r="G466" t="s">
        <v>35</v>
      </c>
      <c r="H466">
        <v>2038.4</v>
      </c>
      <c r="I466">
        <v>2073.3200000000002</v>
      </c>
      <c r="J466" t="s">
        <v>30</v>
      </c>
      <c r="K466">
        <v>0.16</v>
      </c>
      <c r="L466" t="s">
        <v>18</v>
      </c>
      <c r="M466" t="s">
        <v>22</v>
      </c>
      <c r="N466" t="s">
        <v>25</v>
      </c>
      <c r="O466" t="s">
        <v>42</v>
      </c>
      <c r="P466" t="str">
        <f>Table1[[#This Row],[Region]]&amp;"|"&amp;Table1[[#This Row],[Sales Rep]]</f>
        <v>South|Alice</v>
      </c>
    </row>
    <row r="467" spans="1:16" x14ac:dyDescent="0.35">
      <c r="A467">
        <v>1055</v>
      </c>
      <c r="B467" s="1">
        <v>45172</v>
      </c>
      <c r="C467" t="s">
        <v>33</v>
      </c>
      <c r="D467" t="s">
        <v>21</v>
      </c>
      <c r="E467">
        <v>7169.12</v>
      </c>
      <c r="F467">
        <v>12</v>
      </c>
      <c r="G467" t="s">
        <v>35</v>
      </c>
      <c r="H467">
        <v>2538.61</v>
      </c>
      <c r="I467">
        <v>2971.75</v>
      </c>
      <c r="J467" t="s">
        <v>17</v>
      </c>
      <c r="K467">
        <v>0.24</v>
      </c>
      <c r="L467" t="s">
        <v>18</v>
      </c>
      <c r="M467" t="s">
        <v>19</v>
      </c>
      <c r="N467" t="s">
        <v>21</v>
      </c>
      <c r="O467" t="s">
        <v>33</v>
      </c>
      <c r="P467" t="str">
        <f>Table1[[#This Row],[Region]]&amp;"|"&amp;Table1[[#This Row],[Sales Rep]]</f>
        <v>West|Charlie</v>
      </c>
    </row>
    <row r="468" spans="1:16" x14ac:dyDescent="0.35">
      <c r="A468">
        <v>1040</v>
      </c>
      <c r="B468" s="1">
        <v>44995</v>
      </c>
      <c r="C468" t="s">
        <v>42</v>
      </c>
      <c r="D468" t="s">
        <v>34</v>
      </c>
      <c r="E468">
        <v>1004.78</v>
      </c>
      <c r="F468">
        <v>42</v>
      </c>
      <c r="G468" t="s">
        <v>35</v>
      </c>
      <c r="H468">
        <v>4205.29</v>
      </c>
      <c r="I468">
        <v>4382.3500000000004</v>
      </c>
      <c r="J468" t="s">
        <v>30</v>
      </c>
      <c r="K468">
        <v>0.25</v>
      </c>
      <c r="L468" t="s">
        <v>18</v>
      </c>
      <c r="M468" t="s">
        <v>22</v>
      </c>
      <c r="N468" t="s">
        <v>34</v>
      </c>
      <c r="O468" t="s">
        <v>42</v>
      </c>
      <c r="P468" t="str">
        <f>Table1[[#This Row],[Region]]&amp;"|"&amp;Table1[[#This Row],[Sales Rep]]</f>
        <v>East|Alice</v>
      </c>
    </row>
    <row r="469" spans="1:16" x14ac:dyDescent="0.35">
      <c r="A469">
        <v>1052</v>
      </c>
      <c r="B469" s="1">
        <v>45238</v>
      </c>
      <c r="C469" t="s">
        <v>33</v>
      </c>
      <c r="D469" t="s">
        <v>34</v>
      </c>
      <c r="E469">
        <v>2072.7800000000002</v>
      </c>
      <c r="F469">
        <v>18</v>
      </c>
      <c r="G469" t="s">
        <v>16</v>
      </c>
      <c r="H469">
        <v>3271.62</v>
      </c>
      <c r="I469">
        <v>3722.38</v>
      </c>
      <c r="J469" t="s">
        <v>17</v>
      </c>
      <c r="K469">
        <v>0.19</v>
      </c>
      <c r="L469" t="s">
        <v>27</v>
      </c>
      <c r="M469" t="s">
        <v>22</v>
      </c>
      <c r="N469" t="s">
        <v>34</v>
      </c>
      <c r="O469" t="s">
        <v>33</v>
      </c>
      <c r="P469" t="str">
        <f>Table1[[#This Row],[Region]]&amp;"|"&amp;Table1[[#This Row],[Sales Rep]]</f>
        <v>East|Charlie</v>
      </c>
    </row>
    <row r="470" spans="1:16" x14ac:dyDescent="0.35">
      <c r="A470">
        <v>1016</v>
      </c>
      <c r="B470" s="1">
        <v>45215</v>
      </c>
      <c r="C470" t="s">
        <v>38</v>
      </c>
      <c r="D470" t="s">
        <v>21</v>
      </c>
      <c r="E470">
        <v>8786.9500000000007</v>
      </c>
      <c r="F470">
        <v>11</v>
      </c>
      <c r="G470" t="s">
        <v>35</v>
      </c>
      <c r="H470">
        <v>3094.57</v>
      </c>
      <c r="I470">
        <v>3565.6</v>
      </c>
      <c r="J470" t="s">
        <v>17</v>
      </c>
      <c r="K470">
        <v>0.1</v>
      </c>
      <c r="L470" t="s">
        <v>31</v>
      </c>
      <c r="M470" t="s">
        <v>22</v>
      </c>
      <c r="N470" t="s">
        <v>21</v>
      </c>
      <c r="O470" t="s">
        <v>38</v>
      </c>
      <c r="P470" t="str">
        <f>Table1[[#This Row],[Region]]&amp;"|"&amp;Table1[[#This Row],[Sales Rep]]</f>
        <v>West|Eve</v>
      </c>
    </row>
    <row r="471" spans="1:16" x14ac:dyDescent="0.35">
      <c r="A471">
        <v>1013</v>
      </c>
      <c r="B471" s="1">
        <v>45176</v>
      </c>
      <c r="C471" t="s">
        <v>42</v>
      </c>
      <c r="D471" t="s">
        <v>21</v>
      </c>
      <c r="E471">
        <v>7413.36</v>
      </c>
      <c r="F471">
        <v>16</v>
      </c>
      <c r="G471" t="s">
        <v>16</v>
      </c>
      <c r="H471">
        <v>919.58</v>
      </c>
      <c r="I471">
        <v>1258.3</v>
      </c>
      <c r="J471" t="s">
        <v>17</v>
      </c>
      <c r="K471">
        <v>0.14000000000000001</v>
      </c>
      <c r="L471" t="s">
        <v>27</v>
      </c>
      <c r="M471" t="s">
        <v>19</v>
      </c>
      <c r="N471" t="s">
        <v>21</v>
      </c>
      <c r="O471" t="s">
        <v>42</v>
      </c>
      <c r="P471" t="str">
        <f>Table1[[#This Row],[Region]]&amp;"|"&amp;Table1[[#This Row],[Sales Rep]]</f>
        <v>West|Alice</v>
      </c>
    </row>
    <row r="472" spans="1:16" x14ac:dyDescent="0.35">
      <c r="A472">
        <v>1030</v>
      </c>
      <c r="B472" s="1">
        <v>44962</v>
      </c>
      <c r="C472" t="s">
        <v>24</v>
      </c>
      <c r="D472" t="s">
        <v>34</v>
      </c>
      <c r="E472">
        <v>236.08</v>
      </c>
      <c r="F472">
        <v>49</v>
      </c>
      <c r="G472" t="s">
        <v>16</v>
      </c>
      <c r="H472">
        <v>2590.29</v>
      </c>
      <c r="I472">
        <v>2925.86</v>
      </c>
      <c r="J472" t="s">
        <v>17</v>
      </c>
      <c r="K472">
        <v>0.26</v>
      </c>
      <c r="L472" t="s">
        <v>18</v>
      </c>
      <c r="M472" t="s">
        <v>22</v>
      </c>
      <c r="N472" t="s">
        <v>34</v>
      </c>
      <c r="O472" t="s">
        <v>24</v>
      </c>
      <c r="P472" t="str">
        <f>Table1[[#This Row],[Region]]&amp;"|"&amp;Table1[[#This Row],[Sales Rep]]</f>
        <v>East|David</v>
      </c>
    </row>
    <row r="473" spans="1:16" x14ac:dyDescent="0.35">
      <c r="A473">
        <v>1019</v>
      </c>
      <c r="B473" s="1">
        <v>45165</v>
      </c>
      <c r="C473" t="s">
        <v>33</v>
      </c>
      <c r="D473" t="s">
        <v>15</v>
      </c>
      <c r="E473">
        <v>2558.92</v>
      </c>
      <c r="F473">
        <v>18</v>
      </c>
      <c r="G473" t="s">
        <v>26</v>
      </c>
      <c r="H473">
        <v>3591.14</v>
      </c>
      <c r="I473">
        <v>3822.99</v>
      </c>
      <c r="J473" t="s">
        <v>17</v>
      </c>
      <c r="K473">
        <v>0.09</v>
      </c>
      <c r="L473" t="s">
        <v>31</v>
      </c>
      <c r="M473" t="s">
        <v>19</v>
      </c>
      <c r="N473" t="s">
        <v>15</v>
      </c>
      <c r="O473" t="s">
        <v>33</v>
      </c>
      <c r="P473" t="str">
        <f>Table1[[#This Row],[Region]]&amp;"|"&amp;Table1[[#This Row],[Sales Rep]]</f>
        <v>North|Charlie</v>
      </c>
    </row>
    <row r="474" spans="1:16" x14ac:dyDescent="0.35">
      <c r="A474">
        <v>1017</v>
      </c>
      <c r="B474" s="1">
        <v>45074</v>
      </c>
      <c r="C474" t="s">
        <v>24</v>
      </c>
      <c r="D474" t="s">
        <v>34</v>
      </c>
      <c r="E474">
        <v>2222.62</v>
      </c>
      <c r="F474">
        <v>35</v>
      </c>
      <c r="G474" t="s">
        <v>35</v>
      </c>
      <c r="H474">
        <v>4867.6400000000003</v>
      </c>
      <c r="I474">
        <v>5287.05</v>
      </c>
      <c r="J474" t="s">
        <v>17</v>
      </c>
      <c r="K474">
        <v>0.28000000000000003</v>
      </c>
      <c r="L474" t="s">
        <v>31</v>
      </c>
      <c r="M474" t="s">
        <v>19</v>
      </c>
      <c r="N474" t="s">
        <v>34</v>
      </c>
      <c r="O474" t="s">
        <v>24</v>
      </c>
      <c r="P474" t="str">
        <f>Table1[[#This Row],[Region]]&amp;"|"&amp;Table1[[#This Row],[Sales Rep]]</f>
        <v>East|David</v>
      </c>
    </row>
    <row r="475" spans="1:16" x14ac:dyDescent="0.35">
      <c r="A475">
        <v>1063</v>
      </c>
      <c r="B475" s="1">
        <v>45153</v>
      </c>
      <c r="C475" t="s">
        <v>42</v>
      </c>
      <c r="D475" t="s">
        <v>34</v>
      </c>
      <c r="E475">
        <v>2780.98</v>
      </c>
      <c r="F475">
        <v>26</v>
      </c>
      <c r="G475" t="s">
        <v>26</v>
      </c>
      <c r="H475">
        <v>1046.96</v>
      </c>
      <c r="I475">
        <v>1528.15</v>
      </c>
      <c r="J475" t="s">
        <v>30</v>
      </c>
      <c r="K475">
        <v>7.0000000000000007E-2</v>
      </c>
      <c r="L475" t="s">
        <v>31</v>
      </c>
      <c r="M475" t="s">
        <v>22</v>
      </c>
      <c r="N475" t="s">
        <v>34</v>
      </c>
      <c r="O475" t="s">
        <v>42</v>
      </c>
      <c r="P475" t="str">
        <f>Table1[[#This Row],[Region]]&amp;"|"&amp;Table1[[#This Row],[Sales Rep]]</f>
        <v>East|Alice</v>
      </c>
    </row>
    <row r="476" spans="1:16" x14ac:dyDescent="0.35">
      <c r="A476">
        <v>1019</v>
      </c>
      <c r="B476" s="1">
        <v>45170</v>
      </c>
      <c r="C476" t="s">
        <v>24</v>
      </c>
      <c r="D476" t="s">
        <v>21</v>
      </c>
      <c r="E476">
        <v>2550.84</v>
      </c>
      <c r="F476">
        <v>16</v>
      </c>
      <c r="G476" t="s">
        <v>29</v>
      </c>
      <c r="H476">
        <v>97.24</v>
      </c>
      <c r="I476">
        <v>487.03</v>
      </c>
      <c r="J476" t="s">
        <v>30</v>
      </c>
      <c r="K476">
        <v>0.22</v>
      </c>
      <c r="L476" t="s">
        <v>27</v>
      </c>
      <c r="M476" t="s">
        <v>22</v>
      </c>
      <c r="N476" t="s">
        <v>21</v>
      </c>
      <c r="O476" t="s">
        <v>24</v>
      </c>
      <c r="P476" t="str">
        <f>Table1[[#This Row],[Region]]&amp;"|"&amp;Table1[[#This Row],[Sales Rep]]</f>
        <v>West|David</v>
      </c>
    </row>
    <row r="477" spans="1:16" x14ac:dyDescent="0.35">
      <c r="A477">
        <v>1092</v>
      </c>
      <c r="B477" s="1">
        <v>45263</v>
      </c>
      <c r="C477" t="s">
        <v>24</v>
      </c>
      <c r="D477" t="s">
        <v>34</v>
      </c>
      <c r="E477">
        <v>719.01</v>
      </c>
      <c r="F477">
        <v>6</v>
      </c>
      <c r="G477" t="s">
        <v>29</v>
      </c>
      <c r="H477">
        <v>422.74</v>
      </c>
      <c r="I477">
        <v>737.49</v>
      </c>
      <c r="J477" t="s">
        <v>17</v>
      </c>
      <c r="K477">
        <v>0.19</v>
      </c>
      <c r="L477" t="s">
        <v>31</v>
      </c>
      <c r="M477" t="s">
        <v>22</v>
      </c>
      <c r="N477" t="s">
        <v>34</v>
      </c>
      <c r="O477" t="s">
        <v>24</v>
      </c>
      <c r="P477" t="str">
        <f>Table1[[#This Row],[Region]]&amp;"|"&amp;Table1[[#This Row],[Sales Rep]]</f>
        <v>East|David</v>
      </c>
    </row>
    <row r="478" spans="1:16" x14ac:dyDescent="0.35">
      <c r="A478">
        <v>1058</v>
      </c>
      <c r="B478" s="1">
        <v>45291</v>
      </c>
      <c r="C478" t="s">
        <v>42</v>
      </c>
      <c r="D478" t="s">
        <v>21</v>
      </c>
      <c r="E478">
        <v>4643.51</v>
      </c>
      <c r="F478">
        <v>44</v>
      </c>
      <c r="G478" t="s">
        <v>29</v>
      </c>
      <c r="H478">
        <v>1910.47</v>
      </c>
      <c r="I478">
        <v>2217.8000000000002</v>
      </c>
      <c r="J478" t="s">
        <v>30</v>
      </c>
      <c r="K478">
        <v>0.22</v>
      </c>
      <c r="L478" t="s">
        <v>27</v>
      </c>
      <c r="M478" t="s">
        <v>19</v>
      </c>
      <c r="N478" t="s">
        <v>21</v>
      </c>
      <c r="O478" t="s">
        <v>42</v>
      </c>
      <c r="P478" t="str">
        <f>Table1[[#This Row],[Region]]&amp;"|"&amp;Table1[[#This Row],[Sales Rep]]</f>
        <v>West|Alice</v>
      </c>
    </row>
    <row r="479" spans="1:16" x14ac:dyDescent="0.35">
      <c r="A479">
        <v>1055</v>
      </c>
      <c r="B479" s="1">
        <v>45127</v>
      </c>
      <c r="C479" t="s">
        <v>38</v>
      </c>
      <c r="D479" t="s">
        <v>21</v>
      </c>
      <c r="E479">
        <v>7354.06</v>
      </c>
      <c r="F479">
        <v>43</v>
      </c>
      <c r="G479" t="s">
        <v>16</v>
      </c>
      <c r="H479">
        <v>4111.7</v>
      </c>
      <c r="I479">
        <v>4537.9399999999996</v>
      </c>
      <c r="J479" t="s">
        <v>17</v>
      </c>
      <c r="K479">
        <v>0.13</v>
      </c>
      <c r="L479" t="s">
        <v>27</v>
      </c>
      <c r="M479" t="s">
        <v>19</v>
      </c>
      <c r="N479" t="s">
        <v>21</v>
      </c>
      <c r="O479" t="s">
        <v>38</v>
      </c>
      <c r="P479" t="str">
        <f>Table1[[#This Row],[Region]]&amp;"|"&amp;Table1[[#This Row],[Sales Rep]]</f>
        <v>West|Eve</v>
      </c>
    </row>
    <row r="480" spans="1:16" x14ac:dyDescent="0.35">
      <c r="A480">
        <v>1090</v>
      </c>
      <c r="B480" s="1">
        <v>45080</v>
      </c>
      <c r="C480" t="s">
        <v>24</v>
      </c>
      <c r="D480" t="s">
        <v>25</v>
      </c>
      <c r="E480">
        <v>6106.64</v>
      </c>
      <c r="F480">
        <v>47</v>
      </c>
      <c r="G480" t="s">
        <v>16</v>
      </c>
      <c r="H480">
        <v>85.35</v>
      </c>
      <c r="I480">
        <v>360.539999999999</v>
      </c>
      <c r="J480" t="s">
        <v>30</v>
      </c>
      <c r="K480">
        <v>0.28000000000000003</v>
      </c>
      <c r="L480" t="s">
        <v>18</v>
      </c>
      <c r="M480" t="s">
        <v>19</v>
      </c>
      <c r="N480" t="s">
        <v>25</v>
      </c>
      <c r="O480" t="s">
        <v>24</v>
      </c>
      <c r="P480" t="str">
        <f>Table1[[#This Row],[Region]]&amp;"|"&amp;Table1[[#This Row],[Sales Rep]]</f>
        <v>South|David</v>
      </c>
    </row>
    <row r="481" spans="1:16" x14ac:dyDescent="0.35">
      <c r="A481">
        <v>1090</v>
      </c>
      <c r="B481" s="1">
        <v>44999</v>
      </c>
      <c r="C481" t="s">
        <v>24</v>
      </c>
      <c r="D481" t="s">
        <v>34</v>
      </c>
      <c r="E481">
        <v>6761.43</v>
      </c>
      <c r="F481">
        <v>47</v>
      </c>
      <c r="G481" t="s">
        <v>16</v>
      </c>
      <c r="H481">
        <v>2310.8200000000002</v>
      </c>
      <c r="I481">
        <v>2714.71</v>
      </c>
      <c r="J481" t="s">
        <v>30</v>
      </c>
      <c r="K481">
        <v>0.19</v>
      </c>
      <c r="L481" t="s">
        <v>18</v>
      </c>
      <c r="M481" t="s">
        <v>22</v>
      </c>
      <c r="N481" t="s">
        <v>34</v>
      </c>
      <c r="O481" t="s">
        <v>24</v>
      </c>
      <c r="P481" t="str">
        <f>Table1[[#This Row],[Region]]&amp;"|"&amp;Table1[[#This Row],[Sales Rep]]</f>
        <v>East|David</v>
      </c>
    </row>
    <row r="482" spans="1:16" x14ac:dyDescent="0.35">
      <c r="A482">
        <v>1062</v>
      </c>
      <c r="B482" s="1">
        <v>45127</v>
      </c>
      <c r="C482" t="s">
        <v>38</v>
      </c>
      <c r="D482" t="s">
        <v>15</v>
      </c>
      <c r="E482">
        <v>903.38</v>
      </c>
      <c r="F482">
        <v>48</v>
      </c>
      <c r="G482" t="s">
        <v>35</v>
      </c>
      <c r="H482">
        <v>1679.69</v>
      </c>
      <c r="I482">
        <v>1939.04</v>
      </c>
      <c r="J482" t="s">
        <v>30</v>
      </c>
      <c r="K482">
        <v>0.09</v>
      </c>
      <c r="L482" t="s">
        <v>31</v>
      </c>
      <c r="M482" t="s">
        <v>19</v>
      </c>
      <c r="N482" t="s">
        <v>15</v>
      </c>
      <c r="O482" t="s">
        <v>38</v>
      </c>
      <c r="P482" t="str">
        <f>Table1[[#This Row],[Region]]&amp;"|"&amp;Table1[[#This Row],[Sales Rep]]</f>
        <v>North|Eve</v>
      </c>
    </row>
    <row r="483" spans="1:16" x14ac:dyDescent="0.35">
      <c r="A483">
        <v>1023</v>
      </c>
      <c r="B483" s="1">
        <v>45222</v>
      </c>
      <c r="C483" t="s">
        <v>24</v>
      </c>
      <c r="D483" t="s">
        <v>25</v>
      </c>
      <c r="E483">
        <v>9519.76</v>
      </c>
      <c r="F483">
        <v>42</v>
      </c>
      <c r="G483" t="s">
        <v>26</v>
      </c>
      <c r="H483">
        <v>309.77999999999997</v>
      </c>
      <c r="I483">
        <v>350.38</v>
      </c>
      <c r="J483" t="s">
        <v>17</v>
      </c>
      <c r="K483">
        <v>0.19</v>
      </c>
      <c r="L483" t="s">
        <v>31</v>
      </c>
      <c r="M483" t="s">
        <v>22</v>
      </c>
      <c r="N483" t="s">
        <v>25</v>
      </c>
      <c r="O483" t="s">
        <v>24</v>
      </c>
      <c r="P483" t="str">
        <f>Table1[[#This Row],[Region]]&amp;"|"&amp;Table1[[#This Row],[Sales Rep]]</f>
        <v>South|David</v>
      </c>
    </row>
    <row r="484" spans="1:16" x14ac:dyDescent="0.35">
      <c r="A484">
        <v>1009</v>
      </c>
      <c r="B484" s="1">
        <v>44943</v>
      </c>
      <c r="C484" t="s">
        <v>24</v>
      </c>
      <c r="D484" t="s">
        <v>21</v>
      </c>
      <c r="E484">
        <v>8401.07</v>
      </c>
      <c r="F484">
        <v>12</v>
      </c>
      <c r="G484" t="s">
        <v>16</v>
      </c>
      <c r="H484">
        <v>2278.67</v>
      </c>
      <c r="I484">
        <v>2476.8000000000002</v>
      </c>
      <c r="J484" t="s">
        <v>30</v>
      </c>
      <c r="K484">
        <v>0.09</v>
      </c>
      <c r="L484" t="s">
        <v>18</v>
      </c>
      <c r="M484" t="s">
        <v>22</v>
      </c>
      <c r="N484" t="s">
        <v>21</v>
      </c>
      <c r="O484" t="s">
        <v>24</v>
      </c>
      <c r="P484" t="str">
        <f>Table1[[#This Row],[Region]]&amp;"|"&amp;Table1[[#This Row],[Sales Rep]]</f>
        <v>West|David</v>
      </c>
    </row>
    <row r="485" spans="1:16" x14ac:dyDescent="0.35">
      <c r="A485">
        <v>1012</v>
      </c>
      <c r="B485" s="1">
        <v>45055</v>
      </c>
      <c r="C485" t="s">
        <v>24</v>
      </c>
      <c r="D485" t="s">
        <v>21</v>
      </c>
      <c r="E485">
        <v>8070.39</v>
      </c>
      <c r="F485">
        <v>13</v>
      </c>
      <c r="G485" t="s">
        <v>26</v>
      </c>
      <c r="H485">
        <v>1311.01</v>
      </c>
      <c r="I485">
        <v>1538.79</v>
      </c>
      <c r="J485" t="s">
        <v>17</v>
      </c>
      <c r="K485">
        <v>0.09</v>
      </c>
      <c r="L485" t="s">
        <v>27</v>
      </c>
      <c r="M485" t="s">
        <v>22</v>
      </c>
      <c r="N485" t="s">
        <v>21</v>
      </c>
      <c r="O485" t="s">
        <v>24</v>
      </c>
      <c r="P485" t="str">
        <f>Table1[[#This Row],[Region]]&amp;"|"&amp;Table1[[#This Row],[Sales Rep]]</f>
        <v>West|David</v>
      </c>
    </row>
    <row r="486" spans="1:16" x14ac:dyDescent="0.35">
      <c r="A486">
        <v>1001</v>
      </c>
      <c r="B486" s="1">
        <v>45143</v>
      </c>
      <c r="C486" t="s">
        <v>14</v>
      </c>
      <c r="D486" t="s">
        <v>15</v>
      </c>
      <c r="E486">
        <v>8247.5400000000009</v>
      </c>
      <c r="F486">
        <v>4</v>
      </c>
      <c r="G486" t="s">
        <v>26</v>
      </c>
      <c r="H486">
        <v>1791.83</v>
      </c>
      <c r="I486">
        <v>1871.22</v>
      </c>
      <c r="J486" t="s">
        <v>17</v>
      </c>
      <c r="K486">
        <v>0.12</v>
      </c>
      <c r="L486" t="s">
        <v>27</v>
      </c>
      <c r="M486" t="s">
        <v>19</v>
      </c>
      <c r="N486" t="s">
        <v>15</v>
      </c>
      <c r="O486" t="s">
        <v>14</v>
      </c>
      <c r="P486" t="str">
        <f>Table1[[#This Row],[Region]]&amp;"|"&amp;Table1[[#This Row],[Sales Rep]]</f>
        <v>North|Bob</v>
      </c>
    </row>
    <row r="487" spans="1:16" x14ac:dyDescent="0.35">
      <c r="A487">
        <v>1058</v>
      </c>
      <c r="B487" s="1">
        <v>44987</v>
      </c>
      <c r="C487" t="s">
        <v>38</v>
      </c>
      <c r="D487" t="s">
        <v>21</v>
      </c>
      <c r="E487">
        <v>9333.83</v>
      </c>
      <c r="F487">
        <v>39</v>
      </c>
      <c r="G487" t="s">
        <v>26</v>
      </c>
      <c r="H487">
        <v>3542.8</v>
      </c>
      <c r="I487">
        <v>3603.02</v>
      </c>
      <c r="J487" t="s">
        <v>17</v>
      </c>
      <c r="K487">
        <v>0.26</v>
      </c>
      <c r="L487" t="s">
        <v>18</v>
      </c>
      <c r="M487" t="s">
        <v>19</v>
      </c>
      <c r="N487" t="s">
        <v>21</v>
      </c>
      <c r="O487" t="s">
        <v>38</v>
      </c>
      <c r="P487" t="str">
        <f>Table1[[#This Row],[Region]]&amp;"|"&amp;Table1[[#This Row],[Sales Rep]]</f>
        <v>West|Eve</v>
      </c>
    </row>
    <row r="488" spans="1:16" x14ac:dyDescent="0.35">
      <c r="A488">
        <v>1001</v>
      </c>
      <c r="B488" s="1">
        <v>45030</v>
      </c>
      <c r="C488" t="s">
        <v>24</v>
      </c>
      <c r="D488" t="s">
        <v>34</v>
      </c>
      <c r="E488">
        <v>5488.11</v>
      </c>
      <c r="F488">
        <v>2</v>
      </c>
      <c r="G488" t="s">
        <v>35</v>
      </c>
      <c r="H488">
        <v>2631.68</v>
      </c>
      <c r="I488">
        <v>2904.06</v>
      </c>
      <c r="J488" t="s">
        <v>30</v>
      </c>
      <c r="K488">
        <v>0.15</v>
      </c>
      <c r="L488" t="s">
        <v>27</v>
      </c>
      <c r="M488" t="s">
        <v>19</v>
      </c>
      <c r="N488" t="s">
        <v>34</v>
      </c>
      <c r="O488" t="s">
        <v>24</v>
      </c>
      <c r="P488" t="str">
        <f>Table1[[#This Row],[Region]]&amp;"|"&amp;Table1[[#This Row],[Sales Rep]]</f>
        <v>East|David</v>
      </c>
    </row>
    <row r="489" spans="1:16" x14ac:dyDescent="0.35">
      <c r="A489">
        <v>1034</v>
      </c>
      <c r="B489" s="1">
        <v>44968</v>
      </c>
      <c r="C489" t="s">
        <v>38</v>
      </c>
      <c r="D489" t="s">
        <v>25</v>
      </c>
      <c r="E489">
        <v>2082.79</v>
      </c>
      <c r="F489">
        <v>26</v>
      </c>
      <c r="G489" t="s">
        <v>35</v>
      </c>
      <c r="H489">
        <v>667</v>
      </c>
      <c r="I489">
        <v>718.72</v>
      </c>
      <c r="J489" t="s">
        <v>30</v>
      </c>
      <c r="K489">
        <v>0.2</v>
      </c>
      <c r="L489" t="s">
        <v>18</v>
      </c>
      <c r="M489" t="s">
        <v>22</v>
      </c>
      <c r="N489" t="s">
        <v>25</v>
      </c>
      <c r="O489" t="s">
        <v>38</v>
      </c>
      <c r="P489" t="str">
        <f>Table1[[#This Row],[Region]]&amp;"|"&amp;Table1[[#This Row],[Sales Rep]]</f>
        <v>South|Eve</v>
      </c>
    </row>
    <row r="490" spans="1:16" x14ac:dyDescent="0.35">
      <c r="A490">
        <v>1096</v>
      </c>
      <c r="B490" s="1">
        <v>44951</v>
      </c>
      <c r="C490" t="s">
        <v>33</v>
      </c>
      <c r="D490" t="s">
        <v>21</v>
      </c>
      <c r="E490">
        <v>6206.16</v>
      </c>
      <c r="F490">
        <v>27</v>
      </c>
      <c r="G490" t="s">
        <v>29</v>
      </c>
      <c r="H490">
        <v>4809</v>
      </c>
      <c r="I490">
        <v>4967.4399999999996</v>
      </c>
      <c r="J490" t="s">
        <v>30</v>
      </c>
      <c r="K490">
        <v>0.12</v>
      </c>
      <c r="L490" t="s">
        <v>18</v>
      </c>
      <c r="M490" t="s">
        <v>19</v>
      </c>
      <c r="N490" t="s">
        <v>21</v>
      </c>
      <c r="O490" t="s">
        <v>33</v>
      </c>
      <c r="P490" t="str">
        <f>Table1[[#This Row],[Region]]&amp;"|"&amp;Table1[[#This Row],[Sales Rep]]</f>
        <v>West|Charlie</v>
      </c>
    </row>
    <row r="491" spans="1:16" x14ac:dyDescent="0.35">
      <c r="A491">
        <v>1048</v>
      </c>
      <c r="B491" s="1">
        <v>44965</v>
      </c>
      <c r="C491" t="s">
        <v>33</v>
      </c>
      <c r="D491" t="s">
        <v>21</v>
      </c>
      <c r="E491">
        <v>7454.53</v>
      </c>
      <c r="F491">
        <v>27</v>
      </c>
      <c r="G491" t="s">
        <v>29</v>
      </c>
      <c r="H491">
        <v>3197.76</v>
      </c>
      <c r="I491">
        <v>3572.61</v>
      </c>
      <c r="J491" t="s">
        <v>17</v>
      </c>
      <c r="K491">
        <v>0.08</v>
      </c>
      <c r="L491" t="s">
        <v>31</v>
      </c>
      <c r="M491" t="s">
        <v>19</v>
      </c>
      <c r="N491" t="s">
        <v>21</v>
      </c>
      <c r="O491" t="s">
        <v>33</v>
      </c>
      <c r="P491" t="str">
        <f>Table1[[#This Row],[Region]]&amp;"|"&amp;Table1[[#This Row],[Sales Rep]]</f>
        <v>West|Charlie</v>
      </c>
    </row>
    <row r="492" spans="1:16" x14ac:dyDescent="0.35">
      <c r="A492">
        <v>1089</v>
      </c>
      <c r="B492" s="1">
        <v>45217</v>
      </c>
      <c r="C492" t="s">
        <v>24</v>
      </c>
      <c r="D492" t="s">
        <v>15</v>
      </c>
      <c r="E492">
        <v>7405.38</v>
      </c>
      <c r="F492">
        <v>15</v>
      </c>
      <c r="G492" t="s">
        <v>26</v>
      </c>
      <c r="H492">
        <v>3841.05</v>
      </c>
      <c r="I492">
        <v>4323.62</v>
      </c>
      <c r="J492" t="s">
        <v>17</v>
      </c>
      <c r="K492">
        <v>0.28999999999999998</v>
      </c>
      <c r="L492" t="s">
        <v>31</v>
      </c>
      <c r="M492" t="s">
        <v>22</v>
      </c>
      <c r="N492" t="s">
        <v>15</v>
      </c>
      <c r="O492" t="s">
        <v>24</v>
      </c>
      <c r="P492" t="str">
        <f>Table1[[#This Row],[Region]]&amp;"|"&amp;Table1[[#This Row],[Sales Rep]]</f>
        <v>North|David</v>
      </c>
    </row>
    <row r="493" spans="1:16" x14ac:dyDescent="0.35">
      <c r="A493">
        <v>1001</v>
      </c>
      <c r="B493" s="1">
        <v>45057</v>
      </c>
      <c r="C493" t="s">
        <v>38</v>
      </c>
      <c r="D493" t="s">
        <v>34</v>
      </c>
      <c r="E493">
        <v>5262.35</v>
      </c>
      <c r="F493">
        <v>8</v>
      </c>
      <c r="G493" t="s">
        <v>29</v>
      </c>
      <c r="H493">
        <v>442.11</v>
      </c>
      <c r="I493">
        <v>803.87</v>
      </c>
      <c r="J493" t="s">
        <v>30</v>
      </c>
      <c r="K493">
        <v>0.18</v>
      </c>
      <c r="L493" t="s">
        <v>18</v>
      </c>
      <c r="M493" t="s">
        <v>22</v>
      </c>
      <c r="N493" t="s">
        <v>34</v>
      </c>
      <c r="O493" t="s">
        <v>38</v>
      </c>
      <c r="P493" t="str">
        <f>Table1[[#This Row],[Region]]&amp;"|"&amp;Table1[[#This Row],[Sales Rep]]</f>
        <v>East|Eve</v>
      </c>
    </row>
    <row r="494" spans="1:16" x14ac:dyDescent="0.35">
      <c r="A494">
        <v>1016</v>
      </c>
      <c r="B494" s="1">
        <v>45155</v>
      </c>
      <c r="C494" t="s">
        <v>38</v>
      </c>
      <c r="D494" t="s">
        <v>21</v>
      </c>
      <c r="E494">
        <v>777.74</v>
      </c>
      <c r="F494">
        <v>7</v>
      </c>
      <c r="G494" t="s">
        <v>26</v>
      </c>
      <c r="H494">
        <v>282.94</v>
      </c>
      <c r="I494">
        <v>779.32999999999902</v>
      </c>
      <c r="J494" t="s">
        <v>17</v>
      </c>
      <c r="K494">
        <v>0.28000000000000003</v>
      </c>
      <c r="L494" t="s">
        <v>31</v>
      </c>
      <c r="M494" t="s">
        <v>19</v>
      </c>
      <c r="N494" t="s">
        <v>21</v>
      </c>
      <c r="O494" t="s">
        <v>38</v>
      </c>
      <c r="P494" t="str">
        <f>Table1[[#This Row],[Region]]&amp;"|"&amp;Table1[[#This Row],[Sales Rep]]</f>
        <v>West|Eve</v>
      </c>
    </row>
    <row r="495" spans="1:16" x14ac:dyDescent="0.35">
      <c r="A495">
        <v>1061</v>
      </c>
      <c r="B495" s="1">
        <v>45034</v>
      </c>
      <c r="C495" t="s">
        <v>38</v>
      </c>
      <c r="D495" t="s">
        <v>15</v>
      </c>
      <c r="E495">
        <v>3774.02</v>
      </c>
      <c r="F495">
        <v>47</v>
      </c>
      <c r="G495" t="s">
        <v>35</v>
      </c>
      <c r="H495">
        <v>146.27000000000001</v>
      </c>
      <c r="I495">
        <v>498.46</v>
      </c>
      <c r="J495" t="s">
        <v>30</v>
      </c>
      <c r="K495">
        <v>0.06</v>
      </c>
      <c r="L495" t="s">
        <v>18</v>
      </c>
      <c r="M495" t="s">
        <v>22</v>
      </c>
      <c r="N495" t="s">
        <v>15</v>
      </c>
      <c r="O495" t="s">
        <v>38</v>
      </c>
      <c r="P495" t="str">
        <f>Table1[[#This Row],[Region]]&amp;"|"&amp;Table1[[#This Row],[Sales Rep]]</f>
        <v>North|Eve</v>
      </c>
    </row>
    <row r="496" spans="1:16" x14ac:dyDescent="0.35">
      <c r="A496">
        <v>1064</v>
      </c>
      <c r="B496" s="1">
        <v>45098</v>
      </c>
      <c r="C496" t="s">
        <v>14</v>
      </c>
      <c r="D496" t="s">
        <v>21</v>
      </c>
      <c r="E496">
        <v>9215.59</v>
      </c>
      <c r="F496">
        <v>46</v>
      </c>
      <c r="G496" t="s">
        <v>35</v>
      </c>
      <c r="H496">
        <v>984.53</v>
      </c>
      <c r="I496">
        <v>1138.49</v>
      </c>
      <c r="J496" t="s">
        <v>30</v>
      </c>
      <c r="K496">
        <v>0.04</v>
      </c>
      <c r="L496" t="s">
        <v>27</v>
      </c>
      <c r="M496" t="s">
        <v>19</v>
      </c>
      <c r="N496" t="s">
        <v>21</v>
      </c>
      <c r="O496" t="s">
        <v>14</v>
      </c>
      <c r="P496" t="str">
        <f>Table1[[#This Row],[Region]]&amp;"|"&amp;Table1[[#This Row],[Sales Rep]]</f>
        <v>West|Bob</v>
      </c>
    </row>
    <row r="497" spans="1:16" x14ac:dyDescent="0.35">
      <c r="A497">
        <v>1063</v>
      </c>
      <c r="B497" s="1">
        <v>45028</v>
      </c>
      <c r="C497" t="s">
        <v>33</v>
      </c>
      <c r="D497" t="s">
        <v>15</v>
      </c>
      <c r="E497">
        <v>5886.04</v>
      </c>
      <c r="F497">
        <v>40</v>
      </c>
      <c r="G497" t="s">
        <v>35</v>
      </c>
      <c r="H497">
        <v>2101.3200000000002</v>
      </c>
      <c r="I497">
        <v>2440.63</v>
      </c>
      <c r="J497" t="s">
        <v>30</v>
      </c>
      <c r="K497">
        <v>0.26</v>
      </c>
      <c r="L497" t="s">
        <v>27</v>
      </c>
      <c r="M497" t="s">
        <v>22</v>
      </c>
      <c r="N497" t="s">
        <v>15</v>
      </c>
      <c r="O497" t="s">
        <v>33</v>
      </c>
      <c r="P497" t="str">
        <f>Table1[[#This Row],[Region]]&amp;"|"&amp;Table1[[#This Row],[Sales Rep]]</f>
        <v>North|Charlie</v>
      </c>
    </row>
    <row r="498" spans="1:16" x14ac:dyDescent="0.35">
      <c r="A498">
        <v>1069</v>
      </c>
      <c r="B498" s="1">
        <v>45280</v>
      </c>
      <c r="C498" t="s">
        <v>38</v>
      </c>
      <c r="D498" t="s">
        <v>15</v>
      </c>
      <c r="E498">
        <v>5429.49</v>
      </c>
      <c r="F498">
        <v>12</v>
      </c>
      <c r="G498" t="s">
        <v>16</v>
      </c>
      <c r="H498">
        <v>4682.34</v>
      </c>
      <c r="I498">
        <v>5036.3999999999996</v>
      </c>
      <c r="J498" t="s">
        <v>30</v>
      </c>
      <c r="K498">
        <v>0.2</v>
      </c>
      <c r="L498" t="s">
        <v>27</v>
      </c>
      <c r="M498" t="s">
        <v>22</v>
      </c>
      <c r="N498" t="s">
        <v>15</v>
      </c>
      <c r="O498" t="s">
        <v>38</v>
      </c>
      <c r="P498" t="str">
        <f>Table1[[#This Row],[Region]]&amp;"|"&amp;Table1[[#This Row],[Sales Rep]]</f>
        <v>North|Eve</v>
      </c>
    </row>
    <row r="499" spans="1:16" x14ac:dyDescent="0.35">
      <c r="A499">
        <v>1022</v>
      </c>
      <c r="B499" s="1">
        <v>44938</v>
      </c>
      <c r="C499" t="s">
        <v>38</v>
      </c>
      <c r="D499" t="s">
        <v>34</v>
      </c>
      <c r="E499">
        <v>2761.65</v>
      </c>
      <c r="F499">
        <v>13</v>
      </c>
      <c r="G499" t="s">
        <v>26</v>
      </c>
      <c r="H499">
        <v>2312.4499999999998</v>
      </c>
      <c r="I499">
        <v>2504.6</v>
      </c>
      <c r="J499" t="s">
        <v>17</v>
      </c>
      <c r="K499">
        <v>0.06</v>
      </c>
      <c r="L499" t="s">
        <v>27</v>
      </c>
      <c r="M499" t="s">
        <v>19</v>
      </c>
      <c r="N499" t="s">
        <v>34</v>
      </c>
      <c r="O499" t="s">
        <v>38</v>
      </c>
      <c r="P499" t="str">
        <f>Table1[[#This Row],[Region]]&amp;"|"&amp;Table1[[#This Row],[Sales Rep]]</f>
        <v>East|Eve</v>
      </c>
    </row>
    <row r="500" spans="1:16" x14ac:dyDescent="0.35">
      <c r="A500">
        <v>1093</v>
      </c>
      <c r="B500" s="1">
        <v>45201</v>
      </c>
      <c r="C500" t="s">
        <v>14</v>
      </c>
      <c r="D500" t="s">
        <v>21</v>
      </c>
      <c r="E500">
        <v>3747.64</v>
      </c>
      <c r="F500">
        <v>43</v>
      </c>
      <c r="G500" t="s">
        <v>35</v>
      </c>
      <c r="H500">
        <v>1486.76</v>
      </c>
      <c r="I500">
        <v>1505.44</v>
      </c>
      <c r="J500" t="s">
        <v>30</v>
      </c>
      <c r="K500">
        <v>0.08</v>
      </c>
      <c r="L500" t="s">
        <v>18</v>
      </c>
      <c r="M500" t="s">
        <v>22</v>
      </c>
      <c r="N500" t="s">
        <v>21</v>
      </c>
      <c r="O500" t="s">
        <v>14</v>
      </c>
      <c r="P500" t="str">
        <f>Table1[[#This Row],[Region]]&amp;"|"&amp;Table1[[#This Row],[Sales Rep]]</f>
        <v>West|Bob</v>
      </c>
    </row>
    <row r="501" spans="1:16" x14ac:dyDescent="0.35">
      <c r="A501">
        <v>1067</v>
      </c>
      <c r="B501" s="1">
        <v>45027</v>
      </c>
      <c r="C501" t="s">
        <v>14</v>
      </c>
      <c r="D501" t="s">
        <v>34</v>
      </c>
      <c r="E501">
        <v>8963.93</v>
      </c>
      <c r="F501">
        <v>17</v>
      </c>
      <c r="G501" t="s">
        <v>26</v>
      </c>
      <c r="H501">
        <v>2831.58</v>
      </c>
      <c r="I501">
        <v>3186.15</v>
      </c>
      <c r="J501" t="s">
        <v>30</v>
      </c>
      <c r="K501">
        <v>0.24</v>
      </c>
      <c r="L501" t="s">
        <v>27</v>
      </c>
      <c r="M501" t="s">
        <v>22</v>
      </c>
      <c r="N501" t="s">
        <v>34</v>
      </c>
      <c r="O501" t="s">
        <v>14</v>
      </c>
      <c r="P501" t="str">
        <f>Table1[[#This Row],[Region]]&amp;"|"&amp;Table1[[#This Row],[Sales Rep]]</f>
        <v>East|Bob</v>
      </c>
    </row>
    <row r="502" spans="1:16" x14ac:dyDescent="0.35">
      <c r="A502">
        <v>1076</v>
      </c>
      <c r="B502" s="1">
        <v>44970</v>
      </c>
      <c r="C502" t="s">
        <v>38</v>
      </c>
      <c r="D502" t="s">
        <v>15</v>
      </c>
      <c r="E502">
        <v>6697.98</v>
      </c>
      <c r="F502">
        <v>17</v>
      </c>
      <c r="G502" t="s">
        <v>29</v>
      </c>
      <c r="H502">
        <v>604.08000000000004</v>
      </c>
      <c r="I502">
        <v>624.71</v>
      </c>
      <c r="J502" t="s">
        <v>30</v>
      </c>
      <c r="K502">
        <v>0.14000000000000001</v>
      </c>
      <c r="L502" t="s">
        <v>27</v>
      </c>
      <c r="M502" t="s">
        <v>22</v>
      </c>
      <c r="N502" t="s">
        <v>15</v>
      </c>
      <c r="O502" t="s">
        <v>38</v>
      </c>
      <c r="P502" t="str">
        <f>Table1[[#This Row],[Region]]&amp;"|"&amp;Table1[[#This Row],[Sales Rep]]</f>
        <v>North|Eve</v>
      </c>
    </row>
    <row r="503" spans="1:16" x14ac:dyDescent="0.35">
      <c r="A503">
        <v>1026</v>
      </c>
      <c r="B503" s="1">
        <v>45231</v>
      </c>
      <c r="C503" t="s">
        <v>42</v>
      </c>
      <c r="D503" t="s">
        <v>25</v>
      </c>
      <c r="E503">
        <v>7895.13</v>
      </c>
      <c r="F503">
        <v>36</v>
      </c>
      <c r="G503" t="s">
        <v>29</v>
      </c>
      <c r="H503">
        <v>3067.05</v>
      </c>
      <c r="I503">
        <v>3386.33</v>
      </c>
      <c r="J503" t="s">
        <v>30</v>
      </c>
      <c r="K503">
        <v>0.2</v>
      </c>
      <c r="L503" t="s">
        <v>27</v>
      </c>
      <c r="M503" t="s">
        <v>19</v>
      </c>
      <c r="N503" t="s">
        <v>25</v>
      </c>
      <c r="O503" t="s">
        <v>42</v>
      </c>
      <c r="P503" t="str">
        <f>Table1[[#This Row],[Region]]&amp;"|"&amp;Table1[[#This Row],[Sales Rep]]</f>
        <v>South|Alice</v>
      </c>
    </row>
    <row r="504" spans="1:16" x14ac:dyDescent="0.35">
      <c r="A504">
        <v>1016</v>
      </c>
      <c r="B504" s="1">
        <v>44943</v>
      </c>
      <c r="C504" t="s">
        <v>38</v>
      </c>
      <c r="D504" t="s">
        <v>21</v>
      </c>
      <c r="E504">
        <v>4598.0200000000004</v>
      </c>
      <c r="F504">
        <v>21</v>
      </c>
      <c r="G504" t="s">
        <v>35</v>
      </c>
      <c r="H504">
        <v>2863.74</v>
      </c>
      <c r="I504">
        <v>2953.91</v>
      </c>
      <c r="J504" t="s">
        <v>30</v>
      </c>
      <c r="K504">
        <v>0.1</v>
      </c>
      <c r="L504" t="s">
        <v>27</v>
      </c>
      <c r="M504" t="s">
        <v>22</v>
      </c>
      <c r="N504" t="s">
        <v>21</v>
      </c>
      <c r="O504" t="s">
        <v>38</v>
      </c>
      <c r="P504" t="str">
        <f>Table1[[#This Row],[Region]]&amp;"|"&amp;Table1[[#This Row],[Sales Rep]]</f>
        <v>West|Eve</v>
      </c>
    </row>
    <row r="505" spans="1:16" x14ac:dyDescent="0.35">
      <c r="A505">
        <v>1051</v>
      </c>
      <c r="B505" s="1">
        <v>45256</v>
      </c>
      <c r="C505" t="s">
        <v>38</v>
      </c>
      <c r="D505" t="s">
        <v>25</v>
      </c>
      <c r="E505">
        <v>6339.45</v>
      </c>
      <c r="F505">
        <v>8</v>
      </c>
      <c r="G505" t="s">
        <v>26</v>
      </c>
      <c r="H505">
        <v>3970.37</v>
      </c>
      <c r="I505">
        <v>4257.5199999999904</v>
      </c>
      <c r="J505" t="s">
        <v>30</v>
      </c>
      <c r="K505">
        <v>0.11</v>
      </c>
      <c r="L505" t="s">
        <v>18</v>
      </c>
      <c r="M505" t="s">
        <v>22</v>
      </c>
      <c r="N505" t="s">
        <v>25</v>
      </c>
      <c r="O505" t="s">
        <v>38</v>
      </c>
      <c r="P505" t="str">
        <f>Table1[[#This Row],[Region]]&amp;"|"&amp;Table1[[#This Row],[Sales Rep]]</f>
        <v>South|Eve</v>
      </c>
    </row>
    <row r="506" spans="1:16" x14ac:dyDescent="0.35">
      <c r="A506">
        <v>1086</v>
      </c>
      <c r="B506" s="1">
        <v>44983</v>
      </c>
      <c r="C506" t="s">
        <v>14</v>
      </c>
      <c r="D506" t="s">
        <v>21</v>
      </c>
      <c r="E506">
        <v>2559</v>
      </c>
      <c r="F506">
        <v>5</v>
      </c>
      <c r="G506" t="s">
        <v>35</v>
      </c>
      <c r="H506">
        <v>4934.1000000000004</v>
      </c>
      <c r="I506">
        <v>5191.0200000000004</v>
      </c>
      <c r="J506" t="s">
        <v>30</v>
      </c>
      <c r="K506">
        <v>0.3</v>
      </c>
      <c r="L506" t="s">
        <v>27</v>
      </c>
      <c r="M506" t="s">
        <v>19</v>
      </c>
      <c r="N506" t="s">
        <v>21</v>
      </c>
      <c r="O506" t="s">
        <v>14</v>
      </c>
      <c r="P506" t="str">
        <f>Table1[[#This Row],[Region]]&amp;"|"&amp;Table1[[#This Row],[Sales Rep]]</f>
        <v>West|Bob</v>
      </c>
    </row>
    <row r="507" spans="1:16" x14ac:dyDescent="0.35">
      <c r="A507">
        <v>1057</v>
      </c>
      <c r="B507" s="1">
        <v>45237</v>
      </c>
      <c r="C507" t="s">
        <v>14</v>
      </c>
      <c r="D507" t="s">
        <v>34</v>
      </c>
      <c r="E507">
        <v>7084.06</v>
      </c>
      <c r="F507">
        <v>26</v>
      </c>
      <c r="G507" t="s">
        <v>29</v>
      </c>
      <c r="H507">
        <v>1291.82</v>
      </c>
      <c r="I507">
        <v>1308.4399999999901</v>
      </c>
      <c r="J507" t="s">
        <v>17</v>
      </c>
      <c r="K507">
        <v>7.0000000000000007E-2</v>
      </c>
      <c r="L507" t="s">
        <v>31</v>
      </c>
      <c r="M507" t="s">
        <v>19</v>
      </c>
      <c r="N507" t="s">
        <v>34</v>
      </c>
      <c r="O507" t="s">
        <v>14</v>
      </c>
      <c r="P507" t="str">
        <f>Table1[[#This Row],[Region]]&amp;"|"&amp;Table1[[#This Row],[Sales Rep]]</f>
        <v>East|Bob</v>
      </c>
    </row>
    <row r="508" spans="1:16" x14ac:dyDescent="0.35">
      <c r="A508">
        <v>1029</v>
      </c>
      <c r="B508" s="1">
        <v>45229</v>
      </c>
      <c r="C508" t="s">
        <v>38</v>
      </c>
      <c r="D508" t="s">
        <v>34</v>
      </c>
      <c r="E508">
        <v>4333.25</v>
      </c>
      <c r="F508">
        <v>16</v>
      </c>
      <c r="G508" t="s">
        <v>35</v>
      </c>
      <c r="H508">
        <v>2572.8000000000002</v>
      </c>
      <c r="I508">
        <v>2760.6</v>
      </c>
      <c r="J508" t="s">
        <v>17</v>
      </c>
      <c r="K508">
        <v>0.15</v>
      </c>
      <c r="L508" t="s">
        <v>31</v>
      </c>
      <c r="M508" t="s">
        <v>22</v>
      </c>
      <c r="N508" t="s">
        <v>34</v>
      </c>
      <c r="O508" t="s">
        <v>38</v>
      </c>
      <c r="P508" t="str">
        <f>Table1[[#This Row],[Region]]&amp;"|"&amp;Table1[[#This Row],[Sales Rep]]</f>
        <v>East|Eve</v>
      </c>
    </row>
    <row r="509" spans="1:16" x14ac:dyDescent="0.35">
      <c r="A509">
        <v>1078</v>
      </c>
      <c r="B509" s="1">
        <v>44938</v>
      </c>
      <c r="C509" t="s">
        <v>38</v>
      </c>
      <c r="D509" t="s">
        <v>34</v>
      </c>
      <c r="E509">
        <v>4481.2</v>
      </c>
      <c r="F509">
        <v>36</v>
      </c>
      <c r="G509" t="s">
        <v>26</v>
      </c>
      <c r="H509">
        <v>4548.88</v>
      </c>
      <c r="I509">
        <v>4853.41</v>
      </c>
      <c r="J509" t="s">
        <v>17</v>
      </c>
      <c r="K509">
        <v>0.25</v>
      </c>
      <c r="L509" t="s">
        <v>31</v>
      </c>
      <c r="M509" t="s">
        <v>22</v>
      </c>
      <c r="N509" t="s">
        <v>34</v>
      </c>
      <c r="O509" t="s">
        <v>38</v>
      </c>
      <c r="P509" t="str">
        <f>Table1[[#This Row],[Region]]&amp;"|"&amp;Table1[[#This Row],[Sales Rep]]</f>
        <v>East|Eve</v>
      </c>
    </row>
    <row r="510" spans="1:16" x14ac:dyDescent="0.35">
      <c r="A510">
        <v>1092</v>
      </c>
      <c r="B510" s="1">
        <v>45244</v>
      </c>
      <c r="C510" t="s">
        <v>38</v>
      </c>
      <c r="D510" t="s">
        <v>34</v>
      </c>
      <c r="E510">
        <v>6528.29</v>
      </c>
      <c r="F510">
        <v>28</v>
      </c>
      <c r="G510" t="s">
        <v>29</v>
      </c>
      <c r="H510">
        <v>3936.69</v>
      </c>
      <c r="I510">
        <v>4362.51</v>
      </c>
      <c r="J510" t="s">
        <v>17</v>
      </c>
      <c r="K510">
        <v>7.0000000000000007E-2</v>
      </c>
      <c r="L510" t="s">
        <v>31</v>
      </c>
      <c r="M510" t="s">
        <v>22</v>
      </c>
      <c r="N510" t="s">
        <v>34</v>
      </c>
      <c r="O510" t="s">
        <v>38</v>
      </c>
      <c r="P510" t="str">
        <f>Table1[[#This Row],[Region]]&amp;"|"&amp;Table1[[#This Row],[Sales Rep]]</f>
        <v>East|Eve</v>
      </c>
    </row>
    <row r="511" spans="1:16" x14ac:dyDescent="0.35">
      <c r="A511">
        <v>1069</v>
      </c>
      <c r="B511" s="1">
        <v>45006</v>
      </c>
      <c r="C511" t="s">
        <v>14</v>
      </c>
      <c r="D511" t="s">
        <v>34</v>
      </c>
      <c r="E511">
        <v>9369.18</v>
      </c>
      <c r="F511">
        <v>29</v>
      </c>
      <c r="G511" t="s">
        <v>16</v>
      </c>
      <c r="H511">
        <v>2462.66</v>
      </c>
      <c r="I511">
        <v>2908.0899999999901</v>
      </c>
      <c r="J511" t="s">
        <v>30</v>
      </c>
      <c r="K511">
        <v>0.12</v>
      </c>
      <c r="L511" t="s">
        <v>31</v>
      </c>
      <c r="M511" t="s">
        <v>19</v>
      </c>
      <c r="N511" t="s">
        <v>34</v>
      </c>
      <c r="O511" t="s">
        <v>14</v>
      </c>
      <c r="P511" t="str">
        <f>Table1[[#This Row],[Region]]&amp;"|"&amp;Table1[[#This Row],[Sales Rep]]</f>
        <v>East|Bob</v>
      </c>
    </row>
    <row r="512" spans="1:16" x14ac:dyDescent="0.35">
      <c r="A512">
        <v>1047</v>
      </c>
      <c r="B512" s="1">
        <v>45142</v>
      </c>
      <c r="C512" t="s">
        <v>38</v>
      </c>
      <c r="D512" t="s">
        <v>25</v>
      </c>
      <c r="E512">
        <v>733.66</v>
      </c>
      <c r="F512">
        <v>47</v>
      </c>
      <c r="G512" t="s">
        <v>29</v>
      </c>
      <c r="H512">
        <v>4729.59</v>
      </c>
      <c r="I512">
        <v>4976.68</v>
      </c>
      <c r="J512" t="s">
        <v>17</v>
      </c>
      <c r="K512">
        <v>0.18</v>
      </c>
      <c r="L512" t="s">
        <v>31</v>
      </c>
      <c r="M512" t="s">
        <v>22</v>
      </c>
      <c r="N512" t="s">
        <v>25</v>
      </c>
      <c r="O512" t="s">
        <v>38</v>
      </c>
      <c r="P512" t="str">
        <f>Table1[[#This Row],[Region]]&amp;"|"&amp;Table1[[#This Row],[Sales Rep]]</f>
        <v>South|Eve</v>
      </c>
    </row>
    <row r="513" spans="1:16" x14ac:dyDescent="0.35">
      <c r="A513">
        <v>1094</v>
      </c>
      <c r="B513" s="1">
        <v>45265</v>
      </c>
      <c r="C513" t="s">
        <v>38</v>
      </c>
      <c r="D513" t="s">
        <v>34</v>
      </c>
      <c r="E513">
        <v>8264.9599999999991</v>
      </c>
      <c r="F513">
        <v>12</v>
      </c>
      <c r="G513" t="s">
        <v>16</v>
      </c>
      <c r="H513">
        <v>333.32</v>
      </c>
      <c r="I513">
        <v>700.25</v>
      </c>
      <c r="J513" t="s">
        <v>17</v>
      </c>
      <c r="K513">
        <v>0.14000000000000001</v>
      </c>
      <c r="L513" t="s">
        <v>18</v>
      </c>
      <c r="M513" t="s">
        <v>19</v>
      </c>
      <c r="N513" t="s">
        <v>34</v>
      </c>
      <c r="O513" t="s">
        <v>38</v>
      </c>
      <c r="P513" t="str">
        <f>Table1[[#This Row],[Region]]&amp;"|"&amp;Table1[[#This Row],[Sales Rep]]</f>
        <v>East|Eve</v>
      </c>
    </row>
    <row r="514" spans="1:16" x14ac:dyDescent="0.35">
      <c r="A514">
        <v>1062</v>
      </c>
      <c r="B514" s="1">
        <v>45190</v>
      </c>
      <c r="C514" t="s">
        <v>24</v>
      </c>
      <c r="D514" t="s">
        <v>15</v>
      </c>
      <c r="E514">
        <v>2994.59</v>
      </c>
      <c r="F514">
        <v>37</v>
      </c>
      <c r="G514" t="s">
        <v>35</v>
      </c>
      <c r="H514">
        <v>4658.4399999999996</v>
      </c>
      <c r="I514">
        <v>4823.5</v>
      </c>
      <c r="J514" t="s">
        <v>17</v>
      </c>
      <c r="K514">
        <v>0.14000000000000001</v>
      </c>
      <c r="L514" t="s">
        <v>31</v>
      </c>
      <c r="M514" t="s">
        <v>19</v>
      </c>
      <c r="N514" t="s">
        <v>15</v>
      </c>
      <c r="O514" t="s">
        <v>24</v>
      </c>
      <c r="P514" t="str">
        <f>Table1[[#This Row],[Region]]&amp;"|"&amp;Table1[[#This Row],[Sales Rep]]</f>
        <v>North|David</v>
      </c>
    </row>
    <row r="515" spans="1:16" x14ac:dyDescent="0.35">
      <c r="A515">
        <v>1069</v>
      </c>
      <c r="B515" s="1">
        <v>45075</v>
      </c>
      <c r="C515" t="s">
        <v>42</v>
      </c>
      <c r="D515" t="s">
        <v>15</v>
      </c>
      <c r="E515">
        <v>4494.8</v>
      </c>
      <c r="F515">
        <v>30</v>
      </c>
      <c r="G515" t="s">
        <v>35</v>
      </c>
      <c r="H515">
        <v>300.01</v>
      </c>
      <c r="I515">
        <v>477.67999999999898</v>
      </c>
      <c r="J515" t="s">
        <v>30</v>
      </c>
      <c r="K515">
        <v>0.11</v>
      </c>
      <c r="L515" t="s">
        <v>27</v>
      </c>
      <c r="M515" t="s">
        <v>22</v>
      </c>
      <c r="N515" t="s">
        <v>15</v>
      </c>
      <c r="O515" t="s">
        <v>42</v>
      </c>
      <c r="P515" t="str">
        <f>Table1[[#This Row],[Region]]&amp;"|"&amp;Table1[[#This Row],[Sales Rep]]</f>
        <v>North|Alice</v>
      </c>
    </row>
    <row r="516" spans="1:16" x14ac:dyDescent="0.35">
      <c r="A516">
        <v>1076</v>
      </c>
      <c r="B516" s="1">
        <v>45007</v>
      </c>
      <c r="C516" t="s">
        <v>33</v>
      </c>
      <c r="D516" t="s">
        <v>25</v>
      </c>
      <c r="E516">
        <v>316.94</v>
      </c>
      <c r="F516">
        <v>23</v>
      </c>
      <c r="G516" t="s">
        <v>26</v>
      </c>
      <c r="H516">
        <v>2759.16</v>
      </c>
      <c r="I516">
        <v>2864.45</v>
      </c>
      <c r="J516" t="s">
        <v>17</v>
      </c>
      <c r="K516">
        <v>0.18</v>
      </c>
      <c r="L516" t="s">
        <v>31</v>
      </c>
      <c r="M516" t="s">
        <v>22</v>
      </c>
      <c r="N516" t="s">
        <v>25</v>
      </c>
      <c r="O516" t="s">
        <v>33</v>
      </c>
      <c r="P516" t="str">
        <f>Table1[[#This Row],[Region]]&amp;"|"&amp;Table1[[#This Row],[Sales Rep]]</f>
        <v>South|Charlie</v>
      </c>
    </row>
    <row r="517" spans="1:16" x14ac:dyDescent="0.35">
      <c r="A517">
        <v>1016</v>
      </c>
      <c r="B517" s="1">
        <v>45141</v>
      </c>
      <c r="C517" t="s">
        <v>42</v>
      </c>
      <c r="D517" t="s">
        <v>21</v>
      </c>
      <c r="E517">
        <v>3080.36</v>
      </c>
      <c r="F517">
        <v>16</v>
      </c>
      <c r="G517" t="s">
        <v>16</v>
      </c>
      <c r="H517">
        <v>4457.68</v>
      </c>
      <c r="I517">
        <v>4743.03</v>
      </c>
      <c r="J517" t="s">
        <v>17</v>
      </c>
      <c r="K517">
        <v>0.19</v>
      </c>
      <c r="L517" t="s">
        <v>18</v>
      </c>
      <c r="M517" t="s">
        <v>19</v>
      </c>
      <c r="N517" t="s">
        <v>21</v>
      </c>
      <c r="O517" t="s">
        <v>42</v>
      </c>
      <c r="P517" t="str">
        <f>Table1[[#This Row],[Region]]&amp;"|"&amp;Table1[[#This Row],[Sales Rep]]</f>
        <v>West|Alice</v>
      </c>
    </row>
    <row r="518" spans="1:16" x14ac:dyDescent="0.35">
      <c r="A518">
        <v>1090</v>
      </c>
      <c r="B518" s="1">
        <v>45124</v>
      </c>
      <c r="C518" t="s">
        <v>24</v>
      </c>
      <c r="D518" t="s">
        <v>15</v>
      </c>
      <c r="E518">
        <v>5076.05</v>
      </c>
      <c r="F518">
        <v>14</v>
      </c>
      <c r="G518" t="s">
        <v>35</v>
      </c>
      <c r="H518">
        <v>1350.47</v>
      </c>
      <c r="I518">
        <v>1514.61</v>
      </c>
      <c r="J518" t="s">
        <v>30</v>
      </c>
      <c r="K518">
        <v>0.2</v>
      </c>
      <c r="L518" t="s">
        <v>31</v>
      </c>
      <c r="M518" t="s">
        <v>22</v>
      </c>
      <c r="N518" t="s">
        <v>15</v>
      </c>
      <c r="O518" t="s">
        <v>24</v>
      </c>
      <c r="P518" t="str">
        <f>Table1[[#This Row],[Region]]&amp;"|"&amp;Table1[[#This Row],[Sales Rep]]</f>
        <v>North|David</v>
      </c>
    </row>
    <row r="519" spans="1:16" x14ac:dyDescent="0.35">
      <c r="A519">
        <v>1090</v>
      </c>
      <c r="B519" s="1">
        <v>45126</v>
      </c>
      <c r="C519" t="s">
        <v>33</v>
      </c>
      <c r="D519" t="s">
        <v>21</v>
      </c>
      <c r="E519">
        <v>656.14</v>
      </c>
      <c r="F519">
        <v>10</v>
      </c>
      <c r="G519" t="s">
        <v>16</v>
      </c>
      <c r="H519">
        <v>2387.63</v>
      </c>
      <c r="I519">
        <v>2438.9699999999998</v>
      </c>
      <c r="J519" t="s">
        <v>17</v>
      </c>
      <c r="K519">
        <v>0.02</v>
      </c>
      <c r="L519" t="s">
        <v>27</v>
      </c>
      <c r="M519" t="s">
        <v>22</v>
      </c>
      <c r="N519" t="s">
        <v>21</v>
      </c>
      <c r="O519" t="s">
        <v>33</v>
      </c>
      <c r="P519" t="str">
        <f>Table1[[#This Row],[Region]]&amp;"|"&amp;Table1[[#This Row],[Sales Rep]]</f>
        <v>West|Charlie</v>
      </c>
    </row>
    <row r="520" spans="1:16" x14ac:dyDescent="0.35">
      <c r="A520">
        <v>1048</v>
      </c>
      <c r="B520" s="1">
        <v>44951</v>
      </c>
      <c r="C520" t="s">
        <v>38</v>
      </c>
      <c r="D520" t="s">
        <v>25</v>
      </c>
      <c r="E520">
        <v>4961.8500000000004</v>
      </c>
      <c r="F520">
        <v>7</v>
      </c>
      <c r="G520" t="s">
        <v>35</v>
      </c>
      <c r="H520">
        <v>1655.43</v>
      </c>
      <c r="I520">
        <v>2001.08</v>
      </c>
      <c r="J520" t="s">
        <v>30</v>
      </c>
      <c r="K520">
        <v>0.19</v>
      </c>
      <c r="L520" t="s">
        <v>27</v>
      </c>
      <c r="M520" t="s">
        <v>19</v>
      </c>
      <c r="N520" t="s">
        <v>25</v>
      </c>
      <c r="O520" t="s">
        <v>38</v>
      </c>
      <c r="P520" t="str">
        <f>Table1[[#This Row],[Region]]&amp;"|"&amp;Table1[[#This Row],[Sales Rep]]</f>
        <v>South|Eve</v>
      </c>
    </row>
    <row r="521" spans="1:16" x14ac:dyDescent="0.35">
      <c r="A521">
        <v>1085</v>
      </c>
      <c r="B521" s="1">
        <v>45015</v>
      </c>
      <c r="C521" t="s">
        <v>24</v>
      </c>
      <c r="D521" t="s">
        <v>21</v>
      </c>
      <c r="E521">
        <v>9278.4</v>
      </c>
      <c r="F521">
        <v>45</v>
      </c>
      <c r="G521" t="s">
        <v>29</v>
      </c>
      <c r="H521">
        <v>4763.1099999999997</v>
      </c>
      <c r="I521">
        <v>5119.91</v>
      </c>
      <c r="J521" t="s">
        <v>17</v>
      </c>
      <c r="K521">
        <v>0.28999999999999998</v>
      </c>
      <c r="L521" t="s">
        <v>18</v>
      </c>
      <c r="M521" t="s">
        <v>22</v>
      </c>
      <c r="N521" t="s">
        <v>21</v>
      </c>
      <c r="O521" t="s">
        <v>24</v>
      </c>
      <c r="P521" t="str">
        <f>Table1[[#This Row],[Region]]&amp;"|"&amp;Table1[[#This Row],[Sales Rep]]</f>
        <v>West|David</v>
      </c>
    </row>
    <row r="522" spans="1:16" x14ac:dyDescent="0.35">
      <c r="A522">
        <v>1039</v>
      </c>
      <c r="B522" s="1">
        <v>45194</v>
      </c>
      <c r="C522" t="s">
        <v>38</v>
      </c>
      <c r="D522" t="s">
        <v>21</v>
      </c>
      <c r="E522">
        <v>1143.3900000000001</v>
      </c>
      <c r="F522">
        <v>37</v>
      </c>
      <c r="G522" t="s">
        <v>35</v>
      </c>
      <c r="H522">
        <v>4127.05</v>
      </c>
      <c r="I522">
        <v>4313.45</v>
      </c>
      <c r="J522" t="s">
        <v>30</v>
      </c>
      <c r="K522">
        <v>0.16</v>
      </c>
      <c r="L522" t="s">
        <v>18</v>
      </c>
      <c r="M522" t="s">
        <v>19</v>
      </c>
      <c r="N522" t="s">
        <v>21</v>
      </c>
      <c r="O522" t="s">
        <v>38</v>
      </c>
      <c r="P522" t="str">
        <f>Table1[[#This Row],[Region]]&amp;"|"&amp;Table1[[#This Row],[Sales Rep]]</f>
        <v>West|Eve</v>
      </c>
    </row>
    <row r="523" spans="1:16" x14ac:dyDescent="0.35">
      <c r="A523">
        <v>1100</v>
      </c>
      <c r="B523" s="1">
        <v>45069</v>
      </c>
      <c r="C523" t="s">
        <v>14</v>
      </c>
      <c r="D523" t="s">
        <v>21</v>
      </c>
      <c r="E523">
        <v>7667.96</v>
      </c>
      <c r="F523">
        <v>29</v>
      </c>
      <c r="G523" t="s">
        <v>26</v>
      </c>
      <c r="H523">
        <v>3559.56</v>
      </c>
      <c r="I523">
        <v>3607.15</v>
      </c>
      <c r="J523" t="s">
        <v>17</v>
      </c>
      <c r="K523">
        <v>0.21</v>
      </c>
      <c r="L523" t="s">
        <v>18</v>
      </c>
      <c r="M523" t="s">
        <v>22</v>
      </c>
      <c r="N523" t="s">
        <v>21</v>
      </c>
      <c r="O523" t="s">
        <v>14</v>
      </c>
      <c r="P523" t="str">
        <f>Table1[[#This Row],[Region]]&amp;"|"&amp;Table1[[#This Row],[Sales Rep]]</f>
        <v>West|Bob</v>
      </c>
    </row>
    <row r="524" spans="1:16" x14ac:dyDescent="0.35">
      <c r="A524">
        <v>1033</v>
      </c>
      <c r="B524" s="1">
        <v>44985</v>
      </c>
      <c r="C524" t="s">
        <v>24</v>
      </c>
      <c r="D524" t="s">
        <v>21</v>
      </c>
      <c r="E524">
        <v>4155.74</v>
      </c>
      <c r="F524">
        <v>3</v>
      </c>
      <c r="G524" t="s">
        <v>29</v>
      </c>
      <c r="H524">
        <v>2958.75</v>
      </c>
      <c r="I524">
        <v>3177.64</v>
      </c>
      <c r="J524" t="s">
        <v>17</v>
      </c>
      <c r="K524">
        <v>0.17</v>
      </c>
      <c r="L524" t="s">
        <v>18</v>
      </c>
      <c r="M524" t="s">
        <v>19</v>
      </c>
      <c r="N524" t="s">
        <v>21</v>
      </c>
      <c r="O524" t="s">
        <v>24</v>
      </c>
      <c r="P524" t="str">
        <f>Table1[[#This Row],[Region]]&amp;"|"&amp;Table1[[#This Row],[Sales Rep]]</f>
        <v>West|David</v>
      </c>
    </row>
    <row r="525" spans="1:16" x14ac:dyDescent="0.35">
      <c r="A525">
        <v>1094</v>
      </c>
      <c r="B525" s="1">
        <v>45291</v>
      </c>
      <c r="C525" t="s">
        <v>14</v>
      </c>
      <c r="D525" t="s">
        <v>25</v>
      </c>
      <c r="E525">
        <v>6586.22</v>
      </c>
      <c r="F525">
        <v>15</v>
      </c>
      <c r="G525" t="s">
        <v>26</v>
      </c>
      <c r="H525">
        <v>4111.93</v>
      </c>
      <c r="I525">
        <v>4338.67</v>
      </c>
      <c r="J525" t="s">
        <v>17</v>
      </c>
      <c r="K525">
        <v>0.26</v>
      </c>
      <c r="L525" t="s">
        <v>31</v>
      </c>
      <c r="M525" t="s">
        <v>19</v>
      </c>
      <c r="N525" t="s">
        <v>25</v>
      </c>
      <c r="O525" t="s">
        <v>14</v>
      </c>
      <c r="P525" t="str">
        <f>Table1[[#This Row],[Region]]&amp;"|"&amp;Table1[[#This Row],[Sales Rep]]</f>
        <v>South|Bob</v>
      </c>
    </row>
    <row r="526" spans="1:16" x14ac:dyDescent="0.35">
      <c r="A526">
        <v>1023</v>
      </c>
      <c r="B526" s="1">
        <v>44952</v>
      </c>
      <c r="C526" t="s">
        <v>24</v>
      </c>
      <c r="D526" t="s">
        <v>15</v>
      </c>
      <c r="E526">
        <v>2676.34</v>
      </c>
      <c r="F526">
        <v>36</v>
      </c>
      <c r="G526" t="s">
        <v>29</v>
      </c>
      <c r="H526">
        <v>1991.72</v>
      </c>
      <c r="I526">
        <v>2329.37</v>
      </c>
      <c r="J526" t="s">
        <v>30</v>
      </c>
      <c r="K526">
        <v>0.28000000000000003</v>
      </c>
      <c r="L526" t="s">
        <v>31</v>
      </c>
      <c r="M526" t="s">
        <v>22</v>
      </c>
      <c r="N526" t="s">
        <v>15</v>
      </c>
      <c r="O526" t="s">
        <v>24</v>
      </c>
      <c r="P526" t="str">
        <f>Table1[[#This Row],[Region]]&amp;"|"&amp;Table1[[#This Row],[Sales Rep]]</f>
        <v>North|David</v>
      </c>
    </row>
    <row r="527" spans="1:16" x14ac:dyDescent="0.35">
      <c r="A527">
        <v>1010</v>
      </c>
      <c r="B527" s="1">
        <v>44973</v>
      </c>
      <c r="C527" t="s">
        <v>24</v>
      </c>
      <c r="D527" t="s">
        <v>34</v>
      </c>
      <c r="E527">
        <v>1678.97</v>
      </c>
      <c r="F527">
        <v>47</v>
      </c>
      <c r="G527" t="s">
        <v>16</v>
      </c>
      <c r="H527">
        <v>2265.38</v>
      </c>
      <c r="I527">
        <v>2429.9299999999998</v>
      </c>
      <c r="J527" t="s">
        <v>17</v>
      </c>
      <c r="K527">
        <v>0.06</v>
      </c>
      <c r="L527" t="s">
        <v>27</v>
      </c>
      <c r="M527" t="s">
        <v>19</v>
      </c>
      <c r="N527" t="s">
        <v>34</v>
      </c>
      <c r="O527" t="s">
        <v>24</v>
      </c>
      <c r="P527" t="str">
        <f>Table1[[#This Row],[Region]]&amp;"|"&amp;Table1[[#This Row],[Sales Rep]]</f>
        <v>East|David</v>
      </c>
    </row>
    <row r="528" spans="1:16" x14ac:dyDescent="0.35">
      <c r="A528">
        <v>1069</v>
      </c>
      <c r="B528" s="1">
        <v>45214</v>
      </c>
      <c r="C528" t="s">
        <v>14</v>
      </c>
      <c r="D528" t="s">
        <v>21</v>
      </c>
      <c r="E528">
        <v>1688.58</v>
      </c>
      <c r="F528">
        <v>46</v>
      </c>
      <c r="G528" t="s">
        <v>26</v>
      </c>
      <c r="H528">
        <v>3663.51</v>
      </c>
      <c r="I528">
        <v>4007.98</v>
      </c>
      <c r="J528" t="s">
        <v>30</v>
      </c>
      <c r="K528">
        <v>0.13</v>
      </c>
      <c r="L528" t="s">
        <v>18</v>
      </c>
      <c r="M528" t="s">
        <v>19</v>
      </c>
      <c r="N528" t="s">
        <v>21</v>
      </c>
      <c r="O528" t="s">
        <v>14</v>
      </c>
      <c r="P528" t="str">
        <f>Table1[[#This Row],[Region]]&amp;"|"&amp;Table1[[#This Row],[Sales Rep]]</f>
        <v>West|Bob</v>
      </c>
    </row>
    <row r="529" spans="1:16" x14ac:dyDescent="0.35">
      <c r="A529">
        <v>1100</v>
      </c>
      <c r="B529" s="1">
        <v>45192</v>
      </c>
      <c r="C529" t="s">
        <v>33</v>
      </c>
      <c r="D529" t="s">
        <v>15</v>
      </c>
      <c r="E529">
        <v>797.87</v>
      </c>
      <c r="F529">
        <v>19</v>
      </c>
      <c r="G529" t="s">
        <v>35</v>
      </c>
      <c r="H529">
        <v>1820.89</v>
      </c>
      <c r="I529">
        <v>2257.92</v>
      </c>
      <c r="J529" t="s">
        <v>30</v>
      </c>
      <c r="K529">
        <v>0.12</v>
      </c>
      <c r="L529" t="s">
        <v>18</v>
      </c>
      <c r="M529" t="s">
        <v>22</v>
      </c>
      <c r="N529" t="s">
        <v>15</v>
      </c>
      <c r="O529" t="s">
        <v>33</v>
      </c>
      <c r="P529" t="str">
        <f>Table1[[#This Row],[Region]]&amp;"|"&amp;Table1[[#This Row],[Sales Rep]]</f>
        <v>North|Charlie</v>
      </c>
    </row>
    <row r="530" spans="1:16" x14ac:dyDescent="0.35">
      <c r="A530">
        <v>1034</v>
      </c>
      <c r="B530" s="1">
        <v>44942</v>
      </c>
      <c r="C530" t="s">
        <v>42</v>
      </c>
      <c r="D530" t="s">
        <v>15</v>
      </c>
      <c r="E530">
        <v>1937.9</v>
      </c>
      <c r="F530">
        <v>13</v>
      </c>
      <c r="G530" t="s">
        <v>16</v>
      </c>
      <c r="H530">
        <v>366.31</v>
      </c>
      <c r="I530">
        <v>492.68</v>
      </c>
      <c r="J530" t="s">
        <v>30</v>
      </c>
      <c r="K530">
        <v>0.12</v>
      </c>
      <c r="L530" t="s">
        <v>31</v>
      </c>
      <c r="M530" t="s">
        <v>22</v>
      </c>
      <c r="N530" t="s">
        <v>15</v>
      </c>
      <c r="O530" t="s">
        <v>42</v>
      </c>
      <c r="P530" t="str">
        <f>Table1[[#This Row],[Region]]&amp;"|"&amp;Table1[[#This Row],[Sales Rep]]</f>
        <v>North|Alice</v>
      </c>
    </row>
    <row r="531" spans="1:16" x14ac:dyDescent="0.35">
      <c r="A531">
        <v>1052</v>
      </c>
      <c r="B531" s="1">
        <v>45125</v>
      </c>
      <c r="C531" t="s">
        <v>38</v>
      </c>
      <c r="D531" t="s">
        <v>25</v>
      </c>
      <c r="E531">
        <v>6675.77</v>
      </c>
      <c r="F531">
        <v>42</v>
      </c>
      <c r="G531" t="s">
        <v>35</v>
      </c>
      <c r="H531">
        <v>417.96</v>
      </c>
      <c r="I531">
        <v>907.63</v>
      </c>
      <c r="J531" t="s">
        <v>30</v>
      </c>
      <c r="K531">
        <v>0.04</v>
      </c>
      <c r="L531" t="s">
        <v>18</v>
      </c>
      <c r="M531" t="s">
        <v>22</v>
      </c>
      <c r="N531" t="s">
        <v>25</v>
      </c>
      <c r="O531" t="s">
        <v>38</v>
      </c>
      <c r="P531" t="str">
        <f>Table1[[#This Row],[Region]]&amp;"|"&amp;Table1[[#This Row],[Sales Rep]]</f>
        <v>South|Eve</v>
      </c>
    </row>
    <row r="532" spans="1:16" x14ac:dyDescent="0.35">
      <c r="A532">
        <v>1095</v>
      </c>
      <c r="B532" s="1">
        <v>45208</v>
      </c>
      <c r="C532" t="s">
        <v>24</v>
      </c>
      <c r="D532" t="s">
        <v>15</v>
      </c>
      <c r="E532">
        <v>8828.74</v>
      </c>
      <c r="F532">
        <v>21</v>
      </c>
      <c r="G532" t="s">
        <v>29</v>
      </c>
      <c r="H532">
        <v>621.04999999999995</v>
      </c>
      <c r="I532">
        <v>820.36999999999898</v>
      </c>
      <c r="J532" t="s">
        <v>17</v>
      </c>
      <c r="K532">
        <v>0.24</v>
      </c>
      <c r="L532" t="s">
        <v>27</v>
      </c>
      <c r="M532" t="s">
        <v>19</v>
      </c>
      <c r="N532" t="s">
        <v>15</v>
      </c>
      <c r="O532" t="s">
        <v>24</v>
      </c>
      <c r="P532" t="str">
        <f>Table1[[#This Row],[Region]]&amp;"|"&amp;Table1[[#This Row],[Sales Rep]]</f>
        <v>North|David</v>
      </c>
    </row>
    <row r="533" spans="1:16" x14ac:dyDescent="0.35">
      <c r="A533">
        <v>1010</v>
      </c>
      <c r="B533" s="1">
        <v>45012</v>
      </c>
      <c r="C533" t="s">
        <v>38</v>
      </c>
      <c r="D533" t="s">
        <v>25</v>
      </c>
      <c r="E533">
        <v>8159.84</v>
      </c>
      <c r="F533">
        <v>37</v>
      </c>
      <c r="G533" t="s">
        <v>29</v>
      </c>
      <c r="H533">
        <v>4354.92</v>
      </c>
      <c r="I533">
        <v>4495.88</v>
      </c>
      <c r="J533" t="s">
        <v>17</v>
      </c>
      <c r="K533">
        <v>0.01</v>
      </c>
      <c r="L533" t="s">
        <v>27</v>
      </c>
      <c r="M533" t="s">
        <v>19</v>
      </c>
      <c r="N533" t="s">
        <v>25</v>
      </c>
      <c r="O533" t="s">
        <v>38</v>
      </c>
      <c r="P533" t="str">
        <f>Table1[[#This Row],[Region]]&amp;"|"&amp;Table1[[#This Row],[Sales Rep]]</f>
        <v>South|Eve</v>
      </c>
    </row>
    <row r="534" spans="1:16" x14ac:dyDescent="0.35">
      <c r="A534">
        <v>1019</v>
      </c>
      <c r="B534" s="1">
        <v>45176</v>
      </c>
      <c r="C534" t="s">
        <v>14</v>
      </c>
      <c r="D534" t="s">
        <v>21</v>
      </c>
      <c r="E534">
        <v>6882.83</v>
      </c>
      <c r="F534">
        <v>27</v>
      </c>
      <c r="G534" t="s">
        <v>35</v>
      </c>
      <c r="H534">
        <v>2387.52</v>
      </c>
      <c r="I534">
        <v>2604.06</v>
      </c>
      <c r="J534" t="s">
        <v>17</v>
      </c>
      <c r="K534">
        <v>0.16</v>
      </c>
      <c r="L534" t="s">
        <v>18</v>
      </c>
      <c r="M534" t="s">
        <v>19</v>
      </c>
      <c r="N534" t="s">
        <v>21</v>
      </c>
      <c r="O534" t="s">
        <v>14</v>
      </c>
      <c r="P534" t="str">
        <f>Table1[[#This Row],[Region]]&amp;"|"&amp;Table1[[#This Row],[Sales Rep]]</f>
        <v>West|Bob</v>
      </c>
    </row>
    <row r="535" spans="1:16" x14ac:dyDescent="0.35">
      <c r="A535">
        <v>1058</v>
      </c>
      <c r="B535" s="1">
        <v>45196</v>
      </c>
      <c r="C535" t="s">
        <v>38</v>
      </c>
      <c r="D535" t="s">
        <v>21</v>
      </c>
      <c r="E535">
        <v>1193.28</v>
      </c>
      <c r="F535">
        <v>29</v>
      </c>
      <c r="G535" t="s">
        <v>35</v>
      </c>
      <c r="H535">
        <v>3578.77</v>
      </c>
      <c r="I535">
        <v>3635.02</v>
      </c>
      <c r="J535" t="s">
        <v>30</v>
      </c>
      <c r="K535">
        <v>0.2</v>
      </c>
      <c r="L535" t="s">
        <v>27</v>
      </c>
      <c r="M535" t="s">
        <v>22</v>
      </c>
      <c r="N535" t="s">
        <v>21</v>
      </c>
      <c r="O535" t="s">
        <v>38</v>
      </c>
      <c r="P535" t="str">
        <f>Table1[[#This Row],[Region]]&amp;"|"&amp;Table1[[#This Row],[Sales Rep]]</f>
        <v>West|Eve</v>
      </c>
    </row>
    <row r="536" spans="1:16" x14ac:dyDescent="0.35">
      <c r="A536">
        <v>1096</v>
      </c>
      <c r="B536" s="1">
        <v>45261</v>
      </c>
      <c r="C536" t="s">
        <v>14</v>
      </c>
      <c r="D536" t="s">
        <v>34</v>
      </c>
      <c r="E536">
        <v>2962.96</v>
      </c>
      <c r="F536">
        <v>20</v>
      </c>
      <c r="G536" t="s">
        <v>16</v>
      </c>
      <c r="H536">
        <v>1994.9</v>
      </c>
      <c r="I536">
        <v>2066.5</v>
      </c>
      <c r="J536" t="s">
        <v>17</v>
      </c>
      <c r="K536">
        <v>0.06</v>
      </c>
      <c r="L536" t="s">
        <v>27</v>
      </c>
      <c r="M536" t="s">
        <v>19</v>
      </c>
      <c r="N536" t="s">
        <v>34</v>
      </c>
      <c r="O536" t="s">
        <v>14</v>
      </c>
      <c r="P536" t="str">
        <f>Table1[[#This Row],[Region]]&amp;"|"&amp;Table1[[#This Row],[Sales Rep]]</f>
        <v>East|Bob</v>
      </c>
    </row>
    <row r="537" spans="1:16" x14ac:dyDescent="0.35">
      <c r="A537">
        <v>1001</v>
      </c>
      <c r="B537" s="1">
        <v>45043</v>
      </c>
      <c r="C537" t="s">
        <v>38</v>
      </c>
      <c r="D537" t="s">
        <v>34</v>
      </c>
      <c r="E537">
        <v>3167.09</v>
      </c>
      <c r="F537">
        <v>25</v>
      </c>
      <c r="G537" t="s">
        <v>35</v>
      </c>
      <c r="H537">
        <v>1330.62</v>
      </c>
      <c r="I537">
        <v>1543.6899999999901</v>
      </c>
      <c r="J537" t="s">
        <v>30</v>
      </c>
      <c r="K537">
        <v>0.27</v>
      </c>
      <c r="L537" t="s">
        <v>31</v>
      </c>
      <c r="M537" t="s">
        <v>19</v>
      </c>
      <c r="N537" t="s">
        <v>34</v>
      </c>
      <c r="O537" t="s">
        <v>38</v>
      </c>
      <c r="P537" t="str">
        <f>Table1[[#This Row],[Region]]&amp;"|"&amp;Table1[[#This Row],[Sales Rep]]</f>
        <v>East|Eve</v>
      </c>
    </row>
    <row r="538" spans="1:16" x14ac:dyDescent="0.35">
      <c r="A538">
        <v>1069</v>
      </c>
      <c r="B538" s="1">
        <v>44933</v>
      </c>
      <c r="C538" t="s">
        <v>42</v>
      </c>
      <c r="D538" t="s">
        <v>34</v>
      </c>
      <c r="E538">
        <v>2574.5700000000002</v>
      </c>
      <c r="F538">
        <v>6</v>
      </c>
      <c r="G538" t="s">
        <v>26</v>
      </c>
      <c r="H538">
        <v>1768.6</v>
      </c>
      <c r="I538">
        <v>2152.1999999999998</v>
      </c>
      <c r="J538" t="s">
        <v>30</v>
      </c>
      <c r="K538">
        <v>0.25</v>
      </c>
      <c r="L538" t="s">
        <v>27</v>
      </c>
      <c r="M538" t="s">
        <v>22</v>
      </c>
      <c r="N538" t="s">
        <v>34</v>
      </c>
      <c r="O538" t="s">
        <v>42</v>
      </c>
      <c r="P538" t="str">
        <f>Table1[[#This Row],[Region]]&amp;"|"&amp;Table1[[#This Row],[Sales Rep]]</f>
        <v>East|Alice</v>
      </c>
    </row>
    <row r="539" spans="1:16" x14ac:dyDescent="0.35">
      <c r="A539">
        <v>1004</v>
      </c>
      <c r="B539" s="1">
        <v>45063</v>
      </c>
      <c r="C539" t="s">
        <v>42</v>
      </c>
      <c r="D539" t="s">
        <v>15</v>
      </c>
      <c r="E539">
        <v>5198.5600000000004</v>
      </c>
      <c r="F539">
        <v>36</v>
      </c>
      <c r="G539" t="s">
        <v>26</v>
      </c>
      <c r="H539">
        <v>3981.2</v>
      </c>
      <c r="I539">
        <v>4432.3499999999904</v>
      </c>
      <c r="J539" t="s">
        <v>30</v>
      </c>
      <c r="K539">
        <v>0.14000000000000001</v>
      </c>
      <c r="L539" t="s">
        <v>18</v>
      </c>
      <c r="M539" t="s">
        <v>19</v>
      </c>
      <c r="N539" t="s">
        <v>15</v>
      </c>
      <c r="O539" t="s">
        <v>42</v>
      </c>
      <c r="P539" t="str">
        <f>Table1[[#This Row],[Region]]&amp;"|"&amp;Table1[[#This Row],[Sales Rep]]</f>
        <v>North|Alice</v>
      </c>
    </row>
    <row r="540" spans="1:16" x14ac:dyDescent="0.35">
      <c r="A540">
        <v>1016</v>
      </c>
      <c r="B540" s="1">
        <v>45102</v>
      </c>
      <c r="C540" t="s">
        <v>42</v>
      </c>
      <c r="D540" t="s">
        <v>21</v>
      </c>
      <c r="E540">
        <v>5401.98</v>
      </c>
      <c r="F540">
        <v>2</v>
      </c>
      <c r="G540" t="s">
        <v>35</v>
      </c>
      <c r="H540">
        <v>3144.82</v>
      </c>
      <c r="I540">
        <v>3480.58</v>
      </c>
      <c r="J540" t="s">
        <v>17</v>
      </c>
      <c r="K540">
        <v>0.12</v>
      </c>
      <c r="L540" t="s">
        <v>18</v>
      </c>
      <c r="M540" t="s">
        <v>22</v>
      </c>
      <c r="N540" t="s">
        <v>21</v>
      </c>
      <c r="O540" t="s">
        <v>42</v>
      </c>
      <c r="P540" t="str">
        <f>Table1[[#This Row],[Region]]&amp;"|"&amp;Table1[[#This Row],[Sales Rep]]</f>
        <v>West|Alice</v>
      </c>
    </row>
    <row r="541" spans="1:16" x14ac:dyDescent="0.35">
      <c r="A541">
        <v>1024</v>
      </c>
      <c r="B541" s="1">
        <v>45254</v>
      </c>
      <c r="C541" t="s">
        <v>42</v>
      </c>
      <c r="D541" t="s">
        <v>25</v>
      </c>
      <c r="E541">
        <v>3633.17</v>
      </c>
      <c r="F541">
        <v>22</v>
      </c>
      <c r="G541" t="s">
        <v>26</v>
      </c>
      <c r="H541">
        <v>4691.32</v>
      </c>
      <c r="I541">
        <v>4752.88</v>
      </c>
      <c r="J541" t="s">
        <v>17</v>
      </c>
      <c r="K541">
        <v>7.0000000000000007E-2</v>
      </c>
      <c r="L541" t="s">
        <v>27</v>
      </c>
      <c r="M541" t="s">
        <v>22</v>
      </c>
      <c r="N541" t="s">
        <v>25</v>
      </c>
      <c r="O541" t="s">
        <v>42</v>
      </c>
      <c r="P541" t="str">
        <f>Table1[[#This Row],[Region]]&amp;"|"&amp;Table1[[#This Row],[Sales Rep]]</f>
        <v>South|Alice</v>
      </c>
    </row>
    <row r="542" spans="1:16" x14ac:dyDescent="0.35">
      <c r="A542">
        <v>1080</v>
      </c>
      <c r="B542" s="1">
        <v>45241</v>
      </c>
      <c r="C542" t="s">
        <v>42</v>
      </c>
      <c r="D542" t="s">
        <v>34</v>
      </c>
      <c r="E542">
        <v>3602.51</v>
      </c>
      <c r="F542">
        <v>32</v>
      </c>
      <c r="G542" t="s">
        <v>35</v>
      </c>
      <c r="H542">
        <v>3414.54</v>
      </c>
      <c r="I542">
        <v>3753.83</v>
      </c>
      <c r="J542" t="s">
        <v>30</v>
      </c>
      <c r="K542">
        <v>0.22</v>
      </c>
      <c r="L542" t="s">
        <v>18</v>
      </c>
      <c r="M542" t="s">
        <v>22</v>
      </c>
      <c r="N542" t="s">
        <v>34</v>
      </c>
      <c r="O542" t="s">
        <v>42</v>
      </c>
      <c r="P542" t="str">
        <f>Table1[[#This Row],[Region]]&amp;"|"&amp;Table1[[#This Row],[Sales Rep]]</f>
        <v>East|Alice</v>
      </c>
    </row>
    <row r="543" spans="1:16" x14ac:dyDescent="0.35">
      <c r="A543">
        <v>1002</v>
      </c>
      <c r="B543" s="1">
        <v>45141</v>
      </c>
      <c r="C543" t="s">
        <v>42</v>
      </c>
      <c r="D543" t="s">
        <v>25</v>
      </c>
      <c r="E543">
        <v>8302.7000000000007</v>
      </c>
      <c r="F543">
        <v>16</v>
      </c>
      <c r="G543" t="s">
        <v>16</v>
      </c>
      <c r="H543">
        <v>2872.4</v>
      </c>
      <c r="I543">
        <v>3193.76</v>
      </c>
      <c r="J543" t="s">
        <v>17</v>
      </c>
      <c r="K543">
        <v>0.04</v>
      </c>
      <c r="L543" t="s">
        <v>31</v>
      </c>
      <c r="M543" t="s">
        <v>19</v>
      </c>
      <c r="N543" t="s">
        <v>25</v>
      </c>
      <c r="O543" t="s">
        <v>42</v>
      </c>
      <c r="P543" t="str">
        <f>Table1[[#This Row],[Region]]&amp;"|"&amp;Table1[[#This Row],[Sales Rep]]</f>
        <v>South|Alice</v>
      </c>
    </row>
    <row r="544" spans="1:16" x14ac:dyDescent="0.35">
      <c r="A544">
        <v>1092</v>
      </c>
      <c r="B544" s="1">
        <v>45008</v>
      </c>
      <c r="C544" t="s">
        <v>14</v>
      </c>
      <c r="D544" t="s">
        <v>25</v>
      </c>
      <c r="E544">
        <v>7914</v>
      </c>
      <c r="F544">
        <v>18</v>
      </c>
      <c r="G544" t="s">
        <v>26</v>
      </c>
      <c r="H544">
        <v>3070.47</v>
      </c>
      <c r="I544">
        <v>3475.29</v>
      </c>
      <c r="J544" t="s">
        <v>17</v>
      </c>
      <c r="K544">
        <v>0.2</v>
      </c>
      <c r="L544" t="s">
        <v>27</v>
      </c>
      <c r="M544" t="s">
        <v>19</v>
      </c>
      <c r="N544" t="s">
        <v>25</v>
      </c>
      <c r="O544" t="s">
        <v>14</v>
      </c>
      <c r="P544" t="str">
        <f>Table1[[#This Row],[Region]]&amp;"|"&amp;Table1[[#This Row],[Sales Rep]]</f>
        <v>South|Bob</v>
      </c>
    </row>
    <row r="545" spans="1:16" x14ac:dyDescent="0.35">
      <c r="A545">
        <v>1032</v>
      </c>
      <c r="B545" s="1">
        <v>45149</v>
      </c>
      <c r="C545" t="s">
        <v>24</v>
      </c>
      <c r="D545" t="s">
        <v>34</v>
      </c>
      <c r="E545">
        <v>3147.18</v>
      </c>
      <c r="F545">
        <v>5</v>
      </c>
      <c r="G545" t="s">
        <v>26</v>
      </c>
      <c r="H545">
        <v>4714.74</v>
      </c>
      <c r="I545">
        <v>5129.1099999999997</v>
      </c>
      <c r="J545" t="s">
        <v>30</v>
      </c>
      <c r="K545">
        <v>0.25</v>
      </c>
      <c r="L545" t="s">
        <v>27</v>
      </c>
      <c r="M545" t="s">
        <v>19</v>
      </c>
      <c r="N545" t="s">
        <v>34</v>
      </c>
      <c r="O545" t="s">
        <v>24</v>
      </c>
      <c r="P545" t="str">
        <f>Table1[[#This Row],[Region]]&amp;"|"&amp;Table1[[#This Row],[Sales Rep]]</f>
        <v>East|David</v>
      </c>
    </row>
    <row r="546" spans="1:16" x14ac:dyDescent="0.35">
      <c r="A546">
        <v>1091</v>
      </c>
      <c r="B546" s="1">
        <v>45029</v>
      </c>
      <c r="C546" t="s">
        <v>38</v>
      </c>
      <c r="D546" t="s">
        <v>21</v>
      </c>
      <c r="E546">
        <v>9146.51</v>
      </c>
      <c r="F546">
        <v>36</v>
      </c>
      <c r="G546" t="s">
        <v>35</v>
      </c>
      <c r="H546">
        <v>3951.59</v>
      </c>
      <c r="I546">
        <v>4387.01</v>
      </c>
      <c r="J546" t="s">
        <v>30</v>
      </c>
      <c r="K546">
        <v>7.0000000000000007E-2</v>
      </c>
      <c r="L546" t="s">
        <v>27</v>
      </c>
      <c r="M546" t="s">
        <v>22</v>
      </c>
      <c r="N546" t="s">
        <v>21</v>
      </c>
      <c r="O546" t="s">
        <v>38</v>
      </c>
      <c r="P546" t="str">
        <f>Table1[[#This Row],[Region]]&amp;"|"&amp;Table1[[#This Row],[Sales Rep]]</f>
        <v>West|Eve</v>
      </c>
    </row>
    <row r="547" spans="1:16" x14ac:dyDescent="0.35">
      <c r="A547">
        <v>1084</v>
      </c>
      <c r="B547" s="1">
        <v>45199</v>
      </c>
      <c r="C547" t="s">
        <v>42</v>
      </c>
      <c r="D547" t="s">
        <v>34</v>
      </c>
      <c r="E547">
        <v>9532.8700000000008</v>
      </c>
      <c r="F547">
        <v>30</v>
      </c>
      <c r="G547" t="s">
        <v>26</v>
      </c>
      <c r="H547">
        <v>169</v>
      </c>
      <c r="I547">
        <v>381.91999999999899</v>
      </c>
      <c r="J547" t="s">
        <v>17</v>
      </c>
      <c r="K547">
        <v>0.26</v>
      </c>
      <c r="L547" t="s">
        <v>18</v>
      </c>
      <c r="M547" t="s">
        <v>22</v>
      </c>
      <c r="N547" t="s">
        <v>34</v>
      </c>
      <c r="O547" t="s">
        <v>42</v>
      </c>
      <c r="P547" t="str">
        <f>Table1[[#This Row],[Region]]&amp;"|"&amp;Table1[[#This Row],[Sales Rep]]</f>
        <v>East|Alice</v>
      </c>
    </row>
    <row r="548" spans="1:16" x14ac:dyDescent="0.35">
      <c r="A548">
        <v>1024</v>
      </c>
      <c r="B548" s="1">
        <v>44940</v>
      </c>
      <c r="C548" t="s">
        <v>14</v>
      </c>
      <c r="D548" t="s">
        <v>25</v>
      </c>
      <c r="E548">
        <v>3334.75</v>
      </c>
      <c r="F548">
        <v>45</v>
      </c>
      <c r="G548" t="s">
        <v>29</v>
      </c>
      <c r="H548">
        <v>2693.99</v>
      </c>
      <c r="I548">
        <v>3045.9399999999901</v>
      </c>
      <c r="J548" t="s">
        <v>30</v>
      </c>
      <c r="K548">
        <v>0.01</v>
      </c>
      <c r="L548" t="s">
        <v>18</v>
      </c>
      <c r="M548" t="s">
        <v>22</v>
      </c>
      <c r="N548" t="s">
        <v>25</v>
      </c>
      <c r="O548" t="s">
        <v>14</v>
      </c>
      <c r="P548" t="str">
        <f>Table1[[#This Row],[Region]]&amp;"|"&amp;Table1[[#This Row],[Sales Rep]]</f>
        <v>South|Bob</v>
      </c>
    </row>
    <row r="549" spans="1:16" x14ac:dyDescent="0.35">
      <c r="A549">
        <v>1012</v>
      </c>
      <c r="B549" s="1">
        <v>45085</v>
      </c>
      <c r="C549" t="s">
        <v>14</v>
      </c>
      <c r="D549" t="s">
        <v>34</v>
      </c>
      <c r="E549">
        <v>3608.81</v>
      </c>
      <c r="F549">
        <v>19</v>
      </c>
      <c r="G549" t="s">
        <v>16</v>
      </c>
      <c r="H549">
        <v>3457.28</v>
      </c>
      <c r="I549">
        <v>3598.72</v>
      </c>
      <c r="J549" t="s">
        <v>30</v>
      </c>
      <c r="K549">
        <v>0.27</v>
      </c>
      <c r="L549" t="s">
        <v>27</v>
      </c>
      <c r="M549" t="s">
        <v>19</v>
      </c>
      <c r="N549" t="s">
        <v>34</v>
      </c>
      <c r="O549" t="s">
        <v>14</v>
      </c>
      <c r="P549" t="str">
        <f>Table1[[#This Row],[Region]]&amp;"|"&amp;Table1[[#This Row],[Sales Rep]]</f>
        <v>East|Bob</v>
      </c>
    </row>
    <row r="550" spans="1:16" x14ac:dyDescent="0.35">
      <c r="A550">
        <v>1050</v>
      </c>
      <c r="B550" s="1">
        <v>45078</v>
      </c>
      <c r="C550" t="s">
        <v>14</v>
      </c>
      <c r="D550" t="s">
        <v>25</v>
      </c>
      <c r="E550">
        <v>5105.78</v>
      </c>
      <c r="F550">
        <v>23</v>
      </c>
      <c r="G550" t="s">
        <v>16</v>
      </c>
      <c r="H550">
        <v>3756.06</v>
      </c>
      <c r="I550">
        <v>4255.7299999999996</v>
      </c>
      <c r="J550" t="s">
        <v>17</v>
      </c>
      <c r="K550">
        <v>0.04</v>
      </c>
      <c r="L550" t="s">
        <v>18</v>
      </c>
      <c r="M550" t="s">
        <v>19</v>
      </c>
      <c r="N550" t="s">
        <v>25</v>
      </c>
      <c r="O550" t="s">
        <v>14</v>
      </c>
      <c r="P550" t="str">
        <f>Table1[[#This Row],[Region]]&amp;"|"&amp;Table1[[#This Row],[Sales Rep]]</f>
        <v>South|Bob</v>
      </c>
    </row>
    <row r="551" spans="1:16" x14ac:dyDescent="0.35">
      <c r="A551">
        <v>1035</v>
      </c>
      <c r="B551" s="1">
        <v>45034</v>
      </c>
      <c r="C551" t="s">
        <v>24</v>
      </c>
      <c r="D551" t="s">
        <v>25</v>
      </c>
      <c r="E551">
        <v>9417.1</v>
      </c>
      <c r="F551">
        <v>34</v>
      </c>
      <c r="G551" t="s">
        <v>26</v>
      </c>
      <c r="H551">
        <v>1105.05</v>
      </c>
      <c r="I551">
        <v>1200.96</v>
      </c>
      <c r="J551" t="s">
        <v>17</v>
      </c>
      <c r="K551">
        <v>0.19</v>
      </c>
      <c r="L551" t="s">
        <v>18</v>
      </c>
      <c r="M551" t="s">
        <v>19</v>
      </c>
      <c r="N551" t="s">
        <v>25</v>
      </c>
      <c r="O551" t="s">
        <v>24</v>
      </c>
      <c r="P551" t="str">
        <f>Table1[[#This Row],[Region]]&amp;"|"&amp;Table1[[#This Row],[Sales Rep]]</f>
        <v>South|David</v>
      </c>
    </row>
    <row r="552" spans="1:16" x14ac:dyDescent="0.35">
      <c r="A552">
        <v>1033</v>
      </c>
      <c r="B552" s="1">
        <v>45114</v>
      </c>
      <c r="C552" t="s">
        <v>38</v>
      </c>
      <c r="D552" t="s">
        <v>34</v>
      </c>
      <c r="E552">
        <v>8775.56</v>
      </c>
      <c r="F552">
        <v>13</v>
      </c>
      <c r="G552" t="s">
        <v>26</v>
      </c>
      <c r="H552">
        <v>4342.53</v>
      </c>
      <c r="I552">
        <v>4357.49</v>
      </c>
      <c r="J552" t="s">
        <v>30</v>
      </c>
      <c r="K552">
        <v>0.08</v>
      </c>
      <c r="L552" t="s">
        <v>27</v>
      </c>
      <c r="M552" t="s">
        <v>19</v>
      </c>
      <c r="N552" t="s">
        <v>34</v>
      </c>
      <c r="O552" t="s">
        <v>38</v>
      </c>
      <c r="P552" t="str">
        <f>Table1[[#This Row],[Region]]&amp;"|"&amp;Table1[[#This Row],[Sales Rep]]</f>
        <v>East|Eve</v>
      </c>
    </row>
    <row r="553" spans="1:16" x14ac:dyDescent="0.35">
      <c r="A553">
        <v>1033</v>
      </c>
      <c r="B553" s="1">
        <v>45227</v>
      </c>
      <c r="C553" t="s">
        <v>24</v>
      </c>
      <c r="D553" t="s">
        <v>15</v>
      </c>
      <c r="E553">
        <v>1115.42</v>
      </c>
      <c r="F553">
        <v>43</v>
      </c>
      <c r="G553" t="s">
        <v>29</v>
      </c>
      <c r="H553">
        <v>4781.42</v>
      </c>
      <c r="I553">
        <v>4864.34</v>
      </c>
      <c r="J553" t="s">
        <v>17</v>
      </c>
      <c r="K553">
        <v>0.25</v>
      </c>
      <c r="L553" t="s">
        <v>27</v>
      </c>
      <c r="M553" t="s">
        <v>19</v>
      </c>
      <c r="N553" t="s">
        <v>15</v>
      </c>
      <c r="O553" t="s">
        <v>24</v>
      </c>
      <c r="P553" t="str">
        <f>Table1[[#This Row],[Region]]&amp;"|"&amp;Table1[[#This Row],[Sales Rep]]</f>
        <v>North|David</v>
      </c>
    </row>
    <row r="554" spans="1:16" x14ac:dyDescent="0.35">
      <c r="A554">
        <v>1061</v>
      </c>
      <c r="B554" s="1">
        <v>45024</v>
      </c>
      <c r="C554" t="s">
        <v>33</v>
      </c>
      <c r="D554" t="s">
        <v>34</v>
      </c>
      <c r="E554">
        <v>3988.03</v>
      </c>
      <c r="F554">
        <v>29</v>
      </c>
      <c r="G554" t="s">
        <v>29</v>
      </c>
      <c r="H554">
        <v>1221.74</v>
      </c>
      <c r="I554">
        <v>1611.92</v>
      </c>
      <c r="J554" t="s">
        <v>30</v>
      </c>
      <c r="K554">
        <v>0.15</v>
      </c>
      <c r="L554" t="s">
        <v>18</v>
      </c>
      <c r="M554" t="s">
        <v>22</v>
      </c>
      <c r="N554" t="s">
        <v>34</v>
      </c>
      <c r="O554" t="s">
        <v>33</v>
      </c>
      <c r="P554" t="str">
        <f>Table1[[#This Row],[Region]]&amp;"|"&amp;Table1[[#This Row],[Sales Rep]]</f>
        <v>East|Charlie</v>
      </c>
    </row>
    <row r="555" spans="1:16" x14ac:dyDescent="0.35">
      <c r="A555">
        <v>1051</v>
      </c>
      <c r="B555" s="1">
        <v>45057</v>
      </c>
      <c r="C555" t="s">
        <v>14</v>
      </c>
      <c r="D555" t="s">
        <v>15</v>
      </c>
      <c r="E555">
        <v>5578.37</v>
      </c>
      <c r="F555">
        <v>36</v>
      </c>
      <c r="G555" t="s">
        <v>26</v>
      </c>
      <c r="H555">
        <v>4418.95</v>
      </c>
      <c r="I555">
        <v>4647.87</v>
      </c>
      <c r="J555" t="s">
        <v>30</v>
      </c>
      <c r="K555">
        <v>0.04</v>
      </c>
      <c r="L555" t="s">
        <v>27</v>
      </c>
      <c r="M555" t="s">
        <v>19</v>
      </c>
      <c r="N555" t="s">
        <v>15</v>
      </c>
      <c r="O555" t="s">
        <v>14</v>
      </c>
      <c r="P555" t="str">
        <f>Table1[[#This Row],[Region]]&amp;"|"&amp;Table1[[#This Row],[Sales Rep]]</f>
        <v>North|Bob</v>
      </c>
    </row>
    <row r="556" spans="1:16" x14ac:dyDescent="0.35">
      <c r="A556">
        <v>1043</v>
      </c>
      <c r="B556" s="1">
        <v>45219</v>
      </c>
      <c r="C556" t="s">
        <v>33</v>
      </c>
      <c r="D556" t="s">
        <v>25</v>
      </c>
      <c r="E556">
        <v>5081.01</v>
      </c>
      <c r="F556">
        <v>22</v>
      </c>
      <c r="G556" t="s">
        <v>26</v>
      </c>
      <c r="H556">
        <v>530.04</v>
      </c>
      <c r="I556">
        <v>759.31999999999903</v>
      </c>
      <c r="J556" t="s">
        <v>17</v>
      </c>
      <c r="K556">
        <v>0.17</v>
      </c>
      <c r="L556" t="s">
        <v>27</v>
      </c>
      <c r="M556" t="s">
        <v>22</v>
      </c>
      <c r="N556" t="s">
        <v>25</v>
      </c>
      <c r="O556" t="s">
        <v>33</v>
      </c>
      <c r="P556" t="str">
        <f>Table1[[#This Row],[Region]]&amp;"|"&amp;Table1[[#This Row],[Sales Rep]]</f>
        <v>South|Charlie</v>
      </c>
    </row>
    <row r="557" spans="1:16" x14ac:dyDescent="0.35">
      <c r="A557">
        <v>1012</v>
      </c>
      <c r="B557" s="1">
        <v>45097</v>
      </c>
      <c r="C557" t="s">
        <v>42</v>
      </c>
      <c r="D557" t="s">
        <v>25</v>
      </c>
      <c r="E557">
        <v>2019.24</v>
      </c>
      <c r="F557">
        <v>47</v>
      </c>
      <c r="G557" t="s">
        <v>29</v>
      </c>
      <c r="H557">
        <v>325.75</v>
      </c>
      <c r="I557">
        <v>803.71</v>
      </c>
      <c r="J557" t="s">
        <v>30</v>
      </c>
      <c r="K557">
        <v>0.12</v>
      </c>
      <c r="L557" t="s">
        <v>27</v>
      </c>
      <c r="M557" t="s">
        <v>22</v>
      </c>
      <c r="N557" t="s">
        <v>25</v>
      </c>
      <c r="O557" t="s">
        <v>42</v>
      </c>
      <c r="P557" t="str">
        <f>Table1[[#This Row],[Region]]&amp;"|"&amp;Table1[[#This Row],[Sales Rep]]</f>
        <v>South|Alice</v>
      </c>
    </row>
    <row r="558" spans="1:16" x14ac:dyDescent="0.35">
      <c r="A558">
        <v>1067</v>
      </c>
      <c r="B558" s="1">
        <v>45109</v>
      </c>
      <c r="C558" t="s">
        <v>42</v>
      </c>
      <c r="D558" t="s">
        <v>15</v>
      </c>
      <c r="E558">
        <v>8602.2900000000009</v>
      </c>
      <c r="F558">
        <v>36</v>
      </c>
      <c r="G558" t="s">
        <v>35</v>
      </c>
      <c r="H558">
        <v>689.66</v>
      </c>
      <c r="I558">
        <v>1150.28</v>
      </c>
      <c r="J558" t="s">
        <v>30</v>
      </c>
      <c r="K558">
        <v>0.2</v>
      </c>
      <c r="L558" t="s">
        <v>27</v>
      </c>
      <c r="M558" t="s">
        <v>19</v>
      </c>
      <c r="N558" t="s">
        <v>15</v>
      </c>
      <c r="O558" t="s">
        <v>42</v>
      </c>
      <c r="P558" t="str">
        <f>Table1[[#This Row],[Region]]&amp;"|"&amp;Table1[[#This Row],[Sales Rep]]</f>
        <v>North|Alice</v>
      </c>
    </row>
    <row r="559" spans="1:16" x14ac:dyDescent="0.35">
      <c r="A559">
        <v>1065</v>
      </c>
      <c r="B559" s="1">
        <v>45290</v>
      </c>
      <c r="C559" t="s">
        <v>24</v>
      </c>
      <c r="D559" t="s">
        <v>25</v>
      </c>
      <c r="E559">
        <v>6801.71</v>
      </c>
      <c r="F559">
        <v>9</v>
      </c>
      <c r="G559" t="s">
        <v>29</v>
      </c>
      <c r="H559">
        <v>335.82</v>
      </c>
      <c r="I559">
        <v>498.31</v>
      </c>
      <c r="J559" t="s">
        <v>30</v>
      </c>
      <c r="K559">
        <v>0.26</v>
      </c>
      <c r="L559" t="s">
        <v>18</v>
      </c>
      <c r="M559" t="s">
        <v>22</v>
      </c>
      <c r="N559" t="s">
        <v>25</v>
      </c>
      <c r="O559" t="s">
        <v>24</v>
      </c>
      <c r="P559" t="str">
        <f>Table1[[#This Row],[Region]]&amp;"|"&amp;Table1[[#This Row],[Sales Rep]]</f>
        <v>South|David</v>
      </c>
    </row>
    <row r="560" spans="1:16" x14ac:dyDescent="0.35">
      <c r="A560">
        <v>1033</v>
      </c>
      <c r="B560" s="1">
        <v>44965</v>
      </c>
      <c r="C560" t="s">
        <v>38</v>
      </c>
      <c r="D560" t="s">
        <v>15</v>
      </c>
      <c r="E560">
        <v>8395.2900000000009</v>
      </c>
      <c r="F560">
        <v>39</v>
      </c>
      <c r="G560" t="s">
        <v>35</v>
      </c>
      <c r="H560">
        <v>4232.8100000000004</v>
      </c>
      <c r="I560">
        <v>4345.25</v>
      </c>
      <c r="J560" t="s">
        <v>17</v>
      </c>
      <c r="K560">
        <v>0.12</v>
      </c>
      <c r="L560" t="s">
        <v>27</v>
      </c>
      <c r="M560" t="s">
        <v>19</v>
      </c>
      <c r="N560" t="s">
        <v>15</v>
      </c>
      <c r="O560" t="s">
        <v>38</v>
      </c>
      <c r="P560" t="str">
        <f>Table1[[#This Row],[Region]]&amp;"|"&amp;Table1[[#This Row],[Sales Rep]]</f>
        <v>North|Eve</v>
      </c>
    </row>
    <row r="561" spans="1:16" x14ac:dyDescent="0.35">
      <c r="A561">
        <v>1040</v>
      </c>
      <c r="B561" s="1">
        <v>44941</v>
      </c>
      <c r="C561" t="s">
        <v>33</v>
      </c>
      <c r="D561" t="s">
        <v>15</v>
      </c>
      <c r="E561">
        <v>8601.77</v>
      </c>
      <c r="F561">
        <v>19</v>
      </c>
      <c r="G561" t="s">
        <v>16</v>
      </c>
      <c r="H561">
        <v>342.3</v>
      </c>
      <c r="I561">
        <v>768.06</v>
      </c>
      <c r="J561" t="s">
        <v>17</v>
      </c>
      <c r="K561">
        <v>0.09</v>
      </c>
      <c r="L561" t="s">
        <v>31</v>
      </c>
      <c r="M561" t="s">
        <v>19</v>
      </c>
      <c r="N561" t="s">
        <v>15</v>
      </c>
      <c r="O561" t="s">
        <v>33</v>
      </c>
      <c r="P561" t="str">
        <f>Table1[[#This Row],[Region]]&amp;"|"&amp;Table1[[#This Row],[Sales Rep]]</f>
        <v>North|Charlie</v>
      </c>
    </row>
    <row r="562" spans="1:16" x14ac:dyDescent="0.35">
      <c r="A562">
        <v>1074</v>
      </c>
      <c r="B562" s="1">
        <v>44930</v>
      </c>
      <c r="C562" t="s">
        <v>38</v>
      </c>
      <c r="D562" t="s">
        <v>25</v>
      </c>
      <c r="E562">
        <v>7508.72</v>
      </c>
      <c r="F562">
        <v>38</v>
      </c>
      <c r="G562" t="s">
        <v>16</v>
      </c>
      <c r="H562">
        <v>1394.74</v>
      </c>
      <c r="I562">
        <v>1848.69</v>
      </c>
      <c r="J562" t="s">
        <v>17</v>
      </c>
      <c r="K562">
        <v>0</v>
      </c>
      <c r="L562" t="s">
        <v>27</v>
      </c>
      <c r="M562" t="s">
        <v>22</v>
      </c>
      <c r="N562" t="s">
        <v>25</v>
      </c>
      <c r="O562" t="s">
        <v>38</v>
      </c>
      <c r="P562" t="str">
        <f>Table1[[#This Row],[Region]]&amp;"|"&amp;Table1[[#This Row],[Sales Rep]]</f>
        <v>South|Eve</v>
      </c>
    </row>
    <row r="563" spans="1:16" x14ac:dyDescent="0.35">
      <c r="A563">
        <v>1043</v>
      </c>
      <c r="B563" s="1">
        <v>45275</v>
      </c>
      <c r="C563" t="s">
        <v>24</v>
      </c>
      <c r="D563" t="s">
        <v>21</v>
      </c>
      <c r="E563">
        <v>4448.18</v>
      </c>
      <c r="F563">
        <v>6</v>
      </c>
      <c r="G563" t="s">
        <v>29</v>
      </c>
      <c r="H563">
        <v>563.59</v>
      </c>
      <c r="I563">
        <v>838.97</v>
      </c>
      <c r="J563" t="s">
        <v>30</v>
      </c>
      <c r="K563">
        <v>0.17</v>
      </c>
      <c r="L563" t="s">
        <v>31</v>
      </c>
      <c r="M563" t="s">
        <v>19</v>
      </c>
      <c r="N563" t="s">
        <v>21</v>
      </c>
      <c r="O563" t="s">
        <v>24</v>
      </c>
      <c r="P563" t="str">
        <f>Table1[[#This Row],[Region]]&amp;"|"&amp;Table1[[#This Row],[Sales Rep]]</f>
        <v>West|David</v>
      </c>
    </row>
    <row r="564" spans="1:16" x14ac:dyDescent="0.35">
      <c r="A564">
        <v>1044</v>
      </c>
      <c r="B564" s="1">
        <v>45136</v>
      </c>
      <c r="C564" t="s">
        <v>42</v>
      </c>
      <c r="D564" t="s">
        <v>15</v>
      </c>
      <c r="E564">
        <v>6144.41</v>
      </c>
      <c r="F564">
        <v>47</v>
      </c>
      <c r="G564" t="s">
        <v>35</v>
      </c>
      <c r="H564">
        <v>1512.34</v>
      </c>
      <c r="I564">
        <v>1830.76</v>
      </c>
      <c r="J564" t="s">
        <v>30</v>
      </c>
      <c r="K564">
        <v>0.12</v>
      </c>
      <c r="L564" t="s">
        <v>27</v>
      </c>
      <c r="M564" t="s">
        <v>19</v>
      </c>
      <c r="N564" t="s">
        <v>15</v>
      </c>
      <c r="O564" t="s">
        <v>42</v>
      </c>
      <c r="P564" t="str">
        <f>Table1[[#This Row],[Region]]&amp;"|"&amp;Table1[[#This Row],[Sales Rep]]</f>
        <v>North|Alice</v>
      </c>
    </row>
    <row r="565" spans="1:16" x14ac:dyDescent="0.35">
      <c r="A565">
        <v>1029</v>
      </c>
      <c r="B565" s="1">
        <v>45087</v>
      </c>
      <c r="C565" t="s">
        <v>38</v>
      </c>
      <c r="D565" t="s">
        <v>34</v>
      </c>
      <c r="E565">
        <v>1687.62</v>
      </c>
      <c r="F565">
        <v>15</v>
      </c>
      <c r="G565" t="s">
        <v>29</v>
      </c>
      <c r="H565">
        <v>498.27</v>
      </c>
      <c r="I565">
        <v>634.16</v>
      </c>
      <c r="J565" t="s">
        <v>17</v>
      </c>
      <c r="K565">
        <v>0.11</v>
      </c>
      <c r="L565" t="s">
        <v>31</v>
      </c>
      <c r="M565" t="s">
        <v>22</v>
      </c>
      <c r="N565" t="s">
        <v>34</v>
      </c>
      <c r="O565" t="s">
        <v>38</v>
      </c>
      <c r="P565" t="str">
        <f>Table1[[#This Row],[Region]]&amp;"|"&amp;Table1[[#This Row],[Sales Rep]]</f>
        <v>East|Eve</v>
      </c>
    </row>
    <row r="566" spans="1:16" x14ac:dyDescent="0.35">
      <c r="A566">
        <v>1013</v>
      </c>
      <c r="B566" s="1">
        <v>44942</v>
      </c>
      <c r="C566" t="s">
        <v>38</v>
      </c>
      <c r="D566" t="s">
        <v>34</v>
      </c>
      <c r="E566">
        <v>6769.09</v>
      </c>
      <c r="F566">
        <v>20</v>
      </c>
      <c r="G566" t="s">
        <v>29</v>
      </c>
      <c r="H566">
        <v>3356.62</v>
      </c>
      <c r="I566">
        <v>3759.0099999999902</v>
      </c>
      <c r="J566" t="s">
        <v>17</v>
      </c>
      <c r="K566">
        <v>0.05</v>
      </c>
      <c r="L566" t="s">
        <v>31</v>
      </c>
      <c r="M566" t="s">
        <v>22</v>
      </c>
      <c r="N566" t="s">
        <v>34</v>
      </c>
      <c r="O566" t="s">
        <v>38</v>
      </c>
      <c r="P566" t="str">
        <f>Table1[[#This Row],[Region]]&amp;"|"&amp;Table1[[#This Row],[Sales Rep]]</f>
        <v>East|Eve</v>
      </c>
    </row>
    <row r="567" spans="1:16" x14ac:dyDescent="0.35">
      <c r="A567">
        <v>1012</v>
      </c>
      <c r="B567" s="1">
        <v>45034</v>
      </c>
      <c r="C567" t="s">
        <v>42</v>
      </c>
      <c r="D567" t="s">
        <v>25</v>
      </c>
      <c r="E567">
        <v>1874.61</v>
      </c>
      <c r="F567">
        <v>9</v>
      </c>
      <c r="G567" t="s">
        <v>35</v>
      </c>
      <c r="H567">
        <v>709.97</v>
      </c>
      <c r="I567">
        <v>1029.71</v>
      </c>
      <c r="J567" t="s">
        <v>17</v>
      </c>
      <c r="K567">
        <v>0.13</v>
      </c>
      <c r="L567" t="s">
        <v>27</v>
      </c>
      <c r="M567" t="s">
        <v>22</v>
      </c>
      <c r="N567" t="s">
        <v>25</v>
      </c>
      <c r="O567" t="s">
        <v>42</v>
      </c>
      <c r="P567" t="str">
        <f>Table1[[#This Row],[Region]]&amp;"|"&amp;Table1[[#This Row],[Sales Rep]]</f>
        <v>South|Alice</v>
      </c>
    </row>
    <row r="568" spans="1:16" x14ac:dyDescent="0.35">
      <c r="A568">
        <v>1095</v>
      </c>
      <c r="B568" s="1">
        <v>45237</v>
      </c>
      <c r="C568" t="s">
        <v>33</v>
      </c>
      <c r="D568" t="s">
        <v>21</v>
      </c>
      <c r="E568">
        <v>6970.1</v>
      </c>
      <c r="F568">
        <v>32</v>
      </c>
      <c r="G568" t="s">
        <v>29</v>
      </c>
      <c r="H568">
        <v>4266.6400000000003</v>
      </c>
      <c r="I568">
        <v>4523.3599999999997</v>
      </c>
      <c r="J568" t="s">
        <v>30</v>
      </c>
      <c r="K568">
        <v>0.3</v>
      </c>
      <c r="L568" t="s">
        <v>27</v>
      </c>
      <c r="M568" t="s">
        <v>22</v>
      </c>
      <c r="N568" t="s">
        <v>21</v>
      </c>
      <c r="O568" t="s">
        <v>33</v>
      </c>
      <c r="P568" t="str">
        <f>Table1[[#This Row],[Region]]&amp;"|"&amp;Table1[[#This Row],[Sales Rep]]</f>
        <v>West|Charlie</v>
      </c>
    </row>
    <row r="569" spans="1:16" x14ac:dyDescent="0.35">
      <c r="A569">
        <v>1046</v>
      </c>
      <c r="B569" s="1">
        <v>45153</v>
      </c>
      <c r="C569" t="s">
        <v>42</v>
      </c>
      <c r="D569" t="s">
        <v>25</v>
      </c>
      <c r="E569">
        <v>2373.02</v>
      </c>
      <c r="F569">
        <v>4</v>
      </c>
      <c r="G569" t="s">
        <v>16</v>
      </c>
      <c r="H569">
        <v>4095.1</v>
      </c>
      <c r="I569">
        <v>4134.55</v>
      </c>
      <c r="J569" t="s">
        <v>17</v>
      </c>
      <c r="K569">
        <v>0.09</v>
      </c>
      <c r="L569" t="s">
        <v>27</v>
      </c>
      <c r="M569" t="s">
        <v>22</v>
      </c>
      <c r="N569" t="s">
        <v>25</v>
      </c>
      <c r="O569" t="s">
        <v>42</v>
      </c>
      <c r="P569" t="str">
        <f>Table1[[#This Row],[Region]]&amp;"|"&amp;Table1[[#This Row],[Sales Rep]]</f>
        <v>South|Alice</v>
      </c>
    </row>
    <row r="570" spans="1:16" x14ac:dyDescent="0.35">
      <c r="A570">
        <v>1002</v>
      </c>
      <c r="B570" s="1">
        <v>45096</v>
      </c>
      <c r="C570" t="s">
        <v>38</v>
      </c>
      <c r="D570" t="s">
        <v>21</v>
      </c>
      <c r="E570">
        <v>1263.76</v>
      </c>
      <c r="F570">
        <v>18</v>
      </c>
      <c r="G570" t="s">
        <v>26</v>
      </c>
      <c r="H570">
        <v>117.63</v>
      </c>
      <c r="I570">
        <v>576.44000000000005</v>
      </c>
      <c r="J570" t="s">
        <v>30</v>
      </c>
      <c r="K570">
        <v>0.18</v>
      </c>
      <c r="L570" t="s">
        <v>31</v>
      </c>
      <c r="M570" t="s">
        <v>22</v>
      </c>
      <c r="N570" t="s">
        <v>21</v>
      </c>
      <c r="O570" t="s">
        <v>38</v>
      </c>
      <c r="P570" t="str">
        <f>Table1[[#This Row],[Region]]&amp;"|"&amp;Table1[[#This Row],[Sales Rep]]</f>
        <v>West|Eve</v>
      </c>
    </row>
    <row r="571" spans="1:16" x14ac:dyDescent="0.35">
      <c r="A571">
        <v>1035</v>
      </c>
      <c r="B571" s="1">
        <v>44960</v>
      </c>
      <c r="C571" t="s">
        <v>33</v>
      </c>
      <c r="D571" t="s">
        <v>15</v>
      </c>
      <c r="E571">
        <v>1736.32</v>
      </c>
      <c r="F571">
        <v>5</v>
      </c>
      <c r="G571" t="s">
        <v>26</v>
      </c>
      <c r="H571">
        <v>4483.8500000000004</v>
      </c>
      <c r="I571">
        <v>4795.42</v>
      </c>
      <c r="J571" t="s">
        <v>17</v>
      </c>
      <c r="K571">
        <v>0.23</v>
      </c>
      <c r="L571" t="s">
        <v>18</v>
      </c>
      <c r="M571" t="s">
        <v>19</v>
      </c>
      <c r="N571" t="s">
        <v>15</v>
      </c>
      <c r="O571" t="s">
        <v>33</v>
      </c>
      <c r="P571" t="str">
        <f>Table1[[#This Row],[Region]]&amp;"|"&amp;Table1[[#This Row],[Sales Rep]]</f>
        <v>North|Charlie</v>
      </c>
    </row>
    <row r="572" spans="1:16" x14ac:dyDescent="0.35">
      <c r="A572">
        <v>1087</v>
      </c>
      <c r="B572" s="1">
        <v>45177</v>
      </c>
      <c r="C572" t="s">
        <v>33</v>
      </c>
      <c r="D572" t="s">
        <v>15</v>
      </c>
      <c r="E572">
        <v>119.72</v>
      </c>
      <c r="F572">
        <v>20</v>
      </c>
      <c r="G572" t="s">
        <v>29</v>
      </c>
      <c r="H572">
        <v>193.27</v>
      </c>
      <c r="I572">
        <v>297.69</v>
      </c>
      <c r="J572" t="s">
        <v>30</v>
      </c>
      <c r="K572">
        <v>0.22</v>
      </c>
      <c r="L572" t="s">
        <v>18</v>
      </c>
      <c r="M572" t="s">
        <v>19</v>
      </c>
      <c r="N572" t="s">
        <v>15</v>
      </c>
      <c r="O572" t="s">
        <v>33</v>
      </c>
      <c r="P572" t="str">
        <f>Table1[[#This Row],[Region]]&amp;"|"&amp;Table1[[#This Row],[Sales Rep]]</f>
        <v>North|Charlie</v>
      </c>
    </row>
    <row r="573" spans="1:16" x14ac:dyDescent="0.35">
      <c r="A573">
        <v>1081</v>
      </c>
      <c r="B573" s="1">
        <v>45173</v>
      </c>
      <c r="C573" t="s">
        <v>42</v>
      </c>
      <c r="D573" t="s">
        <v>15</v>
      </c>
      <c r="E573">
        <v>7215.52</v>
      </c>
      <c r="F573">
        <v>23</v>
      </c>
      <c r="G573" t="s">
        <v>35</v>
      </c>
      <c r="H573">
        <v>1236.25</v>
      </c>
      <c r="I573">
        <v>1543.38</v>
      </c>
      <c r="J573" t="s">
        <v>30</v>
      </c>
      <c r="K573">
        <v>0.1</v>
      </c>
      <c r="L573" t="s">
        <v>27</v>
      </c>
      <c r="M573" t="s">
        <v>19</v>
      </c>
      <c r="N573" t="s">
        <v>15</v>
      </c>
      <c r="O573" t="s">
        <v>42</v>
      </c>
      <c r="P573" t="str">
        <f>Table1[[#This Row],[Region]]&amp;"|"&amp;Table1[[#This Row],[Sales Rep]]</f>
        <v>North|Alice</v>
      </c>
    </row>
    <row r="574" spans="1:16" x14ac:dyDescent="0.35">
      <c r="A574">
        <v>1090</v>
      </c>
      <c r="B574" s="1">
        <v>45195</v>
      </c>
      <c r="C574" t="s">
        <v>38</v>
      </c>
      <c r="D574" t="s">
        <v>15</v>
      </c>
      <c r="E574">
        <v>7350.77</v>
      </c>
      <c r="F574">
        <v>11</v>
      </c>
      <c r="G574" t="s">
        <v>35</v>
      </c>
      <c r="H574">
        <v>210.33</v>
      </c>
      <c r="I574">
        <v>552.29</v>
      </c>
      <c r="J574" t="s">
        <v>17</v>
      </c>
      <c r="K574">
        <v>0.18</v>
      </c>
      <c r="L574" t="s">
        <v>18</v>
      </c>
      <c r="M574" t="s">
        <v>22</v>
      </c>
      <c r="N574" t="s">
        <v>15</v>
      </c>
      <c r="O574" t="s">
        <v>38</v>
      </c>
      <c r="P574" t="str">
        <f>Table1[[#This Row],[Region]]&amp;"|"&amp;Table1[[#This Row],[Sales Rep]]</f>
        <v>North|Eve</v>
      </c>
    </row>
    <row r="575" spans="1:16" x14ac:dyDescent="0.35">
      <c r="A575">
        <v>1008</v>
      </c>
      <c r="B575" s="1">
        <v>45067</v>
      </c>
      <c r="C575" t="s">
        <v>24</v>
      </c>
      <c r="D575" t="s">
        <v>34</v>
      </c>
      <c r="E575">
        <v>5197.84</v>
      </c>
      <c r="F575">
        <v>37</v>
      </c>
      <c r="G575" t="s">
        <v>16</v>
      </c>
      <c r="H575">
        <v>1712.43</v>
      </c>
      <c r="I575">
        <v>1980.06</v>
      </c>
      <c r="J575" t="s">
        <v>30</v>
      </c>
      <c r="K575">
        <v>0.26</v>
      </c>
      <c r="L575" t="s">
        <v>18</v>
      </c>
      <c r="M575" t="s">
        <v>19</v>
      </c>
      <c r="N575" t="s">
        <v>34</v>
      </c>
      <c r="O575" t="s">
        <v>24</v>
      </c>
      <c r="P575" t="str">
        <f>Table1[[#This Row],[Region]]&amp;"|"&amp;Table1[[#This Row],[Sales Rep]]</f>
        <v>East|David</v>
      </c>
    </row>
    <row r="576" spans="1:16" x14ac:dyDescent="0.35">
      <c r="A576">
        <v>1093</v>
      </c>
      <c r="B576" s="1">
        <v>45200</v>
      </c>
      <c r="C576" t="s">
        <v>38</v>
      </c>
      <c r="D576" t="s">
        <v>34</v>
      </c>
      <c r="E576">
        <v>1697.49</v>
      </c>
      <c r="F576">
        <v>22</v>
      </c>
      <c r="G576" t="s">
        <v>35</v>
      </c>
      <c r="H576">
        <v>2593.64</v>
      </c>
      <c r="I576">
        <v>2955.5099999999902</v>
      </c>
      <c r="J576" t="s">
        <v>17</v>
      </c>
      <c r="K576">
        <v>0</v>
      </c>
      <c r="L576" t="s">
        <v>27</v>
      </c>
      <c r="M576" t="s">
        <v>22</v>
      </c>
      <c r="N576" t="s">
        <v>34</v>
      </c>
      <c r="O576" t="s">
        <v>38</v>
      </c>
      <c r="P576" t="str">
        <f>Table1[[#This Row],[Region]]&amp;"|"&amp;Table1[[#This Row],[Sales Rep]]</f>
        <v>East|Eve</v>
      </c>
    </row>
    <row r="577" spans="1:16" x14ac:dyDescent="0.35">
      <c r="A577">
        <v>1026</v>
      </c>
      <c r="B577" s="1">
        <v>45022</v>
      </c>
      <c r="C577" t="s">
        <v>14</v>
      </c>
      <c r="D577" t="s">
        <v>25</v>
      </c>
      <c r="E577">
        <v>927.19</v>
      </c>
      <c r="F577">
        <v>4</v>
      </c>
      <c r="G577" t="s">
        <v>35</v>
      </c>
      <c r="H577">
        <v>3993.39</v>
      </c>
      <c r="I577">
        <v>4288.3</v>
      </c>
      <c r="J577" t="s">
        <v>30</v>
      </c>
      <c r="K577">
        <v>0.13</v>
      </c>
      <c r="L577" t="s">
        <v>31</v>
      </c>
      <c r="M577" t="s">
        <v>19</v>
      </c>
      <c r="N577" t="s">
        <v>25</v>
      </c>
      <c r="O577" t="s">
        <v>14</v>
      </c>
      <c r="P577" t="str">
        <f>Table1[[#This Row],[Region]]&amp;"|"&amp;Table1[[#This Row],[Sales Rep]]</f>
        <v>South|Bob</v>
      </c>
    </row>
    <row r="578" spans="1:16" x14ac:dyDescent="0.35">
      <c r="A578">
        <v>1074</v>
      </c>
      <c r="B578" s="1">
        <v>45153</v>
      </c>
      <c r="C578" t="s">
        <v>24</v>
      </c>
      <c r="D578" t="s">
        <v>21</v>
      </c>
      <c r="E578">
        <v>289.38</v>
      </c>
      <c r="F578">
        <v>29</v>
      </c>
      <c r="G578" t="s">
        <v>16</v>
      </c>
      <c r="H578">
        <v>1723.01</v>
      </c>
      <c r="I578">
        <v>2197.42</v>
      </c>
      <c r="J578" t="s">
        <v>30</v>
      </c>
      <c r="K578">
        <v>7.0000000000000007E-2</v>
      </c>
      <c r="L578" t="s">
        <v>27</v>
      </c>
      <c r="M578" t="s">
        <v>22</v>
      </c>
      <c r="N578" t="s">
        <v>21</v>
      </c>
      <c r="O578" t="s">
        <v>24</v>
      </c>
      <c r="P578" t="str">
        <f>Table1[[#This Row],[Region]]&amp;"|"&amp;Table1[[#This Row],[Sales Rep]]</f>
        <v>West|David</v>
      </c>
    </row>
    <row r="579" spans="1:16" x14ac:dyDescent="0.35">
      <c r="A579">
        <v>1090</v>
      </c>
      <c r="B579" s="1">
        <v>44965</v>
      </c>
      <c r="C579" t="s">
        <v>33</v>
      </c>
      <c r="D579" t="s">
        <v>15</v>
      </c>
      <c r="E579">
        <v>1740.91</v>
      </c>
      <c r="F579">
        <v>44</v>
      </c>
      <c r="G579" t="s">
        <v>29</v>
      </c>
      <c r="H579">
        <v>3542.18</v>
      </c>
      <c r="I579">
        <v>3578.49</v>
      </c>
      <c r="J579" t="s">
        <v>17</v>
      </c>
      <c r="K579">
        <v>0.12</v>
      </c>
      <c r="L579" t="s">
        <v>18</v>
      </c>
      <c r="M579" t="s">
        <v>19</v>
      </c>
      <c r="N579" t="s">
        <v>15</v>
      </c>
      <c r="O579" t="s">
        <v>33</v>
      </c>
      <c r="P579" t="str">
        <f>Table1[[#This Row],[Region]]&amp;"|"&amp;Table1[[#This Row],[Sales Rep]]</f>
        <v>North|Charlie</v>
      </c>
    </row>
    <row r="580" spans="1:16" x14ac:dyDescent="0.35">
      <c r="A580">
        <v>1034</v>
      </c>
      <c r="B580" s="1">
        <v>45228</v>
      </c>
      <c r="C580" t="s">
        <v>24</v>
      </c>
      <c r="D580" t="s">
        <v>15</v>
      </c>
      <c r="E580">
        <v>8919.4699999999993</v>
      </c>
      <c r="F580">
        <v>34</v>
      </c>
      <c r="G580" t="s">
        <v>26</v>
      </c>
      <c r="H580">
        <v>978.15</v>
      </c>
      <c r="I580">
        <v>1040.21</v>
      </c>
      <c r="J580" t="s">
        <v>30</v>
      </c>
      <c r="K580">
        <v>0.12</v>
      </c>
      <c r="L580" t="s">
        <v>31</v>
      </c>
      <c r="M580" t="s">
        <v>22</v>
      </c>
      <c r="N580" t="s">
        <v>15</v>
      </c>
      <c r="O580" t="s">
        <v>24</v>
      </c>
      <c r="P580" t="str">
        <f>Table1[[#This Row],[Region]]&amp;"|"&amp;Table1[[#This Row],[Sales Rep]]</f>
        <v>North|David</v>
      </c>
    </row>
    <row r="581" spans="1:16" x14ac:dyDescent="0.35">
      <c r="A581">
        <v>1007</v>
      </c>
      <c r="B581" s="1">
        <v>44955</v>
      </c>
      <c r="C581" t="s">
        <v>33</v>
      </c>
      <c r="D581" t="s">
        <v>21</v>
      </c>
      <c r="E581">
        <v>2491.21</v>
      </c>
      <c r="F581">
        <v>13</v>
      </c>
      <c r="G581" t="s">
        <v>16</v>
      </c>
      <c r="H581">
        <v>3765.46</v>
      </c>
      <c r="I581">
        <v>3860.56</v>
      </c>
      <c r="J581" t="s">
        <v>17</v>
      </c>
      <c r="K581">
        <v>0.22</v>
      </c>
      <c r="L581" t="s">
        <v>18</v>
      </c>
      <c r="M581" t="s">
        <v>22</v>
      </c>
      <c r="N581" t="s">
        <v>21</v>
      </c>
      <c r="O581" t="s">
        <v>33</v>
      </c>
      <c r="P581" t="str">
        <f>Table1[[#This Row],[Region]]&amp;"|"&amp;Table1[[#This Row],[Sales Rep]]</f>
        <v>West|Charlie</v>
      </c>
    </row>
    <row r="582" spans="1:16" x14ac:dyDescent="0.35">
      <c r="A582">
        <v>1068</v>
      </c>
      <c r="B582" s="1">
        <v>45244</v>
      </c>
      <c r="C582" t="s">
        <v>33</v>
      </c>
      <c r="D582" t="s">
        <v>21</v>
      </c>
      <c r="E582">
        <v>3607.29</v>
      </c>
      <c r="F582">
        <v>42</v>
      </c>
      <c r="G582" t="s">
        <v>29</v>
      </c>
      <c r="H582">
        <v>1218.18</v>
      </c>
      <c r="I582">
        <v>1566.36</v>
      </c>
      <c r="J582" t="s">
        <v>17</v>
      </c>
      <c r="K582">
        <v>0.03</v>
      </c>
      <c r="L582" t="s">
        <v>31</v>
      </c>
      <c r="M582" t="s">
        <v>22</v>
      </c>
      <c r="N582" t="s">
        <v>21</v>
      </c>
      <c r="O582" t="s">
        <v>33</v>
      </c>
      <c r="P582" t="str">
        <f>Table1[[#This Row],[Region]]&amp;"|"&amp;Table1[[#This Row],[Sales Rep]]</f>
        <v>West|Charlie</v>
      </c>
    </row>
    <row r="583" spans="1:16" x14ac:dyDescent="0.35">
      <c r="A583">
        <v>1058</v>
      </c>
      <c r="B583" s="1">
        <v>45171</v>
      </c>
      <c r="C583" t="s">
        <v>24</v>
      </c>
      <c r="D583" t="s">
        <v>25</v>
      </c>
      <c r="E583">
        <v>1142.92</v>
      </c>
      <c r="F583">
        <v>9</v>
      </c>
      <c r="G583" t="s">
        <v>16</v>
      </c>
      <c r="H583">
        <v>760.55</v>
      </c>
      <c r="I583">
        <v>1086.8899999999901</v>
      </c>
      <c r="J583" t="s">
        <v>17</v>
      </c>
      <c r="K583">
        <v>0.15</v>
      </c>
      <c r="L583" t="s">
        <v>18</v>
      </c>
      <c r="M583" t="s">
        <v>22</v>
      </c>
      <c r="N583" t="s">
        <v>25</v>
      </c>
      <c r="O583" t="s">
        <v>24</v>
      </c>
      <c r="P583" t="str">
        <f>Table1[[#This Row],[Region]]&amp;"|"&amp;Table1[[#This Row],[Sales Rep]]</f>
        <v>South|David</v>
      </c>
    </row>
    <row r="584" spans="1:16" x14ac:dyDescent="0.35">
      <c r="A584">
        <v>1075</v>
      </c>
      <c r="B584" s="1">
        <v>45162</v>
      </c>
      <c r="C584" t="s">
        <v>33</v>
      </c>
      <c r="D584" t="s">
        <v>21</v>
      </c>
      <c r="E584">
        <v>2301.38</v>
      </c>
      <c r="F584">
        <v>42</v>
      </c>
      <c r="G584" t="s">
        <v>29</v>
      </c>
      <c r="H584">
        <v>967.77</v>
      </c>
      <c r="I584">
        <v>1414.88</v>
      </c>
      <c r="J584" t="s">
        <v>30</v>
      </c>
      <c r="K584">
        <v>0.17</v>
      </c>
      <c r="L584" t="s">
        <v>27</v>
      </c>
      <c r="M584" t="s">
        <v>19</v>
      </c>
      <c r="N584" t="s">
        <v>21</v>
      </c>
      <c r="O584" t="s">
        <v>33</v>
      </c>
      <c r="P584" t="str">
        <f>Table1[[#This Row],[Region]]&amp;"|"&amp;Table1[[#This Row],[Sales Rep]]</f>
        <v>West|Charlie</v>
      </c>
    </row>
    <row r="585" spans="1:16" x14ac:dyDescent="0.35">
      <c r="A585">
        <v>1029</v>
      </c>
      <c r="B585" s="1">
        <v>45111</v>
      </c>
      <c r="C585" t="s">
        <v>33</v>
      </c>
      <c r="D585" t="s">
        <v>15</v>
      </c>
      <c r="E585">
        <v>5240.32</v>
      </c>
      <c r="F585">
        <v>31</v>
      </c>
      <c r="G585" t="s">
        <v>16</v>
      </c>
      <c r="H585">
        <v>951.21</v>
      </c>
      <c r="I585">
        <v>1320.32</v>
      </c>
      <c r="J585" t="s">
        <v>30</v>
      </c>
      <c r="K585">
        <v>0.15</v>
      </c>
      <c r="L585" t="s">
        <v>18</v>
      </c>
      <c r="M585" t="s">
        <v>19</v>
      </c>
      <c r="N585" t="s">
        <v>15</v>
      </c>
      <c r="O585" t="s">
        <v>33</v>
      </c>
      <c r="P585" t="str">
        <f>Table1[[#This Row],[Region]]&amp;"|"&amp;Table1[[#This Row],[Sales Rep]]</f>
        <v>North|Charlie</v>
      </c>
    </row>
    <row r="586" spans="1:16" x14ac:dyDescent="0.35">
      <c r="A586">
        <v>1036</v>
      </c>
      <c r="B586" s="1">
        <v>45198</v>
      </c>
      <c r="C586" t="s">
        <v>14</v>
      </c>
      <c r="D586" t="s">
        <v>15</v>
      </c>
      <c r="E586">
        <v>6116.75</v>
      </c>
      <c r="F586">
        <v>7</v>
      </c>
      <c r="G586" t="s">
        <v>29</v>
      </c>
      <c r="H586">
        <v>2588.67</v>
      </c>
      <c r="I586">
        <v>2847.76</v>
      </c>
      <c r="J586" t="s">
        <v>30</v>
      </c>
      <c r="K586">
        <v>0.22</v>
      </c>
      <c r="L586" t="s">
        <v>18</v>
      </c>
      <c r="M586" t="s">
        <v>22</v>
      </c>
      <c r="N586" t="s">
        <v>15</v>
      </c>
      <c r="O586" t="s">
        <v>14</v>
      </c>
      <c r="P586" t="str">
        <f>Table1[[#This Row],[Region]]&amp;"|"&amp;Table1[[#This Row],[Sales Rep]]</f>
        <v>North|Bob</v>
      </c>
    </row>
    <row r="587" spans="1:16" x14ac:dyDescent="0.35">
      <c r="A587">
        <v>1089</v>
      </c>
      <c r="B587" s="1">
        <v>45162</v>
      </c>
      <c r="C587" t="s">
        <v>38</v>
      </c>
      <c r="D587" t="s">
        <v>15</v>
      </c>
      <c r="E587">
        <v>2528.9899999999998</v>
      </c>
      <c r="F587">
        <v>4</v>
      </c>
      <c r="G587" t="s">
        <v>16</v>
      </c>
      <c r="H587">
        <v>4231.75</v>
      </c>
      <c r="I587">
        <v>4727.75</v>
      </c>
      <c r="J587" t="s">
        <v>17</v>
      </c>
      <c r="K587">
        <v>0.12</v>
      </c>
      <c r="L587" t="s">
        <v>31</v>
      </c>
      <c r="M587" t="s">
        <v>22</v>
      </c>
      <c r="N587" t="s">
        <v>15</v>
      </c>
      <c r="O587" t="s">
        <v>38</v>
      </c>
      <c r="P587" t="str">
        <f>Table1[[#This Row],[Region]]&amp;"|"&amp;Table1[[#This Row],[Sales Rep]]</f>
        <v>North|Eve</v>
      </c>
    </row>
    <row r="588" spans="1:16" x14ac:dyDescent="0.35">
      <c r="A588">
        <v>1021</v>
      </c>
      <c r="B588" s="1">
        <v>45165</v>
      </c>
      <c r="C588" t="s">
        <v>38</v>
      </c>
      <c r="D588" t="s">
        <v>15</v>
      </c>
      <c r="E588">
        <v>671.55</v>
      </c>
      <c r="F588">
        <v>19</v>
      </c>
      <c r="G588" t="s">
        <v>29</v>
      </c>
      <c r="H588">
        <v>444.05</v>
      </c>
      <c r="I588">
        <v>584.44000000000005</v>
      </c>
      <c r="J588" t="s">
        <v>17</v>
      </c>
      <c r="K588">
        <v>0.28000000000000003</v>
      </c>
      <c r="L588" t="s">
        <v>18</v>
      </c>
      <c r="M588" t="s">
        <v>22</v>
      </c>
      <c r="N588" t="s">
        <v>15</v>
      </c>
      <c r="O588" t="s">
        <v>38</v>
      </c>
      <c r="P588" t="str">
        <f>Table1[[#This Row],[Region]]&amp;"|"&amp;Table1[[#This Row],[Sales Rep]]</f>
        <v>North|Eve</v>
      </c>
    </row>
    <row r="589" spans="1:16" x14ac:dyDescent="0.35">
      <c r="A589">
        <v>1036</v>
      </c>
      <c r="B589" s="1">
        <v>45192</v>
      </c>
      <c r="C589" t="s">
        <v>14</v>
      </c>
      <c r="D589" t="s">
        <v>15</v>
      </c>
      <c r="E589">
        <v>3971.23</v>
      </c>
      <c r="F589">
        <v>42</v>
      </c>
      <c r="G589" t="s">
        <v>16</v>
      </c>
      <c r="H589">
        <v>3549.43</v>
      </c>
      <c r="I589">
        <v>3967.6899999999901</v>
      </c>
      <c r="J589" t="s">
        <v>30</v>
      </c>
      <c r="K589">
        <v>0.14000000000000001</v>
      </c>
      <c r="L589" t="s">
        <v>27</v>
      </c>
      <c r="M589" t="s">
        <v>19</v>
      </c>
      <c r="N589" t="s">
        <v>15</v>
      </c>
      <c r="O589" t="s">
        <v>14</v>
      </c>
      <c r="P589" t="str">
        <f>Table1[[#This Row],[Region]]&amp;"|"&amp;Table1[[#This Row],[Sales Rep]]</f>
        <v>North|Bob</v>
      </c>
    </row>
    <row r="590" spans="1:16" x14ac:dyDescent="0.35">
      <c r="A590">
        <v>1010</v>
      </c>
      <c r="B590" s="1">
        <v>45285</v>
      </c>
      <c r="C590" t="s">
        <v>24</v>
      </c>
      <c r="D590" t="s">
        <v>25</v>
      </c>
      <c r="E590">
        <v>2418.61</v>
      </c>
      <c r="F590">
        <v>30</v>
      </c>
      <c r="G590" t="s">
        <v>26</v>
      </c>
      <c r="H590">
        <v>3289.01</v>
      </c>
      <c r="I590">
        <v>3508.14</v>
      </c>
      <c r="J590" t="s">
        <v>30</v>
      </c>
      <c r="K590">
        <v>0.17</v>
      </c>
      <c r="L590" t="s">
        <v>27</v>
      </c>
      <c r="M590" t="s">
        <v>22</v>
      </c>
      <c r="N590" t="s">
        <v>25</v>
      </c>
      <c r="O590" t="s">
        <v>24</v>
      </c>
      <c r="P590" t="str">
        <f>Table1[[#This Row],[Region]]&amp;"|"&amp;Table1[[#This Row],[Sales Rep]]</f>
        <v>South|David</v>
      </c>
    </row>
    <row r="591" spans="1:16" x14ac:dyDescent="0.35">
      <c r="A591">
        <v>1073</v>
      </c>
      <c r="B591" s="1">
        <v>45266</v>
      </c>
      <c r="C591" t="s">
        <v>42</v>
      </c>
      <c r="D591" t="s">
        <v>15</v>
      </c>
      <c r="E591">
        <v>2273.58</v>
      </c>
      <c r="F591">
        <v>31</v>
      </c>
      <c r="G591" t="s">
        <v>26</v>
      </c>
      <c r="H591">
        <v>4368.97</v>
      </c>
      <c r="I591">
        <v>4696.8500000000004</v>
      </c>
      <c r="J591" t="s">
        <v>17</v>
      </c>
      <c r="K591">
        <v>0.25</v>
      </c>
      <c r="L591" t="s">
        <v>27</v>
      </c>
      <c r="M591" t="s">
        <v>22</v>
      </c>
      <c r="N591" t="s">
        <v>15</v>
      </c>
      <c r="O591" t="s">
        <v>42</v>
      </c>
      <c r="P591" t="str">
        <f>Table1[[#This Row],[Region]]&amp;"|"&amp;Table1[[#This Row],[Sales Rep]]</f>
        <v>North|Alice</v>
      </c>
    </row>
    <row r="592" spans="1:16" x14ac:dyDescent="0.35">
      <c r="A592">
        <v>1024</v>
      </c>
      <c r="B592" s="1">
        <v>44991</v>
      </c>
      <c r="C592" t="s">
        <v>42</v>
      </c>
      <c r="D592" t="s">
        <v>25</v>
      </c>
      <c r="E592">
        <v>9602.64</v>
      </c>
      <c r="F592">
        <v>35</v>
      </c>
      <c r="G592" t="s">
        <v>35</v>
      </c>
      <c r="H592">
        <v>1258.53</v>
      </c>
      <c r="I592">
        <v>1624.8899999999901</v>
      </c>
      <c r="J592" t="s">
        <v>30</v>
      </c>
      <c r="K592">
        <v>0.08</v>
      </c>
      <c r="L592" t="s">
        <v>31</v>
      </c>
      <c r="M592" t="s">
        <v>19</v>
      </c>
      <c r="N592" t="s">
        <v>25</v>
      </c>
      <c r="O592" t="s">
        <v>42</v>
      </c>
      <c r="P592" t="str">
        <f>Table1[[#This Row],[Region]]&amp;"|"&amp;Table1[[#This Row],[Sales Rep]]</f>
        <v>South|Alice</v>
      </c>
    </row>
    <row r="593" spans="1:16" x14ac:dyDescent="0.35">
      <c r="A593">
        <v>1064</v>
      </c>
      <c r="B593" s="1">
        <v>45103</v>
      </c>
      <c r="C593" t="s">
        <v>42</v>
      </c>
      <c r="D593" t="s">
        <v>15</v>
      </c>
      <c r="E593">
        <v>6201.37</v>
      </c>
      <c r="F593">
        <v>21</v>
      </c>
      <c r="G593" t="s">
        <v>29</v>
      </c>
      <c r="H593">
        <v>2278.04</v>
      </c>
      <c r="I593">
        <v>2598.58</v>
      </c>
      <c r="J593" t="s">
        <v>17</v>
      </c>
      <c r="K593">
        <v>0.02</v>
      </c>
      <c r="L593" t="s">
        <v>31</v>
      </c>
      <c r="M593" t="s">
        <v>22</v>
      </c>
      <c r="N593" t="s">
        <v>15</v>
      </c>
      <c r="O593" t="s">
        <v>42</v>
      </c>
      <c r="P593" t="str">
        <f>Table1[[#This Row],[Region]]&amp;"|"&amp;Table1[[#This Row],[Sales Rep]]</f>
        <v>North|Alice</v>
      </c>
    </row>
    <row r="594" spans="1:16" x14ac:dyDescent="0.35">
      <c r="A594">
        <v>1099</v>
      </c>
      <c r="B594" s="1">
        <v>44929</v>
      </c>
      <c r="C594" t="s">
        <v>14</v>
      </c>
      <c r="D594" t="s">
        <v>34</v>
      </c>
      <c r="E594">
        <v>5613.1</v>
      </c>
      <c r="F594">
        <v>31</v>
      </c>
      <c r="G594" t="s">
        <v>16</v>
      </c>
      <c r="H594">
        <v>4632.8500000000004</v>
      </c>
      <c r="I594">
        <v>4711.7</v>
      </c>
      <c r="J594" t="s">
        <v>30</v>
      </c>
      <c r="K594">
        <v>0.21</v>
      </c>
      <c r="L594" t="s">
        <v>18</v>
      </c>
      <c r="M594" t="s">
        <v>22</v>
      </c>
      <c r="N594" t="s">
        <v>34</v>
      </c>
      <c r="O594" t="s">
        <v>14</v>
      </c>
      <c r="P594" t="str">
        <f>Table1[[#This Row],[Region]]&amp;"|"&amp;Table1[[#This Row],[Sales Rep]]</f>
        <v>East|Bob</v>
      </c>
    </row>
    <row r="595" spans="1:16" x14ac:dyDescent="0.35">
      <c r="A595">
        <v>1049</v>
      </c>
      <c r="B595" s="1">
        <v>45068</v>
      </c>
      <c r="C595" t="s">
        <v>14</v>
      </c>
      <c r="D595" t="s">
        <v>34</v>
      </c>
      <c r="E595">
        <v>4216.17</v>
      </c>
      <c r="F595">
        <v>19</v>
      </c>
      <c r="G595" t="s">
        <v>29</v>
      </c>
      <c r="H595">
        <v>3316.97</v>
      </c>
      <c r="I595">
        <v>3544.02</v>
      </c>
      <c r="J595" t="s">
        <v>17</v>
      </c>
      <c r="K595">
        <v>0.14000000000000001</v>
      </c>
      <c r="L595" t="s">
        <v>18</v>
      </c>
      <c r="M595" t="s">
        <v>19</v>
      </c>
      <c r="N595" t="s">
        <v>34</v>
      </c>
      <c r="O595" t="s">
        <v>14</v>
      </c>
      <c r="P595" t="str">
        <f>Table1[[#This Row],[Region]]&amp;"|"&amp;Table1[[#This Row],[Sales Rep]]</f>
        <v>East|Bob</v>
      </c>
    </row>
    <row r="596" spans="1:16" x14ac:dyDescent="0.35">
      <c r="A596">
        <v>1099</v>
      </c>
      <c r="B596" s="1">
        <v>45084</v>
      </c>
      <c r="C596" t="s">
        <v>33</v>
      </c>
      <c r="D596" t="s">
        <v>34</v>
      </c>
      <c r="E596">
        <v>4346.55</v>
      </c>
      <c r="F596">
        <v>31</v>
      </c>
      <c r="G596" t="s">
        <v>26</v>
      </c>
      <c r="H596">
        <v>1974.4</v>
      </c>
      <c r="I596">
        <v>2259.5</v>
      </c>
      <c r="J596" t="s">
        <v>30</v>
      </c>
      <c r="K596">
        <v>0.27</v>
      </c>
      <c r="L596" t="s">
        <v>18</v>
      </c>
      <c r="M596" t="s">
        <v>22</v>
      </c>
      <c r="N596" t="s">
        <v>34</v>
      </c>
      <c r="O596" t="s">
        <v>33</v>
      </c>
      <c r="P596" t="str">
        <f>Table1[[#This Row],[Region]]&amp;"|"&amp;Table1[[#This Row],[Sales Rep]]</f>
        <v>East|Charlie</v>
      </c>
    </row>
    <row r="597" spans="1:16" x14ac:dyDescent="0.35">
      <c r="A597">
        <v>1036</v>
      </c>
      <c r="B597" s="1">
        <v>45250</v>
      </c>
      <c r="C597" t="s">
        <v>42</v>
      </c>
      <c r="D597" t="s">
        <v>34</v>
      </c>
      <c r="E597">
        <v>5454.96</v>
      </c>
      <c r="F597">
        <v>32</v>
      </c>
      <c r="G597" t="s">
        <v>29</v>
      </c>
      <c r="H597">
        <v>700.49</v>
      </c>
      <c r="I597">
        <v>1126.52</v>
      </c>
      <c r="J597" t="s">
        <v>30</v>
      </c>
      <c r="K597">
        <v>0.28999999999999998</v>
      </c>
      <c r="L597" t="s">
        <v>31</v>
      </c>
      <c r="M597" t="s">
        <v>22</v>
      </c>
      <c r="N597" t="s">
        <v>34</v>
      </c>
      <c r="O597" t="s">
        <v>42</v>
      </c>
      <c r="P597" t="str">
        <f>Table1[[#This Row],[Region]]&amp;"|"&amp;Table1[[#This Row],[Sales Rep]]</f>
        <v>East|Alice</v>
      </c>
    </row>
    <row r="598" spans="1:16" x14ac:dyDescent="0.35">
      <c r="A598">
        <v>1082</v>
      </c>
      <c r="B598" s="1">
        <v>45072</v>
      </c>
      <c r="C598" t="s">
        <v>24</v>
      </c>
      <c r="D598" t="s">
        <v>25</v>
      </c>
      <c r="E598">
        <v>6994.66</v>
      </c>
      <c r="F598">
        <v>2</v>
      </c>
      <c r="G598" t="s">
        <v>16</v>
      </c>
      <c r="H598">
        <v>1349.3</v>
      </c>
      <c r="I598">
        <v>1576.69</v>
      </c>
      <c r="J598" t="s">
        <v>17</v>
      </c>
      <c r="K598">
        <v>0.12</v>
      </c>
      <c r="L598" t="s">
        <v>31</v>
      </c>
      <c r="M598" t="s">
        <v>19</v>
      </c>
      <c r="N598" t="s">
        <v>25</v>
      </c>
      <c r="O598" t="s">
        <v>24</v>
      </c>
      <c r="P598" t="str">
        <f>Table1[[#This Row],[Region]]&amp;"|"&amp;Table1[[#This Row],[Sales Rep]]</f>
        <v>South|David</v>
      </c>
    </row>
    <row r="599" spans="1:16" x14ac:dyDescent="0.35">
      <c r="A599">
        <v>1096</v>
      </c>
      <c r="B599" s="1">
        <v>45219</v>
      </c>
      <c r="C599" t="s">
        <v>24</v>
      </c>
      <c r="D599" t="s">
        <v>25</v>
      </c>
      <c r="E599">
        <v>7051.25</v>
      </c>
      <c r="F599">
        <v>10</v>
      </c>
      <c r="G599" t="s">
        <v>29</v>
      </c>
      <c r="H599">
        <v>2927.02</v>
      </c>
      <c r="I599">
        <v>3387.21</v>
      </c>
      <c r="J599" t="s">
        <v>17</v>
      </c>
      <c r="K599">
        <v>0.12</v>
      </c>
      <c r="L599" t="s">
        <v>18</v>
      </c>
      <c r="M599" t="s">
        <v>22</v>
      </c>
      <c r="N599" t="s">
        <v>25</v>
      </c>
      <c r="O599" t="s">
        <v>24</v>
      </c>
      <c r="P599" t="str">
        <f>Table1[[#This Row],[Region]]&amp;"|"&amp;Table1[[#This Row],[Sales Rep]]</f>
        <v>South|David</v>
      </c>
    </row>
    <row r="600" spans="1:16" x14ac:dyDescent="0.35">
      <c r="A600">
        <v>1024</v>
      </c>
      <c r="B600" s="1">
        <v>45079</v>
      </c>
      <c r="C600" t="s">
        <v>42</v>
      </c>
      <c r="D600" t="s">
        <v>21</v>
      </c>
      <c r="E600">
        <v>1799.77</v>
      </c>
      <c r="F600">
        <v>2</v>
      </c>
      <c r="G600" t="s">
        <v>16</v>
      </c>
      <c r="H600">
        <v>3604.93</v>
      </c>
      <c r="I600">
        <v>3830.71</v>
      </c>
      <c r="J600" t="s">
        <v>17</v>
      </c>
      <c r="K600">
        <v>0.12</v>
      </c>
      <c r="L600" t="s">
        <v>31</v>
      </c>
      <c r="M600" t="s">
        <v>19</v>
      </c>
      <c r="N600" t="s">
        <v>21</v>
      </c>
      <c r="O600" t="s">
        <v>42</v>
      </c>
      <c r="P600" t="str">
        <f>Table1[[#This Row],[Region]]&amp;"|"&amp;Table1[[#This Row],[Sales Rep]]</f>
        <v>West|Alice</v>
      </c>
    </row>
    <row r="601" spans="1:16" x14ac:dyDescent="0.35">
      <c r="A601">
        <v>1023</v>
      </c>
      <c r="B601" s="1">
        <v>45119</v>
      </c>
      <c r="C601" t="s">
        <v>42</v>
      </c>
      <c r="D601" t="s">
        <v>15</v>
      </c>
      <c r="E601">
        <v>5051.12</v>
      </c>
      <c r="F601">
        <v>2</v>
      </c>
      <c r="G601" t="s">
        <v>26</v>
      </c>
      <c r="H601">
        <v>665.89</v>
      </c>
      <c r="I601">
        <v>944.79</v>
      </c>
      <c r="J601" t="s">
        <v>30</v>
      </c>
      <c r="K601">
        <v>0.1</v>
      </c>
      <c r="L601" t="s">
        <v>31</v>
      </c>
      <c r="M601" t="s">
        <v>22</v>
      </c>
      <c r="N601" t="s">
        <v>15</v>
      </c>
      <c r="O601" t="s">
        <v>42</v>
      </c>
      <c r="P601" t="str">
        <f>Table1[[#This Row],[Region]]&amp;"|"&amp;Table1[[#This Row],[Sales Rep]]</f>
        <v>North|Alice</v>
      </c>
    </row>
    <row r="602" spans="1:16" x14ac:dyDescent="0.35">
      <c r="A602">
        <v>1062</v>
      </c>
      <c r="B602" s="1">
        <v>44999</v>
      </c>
      <c r="C602" t="s">
        <v>42</v>
      </c>
      <c r="D602" t="s">
        <v>34</v>
      </c>
      <c r="E602">
        <v>4178.3900000000003</v>
      </c>
      <c r="F602">
        <v>24</v>
      </c>
      <c r="G602" t="s">
        <v>26</v>
      </c>
      <c r="H602">
        <v>3018.01</v>
      </c>
      <c r="I602">
        <v>3418.19</v>
      </c>
      <c r="J602" t="s">
        <v>17</v>
      </c>
      <c r="K602">
        <v>0.23</v>
      </c>
      <c r="L602" t="s">
        <v>27</v>
      </c>
      <c r="M602" t="s">
        <v>22</v>
      </c>
      <c r="N602" t="s">
        <v>34</v>
      </c>
      <c r="O602" t="s">
        <v>42</v>
      </c>
      <c r="P602" t="str">
        <f>Table1[[#This Row],[Region]]&amp;"|"&amp;Table1[[#This Row],[Sales Rep]]</f>
        <v>East|Alice</v>
      </c>
    </row>
    <row r="603" spans="1:16" x14ac:dyDescent="0.35">
      <c r="A603">
        <v>1096</v>
      </c>
      <c r="B603" s="1">
        <v>45231</v>
      </c>
      <c r="C603" t="s">
        <v>14</v>
      </c>
      <c r="D603" t="s">
        <v>25</v>
      </c>
      <c r="E603">
        <v>8718.2199999999993</v>
      </c>
      <c r="F603">
        <v>17</v>
      </c>
      <c r="G603" t="s">
        <v>26</v>
      </c>
      <c r="H603">
        <v>2774.24</v>
      </c>
      <c r="I603">
        <v>3069.9399999999901</v>
      </c>
      <c r="J603" t="s">
        <v>17</v>
      </c>
      <c r="K603">
        <v>0.23</v>
      </c>
      <c r="L603" t="s">
        <v>27</v>
      </c>
      <c r="M603" t="s">
        <v>22</v>
      </c>
      <c r="N603" t="s">
        <v>25</v>
      </c>
      <c r="O603" t="s">
        <v>14</v>
      </c>
      <c r="P603" t="str">
        <f>Table1[[#This Row],[Region]]&amp;"|"&amp;Table1[[#This Row],[Sales Rep]]</f>
        <v>South|Bob</v>
      </c>
    </row>
    <row r="604" spans="1:16" x14ac:dyDescent="0.35">
      <c r="A604">
        <v>1037</v>
      </c>
      <c r="B604" s="1">
        <v>45270</v>
      </c>
      <c r="C604" t="s">
        <v>14</v>
      </c>
      <c r="D604" t="s">
        <v>15</v>
      </c>
      <c r="E604">
        <v>6351.05</v>
      </c>
      <c r="F604">
        <v>32</v>
      </c>
      <c r="G604" t="s">
        <v>35</v>
      </c>
      <c r="H604">
        <v>2594.08</v>
      </c>
      <c r="I604">
        <v>3074.59</v>
      </c>
      <c r="J604" t="s">
        <v>30</v>
      </c>
      <c r="K604">
        <v>0.14000000000000001</v>
      </c>
      <c r="L604" t="s">
        <v>18</v>
      </c>
      <c r="M604" t="s">
        <v>22</v>
      </c>
      <c r="N604" t="s">
        <v>15</v>
      </c>
      <c r="O604" t="s">
        <v>14</v>
      </c>
      <c r="P604" t="str">
        <f>Table1[[#This Row],[Region]]&amp;"|"&amp;Table1[[#This Row],[Sales Rep]]</f>
        <v>North|Bob</v>
      </c>
    </row>
    <row r="605" spans="1:16" x14ac:dyDescent="0.35">
      <c r="A605">
        <v>1012</v>
      </c>
      <c r="B605" s="1">
        <v>45066</v>
      </c>
      <c r="C605" t="s">
        <v>14</v>
      </c>
      <c r="D605" t="s">
        <v>15</v>
      </c>
      <c r="E605">
        <v>5371.79</v>
      </c>
      <c r="F605">
        <v>16</v>
      </c>
      <c r="G605" t="s">
        <v>26</v>
      </c>
      <c r="H605">
        <v>3466.11</v>
      </c>
      <c r="I605">
        <v>3799.67</v>
      </c>
      <c r="J605" t="s">
        <v>17</v>
      </c>
      <c r="K605">
        <v>0.01</v>
      </c>
      <c r="L605" t="s">
        <v>18</v>
      </c>
      <c r="M605" t="s">
        <v>22</v>
      </c>
      <c r="N605" t="s">
        <v>15</v>
      </c>
      <c r="O605" t="s">
        <v>14</v>
      </c>
      <c r="P605" t="str">
        <f>Table1[[#This Row],[Region]]&amp;"|"&amp;Table1[[#This Row],[Sales Rep]]</f>
        <v>North|Bob</v>
      </c>
    </row>
    <row r="606" spans="1:16" x14ac:dyDescent="0.35">
      <c r="A606">
        <v>1055</v>
      </c>
      <c r="B606" s="1">
        <v>45113</v>
      </c>
      <c r="C606" t="s">
        <v>38</v>
      </c>
      <c r="D606" t="s">
        <v>25</v>
      </c>
      <c r="E606">
        <v>1242.4100000000001</v>
      </c>
      <c r="F606">
        <v>16</v>
      </c>
      <c r="G606" t="s">
        <v>29</v>
      </c>
      <c r="H606">
        <v>4195.38</v>
      </c>
      <c r="I606">
        <v>4461.51</v>
      </c>
      <c r="J606" t="s">
        <v>17</v>
      </c>
      <c r="K606">
        <v>0.09</v>
      </c>
      <c r="L606" t="s">
        <v>27</v>
      </c>
      <c r="M606" t="s">
        <v>19</v>
      </c>
      <c r="N606" t="s">
        <v>25</v>
      </c>
      <c r="O606" t="s">
        <v>38</v>
      </c>
      <c r="P606" t="str">
        <f>Table1[[#This Row],[Region]]&amp;"|"&amp;Table1[[#This Row],[Sales Rep]]</f>
        <v>South|Eve</v>
      </c>
    </row>
    <row r="607" spans="1:16" x14ac:dyDescent="0.35">
      <c r="A607">
        <v>1013</v>
      </c>
      <c r="B607" s="1">
        <v>45219</v>
      </c>
      <c r="C607" t="s">
        <v>24</v>
      </c>
      <c r="D607" t="s">
        <v>34</v>
      </c>
      <c r="E607">
        <v>6095.82</v>
      </c>
      <c r="F607">
        <v>46</v>
      </c>
      <c r="G607" t="s">
        <v>35</v>
      </c>
      <c r="H607">
        <v>1648.8</v>
      </c>
      <c r="I607">
        <v>1670.36</v>
      </c>
      <c r="J607" t="s">
        <v>17</v>
      </c>
      <c r="K607">
        <v>0.09</v>
      </c>
      <c r="L607" t="s">
        <v>31</v>
      </c>
      <c r="M607" t="s">
        <v>22</v>
      </c>
      <c r="N607" t="s">
        <v>34</v>
      </c>
      <c r="O607" t="s">
        <v>24</v>
      </c>
      <c r="P607" t="str">
        <f>Table1[[#This Row],[Region]]&amp;"|"&amp;Table1[[#This Row],[Sales Rep]]</f>
        <v>East|David</v>
      </c>
    </row>
    <row r="608" spans="1:16" x14ac:dyDescent="0.35">
      <c r="A608">
        <v>1023</v>
      </c>
      <c r="B608" s="1">
        <v>44987</v>
      </c>
      <c r="C608" t="s">
        <v>24</v>
      </c>
      <c r="D608" t="s">
        <v>21</v>
      </c>
      <c r="E608">
        <v>1260.32</v>
      </c>
      <c r="F608">
        <v>39</v>
      </c>
      <c r="G608" t="s">
        <v>26</v>
      </c>
      <c r="H608">
        <v>4450.6099999999997</v>
      </c>
      <c r="I608">
        <v>4663.3399999999901</v>
      </c>
      <c r="J608" t="s">
        <v>30</v>
      </c>
      <c r="K608">
        <v>0.24</v>
      </c>
      <c r="L608" t="s">
        <v>18</v>
      </c>
      <c r="M608" t="s">
        <v>22</v>
      </c>
      <c r="N608" t="s">
        <v>21</v>
      </c>
      <c r="O608" t="s">
        <v>24</v>
      </c>
      <c r="P608" t="str">
        <f>Table1[[#This Row],[Region]]&amp;"|"&amp;Table1[[#This Row],[Sales Rep]]</f>
        <v>West|David</v>
      </c>
    </row>
    <row r="609" spans="1:16" x14ac:dyDescent="0.35">
      <c r="A609">
        <v>1089</v>
      </c>
      <c r="B609" s="1">
        <v>45124</v>
      </c>
      <c r="C609" t="s">
        <v>33</v>
      </c>
      <c r="D609" t="s">
        <v>15</v>
      </c>
      <c r="E609">
        <v>3438.35</v>
      </c>
      <c r="F609">
        <v>31</v>
      </c>
      <c r="G609" t="s">
        <v>29</v>
      </c>
      <c r="H609">
        <v>845.14</v>
      </c>
      <c r="I609">
        <v>1001.77</v>
      </c>
      <c r="J609" t="s">
        <v>30</v>
      </c>
      <c r="K609">
        <v>0.03</v>
      </c>
      <c r="L609" t="s">
        <v>18</v>
      </c>
      <c r="M609" t="s">
        <v>19</v>
      </c>
      <c r="N609" t="s">
        <v>15</v>
      </c>
      <c r="O609" t="s">
        <v>33</v>
      </c>
      <c r="P609" t="str">
        <f>Table1[[#This Row],[Region]]&amp;"|"&amp;Table1[[#This Row],[Sales Rep]]</f>
        <v>North|Charlie</v>
      </c>
    </row>
    <row r="610" spans="1:16" x14ac:dyDescent="0.35">
      <c r="A610">
        <v>1099</v>
      </c>
      <c r="B610" s="1">
        <v>45221</v>
      </c>
      <c r="C610" t="s">
        <v>14</v>
      </c>
      <c r="D610" t="s">
        <v>21</v>
      </c>
      <c r="E610">
        <v>1514.14</v>
      </c>
      <c r="F610">
        <v>43</v>
      </c>
      <c r="G610" t="s">
        <v>29</v>
      </c>
      <c r="H610">
        <v>906.47</v>
      </c>
      <c r="I610">
        <v>1283.04</v>
      </c>
      <c r="J610" t="s">
        <v>30</v>
      </c>
      <c r="K610">
        <v>0.24</v>
      </c>
      <c r="L610" t="s">
        <v>18</v>
      </c>
      <c r="M610" t="s">
        <v>19</v>
      </c>
      <c r="N610" t="s">
        <v>21</v>
      </c>
      <c r="O610" t="s">
        <v>14</v>
      </c>
      <c r="P610" t="str">
        <f>Table1[[#This Row],[Region]]&amp;"|"&amp;Table1[[#This Row],[Sales Rep]]</f>
        <v>West|Bob</v>
      </c>
    </row>
    <row r="611" spans="1:16" x14ac:dyDescent="0.35">
      <c r="A611">
        <v>1030</v>
      </c>
      <c r="B611" s="1">
        <v>45245</v>
      </c>
      <c r="C611" t="s">
        <v>38</v>
      </c>
      <c r="D611" t="s">
        <v>34</v>
      </c>
      <c r="E611">
        <v>6951.53</v>
      </c>
      <c r="F611">
        <v>24</v>
      </c>
      <c r="G611" t="s">
        <v>29</v>
      </c>
      <c r="H611">
        <v>1370.52</v>
      </c>
      <c r="I611">
        <v>1482.58</v>
      </c>
      <c r="J611" t="s">
        <v>17</v>
      </c>
      <c r="K611">
        <v>0.2</v>
      </c>
      <c r="L611" t="s">
        <v>31</v>
      </c>
      <c r="M611" t="s">
        <v>22</v>
      </c>
      <c r="N611" t="s">
        <v>34</v>
      </c>
      <c r="O611" t="s">
        <v>38</v>
      </c>
      <c r="P611" t="str">
        <f>Table1[[#This Row],[Region]]&amp;"|"&amp;Table1[[#This Row],[Sales Rep]]</f>
        <v>East|Eve</v>
      </c>
    </row>
    <row r="612" spans="1:16" x14ac:dyDescent="0.35">
      <c r="A612">
        <v>1017</v>
      </c>
      <c r="B612" s="1">
        <v>45228</v>
      </c>
      <c r="C612" t="s">
        <v>38</v>
      </c>
      <c r="D612" t="s">
        <v>34</v>
      </c>
      <c r="E612">
        <v>2141.9</v>
      </c>
      <c r="F612">
        <v>1</v>
      </c>
      <c r="G612" t="s">
        <v>16</v>
      </c>
      <c r="H612">
        <v>641.67999999999995</v>
      </c>
      <c r="I612">
        <v>752.24</v>
      </c>
      <c r="J612" t="s">
        <v>30</v>
      </c>
      <c r="K612">
        <v>0.22</v>
      </c>
      <c r="L612" t="s">
        <v>27</v>
      </c>
      <c r="M612" t="s">
        <v>19</v>
      </c>
      <c r="N612" t="s">
        <v>34</v>
      </c>
      <c r="O612" t="s">
        <v>38</v>
      </c>
      <c r="P612" t="str">
        <f>Table1[[#This Row],[Region]]&amp;"|"&amp;Table1[[#This Row],[Sales Rep]]</f>
        <v>East|Eve</v>
      </c>
    </row>
    <row r="613" spans="1:16" x14ac:dyDescent="0.35">
      <c r="A613">
        <v>1062</v>
      </c>
      <c r="B613" s="1">
        <v>45270</v>
      </c>
      <c r="C613" t="s">
        <v>24</v>
      </c>
      <c r="D613" t="s">
        <v>21</v>
      </c>
      <c r="E613">
        <v>3979.41</v>
      </c>
      <c r="F613">
        <v>11</v>
      </c>
      <c r="G613" t="s">
        <v>35</v>
      </c>
      <c r="H613">
        <v>1190.08</v>
      </c>
      <c r="I613">
        <v>1292.9399999999901</v>
      </c>
      <c r="J613" t="s">
        <v>17</v>
      </c>
      <c r="K613">
        <v>0.13</v>
      </c>
      <c r="L613" t="s">
        <v>18</v>
      </c>
      <c r="M613" t="s">
        <v>22</v>
      </c>
      <c r="N613" t="s">
        <v>21</v>
      </c>
      <c r="O613" t="s">
        <v>24</v>
      </c>
      <c r="P613" t="str">
        <f>Table1[[#This Row],[Region]]&amp;"|"&amp;Table1[[#This Row],[Sales Rep]]</f>
        <v>West|David</v>
      </c>
    </row>
    <row r="614" spans="1:16" x14ac:dyDescent="0.35">
      <c r="A614">
        <v>1084</v>
      </c>
      <c r="B614" s="1">
        <v>44937</v>
      </c>
      <c r="C614" t="s">
        <v>14</v>
      </c>
      <c r="D614" t="s">
        <v>34</v>
      </c>
      <c r="E614">
        <v>8967.18</v>
      </c>
      <c r="F614">
        <v>21</v>
      </c>
      <c r="G614" t="s">
        <v>29</v>
      </c>
      <c r="H614">
        <v>576.74</v>
      </c>
      <c r="I614">
        <v>648.29</v>
      </c>
      <c r="J614" t="s">
        <v>17</v>
      </c>
      <c r="K614">
        <v>0.2</v>
      </c>
      <c r="L614" t="s">
        <v>27</v>
      </c>
      <c r="M614" t="s">
        <v>19</v>
      </c>
      <c r="N614" t="s">
        <v>34</v>
      </c>
      <c r="O614" t="s">
        <v>14</v>
      </c>
      <c r="P614" t="str">
        <f>Table1[[#This Row],[Region]]&amp;"|"&amp;Table1[[#This Row],[Sales Rep]]</f>
        <v>East|Bob</v>
      </c>
    </row>
    <row r="615" spans="1:16" x14ac:dyDescent="0.35">
      <c r="A615">
        <v>1089</v>
      </c>
      <c r="B615" s="1">
        <v>44988</v>
      </c>
      <c r="C615" t="s">
        <v>33</v>
      </c>
      <c r="D615" t="s">
        <v>15</v>
      </c>
      <c r="E615">
        <v>2122.73</v>
      </c>
      <c r="F615">
        <v>4</v>
      </c>
      <c r="G615" t="s">
        <v>16</v>
      </c>
      <c r="H615">
        <v>4117.67</v>
      </c>
      <c r="I615">
        <v>4280.0600000000004</v>
      </c>
      <c r="J615" t="s">
        <v>17</v>
      </c>
      <c r="K615">
        <v>0.18</v>
      </c>
      <c r="L615" t="s">
        <v>27</v>
      </c>
      <c r="M615" t="s">
        <v>19</v>
      </c>
      <c r="N615" t="s">
        <v>15</v>
      </c>
      <c r="O615" t="s">
        <v>33</v>
      </c>
      <c r="P615" t="str">
        <f>Table1[[#This Row],[Region]]&amp;"|"&amp;Table1[[#This Row],[Sales Rep]]</f>
        <v>North|Charlie</v>
      </c>
    </row>
    <row r="616" spans="1:16" x14ac:dyDescent="0.35">
      <c r="A616">
        <v>1086</v>
      </c>
      <c r="B616" s="1">
        <v>45259</v>
      </c>
      <c r="C616" t="s">
        <v>14</v>
      </c>
      <c r="D616" t="s">
        <v>21</v>
      </c>
      <c r="E616">
        <v>5127.2700000000004</v>
      </c>
      <c r="F616">
        <v>7</v>
      </c>
      <c r="G616" t="s">
        <v>26</v>
      </c>
      <c r="H616">
        <v>737.9</v>
      </c>
      <c r="I616">
        <v>1182</v>
      </c>
      <c r="J616" t="s">
        <v>30</v>
      </c>
      <c r="K616">
        <v>0.23</v>
      </c>
      <c r="L616" t="s">
        <v>31</v>
      </c>
      <c r="M616" t="s">
        <v>22</v>
      </c>
      <c r="N616" t="s">
        <v>21</v>
      </c>
      <c r="O616" t="s">
        <v>14</v>
      </c>
      <c r="P616" t="str">
        <f>Table1[[#This Row],[Region]]&amp;"|"&amp;Table1[[#This Row],[Sales Rep]]</f>
        <v>West|Bob</v>
      </c>
    </row>
    <row r="617" spans="1:16" x14ac:dyDescent="0.35">
      <c r="A617">
        <v>1013</v>
      </c>
      <c r="B617" s="1">
        <v>45152</v>
      </c>
      <c r="C617" t="s">
        <v>42</v>
      </c>
      <c r="D617" t="s">
        <v>34</v>
      </c>
      <c r="E617">
        <v>4250.79</v>
      </c>
      <c r="F617">
        <v>26</v>
      </c>
      <c r="G617" t="s">
        <v>29</v>
      </c>
      <c r="H617">
        <v>3749.12</v>
      </c>
      <c r="I617">
        <v>4138.83</v>
      </c>
      <c r="J617" t="s">
        <v>30</v>
      </c>
      <c r="K617">
        <v>0.13</v>
      </c>
      <c r="L617" t="s">
        <v>31</v>
      </c>
      <c r="M617" t="s">
        <v>19</v>
      </c>
      <c r="N617" t="s">
        <v>34</v>
      </c>
      <c r="O617" t="s">
        <v>42</v>
      </c>
      <c r="P617" t="str">
        <f>Table1[[#This Row],[Region]]&amp;"|"&amp;Table1[[#This Row],[Sales Rep]]</f>
        <v>East|Alice</v>
      </c>
    </row>
    <row r="618" spans="1:16" x14ac:dyDescent="0.35">
      <c r="A618">
        <v>1059</v>
      </c>
      <c r="B618" s="1">
        <v>45079</v>
      </c>
      <c r="C618" t="s">
        <v>14</v>
      </c>
      <c r="D618" t="s">
        <v>21</v>
      </c>
      <c r="E618">
        <v>279.43</v>
      </c>
      <c r="F618">
        <v>47</v>
      </c>
      <c r="G618" t="s">
        <v>16</v>
      </c>
      <c r="H618">
        <v>287.17</v>
      </c>
      <c r="I618">
        <v>657.44</v>
      </c>
      <c r="J618" t="s">
        <v>17</v>
      </c>
      <c r="K618">
        <v>0.14000000000000001</v>
      </c>
      <c r="L618" t="s">
        <v>31</v>
      </c>
      <c r="M618" t="s">
        <v>22</v>
      </c>
      <c r="N618" t="s">
        <v>21</v>
      </c>
      <c r="O618" t="s">
        <v>14</v>
      </c>
      <c r="P618" t="str">
        <f>Table1[[#This Row],[Region]]&amp;"|"&amp;Table1[[#This Row],[Sales Rep]]</f>
        <v>West|Bob</v>
      </c>
    </row>
    <row r="619" spans="1:16" x14ac:dyDescent="0.35">
      <c r="A619">
        <v>1019</v>
      </c>
      <c r="B619" s="1">
        <v>45125</v>
      </c>
      <c r="C619" t="s">
        <v>42</v>
      </c>
      <c r="D619" t="s">
        <v>15</v>
      </c>
      <c r="E619">
        <v>7948.31</v>
      </c>
      <c r="F619">
        <v>12</v>
      </c>
      <c r="G619" t="s">
        <v>29</v>
      </c>
      <c r="H619">
        <v>4745.18</v>
      </c>
      <c r="I619">
        <v>5145.88</v>
      </c>
      <c r="J619" t="s">
        <v>17</v>
      </c>
      <c r="K619">
        <v>0.19</v>
      </c>
      <c r="L619" t="s">
        <v>31</v>
      </c>
      <c r="M619" t="s">
        <v>19</v>
      </c>
      <c r="N619" t="s">
        <v>15</v>
      </c>
      <c r="O619" t="s">
        <v>42</v>
      </c>
      <c r="P619" t="str">
        <f>Table1[[#This Row],[Region]]&amp;"|"&amp;Table1[[#This Row],[Sales Rep]]</f>
        <v>North|Alice</v>
      </c>
    </row>
    <row r="620" spans="1:16" x14ac:dyDescent="0.35">
      <c r="A620">
        <v>1049</v>
      </c>
      <c r="B620" s="1">
        <v>44978</v>
      </c>
      <c r="C620" t="s">
        <v>42</v>
      </c>
      <c r="D620" t="s">
        <v>34</v>
      </c>
      <c r="E620">
        <v>783.55</v>
      </c>
      <c r="F620">
        <v>31</v>
      </c>
      <c r="G620" t="s">
        <v>35</v>
      </c>
      <c r="H620">
        <v>3570.24</v>
      </c>
      <c r="I620">
        <v>3712.25</v>
      </c>
      <c r="J620" t="s">
        <v>30</v>
      </c>
      <c r="K620">
        <v>0.03</v>
      </c>
      <c r="L620" t="s">
        <v>31</v>
      </c>
      <c r="M620" t="s">
        <v>19</v>
      </c>
      <c r="N620" t="s">
        <v>34</v>
      </c>
      <c r="O620" t="s">
        <v>42</v>
      </c>
      <c r="P620" t="str">
        <f>Table1[[#This Row],[Region]]&amp;"|"&amp;Table1[[#This Row],[Sales Rep]]</f>
        <v>East|Alice</v>
      </c>
    </row>
    <row r="621" spans="1:16" x14ac:dyDescent="0.35">
      <c r="A621">
        <v>1100</v>
      </c>
      <c r="B621" s="1">
        <v>45186</v>
      </c>
      <c r="C621" t="s">
        <v>33</v>
      </c>
      <c r="D621" t="s">
        <v>15</v>
      </c>
      <c r="E621">
        <v>4795.12</v>
      </c>
      <c r="F621">
        <v>17</v>
      </c>
      <c r="G621" t="s">
        <v>35</v>
      </c>
      <c r="H621">
        <v>83.64</v>
      </c>
      <c r="I621">
        <v>528.49</v>
      </c>
      <c r="J621" t="s">
        <v>30</v>
      </c>
      <c r="K621">
        <v>0.13</v>
      </c>
      <c r="L621" t="s">
        <v>31</v>
      </c>
      <c r="M621" t="s">
        <v>19</v>
      </c>
      <c r="N621" t="s">
        <v>15</v>
      </c>
      <c r="O621" t="s">
        <v>33</v>
      </c>
      <c r="P621" t="str">
        <f>Table1[[#This Row],[Region]]&amp;"|"&amp;Table1[[#This Row],[Sales Rep]]</f>
        <v>North|Charlie</v>
      </c>
    </row>
    <row r="622" spans="1:16" x14ac:dyDescent="0.35">
      <c r="A622">
        <v>1012</v>
      </c>
      <c r="B622" s="1">
        <v>44985</v>
      </c>
      <c r="C622" t="s">
        <v>24</v>
      </c>
      <c r="D622" t="s">
        <v>34</v>
      </c>
      <c r="E622">
        <v>5650.72</v>
      </c>
      <c r="F622">
        <v>33</v>
      </c>
      <c r="G622" t="s">
        <v>26</v>
      </c>
      <c r="H622">
        <v>3831.09</v>
      </c>
      <c r="I622">
        <v>3908.37</v>
      </c>
      <c r="J622" t="s">
        <v>30</v>
      </c>
      <c r="K622">
        <v>0.28999999999999998</v>
      </c>
      <c r="L622" t="s">
        <v>18</v>
      </c>
      <c r="M622" t="s">
        <v>22</v>
      </c>
      <c r="N622" t="s">
        <v>34</v>
      </c>
      <c r="O622" t="s">
        <v>24</v>
      </c>
      <c r="P622" t="str">
        <f>Table1[[#This Row],[Region]]&amp;"|"&amp;Table1[[#This Row],[Sales Rep]]</f>
        <v>East|David</v>
      </c>
    </row>
    <row r="623" spans="1:16" x14ac:dyDescent="0.35">
      <c r="A623">
        <v>1061</v>
      </c>
      <c r="B623" s="1">
        <v>44998</v>
      </c>
      <c r="C623" t="s">
        <v>14</v>
      </c>
      <c r="D623" t="s">
        <v>25</v>
      </c>
      <c r="E623">
        <v>6321.42</v>
      </c>
      <c r="F623">
        <v>11</v>
      </c>
      <c r="G623" t="s">
        <v>29</v>
      </c>
      <c r="H623">
        <v>2594.71</v>
      </c>
      <c r="I623">
        <v>2769.52</v>
      </c>
      <c r="J623" t="s">
        <v>17</v>
      </c>
      <c r="K623">
        <v>0.01</v>
      </c>
      <c r="L623" t="s">
        <v>27</v>
      </c>
      <c r="M623" t="s">
        <v>22</v>
      </c>
      <c r="N623" t="s">
        <v>25</v>
      </c>
      <c r="O623" t="s">
        <v>14</v>
      </c>
      <c r="P623" t="str">
        <f>Table1[[#This Row],[Region]]&amp;"|"&amp;Table1[[#This Row],[Sales Rep]]</f>
        <v>South|Bob</v>
      </c>
    </row>
    <row r="624" spans="1:16" x14ac:dyDescent="0.35">
      <c r="A624">
        <v>1019</v>
      </c>
      <c r="B624" s="1">
        <v>45074</v>
      </c>
      <c r="C624" t="s">
        <v>42</v>
      </c>
      <c r="D624" t="s">
        <v>34</v>
      </c>
      <c r="E624">
        <v>6917.45</v>
      </c>
      <c r="F624">
        <v>28</v>
      </c>
      <c r="G624" t="s">
        <v>16</v>
      </c>
      <c r="H624">
        <v>3907.86</v>
      </c>
      <c r="I624">
        <v>4205.37</v>
      </c>
      <c r="J624" t="s">
        <v>30</v>
      </c>
      <c r="K624">
        <v>0.09</v>
      </c>
      <c r="L624" t="s">
        <v>31</v>
      </c>
      <c r="M624" t="s">
        <v>19</v>
      </c>
      <c r="N624" t="s">
        <v>34</v>
      </c>
      <c r="O624" t="s">
        <v>42</v>
      </c>
      <c r="P624" t="str">
        <f>Table1[[#This Row],[Region]]&amp;"|"&amp;Table1[[#This Row],[Sales Rep]]</f>
        <v>East|Alice</v>
      </c>
    </row>
    <row r="625" spans="1:16" x14ac:dyDescent="0.35">
      <c r="A625">
        <v>1076</v>
      </c>
      <c r="B625" s="1">
        <v>45275</v>
      </c>
      <c r="C625" t="s">
        <v>14</v>
      </c>
      <c r="D625" t="s">
        <v>21</v>
      </c>
      <c r="E625">
        <v>2607.4</v>
      </c>
      <c r="F625">
        <v>32</v>
      </c>
      <c r="G625" t="s">
        <v>26</v>
      </c>
      <c r="H625">
        <v>2636.36</v>
      </c>
      <c r="I625">
        <v>2696.78</v>
      </c>
      <c r="J625" t="s">
        <v>30</v>
      </c>
      <c r="K625">
        <v>0.09</v>
      </c>
      <c r="L625" t="s">
        <v>18</v>
      </c>
      <c r="M625" t="s">
        <v>22</v>
      </c>
      <c r="N625" t="s">
        <v>21</v>
      </c>
      <c r="O625" t="s">
        <v>14</v>
      </c>
      <c r="P625" t="str">
        <f>Table1[[#This Row],[Region]]&amp;"|"&amp;Table1[[#This Row],[Sales Rep]]</f>
        <v>West|Bob</v>
      </c>
    </row>
    <row r="626" spans="1:16" x14ac:dyDescent="0.35">
      <c r="A626">
        <v>1009</v>
      </c>
      <c r="B626" s="1">
        <v>44989</v>
      </c>
      <c r="C626" t="s">
        <v>24</v>
      </c>
      <c r="D626" t="s">
        <v>34</v>
      </c>
      <c r="E626">
        <v>198.79</v>
      </c>
      <c r="F626">
        <v>1</v>
      </c>
      <c r="G626" t="s">
        <v>29</v>
      </c>
      <c r="H626">
        <v>3223.07</v>
      </c>
      <c r="I626">
        <v>3590.83</v>
      </c>
      <c r="J626" t="s">
        <v>30</v>
      </c>
      <c r="K626">
        <v>0.19</v>
      </c>
      <c r="L626" t="s">
        <v>27</v>
      </c>
      <c r="M626" t="s">
        <v>22</v>
      </c>
      <c r="N626" t="s">
        <v>34</v>
      </c>
      <c r="O626" t="s">
        <v>24</v>
      </c>
      <c r="P626" t="str">
        <f>Table1[[#This Row],[Region]]&amp;"|"&amp;Table1[[#This Row],[Sales Rep]]</f>
        <v>East|David</v>
      </c>
    </row>
    <row r="627" spans="1:16" x14ac:dyDescent="0.35">
      <c r="A627">
        <v>1071</v>
      </c>
      <c r="B627" s="1">
        <v>45236</v>
      </c>
      <c r="C627" t="s">
        <v>24</v>
      </c>
      <c r="D627" t="s">
        <v>15</v>
      </c>
      <c r="E627">
        <v>7262.09</v>
      </c>
      <c r="F627">
        <v>47</v>
      </c>
      <c r="G627" t="s">
        <v>26</v>
      </c>
      <c r="H627">
        <v>3942.34</v>
      </c>
      <c r="I627">
        <v>4142.09</v>
      </c>
      <c r="J627" t="s">
        <v>17</v>
      </c>
      <c r="K627">
        <v>0.03</v>
      </c>
      <c r="L627" t="s">
        <v>31</v>
      </c>
      <c r="M627" t="s">
        <v>22</v>
      </c>
      <c r="N627" t="s">
        <v>15</v>
      </c>
      <c r="O627" t="s">
        <v>24</v>
      </c>
      <c r="P627" t="str">
        <f>Table1[[#This Row],[Region]]&amp;"|"&amp;Table1[[#This Row],[Sales Rep]]</f>
        <v>North|David</v>
      </c>
    </row>
    <row r="628" spans="1:16" x14ac:dyDescent="0.35">
      <c r="A628">
        <v>1028</v>
      </c>
      <c r="B628" s="1">
        <v>45169</v>
      </c>
      <c r="C628" t="s">
        <v>38</v>
      </c>
      <c r="D628" t="s">
        <v>15</v>
      </c>
      <c r="E628">
        <v>5403</v>
      </c>
      <c r="F628">
        <v>28</v>
      </c>
      <c r="G628" t="s">
        <v>16</v>
      </c>
      <c r="H628">
        <v>2055.2800000000002</v>
      </c>
      <c r="I628">
        <v>2449.64</v>
      </c>
      <c r="J628" t="s">
        <v>30</v>
      </c>
      <c r="K628">
        <v>0.19</v>
      </c>
      <c r="L628" t="s">
        <v>31</v>
      </c>
      <c r="M628" t="s">
        <v>19</v>
      </c>
      <c r="N628" t="s">
        <v>15</v>
      </c>
      <c r="O628" t="s">
        <v>38</v>
      </c>
      <c r="P628" t="str">
        <f>Table1[[#This Row],[Region]]&amp;"|"&amp;Table1[[#This Row],[Sales Rep]]</f>
        <v>North|Eve</v>
      </c>
    </row>
    <row r="629" spans="1:16" x14ac:dyDescent="0.35">
      <c r="A629">
        <v>1078</v>
      </c>
      <c r="B629" s="1">
        <v>45292</v>
      </c>
      <c r="C629" t="s">
        <v>24</v>
      </c>
      <c r="D629" t="s">
        <v>34</v>
      </c>
      <c r="E629">
        <v>8377.57</v>
      </c>
      <c r="F629">
        <v>42</v>
      </c>
      <c r="G629" t="s">
        <v>26</v>
      </c>
      <c r="H629">
        <v>63.41</v>
      </c>
      <c r="I629">
        <v>314.93</v>
      </c>
      <c r="J629" t="s">
        <v>17</v>
      </c>
      <c r="K629">
        <v>0.03</v>
      </c>
      <c r="L629" t="s">
        <v>18</v>
      </c>
      <c r="M629" t="s">
        <v>22</v>
      </c>
      <c r="N629" t="s">
        <v>34</v>
      </c>
      <c r="O629" t="s">
        <v>24</v>
      </c>
      <c r="P629" t="str">
        <f>Table1[[#This Row],[Region]]&amp;"|"&amp;Table1[[#This Row],[Sales Rep]]</f>
        <v>East|David</v>
      </c>
    </row>
    <row r="630" spans="1:16" x14ac:dyDescent="0.35">
      <c r="A630">
        <v>1095</v>
      </c>
      <c r="B630" s="1">
        <v>45256</v>
      </c>
      <c r="C630" t="s">
        <v>33</v>
      </c>
      <c r="D630" t="s">
        <v>21</v>
      </c>
      <c r="E630">
        <v>8231.74</v>
      </c>
      <c r="F630">
        <v>7</v>
      </c>
      <c r="G630" t="s">
        <v>26</v>
      </c>
      <c r="H630">
        <v>4257.24</v>
      </c>
      <c r="I630">
        <v>4355.87</v>
      </c>
      <c r="J630" t="s">
        <v>17</v>
      </c>
      <c r="K630">
        <v>0.03</v>
      </c>
      <c r="L630" t="s">
        <v>27</v>
      </c>
      <c r="M630" t="s">
        <v>19</v>
      </c>
      <c r="N630" t="s">
        <v>21</v>
      </c>
      <c r="O630" t="s">
        <v>33</v>
      </c>
      <c r="P630" t="str">
        <f>Table1[[#This Row],[Region]]&amp;"|"&amp;Table1[[#This Row],[Sales Rep]]</f>
        <v>West|Charlie</v>
      </c>
    </row>
    <row r="631" spans="1:16" x14ac:dyDescent="0.35">
      <c r="A631">
        <v>1052</v>
      </c>
      <c r="B631" s="1">
        <v>45033</v>
      </c>
      <c r="C631" t="s">
        <v>42</v>
      </c>
      <c r="D631" t="s">
        <v>25</v>
      </c>
      <c r="E631">
        <v>8448.93</v>
      </c>
      <c r="F631">
        <v>2</v>
      </c>
      <c r="G631" t="s">
        <v>26</v>
      </c>
      <c r="H631">
        <v>1935.41</v>
      </c>
      <c r="I631">
        <v>2305.44</v>
      </c>
      <c r="J631" t="s">
        <v>17</v>
      </c>
      <c r="K631">
        <v>0.22</v>
      </c>
      <c r="L631" t="s">
        <v>31</v>
      </c>
      <c r="M631" t="s">
        <v>19</v>
      </c>
      <c r="N631" t="s">
        <v>25</v>
      </c>
      <c r="O631" t="s">
        <v>42</v>
      </c>
      <c r="P631" t="str">
        <f>Table1[[#This Row],[Region]]&amp;"|"&amp;Table1[[#This Row],[Sales Rep]]</f>
        <v>South|Alice</v>
      </c>
    </row>
    <row r="632" spans="1:16" x14ac:dyDescent="0.35">
      <c r="A632">
        <v>1083</v>
      </c>
      <c r="B632" s="1">
        <v>45152</v>
      </c>
      <c r="C632" t="s">
        <v>38</v>
      </c>
      <c r="D632" t="s">
        <v>21</v>
      </c>
      <c r="E632">
        <v>4902.4399999999996</v>
      </c>
      <c r="F632">
        <v>42</v>
      </c>
      <c r="G632" t="s">
        <v>29</v>
      </c>
      <c r="H632">
        <v>2505.41</v>
      </c>
      <c r="I632">
        <v>2638.96</v>
      </c>
      <c r="J632" t="s">
        <v>30</v>
      </c>
      <c r="K632">
        <v>0.1</v>
      </c>
      <c r="L632" t="s">
        <v>27</v>
      </c>
      <c r="M632" t="s">
        <v>19</v>
      </c>
      <c r="N632" t="s">
        <v>21</v>
      </c>
      <c r="O632" t="s">
        <v>38</v>
      </c>
      <c r="P632" t="str">
        <f>Table1[[#This Row],[Region]]&amp;"|"&amp;Table1[[#This Row],[Sales Rep]]</f>
        <v>West|Eve</v>
      </c>
    </row>
    <row r="633" spans="1:16" x14ac:dyDescent="0.35">
      <c r="A633">
        <v>1016</v>
      </c>
      <c r="B633" s="1">
        <v>45239</v>
      </c>
      <c r="C633" t="s">
        <v>33</v>
      </c>
      <c r="D633" t="s">
        <v>25</v>
      </c>
      <c r="E633">
        <v>3402.92</v>
      </c>
      <c r="F633">
        <v>24</v>
      </c>
      <c r="G633" t="s">
        <v>16</v>
      </c>
      <c r="H633">
        <v>88.44</v>
      </c>
      <c r="I633">
        <v>338.94</v>
      </c>
      <c r="J633" t="s">
        <v>30</v>
      </c>
      <c r="K633">
        <v>0.28999999999999998</v>
      </c>
      <c r="L633" t="s">
        <v>18</v>
      </c>
      <c r="M633" t="s">
        <v>19</v>
      </c>
      <c r="N633" t="s">
        <v>25</v>
      </c>
      <c r="O633" t="s">
        <v>33</v>
      </c>
      <c r="P633" t="str">
        <f>Table1[[#This Row],[Region]]&amp;"|"&amp;Table1[[#This Row],[Sales Rep]]</f>
        <v>South|Charlie</v>
      </c>
    </row>
    <row r="634" spans="1:16" x14ac:dyDescent="0.35">
      <c r="A634">
        <v>1069</v>
      </c>
      <c r="B634" s="1">
        <v>45144</v>
      </c>
      <c r="C634" t="s">
        <v>14</v>
      </c>
      <c r="D634" t="s">
        <v>15</v>
      </c>
      <c r="E634">
        <v>7936.43</v>
      </c>
      <c r="F634">
        <v>4</v>
      </c>
      <c r="G634" t="s">
        <v>35</v>
      </c>
      <c r="H634">
        <v>2485.86</v>
      </c>
      <c r="I634">
        <v>2532.87</v>
      </c>
      <c r="J634" t="s">
        <v>30</v>
      </c>
      <c r="K634">
        <v>0.01</v>
      </c>
      <c r="L634" t="s">
        <v>31</v>
      </c>
      <c r="M634" t="s">
        <v>19</v>
      </c>
      <c r="N634" t="s">
        <v>15</v>
      </c>
      <c r="O634" t="s">
        <v>14</v>
      </c>
      <c r="P634" t="str">
        <f>Table1[[#This Row],[Region]]&amp;"|"&amp;Table1[[#This Row],[Sales Rep]]</f>
        <v>North|Bob</v>
      </c>
    </row>
    <row r="635" spans="1:16" x14ac:dyDescent="0.35">
      <c r="A635">
        <v>1099</v>
      </c>
      <c r="B635" s="1">
        <v>45167</v>
      </c>
      <c r="C635" t="s">
        <v>42</v>
      </c>
      <c r="D635" t="s">
        <v>21</v>
      </c>
      <c r="E635">
        <v>4567.8100000000004</v>
      </c>
      <c r="F635">
        <v>44</v>
      </c>
      <c r="G635" t="s">
        <v>29</v>
      </c>
      <c r="H635">
        <v>4933.1099999999997</v>
      </c>
      <c r="I635">
        <v>5245.86</v>
      </c>
      <c r="J635" t="s">
        <v>17</v>
      </c>
      <c r="K635">
        <v>0.13</v>
      </c>
      <c r="L635" t="s">
        <v>27</v>
      </c>
      <c r="M635" t="s">
        <v>22</v>
      </c>
      <c r="N635" t="s">
        <v>21</v>
      </c>
      <c r="O635" t="s">
        <v>42</v>
      </c>
      <c r="P635" t="str">
        <f>Table1[[#This Row],[Region]]&amp;"|"&amp;Table1[[#This Row],[Sales Rep]]</f>
        <v>West|Alice</v>
      </c>
    </row>
    <row r="636" spans="1:16" x14ac:dyDescent="0.35">
      <c r="A636">
        <v>1012</v>
      </c>
      <c r="B636" s="1">
        <v>45185</v>
      </c>
      <c r="C636" t="s">
        <v>24</v>
      </c>
      <c r="D636" t="s">
        <v>25</v>
      </c>
      <c r="E636">
        <v>1916.08</v>
      </c>
      <c r="F636">
        <v>19</v>
      </c>
      <c r="G636" t="s">
        <v>35</v>
      </c>
      <c r="H636">
        <v>1427.42</v>
      </c>
      <c r="I636">
        <v>1763.69</v>
      </c>
      <c r="J636" t="s">
        <v>30</v>
      </c>
      <c r="K636">
        <v>0.03</v>
      </c>
      <c r="L636" t="s">
        <v>18</v>
      </c>
      <c r="M636" t="s">
        <v>22</v>
      </c>
      <c r="N636" t="s">
        <v>25</v>
      </c>
      <c r="O636" t="s">
        <v>24</v>
      </c>
      <c r="P636" t="str">
        <f>Table1[[#This Row],[Region]]&amp;"|"&amp;Table1[[#This Row],[Sales Rep]]</f>
        <v>South|David</v>
      </c>
    </row>
    <row r="637" spans="1:16" x14ac:dyDescent="0.35">
      <c r="A637">
        <v>1025</v>
      </c>
      <c r="B637" s="1">
        <v>45188</v>
      </c>
      <c r="C637" t="s">
        <v>42</v>
      </c>
      <c r="D637" t="s">
        <v>34</v>
      </c>
      <c r="E637">
        <v>8564.24</v>
      </c>
      <c r="F637">
        <v>26</v>
      </c>
      <c r="G637" t="s">
        <v>35</v>
      </c>
      <c r="H637">
        <v>2007.32</v>
      </c>
      <c r="I637">
        <v>2202.87</v>
      </c>
      <c r="J637" t="s">
        <v>17</v>
      </c>
      <c r="K637">
        <v>0.11</v>
      </c>
      <c r="L637" t="s">
        <v>18</v>
      </c>
      <c r="M637" t="s">
        <v>19</v>
      </c>
      <c r="N637" t="s">
        <v>34</v>
      </c>
      <c r="O637" t="s">
        <v>42</v>
      </c>
      <c r="P637" t="str">
        <f>Table1[[#This Row],[Region]]&amp;"|"&amp;Table1[[#This Row],[Sales Rep]]</f>
        <v>East|Alice</v>
      </c>
    </row>
    <row r="638" spans="1:16" x14ac:dyDescent="0.35">
      <c r="A638">
        <v>1052</v>
      </c>
      <c r="B638" s="1">
        <v>44931</v>
      </c>
      <c r="C638" t="s">
        <v>14</v>
      </c>
      <c r="D638" t="s">
        <v>15</v>
      </c>
      <c r="E638">
        <v>8837.34</v>
      </c>
      <c r="F638">
        <v>11</v>
      </c>
      <c r="G638" t="s">
        <v>29</v>
      </c>
      <c r="H638">
        <v>3451.59</v>
      </c>
      <c r="I638">
        <v>3929.26</v>
      </c>
      <c r="J638" t="s">
        <v>30</v>
      </c>
      <c r="K638">
        <v>0.3</v>
      </c>
      <c r="L638" t="s">
        <v>31</v>
      </c>
      <c r="M638" t="s">
        <v>22</v>
      </c>
      <c r="N638" t="s">
        <v>15</v>
      </c>
      <c r="O638" t="s">
        <v>14</v>
      </c>
      <c r="P638" t="str">
        <f>Table1[[#This Row],[Region]]&amp;"|"&amp;Table1[[#This Row],[Sales Rep]]</f>
        <v>North|Bob</v>
      </c>
    </row>
    <row r="639" spans="1:16" x14ac:dyDescent="0.35">
      <c r="A639">
        <v>1085</v>
      </c>
      <c r="B639" s="1">
        <v>45187</v>
      </c>
      <c r="C639" t="s">
        <v>38</v>
      </c>
      <c r="D639" t="s">
        <v>34</v>
      </c>
      <c r="E639">
        <v>4716.47</v>
      </c>
      <c r="F639">
        <v>40</v>
      </c>
      <c r="G639" t="s">
        <v>29</v>
      </c>
      <c r="H639">
        <v>4083.23</v>
      </c>
      <c r="I639">
        <v>4521.57</v>
      </c>
      <c r="J639" t="s">
        <v>30</v>
      </c>
      <c r="K639">
        <v>0.27</v>
      </c>
      <c r="L639" t="s">
        <v>27</v>
      </c>
      <c r="M639" t="s">
        <v>22</v>
      </c>
      <c r="N639" t="s">
        <v>34</v>
      </c>
      <c r="O639" t="s">
        <v>38</v>
      </c>
      <c r="P639" t="str">
        <f>Table1[[#This Row],[Region]]&amp;"|"&amp;Table1[[#This Row],[Sales Rep]]</f>
        <v>East|Eve</v>
      </c>
    </row>
    <row r="640" spans="1:16" x14ac:dyDescent="0.35">
      <c r="A640">
        <v>1100</v>
      </c>
      <c r="B640" s="1">
        <v>44980</v>
      </c>
      <c r="C640" t="s">
        <v>38</v>
      </c>
      <c r="D640" t="s">
        <v>15</v>
      </c>
      <c r="E640">
        <v>849.43</v>
      </c>
      <c r="F640">
        <v>43</v>
      </c>
      <c r="G640" t="s">
        <v>16</v>
      </c>
      <c r="H640">
        <v>2116.09</v>
      </c>
      <c r="I640">
        <v>2472.98</v>
      </c>
      <c r="J640" t="s">
        <v>30</v>
      </c>
      <c r="K640">
        <v>0.01</v>
      </c>
      <c r="L640" t="s">
        <v>31</v>
      </c>
      <c r="M640" t="s">
        <v>22</v>
      </c>
      <c r="N640" t="s">
        <v>15</v>
      </c>
      <c r="O640" t="s">
        <v>38</v>
      </c>
      <c r="P640" t="str">
        <f>Table1[[#This Row],[Region]]&amp;"|"&amp;Table1[[#This Row],[Sales Rep]]</f>
        <v>North|Eve</v>
      </c>
    </row>
    <row r="641" spans="1:16" x14ac:dyDescent="0.35">
      <c r="A641">
        <v>1053</v>
      </c>
      <c r="B641" s="1">
        <v>44973</v>
      </c>
      <c r="C641" t="s">
        <v>38</v>
      </c>
      <c r="D641" t="s">
        <v>21</v>
      </c>
      <c r="E641">
        <v>3939.48</v>
      </c>
      <c r="F641">
        <v>11</v>
      </c>
      <c r="G641" t="s">
        <v>16</v>
      </c>
      <c r="H641">
        <v>1582.86</v>
      </c>
      <c r="I641">
        <v>1942.55</v>
      </c>
      <c r="J641" t="s">
        <v>30</v>
      </c>
      <c r="K641">
        <v>0.17</v>
      </c>
      <c r="L641" t="s">
        <v>31</v>
      </c>
      <c r="M641" t="s">
        <v>22</v>
      </c>
      <c r="N641" t="s">
        <v>21</v>
      </c>
      <c r="O641" t="s">
        <v>38</v>
      </c>
      <c r="P641" t="str">
        <f>Table1[[#This Row],[Region]]&amp;"|"&amp;Table1[[#This Row],[Sales Rep]]</f>
        <v>West|Eve</v>
      </c>
    </row>
    <row r="642" spans="1:16" x14ac:dyDescent="0.35">
      <c r="A642">
        <v>1023</v>
      </c>
      <c r="B642" s="1">
        <v>45141</v>
      </c>
      <c r="C642" t="s">
        <v>24</v>
      </c>
      <c r="D642" t="s">
        <v>21</v>
      </c>
      <c r="E642">
        <v>8055.02</v>
      </c>
      <c r="F642">
        <v>45</v>
      </c>
      <c r="G642" t="s">
        <v>26</v>
      </c>
      <c r="H642">
        <v>4692.24</v>
      </c>
      <c r="I642">
        <v>4825.92</v>
      </c>
      <c r="J642" t="s">
        <v>17</v>
      </c>
      <c r="K642">
        <v>0.19</v>
      </c>
      <c r="L642" t="s">
        <v>27</v>
      </c>
      <c r="M642" t="s">
        <v>22</v>
      </c>
      <c r="N642" t="s">
        <v>21</v>
      </c>
      <c r="O642" t="s">
        <v>24</v>
      </c>
      <c r="P642" t="str">
        <f>Table1[[#This Row],[Region]]&amp;"|"&amp;Table1[[#This Row],[Sales Rep]]</f>
        <v>West|David</v>
      </c>
    </row>
    <row r="643" spans="1:16" x14ac:dyDescent="0.35">
      <c r="A643">
        <v>1016</v>
      </c>
      <c r="B643" s="1">
        <v>45103</v>
      </c>
      <c r="C643" t="s">
        <v>33</v>
      </c>
      <c r="D643" t="s">
        <v>15</v>
      </c>
      <c r="E643">
        <v>9027.56</v>
      </c>
      <c r="F643">
        <v>3</v>
      </c>
      <c r="G643" t="s">
        <v>35</v>
      </c>
      <c r="H643">
        <v>3401.87</v>
      </c>
      <c r="I643">
        <v>3733.71</v>
      </c>
      <c r="J643" t="s">
        <v>17</v>
      </c>
      <c r="K643">
        <v>0.06</v>
      </c>
      <c r="L643" t="s">
        <v>27</v>
      </c>
      <c r="M643" t="s">
        <v>22</v>
      </c>
      <c r="N643" t="s">
        <v>15</v>
      </c>
      <c r="O643" t="s">
        <v>33</v>
      </c>
      <c r="P643" t="str">
        <f>Table1[[#This Row],[Region]]&amp;"|"&amp;Table1[[#This Row],[Sales Rep]]</f>
        <v>North|Charlie</v>
      </c>
    </row>
    <row r="644" spans="1:16" x14ac:dyDescent="0.35">
      <c r="A644">
        <v>1057</v>
      </c>
      <c r="B644" s="1">
        <v>44935</v>
      </c>
      <c r="C644" t="s">
        <v>33</v>
      </c>
      <c r="D644" t="s">
        <v>15</v>
      </c>
      <c r="E644">
        <v>2114.38</v>
      </c>
      <c r="F644">
        <v>12</v>
      </c>
      <c r="G644" t="s">
        <v>16</v>
      </c>
      <c r="H644">
        <v>639.16</v>
      </c>
      <c r="I644">
        <v>746.28</v>
      </c>
      <c r="J644" t="s">
        <v>17</v>
      </c>
      <c r="K644">
        <v>0.04</v>
      </c>
      <c r="L644" t="s">
        <v>27</v>
      </c>
      <c r="M644" t="s">
        <v>22</v>
      </c>
      <c r="N644" t="s">
        <v>15</v>
      </c>
      <c r="O644" t="s">
        <v>33</v>
      </c>
      <c r="P644" t="str">
        <f>Table1[[#This Row],[Region]]&amp;"|"&amp;Table1[[#This Row],[Sales Rep]]</f>
        <v>North|Charlie</v>
      </c>
    </row>
    <row r="645" spans="1:16" x14ac:dyDescent="0.35">
      <c r="A645">
        <v>1039</v>
      </c>
      <c r="B645" s="1">
        <v>45025</v>
      </c>
      <c r="C645" t="s">
        <v>42</v>
      </c>
      <c r="D645" t="s">
        <v>15</v>
      </c>
      <c r="E645">
        <v>763.04</v>
      </c>
      <c r="F645">
        <v>3</v>
      </c>
      <c r="G645" t="s">
        <v>26</v>
      </c>
      <c r="H645">
        <v>391.19</v>
      </c>
      <c r="I645">
        <v>471.75</v>
      </c>
      <c r="J645" t="s">
        <v>17</v>
      </c>
      <c r="K645">
        <v>0.27</v>
      </c>
      <c r="L645" t="s">
        <v>18</v>
      </c>
      <c r="M645" t="s">
        <v>19</v>
      </c>
      <c r="N645" t="s">
        <v>15</v>
      </c>
      <c r="O645" t="s">
        <v>42</v>
      </c>
      <c r="P645" t="str">
        <f>Table1[[#This Row],[Region]]&amp;"|"&amp;Table1[[#This Row],[Sales Rep]]</f>
        <v>North|Alice</v>
      </c>
    </row>
    <row r="646" spans="1:16" x14ac:dyDescent="0.35">
      <c r="A646">
        <v>1053</v>
      </c>
      <c r="B646" s="1">
        <v>44946</v>
      </c>
      <c r="C646" t="s">
        <v>24</v>
      </c>
      <c r="D646" t="s">
        <v>21</v>
      </c>
      <c r="E646">
        <v>8785.77</v>
      </c>
      <c r="F646">
        <v>42</v>
      </c>
      <c r="G646" t="s">
        <v>16</v>
      </c>
      <c r="H646">
        <v>2443.5700000000002</v>
      </c>
      <c r="I646">
        <v>2943.31</v>
      </c>
      <c r="J646" t="s">
        <v>30</v>
      </c>
      <c r="K646">
        <v>0.28999999999999998</v>
      </c>
      <c r="L646" t="s">
        <v>18</v>
      </c>
      <c r="M646" t="s">
        <v>19</v>
      </c>
      <c r="N646" t="s">
        <v>21</v>
      </c>
      <c r="O646" t="s">
        <v>24</v>
      </c>
      <c r="P646" t="str">
        <f>Table1[[#This Row],[Region]]&amp;"|"&amp;Table1[[#This Row],[Sales Rep]]</f>
        <v>West|David</v>
      </c>
    </row>
    <row r="647" spans="1:16" x14ac:dyDescent="0.35">
      <c r="A647">
        <v>1042</v>
      </c>
      <c r="B647" s="1">
        <v>45167</v>
      </c>
      <c r="C647" t="s">
        <v>38</v>
      </c>
      <c r="D647" t="s">
        <v>25</v>
      </c>
      <c r="E647">
        <v>3955.11</v>
      </c>
      <c r="F647">
        <v>27</v>
      </c>
      <c r="G647" t="s">
        <v>29</v>
      </c>
      <c r="H647">
        <v>1139.45</v>
      </c>
      <c r="I647">
        <v>1454.41</v>
      </c>
      <c r="J647" t="s">
        <v>17</v>
      </c>
      <c r="K647">
        <v>0.3</v>
      </c>
      <c r="L647" t="s">
        <v>27</v>
      </c>
      <c r="M647" t="s">
        <v>19</v>
      </c>
      <c r="N647" t="s">
        <v>25</v>
      </c>
      <c r="O647" t="s">
        <v>38</v>
      </c>
      <c r="P647" t="str">
        <f>Table1[[#This Row],[Region]]&amp;"|"&amp;Table1[[#This Row],[Sales Rep]]</f>
        <v>South|Eve</v>
      </c>
    </row>
    <row r="648" spans="1:16" x14ac:dyDescent="0.35">
      <c r="A648">
        <v>1058</v>
      </c>
      <c r="B648" s="1">
        <v>44987</v>
      </c>
      <c r="C648" t="s">
        <v>38</v>
      </c>
      <c r="D648" t="s">
        <v>34</v>
      </c>
      <c r="E648">
        <v>5463.43</v>
      </c>
      <c r="F648">
        <v>49</v>
      </c>
      <c r="G648" t="s">
        <v>16</v>
      </c>
      <c r="H648">
        <v>1307.22</v>
      </c>
      <c r="I648">
        <v>1528.4</v>
      </c>
      <c r="J648" t="s">
        <v>17</v>
      </c>
      <c r="K648">
        <v>0.24</v>
      </c>
      <c r="L648" t="s">
        <v>18</v>
      </c>
      <c r="M648" t="s">
        <v>22</v>
      </c>
      <c r="N648" t="s">
        <v>34</v>
      </c>
      <c r="O648" t="s">
        <v>38</v>
      </c>
      <c r="P648" t="str">
        <f>Table1[[#This Row],[Region]]&amp;"|"&amp;Table1[[#This Row],[Sales Rep]]</f>
        <v>East|Eve</v>
      </c>
    </row>
    <row r="649" spans="1:16" x14ac:dyDescent="0.35">
      <c r="A649">
        <v>1039</v>
      </c>
      <c r="B649" s="1">
        <v>45104</v>
      </c>
      <c r="C649" t="s">
        <v>14</v>
      </c>
      <c r="D649" t="s">
        <v>34</v>
      </c>
      <c r="E649">
        <v>9683.85</v>
      </c>
      <c r="F649">
        <v>2</v>
      </c>
      <c r="G649" t="s">
        <v>35</v>
      </c>
      <c r="H649">
        <v>4394.58</v>
      </c>
      <c r="I649">
        <v>4545.78</v>
      </c>
      <c r="J649" t="s">
        <v>17</v>
      </c>
      <c r="K649">
        <v>0.2</v>
      </c>
      <c r="L649" t="s">
        <v>31</v>
      </c>
      <c r="M649" t="s">
        <v>22</v>
      </c>
      <c r="N649" t="s">
        <v>34</v>
      </c>
      <c r="O649" t="s">
        <v>14</v>
      </c>
      <c r="P649" t="str">
        <f>Table1[[#This Row],[Region]]&amp;"|"&amp;Table1[[#This Row],[Sales Rep]]</f>
        <v>East|Bob</v>
      </c>
    </row>
    <row r="650" spans="1:16" x14ac:dyDescent="0.35">
      <c r="A650">
        <v>1014</v>
      </c>
      <c r="B650" s="1">
        <v>45264</v>
      </c>
      <c r="C650" t="s">
        <v>14</v>
      </c>
      <c r="D650" t="s">
        <v>21</v>
      </c>
      <c r="E650">
        <v>758.99</v>
      </c>
      <c r="F650">
        <v>49</v>
      </c>
      <c r="G650" t="s">
        <v>16</v>
      </c>
      <c r="H650">
        <v>493.35</v>
      </c>
      <c r="I650">
        <v>799.27</v>
      </c>
      <c r="J650" t="s">
        <v>30</v>
      </c>
      <c r="K650">
        <v>0.1</v>
      </c>
      <c r="L650" t="s">
        <v>27</v>
      </c>
      <c r="M650" t="s">
        <v>19</v>
      </c>
      <c r="N650" t="s">
        <v>21</v>
      </c>
      <c r="O650" t="s">
        <v>14</v>
      </c>
      <c r="P650" t="str">
        <f>Table1[[#This Row],[Region]]&amp;"|"&amp;Table1[[#This Row],[Sales Rep]]</f>
        <v>West|Bob</v>
      </c>
    </row>
    <row r="651" spans="1:16" x14ac:dyDescent="0.35">
      <c r="A651">
        <v>1095</v>
      </c>
      <c r="B651" s="1">
        <v>44988</v>
      </c>
      <c r="C651" t="s">
        <v>38</v>
      </c>
      <c r="D651" t="s">
        <v>34</v>
      </c>
      <c r="E651">
        <v>6518.35</v>
      </c>
      <c r="F651">
        <v>16</v>
      </c>
      <c r="G651" t="s">
        <v>35</v>
      </c>
      <c r="H651">
        <v>3591.05</v>
      </c>
      <c r="I651">
        <v>3625.35</v>
      </c>
      <c r="J651" t="s">
        <v>17</v>
      </c>
      <c r="K651">
        <v>0.05</v>
      </c>
      <c r="L651" t="s">
        <v>31</v>
      </c>
      <c r="M651" t="s">
        <v>22</v>
      </c>
      <c r="N651" t="s">
        <v>34</v>
      </c>
      <c r="O651" t="s">
        <v>38</v>
      </c>
      <c r="P651" t="str">
        <f>Table1[[#This Row],[Region]]&amp;"|"&amp;Table1[[#This Row],[Sales Rep]]</f>
        <v>East|Eve</v>
      </c>
    </row>
    <row r="652" spans="1:16" x14ac:dyDescent="0.35">
      <c r="A652">
        <v>1005</v>
      </c>
      <c r="B652" s="1">
        <v>45071</v>
      </c>
      <c r="C652" t="s">
        <v>38</v>
      </c>
      <c r="D652" t="s">
        <v>15</v>
      </c>
      <c r="E652">
        <v>833.64</v>
      </c>
      <c r="F652">
        <v>2</v>
      </c>
      <c r="G652" t="s">
        <v>29</v>
      </c>
      <c r="H652">
        <v>1392.15</v>
      </c>
      <c r="I652">
        <v>1448.54</v>
      </c>
      <c r="J652" t="s">
        <v>17</v>
      </c>
      <c r="K652">
        <v>0.02</v>
      </c>
      <c r="L652" t="s">
        <v>27</v>
      </c>
      <c r="M652" t="s">
        <v>22</v>
      </c>
      <c r="N652" t="s">
        <v>15</v>
      </c>
      <c r="O652" t="s">
        <v>38</v>
      </c>
      <c r="P652" t="str">
        <f>Table1[[#This Row],[Region]]&amp;"|"&amp;Table1[[#This Row],[Sales Rep]]</f>
        <v>North|Eve</v>
      </c>
    </row>
    <row r="653" spans="1:16" x14ac:dyDescent="0.35">
      <c r="A653">
        <v>1035</v>
      </c>
      <c r="B653" s="1">
        <v>45142</v>
      </c>
      <c r="C653" t="s">
        <v>24</v>
      </c>
      <c r="D653" t="s">
        <v>25</v>
      </c>
      <c r="E653">
        <v>3817.14</v>
      </c>
      <c r="F653">
        <v>30</v>
      </c>
      <c r="G653" t="s">
        <v>35</v>
      </c>
      <c r="H653">
        <v>3813.62</v>
      </c>
      <c r="I653">
        <v>3839.72</v>
      </c>
      <c r="J653" t="s">
        <v>30</v>
      </c>
      <c r="K653">
        <v>0.21</v>
      </c>
      <c r="L653" t="s">
        <v>31</v>
      </c>
      <c r="M653" t="s">
        <v>19</v>
      </c>
      <c r="N653" t="s">
        <v>25</v>
      </c>
      <c r="O653" t="s">
        <v>24</v>
      </c>
      <c r="P653" t="str">
        <f>Table1[[#This Row],[Region]]&amp;"|"&amp;Table1[[#This Row],[Sales Rep]]</f>
        <v>South|David</v>
      </c>
    </row>
    <row r="654" spans="1:16" x14ac:dyDescent="0.35">
      <c r="A654">
        <v>1087</v>
      </c>
      <c r="B654" s="1">
        <v>44929</v>
      </c>
      <c r="C654" t="s">
        <v>33</v>
      </c>
      <c r="D654" t="s">
        <v>34</v>
      </c>
      <c r="E654">
        <v>8057.76</v>
      </c>
      <c r="F654">
        <v>20</v>
      </c>
      <c r="G654" t="s">
        <v>16</v>
      </c>
      <c r="H654">
        <v>3625.94</v>
      </c>
      <c r="I654">
        <v>3880.53</v>
      </c>
      <c r="J654" t="s">
        <v>30</v>
      </c>
      <c r="K654">
        <v>0.24</v>
      </c>
      <c r="L654" t="s">
        <v>27</v>
      </c>
      <c r="M654" t="s">
        <v>19</v>
      </c>
      <c r="N654" t="s">
        <v>34</v>
      </c>
      <c r="O654" t="s">
        <v>33</v>
      </c>
      <c r="P654" t="str">
        <f>Table1[[#This Row],[Region]]&amp;"|"&amp;Table1[[#This Row],[Sales Rep]]</f>
        <v>East|Charlie</v>
      </c>
    </row>
    <row r="655" spans="1:16" x14ac:dyDescent="0.35">
      <c r="A655">
        <v>1093</v>
      </c>
      <c r="B655" s="1">
        <v>45086</v>
      </c>
      <c r="C655" t="s">
        <v>14</v>
      </c>
      <c r="D655" t="s">
        <v>25</v>
      </c>
      <c r="E655">
        <v>4391.38</v>
      </c>
      <c r="F655">
        <v>38</v>
      </c>
      <c r="G655" t="s">
        <v>26</v>
      </c>
      <c r="H655">
        <v>86.59</v>
      </c>
      <c r="I655">
        <v>390.89</v>
      </c>
      <c r="J655" t="s">
        <v>17</v>
      </c>
      <c r="K655">
        <v>0.25</v>
      </c>
      <c r="L655" t="s">
        <v>31</v>
      </c>
      <c r="M655" t="s">
        <v>19</v>
      </c>
      <c r="N655" t="s">
        <v>25</v>
      </c>
      <c r="O655" t="s">
        <v>14</v>
      </c>
      <c r="P655" t="str">
        <f>Table1[[#This Row],[Region]]&amp;"|"&amp;Table1[[#This Row],[Sales Rep]]</f>
        <v>South|Bob</v>
      </c>
    </row>
    <row r="656" spans="1:16" x14ac:dyDescent="0.35">
      <c r="A656">
        <v>1075</v>
      </c>
      <c r="B656" s="1">
        <v>45153</v>
      </c>
      <c r="C656" t="s">
        <v>33</v>
      </c>
      <c r="D656" t="s">
        <v>15</v>
      </c>
      <c r="E656">
        <v>9972.11</v>
      </c>
      <c r="F656">
        <v>28</v>
      </c>
      <c r="G656" t="s">
        <v>29</v>
      </c>
      <c r="H656">
        <v>2570.2199999999998</v>
      </c>
      <c r="I656">
        <v>2610.8399999999901</v>
      </c>
      <c r="J656" t="s">
        <v>17</v>
      </c>
      <c r="K656">
        <v>0.27</v>
      </c>
      <c r="L656" t="s">
        <v>27</v>
      </c>
      <c r="M656" t="s">
        <v>22</v>
      </c>
      <c r="N656" t="s">
        <v>15</v>
      </c>
      <c r="O656" t="s">
        <v>33</v>
      </c>
      <c r="P656" t="str">
        <f>Table1[[#This Row],[Region]]&amp;"|"&amp;Table1[[#This Row],[Sales Rep]]</f>
        <v>North|Charlie</v>
      </c>
    </row>
    <row r="657" spans="1:16" x14ac:dyDescent="0.35">
      <c r="A657">
        <v>1018</v>
      </c>
      <c r="B657" s="1">
        <v>45195</v>
      </c>
      <c r="C657" t="s">
        <v>24</v>
      </c>
      <c r="D657" t="s">
        <v>34</v>
      </c>
      <c r="E657">
        <v>5634.69</v>
      </c>
      <c r="F657">
        <v>25</v>
      </c>
      <c r="G657" t="s">
        <v>16</v>
      </c>
      <c r="H657">
        <v>739.63</v>
      </c>
      <c r="I657">
        <v>1103.03</v>
      </c>
      <c r="J657" t="s">
        <v>30</v>
      </c>
      <c r="K657">
        <v>0.26</v>
      </c>
      <c r="L657" t="s">
        <v>27</v>
      </c>
      <c r="M657" t="s">
        <v>22</v>
      </c>
      <c r="N657" t="s">
        <v>34</v>
      </c>
      <c r="O657" t="s">
        <v>24</v>
      </c>
      <c r="P657" t="str">
        <f>Table1[[#This Row],[Region]]&amp;"|"&amp;Table1[[#This Row],[Sales Rep]]</f>
        <v>East|David</v>
      </c>
    </row>
    <row r="658" spans="1:16" x14ac:dyDescent="0.35">
      <c r="A658">
        <v>1076</v>
      </c>
      <c r="B658" s="1">
        <v>45046</v>
      </c>
      <c r="C658" t="s">
        <v>38</v>
      </c>
      <c r="D658" t="s">
        <v>21</v>
      </c>
      <c r="E658">
        <v>3279.51</v>
      </c>
      <c r="F658">
        <v>32</v>
      </c>
      <c r="G658" t="s">
        <v>29</v>
      </c>
      <c r="H658">
        <v>4337.82</v>
      </c>
      <c r="I658">
        <v>4460.71</v>
      </c>
      <c r="J658" t="s">
        <v>17</v>
      </c>
      <c r="K658">
        <v>0.3</v>
      </c>
      <c r="L658" t="s">
        <v>18</v>
      </c>
      <c r="M658" t="s">
        <v>22</v>
      </c>
      <c r="N658" t="s">
        <v>21</v>
      </c>
      <c r="O658" t="s">
        <v>38</v>
      </c>
      <c r="P658" t="str">
        <f>Table1[[#This Row],[Region]]&amp;"|"&amp;Table1[[#This Row],[Sales Rep]]</f>
        <v>West|Eve</v>
      </c>
    </row>
    <row r="659" spans="1:16" x14ac:dyDescent="0.35">
      <c r="A659">
        <v>1009</v>
      </c>
      <c r="B659" s="1">
        <v>45015</v>
      </c>
      <c r="C659" t="s">
        <v>33</v>
      </c>
      <c r="D659" t="s">
        <v>25</v>
      </c>
      <c r="E659">
        <v>2279.1</v>
      </c>
      <c r="F659">
        <v>10</v>
      </c>
      <c r="G659" t="s">
        <v>29</v>
      </c>
      <c r="H659">
        <v>4364.3500000000004</v>
      </c>
      <c r="I659">
        <v>4710.1000000000004</v>
      </c>
      <c r="J659" t="s">
        <v>30</v>
      </c>
      <c r="K659">
        <v>7.0000000000000007E-2</v>
      </c>
      <c r="L659" t="s">
        <v>31</v>
      </c>
      <c r="M659" t="s">
        <v>19</v>
      </c>
      <c r="N659" t="s">
        <v>25</v>
      </c>
      <c r="O659" t="s">
        <v>33</v>
      </c>
      <c r="P659" t="str">
        <f>Table1[[#This Row],[Region]]&amp;"|"&amp;Table1[[#This Row],[Sales Rep]]</f>
        <v>South|Charlie</v>
      </c>
    </row>
    <row r="660" spans="1:16" x14ac:dyDescent="0.35">
      <c r="A660">
        <v>1074</v>
      </c>
      <c r="B660" s="1">
        <v>45255</v>
      </c>
      <c r="C660" t="s">
        <v>38</v>
      </c>
      <c r="D660" t="s">
        <v>15</v>
      </c>
      <c r="E660">
        <v>3570.15</v>
      </c>
      <c r="F660">
        <v>42</v>
      </c>
      <c r="G660" t="s">
        <v>16</v>
      </c>
      <c r="H660">
        <v>2120.81</v>
      </c>
      <c r="I660">
        <v>2611.94</v>
      </c>
      <c r="J660" t="s">
        <v>17</v>
      </c>
      <c r="K660">
        <v>0.23</v>
      </c>
      <c r="L660" t="s">
        <v>18</v>
      </c>
      <c r="M660" t="s">
        <v>19</v>
      </c>
      <c r="N660" t="s">
        <v>15</v>
      </c>
      <c r="O660" t="s">
        <v>38</v>
      </c>
      <c r="P660" t="str">
        <f>Table1[[#This Row],[Region]]&amp;"|"&amp;Table1[[#This Row],[Sales Rep]]</f>
        <v>North|Eve</v>
      </c>
    </row>
    <row r="661" spans="1:16" x14ac:dyDescent="0.35">
      <c r="A661">
        <v>1058</v>
      </c>
      <c r="B661" s="1">
        <v>44994</v>
      </c>
      <c r="C661" t="s">
        <v>38</v>
      </c>
      <c r="D661" t="s">
        <v>25</v>
      </c>
      <c r="E661">
        <v>3788.08</v>
      </c>
      <c r="F661">
        <v>40</v>
      </c>
      <c r="G661" t="s">
        <v>16</v>
      </c>
      <c r="H661">
        <v>2249.7600000000002</v>
      </c>
      <c r="I661">
        <v>2598.4</v>
      </c>
      <c r="J661" t="s">
        <v>17</v>
      </c>
      <c r="K661">
        <v>0.18</v>
      </c>
      <c r="L661" t="s">
        <v>31</v>
      </c>
      <c r="M661" t="s">
        <v>22</v>
      </c>
      <c r="N661" t="s">
        <v>25</v>
      </c>
      <c r="O661" t="s">
        <v>38</v>
      </c>
      <c r="P661" t="str">
        <f>Table1[[#This Row],[Region]]&amp;"|"&amp;Table1[[#This Row],[Sales Rep]]</f>
        <v>South|Eve</v>
      </c>
    </row>
    <row r="662" spans="1:16" x14ac:dyDescent="0.35">
      <c r="A662">
        <v>1017</v>
      </c>
      <c r="B662" s="1">
        <v>45283</v>
      </c>
      <c r="C662" t="s">
        <v>42</v>
      </c>
      <c r="D662" t="s">
        <v>34</v>
      </c>
      <c r="E662">
        <v>780.27</v>
      </c>
      <c r="F662">
        <v>33</v>
      </c>
      <c r="G662" t="s">
        <v>26</v>
      </c>
      <c r="H662">
        <v>1551.25</v>
      </c>
      <c r="I662">
        <v>1994.01</v>
      </c>
      <c r="J662" t="s">
        <v>17</v>
      </c>
      <c r="K662">
        <v>0.08</v>
      </c>
      <c r="L662" t="s">
        <v>18</v>
      </c>
      <c r="M662" t="s">
        <v>19</v>
      </c>
      <c r="N662" t="s">
        <v>34</v>
      </c>
      <c r="O662" t="s">
        <v>42</v>
      </c>
      <c r="P662" t="str">
        <f>Table1[[#This Row],[Region]]&amp;"|"&amp;Table1[[#This Row],[Sales Rep]]</f>
        <v>East|Alice</v>
      </c>
    </row>
    <row r="663" spans="1:16" x14ac:dyDescent="0.35">
      <c r="A663">
        <v>1007</v>
      </c>
      <c r="B663" s="1">
        <v>45024</v>
      </c>
      <c r="C663" t="s">
        <v>33</v>
      </c>
      <c r="D663" t="s">
        <v>34</v>
      </c>
      <c r="E663">
        <v>3758.78</v>
      </c>
      <c r="F663">
        <v>13</v>
      </c>
      <c r="G663" t="s">
        <v>29</v>
      </c>
      <c r="H663">
        <v>3597.2</v>
      </c>
      <c r="I663">
        <v>4071.8199999999902</v>
      </c>
      <c r="J663" t="s">
        <v>17</v>
      </c>
      <c r="K663">
        <v>0.28999999999999998</v>
      </c>
      <c r="L663" t="s">
        <v>27</v>
      </c>
      <c r="M663" t="s">
        <v>19</v>
      </c>
      <c r="N663" t="s">
        <v>34</v>
      </c>
      <c r="O663" t="s">
        <v>33</v>
      </c>
      <c r="P663" t="str">
        <f>Table1[[#This Row],[Region]]&amp;"|"&amp;Table1[[#This Row],[Sales Rep]]</f>
        <v>East|Charlie</v>
      </c>
    </row>
    <row r="664" spans="1:16" x14ac:dyDescent="0.35">
      <c r="A664">
        <v>1046</v>
      </c>
      <c r="B664" s="1">
        <v>45193</v>
      </c>
      <c r="C664" t="s">
        <v>33</v>
      </c>
      <c r="D664" t="s">
        <v>21</v>
      </c>
      <c r="E664">
        <v>4695.96</v>
      </c>
      <c r="F664">
        <v>41</v>
      </c>
      <c r="G664" t="s">
        <v>29</v>
      </c>
      <c r="H664">
        <v>1825.37</v>
      </c>
      <c r="I664">
        <v>2073.88</v>
      </c>
      <c r="J664" t="s">
        <v>17</v>
      </c>
      <c r="K664">
        <v>0.27</v>
      </c>
      <c r="L664" t="s">
        <v>18</v>
      </c>
      <c r="M664" t="s">
        <v>22</v>
      </c>
      <c r="N664" t="s">
        <v>21</v>
      </c>
      <c r="O664" t="s">
        <v>33</v>
      </c>
      <c r="P664" t="str">
        <f>Table1[[#This Row],[Region]]&amp;"|"&amp;Table1[[#This Row],[Sales Rep]]</f>
        <v>West|Charlie</v>
      </c>
    </row>
    <row r="665" spans="1:16" x14ac:dyDescent="0.35">
      <c r="A665">
        <v>1013</v>
      </c>
      <c r="B665" s="1">
        <v>45031</v>
      </c>
      <c r="C665" t="s">
        <v>38</v>
      </c>
      <c r="D665" t="s">
        <v>15</v>
      </c>
      <c r="E665">
        <v>7255.1</v>
      </c>
      <c r="F665">
        <v>42</v>
      </c>
      <c r="G665" t="s">
        <v>16</v>
      </c>
      <c r="H665">
        <v>1375.57</v>
      </c>
      <c r="I665">
        <v>1729.71</v>
      </c>
      <c r="J665" t="s">
        <v>30</v>
      </c>
      <c r="K665">
        <v>0.04</v>
      </c>
      <c r="L665" t="s">
        <v>18</v>
      </c>
      <c r="M665" t="s">
        <v>19</v>
      </c>
      <c r="N665" t="s">
        <v>15</v>
      </c>
      <c r="O665" t="s">
        <v>38</v>
      </c>
      <c r="P665" t="str">
        <f>Table1[[#This Row],[Region]]&amp;"|"&amp;Table1[[#This Row],[Sales Rep]]</f>
        <v>North|Eve</v>
      </c>
    </row>
    <row r="666" spans="1:16" x14ac:dyDescent="0.35">
      <c r="A666">
        <v>1040</v>
      </c>
      <c r="B666" s="1">
        <v>45249</v>
      </c>
      <c r="C666" t="s">
        <v>24</v>
      </c>
      <c r="D666" t="s">
        <v>15</v>
      </c>
      <c r="E666">
        <v>6601.62</v>
      </c>
      <c r="F666">
        <v>47</v>
      </c>
      <c r="G666" t="s">
        <v>35</v>
      </c>
      <c r="H666">
        <v>2189.54</v>
      </c>
      <c r="I666">
        <v>2617</v>
      </c>
      <c r="J666" t="s">
        <v>30</v>
      </c>
      <c r="K666">
        <v>0.01</v>
      </c>
      <c r="L666" t="s">
        <v>27</v>
      </c>
      <c r="M666" t="s">
        <v>19</v>
      </c>
      <c r="N666" t="s">
        <v>15</v>
      </c>
      <c r="O666" t="s">
        <v>24</v>
      </c>
      <c r="P666" t="str">
        <f>Table1[[#This Row],[Region]]&amp;"|"&amp;Table1[[#This Row],[Sales Rep]]</f>
        <v>North|David</v>
      </c>
    </row>
    <row r="667" spans="1:16" x14ac:dyDescent="0.35">
      <c r="A667">
        <v>1042</v>
      </c>
      <c r="B667" s="1">
        <v>45049</v>
      </c>
      <c r="C667" t="s">
        <v>42</v>
      </c>
      <c r="D667" t="s">
        <v>21</v>
      </c>
      <c r="E667">
        <v>7116.78</v>
      </c>
      <c r="F667">
        <v>37</v>
      </c>
      <c r="G667" t="s">
        <v>16</v>
      </c>
      <c r="H667">
        <v>502.86</v>
      </c>
      <c r="I667">
        <v>687.6</v>
      </c>
      <c r="J667" t="s">
        <v>17</v>
      </c>
      <c r="K667">
        <v>0.21</v>
      </c>
      <c r="L667" t="s">
        <v>18</v>
      </c>
      <c r="M667" t="s">
        <v>19</v>
      </c>
      <c r="N667" t="s">
        <v>21</v>
      </c>
      <c r="O667" t="s">
        <v>42</v>
      </c>
      <c r="P667" t="str">
        <f>Table1[[#This Row],[Region]]&amp;"|"&amp;Table1[[#This Row],[Sales Rep]]</f>
        <v>West|Alice</v>
      </c>
    </row>
    <row r="668" spans="1:16" x14ac:dyDescent="0.35">
      <c r="A668">
        <v>1009</v>
      </c>
      <c r="B668" s="1">
        <v>44955</v>
      </c>
      <c r="C668" t="s">
        <v>38</v>
      </c>
      <c r="D668" t="s">
        <v>21</v>
      </c>
      <c r="E668">
        <v>182.8</v>
      </c>
      <c r="F668">
        <v>16</v>
      </c>
      <c r="G668" t="s">
        <v>29</v>
      </c>
      <c r="H668">
        <v>3745.69</v>
      </c>
      <c r="I668">
        <v>3883.77</v>
      </c>
      <c r="J668" t="s">
        <v>17</v>
      </c>
      <c r="K668">
        <v>0.18</v>
      </c>
      <c r="L668" t="s">
        <v>27</v>
      </c>
      <c r="M668" t="s">
        <v>22</v>
      </c>
      <c r="N668" t="s">
        <v>21</v>
      </c>
      <c r="O668" t="s">
        <v>38</v>
      </c>
      <c r="P668" t="str">
        <f>Table1[[#This Row],[Region]]&amp;"|"&amp;Table1[[#This Row],[Sales Rep]]</f>
        <v>West|Eve</v>
      </c>
    </row>
    <row r="669" spans="1:16" x14ac:dyDescent="0.35">
      <c r="A669">
        <v>1050</v>
      </c>
      <c r="B669" s="1">
        <v>45063</v>
      </c>
      <c r="C669" t="s">
        <v>14</v>
      </c>
      <c r="D669" t="s">
        <v>15</v>
      </c>
      <c r="E669">
        <v>2254.91</v>
      </c>
      <c r="F669">
        <v>45</v>
      </c>
      <c r="G669" t="s">
        <v>16</v>
      </c>
      <c r="H669">
        <v>112.35</v>
      </c>
      <c r="I669">
        <v>586.17999999999995</v>
      </c>
      <c r="J669" t="s">
        <v>17</v>
      </c>
      <c r="K669">
        <v>0.28000000000000003</v>
      </c>
      <c r="L669" t="s">
        <v>31</v>
      </c>
      <c r="M669" t="s">
        <v>22</v>
      </c>
      <c r="N669" t="s">
        <v>15</v>
      </c>
      <c r="O669" t="s">
        <v>14</v>
      </c>
      <c r="P669" t="str">
        <f>Table1[[#This Row],[Region]]&amp;"|"&amp;Table1[[#This Row],[Sales Rep]]</f>
        <v>North|Bob</v>
      </c>
    </row>
    <row r="670" spans="1:16" x14ac:dyDescent="0.35">
      <c r="A670">
        <v>1027</v>
      </c>
      <c r="B670" s="1">
        <v>45121</v>
      </c>
      <c r="C670" t="s">
        <v>14</v>
      </c>
      <c r="D670" t="s">
        <v>25</v>
      </c>
      <c r="E670">
        <v>6650.67</v>
      </c>
      <c r="F670">
        <v>22</v>
      </c>
      <c r="G670" t="s">
        <v>26</v>
      </c>
      <c r="H670">
        <v>3240.2</v>
      </c>
      <c r="I670">
        <v>3606.0899999999901</v>
      </c>
      <c r="J670" t="s">
        <v>30</v>
      </c>
      <c r="K670">
        <v>7.0000000000000007E-2</v>
      </c>
      <c r="L670" t="s">
        <v>18</v>
      </c>
      <c r="M670" t="s">
        <v>19</v>
      </c>
      <c r="N670" t="s">
        <v>25</v>
      </c>
      <c r="O670" t="s">
        <v>14</v>
      </c>
      <c r="P670" t="str">
        <f>Table1[[#This Row],[Region]]&amp;"|"&amp;Table1[[#This Row],[Sales Rep]]</f>
        <v>South|Bob</v>
      </c>
    </row>
    <row r="671" spans="1:16" x14ac:dyDescent="0.35">
      <c r="A671">
        <v>1066</v>
      </c>
      <c r="B671" s="1">
        <v>45152</v>
      </c>
      <c r="C671" t="s">
        <v>42</v>
      </c>
      <c r="D671" t="s">
        <v>25</v>
      </c>
      <c r="E671">
        <v>4891.49</v>
      </c>
      <c r="F671">
        <v>20</v>
      </c>
      <c r="G671" t="s">
        <v>35</v>
      </c>
      <c r="H671">
        <v>955.18</v>
      </c>
      <c r="I671">
        <v>1072.82</v>
      </c>
      <c r="J671" t="s">
        <v>30</v>
      </c>
      <c r="K671">
        <v>0.03</v>
      </c>
      <c r="L671" t="s">
        <v>27</v>
      </c>
      <c r="M671" t="s">
        <v>22</v>
      </c>
      <c r="N671" t="s">
        <v>25</v>
      </c>
      <c r="O671" t="s">
        <v>42</v>
      </c>
      <c r="P671" t="str">
        <f>Table1[[#This Row],[Region]]&amp;"|"&amp;Table1[[#This Row],[Sales Rep]]</f>
        <v>South|Alice</v>
      </c>
    </row>
    <row r="672" spans="1:16" x14ac:dyDescent="0.35">
      <c r="A672">
        <v>1005</v>
      </c>
      <c r="B672" s="1">
        <v>45258</v>
      </c>
      <c r="C672" t="s">
        <v>24</v>
      </c>
      <c r="D672" t="s">
        <v>21</v>
      </c>
      <c r="E672">
        <v>152.6</v>
      </c>
      <c r="F672">
        <v>43</v>
      </c>
      <c r="G672" t="s">
        <v>16</v>
      </c>
      <c r="H672">
        <v>1200.4000000000001</v>
      </c>
      <c r="I672">
        <v>1430.45</v>
      </c>
      <c r="J672" t="s">
        <v>30</v>
      </c>
      <c r="K672">
        <v>0.08</v>
      </c>
      <c r="L672" t="s">
        <v>27</v>
      </c>
      <c r="M672" t="s">
        <v>22</v>
      </c>
      <c r="N672" t="s">
        <v>21</v>
      </c>
      <c r="O672" t="s">
        <v>24</v>
      </c>
      <c r="P672" t="str">
        <f>Table1[[#This Row],[Region]]&amp;"|"&amp;Table1[[#This Row],[Sales Rep]]</f>
        <v>West|David</v>
      </c>
    </row>
    <row r="673" spans="1:16" x14ac:dyDescent="0.35">
      <c r="A673">
        <v>1029</v>
      </c>
      <c r="B673" s="1">
        <v>45096</v>
      </c>
      <c r="C673" t="s">
        <v>38</v>
      </c>
      <c r="D673" t="s">
        <v>25</v>
      </c>
      <c r="E673">
        <v>8064.5</v>
      </c>
      <c r="F673">
        <v>27</v>
      </c>
      <c r="G673" t="s">
        <v>26</v>
      </c>
      <c r="H673">
        <v>3196.38</v>
      </c>
      <c r="I673">
        <v>3596.64</v>
      </c>
      <c r="J673" t="s">
        <v>30</v>
      </c>
      <c r="K673">
        <v>0.01</v>
      </c>
      <c r="L673" t="s">
        <v>18</v>
      </c>
      <c r="M673" t="s">
        <v>22</v>
      </c>
      <c r="N673" t="s">
        <v>25</v>
      </c>
      <c r="O673" t="s">
        <v>38</v>
      </c>
      <c r="P673" t="str">
        <f>Table1[[#This Row],[Region]]&amp;"|"&amp;Table1[[#This Row],[Sales Rep]]</f>
        <v>South|Eve</v>
      </c>
    </row>
    <row r="674" spans="1:16" x14ac:dyDescent="0.35">
      <c r="A674">
        <v>1037</v>
      </c>
      <c r="B674" s="1">
        <v>44935</v>
      </c>
      <c r="C674" t="s">
        <v>33</v>
      </c>
      <c r="D674" t="s">
        <v>15</v>
      </c>
      <c r="E674">
        <v>7750.81</v>
      </c>
      <c r="F674">
        <v>41</v>
      </c>
      <c r="G674" t="s">
        <v>29</v>
      </c>
      <c r="H674">
        <v>4965.07</v>
      </c>
      <c r="I674">
        <v>5243.13</v>
      </c>
      <c r="J674" t="s">
        <v>30</v>
      </c>
      <c r="K674">
        <v>0.01</v>
      </c>
      <c r="L674" t="s">
        <v>31</v>
      </c>
      <c r="M674" t="s">
        <v>19</v>
      </c>
      <c r="N674" t="s">
        <v>15</v>
      </c>
      <c r="O674" t="s">
        <v>33</v>
      </c>
      <c r="P674" t="str">
        <f>Table1[[#This Row],[Region]]&amp;"|"&amp;Table1[[#This Row],[Sales Rep]]</f>
        <v>North|Charlie</v>
      </c>
    </row>
    <row r="675" spans="1:16" x14ac:dyDescent="0.35">
      <c r="A675">
        <v>1038</v>
      </c>
      <c r="B675" s="1">
        <v>44966</v>
      </c>
      <c r="C675" t="s">
        <v>42</v>
      </c>
      <c r="D675" t="s">
        <v>34</v>
      </c>
      <c r="E675">
        <v>5529.35</v>
      </c>
      <c r="F675">
        <v>16</v>
      </c>
      <c r="G675" t="s">
        <v>16</v>
      </c>
      <c r="H675">
        <v>3899.7</v>
      </c>
      <c r="I675">
        <v>4228.18</v>
      </c>
      <c r="J675" t="s">
        <v>30</v>
      </c>
      <c r="K675">
        <v>0.27</v>
      </c>
      <c r="L675" t="s">
        <v>18</v>
      </c>
      <c r="M675" t="s">
        <v>22</v>
      </c>
      <c r="N675" t="s">
        <v>34</v>
      </c>
      <c r="O675" t="s">
        <v>42</v>
      </c>
      <c r="P675" t="str">
        <f>Table1[[#This Row],[Region]]&amp;"|"&amp;Table1[[#This Row],[Sales Rep]]</f>
        <v>East|Alice</v>
      </c>
    </row>
    <row r="676" spans="1:16" x14ac:dyDescent="0.35">
      <c r="A676">
        <v>1083</v>
      </c>
      <c r="B676" s="1">
        <v>44951</v>
      </c>
      <c r="C676" t="s">
        <v>24</v>
      </c>
      <c r="D676" t="s">
        <v>34</v>
      </c>
      <c r="E676">
        <v>757.99</v>
      </c>
      <c r="F676">
        <v>34</v>
      </c>
      <c r="G676" t="s">
        <v>29</v>
      </c>
      <c r="H676">
        <v>1167.9100000000001</v>
      </c>
      <c r="I676">
        <v>1547.26</v>
      </c>
      <c r="J676" t="s">
        <v>30</v>
      </c>
      <c r="K676">
        <v>0.11</v>
      </c>
      <c r="L676" t="s">
        <v>27</v>
      </c>
      <c r="M676" t="s">
        <v>19</v>
      </c>
      <c r="N676" t="s">
        <v>34</v>
      </c>
      <c r="O676" t="s">
        <v>24</v>
      </c>
      <c r="P676" t="str">
        <f>Table1[[#This Row],[Region]]&amp;"|"&amp;Table1[[#This Row],[Sales Rep]]</f>
        <v>East|David</v>
      </c>
    </row>
    <row r="677" spans="1:16" x14ac:dyDescent="0.35">
      <c r="A677">
        <v>1008</v>
      </c>
      <c r="B677" s="1">
        <v>45187</v>
      </c>
      <c r="C677" t="s">
        <v>33</v>
      </c>
      <c r="D677" t="s">
        <v>25</v>
      </c>
      <c r="E677">
        <v>7688.5</v>
      </c>
      <c r="F677">
        <v>32</v>
      </c>
      <c r="G677" t="s">
        <v>26</v>
      </c>
      <c r="H677">
        <v>921.32</v>
      </c>
      <c r="I677">
        <v>1236.0999999999999</v>
      </c>
      <c r="J677" t="s">
        <v>30</v>
      </c>
      <c r="K677">
        <v>0.12</v>
      </c>
      <c r="L677" t="s">
        <v>31</v>
      </c>
      <c r="M677" t="s">
        <v>19</v>
      </c>
      <c r="N677" t="s">
        <v>25</v>
      </c>
      <c r="O677" t="s">
        <v>33</v>
      </c>
      <c r="P677" t="str">
        <f>Table1[[#This Row],[Region]]&amp;"|"&amp;Table1[[#This Row],[Sales Rep]]</f>
        <v>South|Charlie</v>
      </c>
    </row>
    <row r="678" spans="1:16" x14ac:dyDescent="0.35">
      <c r="A678">
        <v>1065</v>
      </c>
      <c r="B678" s="1">
        <v>45152</v>
      </c>
      <c r="C678" t="s">
        <v>14</v>
      </c>
      <c r="D678" t="s">
        <v>21</v>
      </c>
      <c r="E678">
        <v>5878.76</v>
      </c>
      <c r="F678">
        <v>26</v>
      </c>
      <c r="G678" t="s">
        <v>29</v>
      </c>
      <c r="H678">
        <v>4337.8500000000004</v>
      </c>
      <c r="I678">
        <v>4612.49</v>
      </c>
      <c r="J678" t="s">
        <v>17</v>
      </c>
      <c r="K678">
        <v>0.01</v>
      </c>
      <c r="L678" t="s">
        <v>18</v>
      </c>
      <c r="M678" t="s">
        <v>22</v>
      </c>
      <c r="N678" t="s">
        <v>21</v>
      </c>
      <c r="O678" t="s">
        <v>14</v>
      </c>
      <c r="P678" t="str">
        <f>Table1[[#This Row],[Region]]&amp;"|"&amp;Table1[[#This Row],[Sales Rep]]</f>
        <v>West|Bob</v>
      </c>
    </row>
    <row r="679" spans="1:16" x14ac:dyDescent="0.35">
      <c r="A679">
        <v>1086</v>
      </c>
      <c r="B679" s="1">
        <v>45050</v>
      </c>
      <c r="C679" t="s">
        <v>14</v>
      </c>
      <c r="D679" t="s">
        <v>21</v>
      </c>
      <c r="E679">
        <v>7841.4</v>
      </c>
      <c r="F679">
        <v>25</v>
      </c>
      <c r="G679" t="s">
        <v>26</v>
      </c>
      <c r="H679">
        <v>2248.71</v>
      </c>
      <c r="I679">
        <v>2626.02</v>
      </c>
      <c r="J679" t="s">
        <v>30</v>
      </c>
      <c r="K679">
        <v>0.08</v>
      </c>
      <c r="L679" t="s">
        <v>27</v>
      </c>
      <c r="M679" t="s">
        <v>19</v>
      </c>
      <c r="N679" t="s">
        <v>21</v>
      </c>
      <c r="O679" t="s">
        <v>14</v>
      </c>
      <c r="P679" t="str">
        <f>Table1[[#This Row],[Region]]&amp;"|"&amp;Table1[[#This Row],[Sales Rep]]</f>
        <v>West|Bob</v>
      </c>
    </row>
    <row r="680" spans="1:16" x14ac:dyDescent="0.35">
      <c r="A680">
        <v>1017</v>
      </c>
      <c r="B680" s="1">
        <v>44964</v>
      </c>
      <c r="C680" t="s">
        <v>33</v>
      </c>
      <c r="D680" t="s">
        <v>21</v>
      </c>
      <c r="E680">
        <v>7542.3</v>
      </c>
      <c r="F680">
        <v>2</v>
      </c>
      <c r="G680" t="s">
        <v>26</v>
      </c>
      <c r="H680">
        <v>728.41</v>
      </c>
      <c r="I680">
        <v>1094.92</v>
      </c>
      <c r="J680" t="s">
        <v>30</v>
      </c>
      <c r="K680">
        <v>0.24</v>
      </c>
      <c r="L680" t="s">
        <v>18</v>
      </c>
      <c r="M680" t="s">
        <v>22</v>
      </c>
      <c r="N680" t="s">
        <v>21</v>
      </c>
      <c r="O680" t="s">
        <v>33</v>
      </c>
      <c r="P680" t="str">
        <f>Table1[[#This Row],[Region]]&amp;"|"&amp;Table1[[#This Row],[Sales Rep]]</f>
        <v>West|Charlie</v>
      </c>
    </row>
    <row r="681" spans="1:16" x14ac:dyDescent="0.35">
      <c r="A681">
        <v>1071</v>
      </c>
      <c r="B681" s="1">
        <v>45254</v>
      </c>
      <c r="C681" t="s">
        <v>42</v>
      </c>
      <c r="D681" t="s">
        <v>21</v>
      </c>
      <c r="E681">
        <v>8049.72</v>
      </c>
      <c r="F681">
        <v>12</v>
      </c>
      <c r="G681" t="s">
        <v>26</v>
      </c>
      <c r="H681">
        <v>4317.95</v>
      </c>
      <c r="I681">
        <v>4636.59</v>
      </c>
      <c r="J681" t="s">
        <v>30</v>
      </c>
      <c r="K681">
        <v>0.18</v>
      </c>
      <c r="L681" t="s">
        <v>31</v>
      </c>
      <c r="M681" t="s">
        <v>22</v>
      </c>
      <c r="N681" t="s">
        <v>21</v>
      </c>
      <c r="O681" t="s">
        <v>42</v>
      </c>
      <c r="P681" t="str">
        <f>Table1[[#This Row],[Region]]&amp;"|"&amp;Table1[[#This Row],[Sales Rep]]</f>
        <v>West|Alice</v>
      </c>
    </row>
    <row r="682" spans="1:16" x14ac:dyDescent="0.35">
      <c r="A682">
        <v>1089</v>
      </c>
      <c r="B682" s="1">
        <v>45177</v>
      </c>
      <c r="C682" t="s">
        <v>14</v>
      </c>
      <c r="D682" t="s">
        <v>21</v>
      </c>
      <c r="E682">
        <v>5228.28</v>
      </c>
      <c r="F682">
        <v>40</v>
      </c>
      <c r="G682" t="s">
        <v>16</v>
      </c>
      <c r="H682">
        <v>4089.66</v>
      </c>
      <c r="I682">
        <v>4275.96</v>
      </c>
      <c r="J682" t="s">
        <v>30</v>
      </c>
      <c r="K682">
        <v>0.23</v>
      </c>
      <c r="L682" t="s">
        <v>31</v>
      </c>
      <c r="M682" t="s">
        <v>19</v>
      </c>
      <c r="N682" t="s">
        <v>21</v>
      </c>
      <c r="O682" t="s">
        <v>14</v>
      </c>
      <c r="P682" t="str">
        <f>Table1[[#This Row],[Region]]&amp;"|"&amp;Table1[[#This Row],[Sales Rep]]</f>
        <v>West|Bob</v>
      </c>
    </row>
    <row r="683" spans="1:16" x14ac:dyDescent="0.35">
      <c r="A683">
        <v>1045</v>
      </c>
      <c r="B683" s="1">
        <v>45102</v>
      </c>
      <c r="C683" t="s">
        <v>38</v>
      </c>
      <c r="D683" t="s">
        <v>25</v>
      </c>
      <c r="E683">
        <v>1489.21</v>
      </c>
      <c r="F683">
        <v>9</v>
      </c>
      <c r="G683" t="s">
        <v>29</v>
      </c>
      <c r="H683">
        <v>4920.34</v>
      </c>
      <c r="I683">
        <v>5129.1899999999996</v>
      </c>
      <c r="J683" t="s">
        <v>17</v>
      </c>
      <c r="K683">
        <v>0.13</v>
      </c>
      <c r="L683" t="s">
        <v>31</v>
      </c>
      <c r="M683" t="s">
        <v>19</v>
      </c>
      <c r="N683" t="s">
        <v>25</v>
      </c>
      <c r="O683" t="s">
        <v>38</v>
      </c>
      <c r="P683" t="str">
        <f>Table1[[#This Row],[Region]]&amp;"|"&amp;Table1[[#This Row],[Sales Rep]]</f>
        <v>South|Eve</v>
      </c>
    </row>
    <row r="684" spans="1:16" x14ac:dyDescent="0.35">
      <c r="A684">
        <v>1004</v>
      </c>
      <c r="B684" s="1">
        <v>45016</v>
      </c>
      <c r="C684" t="s">
        <v>33</v>
      </c>
      <c r="D684" t="s">
        <v>34</v>
      </c>
      <c r="E684">
        <v>6744.46</v>
      </c>
      <c r="F684">
        <v>12</v>
      </c>
      <c r="G684" t="s">
        <v>29</v>
      </c>
      <c r="H684">
        <v>4553.2299999999996</v>
      </c>
      <c r="I684">
        <v>5038.74</v>
      </c>
      <c r="J684" t="s">
        <v>30</v>
      </c>
      <c r="K684">
        <v>0.09</v>
      </c>
      <c r="L684" t="s">
        <v>31</v>
      </c>
      <c r="M684" t="s">
        <v>22</v>
      </c>
      <c r="N684" t="s">
        <v>34</v>
      </c>
      <c r="O684" t="s">
        <v>33</v>
      </c>
      <c r="P684" t="str">
        <f>Table1[[#This Row],[Region]]&amp;"|"&amp;Table1[[#This Row],[Sales Rep]]</f>
        <v>East|Charlie</v>
      </c>
    </row>
    <row r="685" spans="1:16" x14ac:dyDescent="0.35">
      <c r="A685">
        <v>1036</v>
      </c>
      <c r="B685" s="1">
        <v>44963</v>
      </c>
      <c r="C685" t="s">
        <v>33</v>
      </c>
      <c r="D685" t="s">
        <v>34</v>
      </c>
      <c r="E685">
        <v>6242.69</v>
      </c>
      <c r="F685">
        <v>26</v>
      </c>
      <c r="G685" t="s">
        <v>35</v>
      </c>
      <c r="H685">
        <v>4266.3599999999997</v>
      </c>
      <c r="I685">
        <v>4331.4299999999903</v>
      </c>
      <c r="J685" t="s">
        <v>17</v>
      </c>
      <c r="K685">
        <v>0.14000000000000001</v>
      </c>
      <c r="L685" t="s">
        <v>31</v>
      </c>
      <c r="M685" t="s">
        <v>22</v>
      </c>
      <c r="N685" t="s">
        <v>34</v>
      </c>
      <c r="O685" t="s">
        <v>33</v>
      </c>
      <c r="P685" t="str">
        <f>Table1[[#This Row],[Region]]&amp;"|"&amp;Table1[[#This Row],[Sales Rep]]</f>
        <v>East|Charlie</v>
      </c>
    </row>
    <row r="686" spans="1:16" x14ac:dyDescent="0.35">
      <c r="A686">
        <v>1070</v>
      </c>
      <c r="B686" s="1">
        <v>45242</v>
      </c>
      <c r="C686" t="s">
        <v>14</v>
      </c>
      <c r="D686" t="s">
        <v>25</v>
      </c>
      <c r="E686">
        <v>7448.31</v>
      </c>
      <c r="F686">
        <v>9</v>
      </c>
      <c r="G686" t="s">
        <v>35</v>
      </c>
      <c r="H686">
        <v>310.24</v>
      </c>
      <c r="I686">
        <v>451.81</v>
      </c>
      <c r="J686" t="s">
        <v>17</v>
      </c>
      <c r="K686">
        <v>0.1</v>
      </c>
      <c r="L686" t="s">
        <v>18</v>
      </c>
      <c r="M686" t="s">
        <v>22</v>
      </c>
      <c r="N686" t="s">
        <v>25</v>
      </c>
      <c r="O686" t="s">
        <v>14</v>
      </c>
      <c r="P686" t="str">
        <f>Table1[[#This Row],[Region]]&amp;"|"&amp;Table1[[#This Row],[Sales Rep]]</f>
        <v>South|Bob</v>
      </c>
    </row>
    <row r="687" spans="1:16" x14ac:dyDescent="0.35">
      <c r="A687">
        <v>1031</v>
      </c>
      <c r="B687" s="1">
        <v>45102</v>
      </c>
      <c r="C687" t="s">
        <v>42</v>
      </c>
      <c r="D687" t="s">
        <v>21</v>
      </c>
      <c r="E687">
        <v>1781.82</v>
      </c>
      <c r="F687">
        <v>10</v>
      </c>
      <c r="G687" t="s">
        <v>35</v>
      </c>
      <c r="H687">
        <v>566.86</v>
      </c>
      <c r="I687">
        <v>818.14</v>
      </c>
      <c r="J687" t="s">
        <v>17</v>
      </c>
      <c r="K687">
        <v>0.25</v>
      </c>
      <c r="L687" t="s">
        <v>31</v>
      </c>
      <c r="M687" t="s">
        <v>22</v>
      </c>
      <c r="N687" t="s">
        <v>21</v>
      </c>
      <c r="O687" t="s">
        <v>42</v>
      </c>
      <c r="P687" t="str">
        <f>Table1[[#This Row],[Region]]&amp;"|"&amp;Table1[[#This Row],[Sales Rep]]</f>
        <v>West|Alice</v>
      </c>
    </row>
    <row r="688" spans="1:16" x14ac:dyDescent="0.35">
      <c r="A688">
        <v>1019</v>
      </c>
      <c r="B688" s="1">
        <v>45210</v>
      </c>
      <c r="C688" t="s">
        <v>38</v>
      </c>
      <c r="D688" t="s">
        <v>25</v>
      </c>
      <c r="E688">
        <v>2030.25</v>
      </c>
      <c r="F688">
        <v>32</v>
      </c>
      <c r="G688" t="s">
        <v>35</v>
      </c>
      <c r="H688">
        <v>2866.47</v>
      </c>
      <c r="I688">
        <v>3286.47</v>
      </c>
      <c r="J688" t="s">
        <v>30</v>
      </c>
      <c r="K688">
        <v>0.09</v>
      </c>
      <c r="L688" t="s">
        <v>31</v>
      </c>
      <c r="M688" t="s">
        <v>19</v>
      </c>
      <c r="N688" t="s">
        <v>25</v>
      </c>
      <c r="O688" t="s">
        <v>38</v>
      </c>
      <c r="P688" t="str">
        <f>Table1[[#This Row],[Region]]&amp;"|"&amp;Table1[[#This Row],[Sales Rep]]</f>
        <v>South|Eve</v>
      </c>
    </row>
    <row r="689" spans="1:16" x14ac:dyDescent="0.35">
      <c r="A689">
        <v>1061</v>
      </c>
      <c r="B689" s="1">
        <v>45007</v>
      </c>
      <c r="C689" t="s">
        <v>42</v>
      </c>
      <c r="D689" t="s">
        <v>34</v>
      </c>
      <c r="E689">
        <v>8915.0499999999993</v>
      </c>
      <c r="F689">
        <v>34</v>
      </c>
      <c r="G689" t="s">
        <v>29</v>
      </c>
      <c r="H689">
        <v>2680.82</v>
      </c>
      <c r="I689">
        <v>2771.02</v>
      </c>
      <c r="J689" t="s">
        <v>30</v>
      </c>
      <c r="K689">
        <v>0.2</v>
      </c>
      <c r="L689" t="s">
        <v>27</v>
      </c>
      <c r="M689" t="s">
        <v>19</v>
      </c>
      <c r="N689" t="s">
        <v>34</v>
      </c>
      <c r="O689" t="s">
        <v>42</v>
      </c>
      <c r="P689" t="str">
        <f>Table1[[#This Row],[Region]]&amp;"|"&amp;Table1[[#This Row],[Sales Rep]]</f>
        <v>East|Alice</v>
      </c>
    </row>
    <row r="690" spans="1:16" x14ac:dyDescent="0.35">
      <c r="A690">
        <v>1054</v>
      </c>
      <c r="B690" s="1">
        <v>45040</v>
      </c>
      <c r="C690" t="s">
        <v>24</v>
      </c>
      <c r="D690" t="s">
        <v>15</v>
      </c>
      <c r="E690">
        <v>7524.78</v>
      </c>
      <c r="F690">
        <v>48</v>
      </c>
      <c r="G690" t="s">
        <v>26</v>
      </c>
      <c r="H690">
        <v>2316.92</v>
      </c>
      <c r="I690">
        <v>2462.63</v>
      </c>
      <c r="J690" t="s">
        <v>30</v>
      </c>
      <c r="K690">
        <v>0.04</v>
      </c>
      <c r="L690" t="s">
        <v>31</v>
      </c>
      <c r="M690" t="s">
        <v>19</v>
      </c>
      <c r="N690" t="s">
        <v>15</v>
      </c>
      <c r="O690" t="s">
        <v>24</v>
      </c>
      <c r="P690" t="str">
        <f>Table1[[#This Row],[Region]]&amp;"|"&amp;Table1[[#This Row],[Sales Rep]]</f>
        <v>North|David</v>
      </c>
    </row>
    <row r="691" spans="1:16" x14ac:dyDescent="0.35">
      <c r="A691">
        <v>1039</v>
      </c>
      <c r="B691" s="1">
        <v>44966</v>
      </c>
      <c r="C691" t="s">
        <v>24</v>
      </c>
      <c r="D691" t="s">
        <v>25</v>
      </c>
      <c r="E691">
        <v>9091.4599999999991</v>
      </c>
      <c r="F691">
        <v>20</v>
      </c>
      <c r="G691" t="s">
        <v>26</v>
      </c>
      <c r="H691">
        <v>2014.11</v>
      </c>
      <c r="I691">
        <v>2056.35</v>
      </c>
      <c r="J691" t="s">
        <v>17</v>
      </c>
      <c r="K691">
        <v>0.21</v>
      </c>
      <c r="L691" t="s">
        <v>27</v>
      </c>
      <c r="M691" t="s">
        <v>22</v>
      </c>
      <c r="N691" t="s">
        <v>25</v>
      </c>
      <c r="O691" t="s">
        <v>24</v>
      </c>
      <c r="P691" t="str">
        <f>Table1[[#This Row],[Region]]&amp;"|"&amp;Table1[[#This Row],[Sales Rep]]</f>
        <v>South|David</v>
      </c>
    </row>
    <row r="692" spans="1:16" x14ac:dyDescent="0.35">
      <c r="A692">
        <v>1091</v>
      </c>
      <c r="B692" s="1">
        <v>45227</v>
      </c>
      <c r="C692" t="s">
        <v>14</v>
      </c>
      <c r="D692" t="s">
        <v>21</v>
      </c>
      <c r="E692">
        <v>7611.28</v>
      </c>
      <c r="F692">
        <v>39</v>
      </c>
      <c r="G692" t="s">
        <v>16</v>
      </c>
      <c r="H692">
        <v>2184.4899999999998</v>
      </c>
      <c r="I692">
        <v>2540.4199999999901</v>
      </c>
      <c r="J692" t="s">
        <v>17</v>
      </c>
      <c r="K692">
        <v>0.27</v>
      </c>
      <c r="L692" t="s">
        <v>27</v>
      </c>
      <c r="M692" t="s">
        <v>19</v>
      </c>
      <c r="N692" t="s">
        <v>21</v>
      </c>
      <c r="O692" t="s">
        <v>14</v>
      </c>
      <c r="P692" t="str">
        <f>Table1[[#This Row],[Region]]&amp;"|"&amp;Table1[[#This Row],[Sales Rep]]</f>
        <v>West|Bob</v>
      </c>
    </row>
    <row r="693" spans="1:16" x14ac:dyDescent="0.35">
      <c r="A693">
        <v>1074</v>
      </c>
      <c r="B693" s="1">
        <v>45150</v>
      </c>
      <c r="C693" t="s">
        <v>14</v>
      </c>
      <c r="D693" t="s">
        <v>34</v>
      </c>
      <c r="E693">
        <v>6011.84</v>
      </c>
      <c r="F693">
        <v>2</v>
      </c>
      <c r="G693" t="s">
        <v>26</v>
      </c>
      <c r="H693">
        <v>2868.02</v>
      </c>
      <c r="I693">
        <v>2994.74</v>
      </c>
      <c r="J693" t="s">
        <v>17</v>
      </c>
      <c r="K693">
        <v>0.18</v>
      </c>
      <c r="L693" t="s">
        <v>27</v>
      </c>
      <c r="M693" t="s">
        <v>19</v>
      </c>
      <c r="N693" t="s">
        <v>34</v>
      </c>
      <c r="O693" t="s">
        <v>14</v>
      </c>
      <c r="P693" t="str">
        <f>Table1[[#This Row],[Region]]&amp;"|"&amp;Table1[[#This Row],[Sales Rep]]</f>
        <v>East|Bob</v>
      </c>
    </row>
    <row r="694" spans="1:16" x14ac:dyDescent="0.35">
      <c r="A694">
        <v>1090</v>
      </c>
      <c r="B694" s="1">
        <v>45244</v>
      </c>
      <c r="C694" t="s">
        <v>14</v>
      </c>
      <c r="D694" t="s">
        <v>34</v>
      </c>
      <c r="E694">
        <v>6575.91</v>
      </c>
      <c r="F694">
        <v>1</v>
      </c>
      <c r="G694" t="s">
        <v>29</v>
      </c>
      <c r="H694">
        <v>60.28</v>
      </c>
      <c r="I694">
        <v>260.73</v>
      </c>
      <c r="J694" t="s">
        <v>17</v>
      </c>
      <c r="K694">
        <v>0.17</v>
      </c>
      <c r="L694" t="s">
        <v>18</v>
      </c>
      <c r="M694" t="s">
        <v>19</v>
      </c>
      <c r="N694" t="s">
        <v>34</v>
      </c>
      <c r="O694" t="s">
        <v>14</v>
      </c>
      <c r="P694" t="str">
        <f>Table1[[#This Row],[Region]]&amp;"|"&amp;Table1[[#This Row],[Sales Rep]]</f>
        <v>East|Bob</v>
      </c>
    </row>
    <row r="695" spans="1:16" x14ac:dyDescent="0.35">
      <c r="A695">
        <v>1019</v>
      </c>
      <c r="B695" s="1">
        <v>45275</v>
      </c>
      <c r="C695" t="s">
        <v>24</v>
      </c>
      <c r="D695" t="s">
        <v>34</v>
      </c>
      <c r="E695">
        <v>8902.3700000000008</v>
      </c>
      <c r="F695">
        <v>36</v>
      </c>
      <c r="G695" t="s">
        <v>29</v>
      </c>
      <c r="H695">
        <v>1340.51</v>
      </c>
      <c r="I695">
        <v>1567.92</v>
      </c>
      <c r="J695" t="s">
        <v>30</v>
      </c>
      <c r="K695">
        <v>0.28999999999999998</v>
      </c>
      <c r="L695" t="s">
        <v>18</v>
      </c>
      <c r="M695" t="s">
        <v>19</v>
      </c>
      <c r="N695" t="s">
        <v>34</v>
      </c>
      <c r="O695" t="s">
        <v>24</v>
      </c>
      <c r="P695" t="str">
        <f>Table1[[#This Row],[Region]]&amp;"|"&amp;Table1[[#This Row],[Sales Rep]]</f>
        <v>East|David</v>
      </c>
    </row>
    <row r="696" spans="1:16" x14ac:dyDescent="0.35">
      <c r="A696">
        <v>1039</v>
      </c>
      <c r="B696" s="1">
        <v>45041</v>
      </c>
      <c r="C696" t="s">
        <v>42</v>
      </c>
      <c r="D696" t="s">
        <v>34</v>
      </c>
      <c r="E696">
        <v>5830.19</v>
      </c>
      <c r="F696">
        <v>24</v>
      </c>
      <c r="G696" t="s">
        <v>29</v>
      </c>
      <c r="H696">
        <v>2615.48</v>
      </c>
      <c r="I696">
        <v>3062.22</v>
      </c>
      <c r="J696" t="s">
        <v>30</v>
      </c>
      <c r="K696">
        <v>0.19</v>
      </c>
      <c r="L696" t="s">
        <v>27</v>
      </c>
      <c r="M696" t="s">
        <v>22</v>
      </c>
      <c r="N696" t="s">
        <v>34</v>
      </c>
      <c r="O696" t="s">
        <v>42</v>
      </c>
      <c r="P696" t="str">
        <f>Table1[[#This Row],[Region]]&amp;"|"&amp;Table1[[#This Row],[Sales Rep]]</f>
        <v>East|Alice</v>
      </c>
    </row>
    <row r="697" spans="1:16" x14ac:dyDescent="0.35">
      <c r="A697">
        <v>1067</v>
      </c>
      <c r="B697" s="1">
        <v>45112</v>
      </c>
      <c r="C697" t="s">
        <v>42</v>
      </c>
      <c r="D697" t="s">
        <v>21</v>
      </c>
      <c r="E697">
        <v>6360.67</v>
      </c>
      <c r="F697">
        <v>27</v>
      </c>
      <c r="G697" t="s">
        <v>16</v>
      </c>
      <c r="H697">
        <v>3624.97</v>
      </c>
      <c r="I697">
        <v>3836.52</v>
      </c>
      <c r="J697" t="s">
        <v>30</v>
      </c>
      <c r="K697">
        <v>0.08</v>
      </c>
      <c r="L697" t="s">
        <v>18</v>
      </c>
      <c r="M697" t="s">
        <v>19</v>
      </c>
      <c r="N697" t="s">
        <v>21</v>
      </c>
      <c r="O697" t="s">
        <v>42</v>
      </c>
      <c r="P697" t="str">
        <f>Table1[[#This Row],[Region]]&amp;"|"&amp;Table1[[#This Row],[Sales Rep]]</f>
        <v>West|Alice</v>
      </c>
    </row>
    <row r="698" spans="1:16" x14ac:dyDescent="0.35">
      <c r="A698">
        <v>1045</v>
      </c>
      <c r="B698" s="1">
        <v>45249</v>
      </c>
      <c r="C698" t="s">
        <v>14</v>
      </c>
      <c r="D698" t="s">
        <v>15</v>
      </c>
      <c r="E698">
        <v>1649.12</v>
      </c>
      <c r="F698">
        <v>2</v>
      </c>
      <c r="G698" t="s">
        <v>35</v>
      </c>
      <c r="H698">
        <v>912.08</v>
      </c>
      <c r="I698">
        <v>993.24</v>
      </c>
      <c r="J698" t="s">
        <v>17</v>
      </c>
      <c r="K698">
        <v>0.09</v>
      </c>
      <c r="L698" t="s">
        <v>31</v>
      </c>
      <c r="M698" t="s">
        <v>19</v>
      </c>
      <c r="N698" t="s">
        <v>15</v>
      </c>
      <c r="O698" t="s">
        <v>14</v>
      </c>
      <c r="P698" t="str">
        <f>Table1[[#This Row],[Region]]&amp;"|"&amp;Table1[[#This Row],[Sales Rep]]</f>
        <v>North|Bob</v>
      </c>
    </row>
    <row r="699" spans="1:16" x14ac:dyDescent="0.35">
      <c r="A699">
        <v>1013</v>
      </c>
      <c r="B699" s="1">
        <v>44982</v>
      </c>
      <c r="C699" t="s">
        <v>38</v>
      </c>
      <c r="D699" t="s">
        <v>34</v>
      </c>
      <c r="E699">
        <v>4791.82</v>
      </c>
      <c r="F699">
        <v>31</v>
      </c>
      <c r="G699" t="s">
        <v>26</v>
      </c>
      <c r="H699">
        <v>2757.06</v>
      </c>
      <c r="I699">
        <v>3023.97</v>
      </c>
      <c r="J699" t="s">
        <v>17</v>
      </c>
      <c r="K699">
        <v>0.21</v>
      </c>
      <c r="L699" t="s">
        <v>18</v>
      </c>
      <c r="M699" t="s">
        <v>19</v>
      </c>
      <c r="N699" t="s">
        <v>34</v>
      </c>
      <c r="O699" t="s">
        <v>38</v>
      </c>
      <c r="P699" t="str">
        <f>Table1[[#This Row],[Region]]&amp;"|"&amp;Table1[[#This Row],[Sales Rep]]</f>
        <v>East|Eve</v>
      </c>
    </row>
    <row r="700" spans="1:16" x14ac:dyDescent="0.35">
      <c r="A700">
        <v>1092</v>
      </c>
      <c r="B700" s="1">
        <v>44966</v>
      </c>
      <c r="C700" t="s">
        <v>42</v>
      </c>
      <c r="D700" t="s">
        <v>25</v>
      </c>
      <c r="E700">
        <v>7192.33</v>
      </c>
      <c r="F700">
        <v>14</v>
      </c>
      <c r="G700" t="s">
        <v>29</v>
      </c>
      <c r="H700">
        <v>3586.58</v>
      </c>
      <c r="I700">
        <v>4068.43</v>
      </c>
      <c r="J700" t="s">
        <v>30</v>
      </c>
      <c r="K700">
        <v>0.22</v>
      </c>
      <c r="L700" t="s">
        <v>31</v>
      </c>
      <c r="M700" t="s">
        <v>19</v>
      </c>
      <c r="N700" t="s">
        <v>25</v>
      </c>
      <c r="O700" t="s">
        <v>42</v>
      </c>
      <c r="P700" t="str">
        <f>Table1[[#This Row],[Region]]&amp;"|"&amp;Table1[[#This Row],[Sales Rep]]</f>
        <v>South|Alice</v>
      </c>
    </row>
    <row r="701" spans="1:16" x14ac:dyDescent="0.35">
      <c r="A701">
        <v>1058</v>
      </c>
      <c r="B701" s="1">
        <v>45280</v>
      </c>
      <c r="C701" t="s">
        <v>24</v>
      </c>
      <c r="D701" t="s">
        <v>15</v>
      </c>
      <c r="E701">
        <v>2782.33</v>
      </c>
      <c r="F701">
        <v>2</v>
      </c>
      <c r="G701" t="s">
        <v>29</v>
      </c>
      <c r="H701">
        <v>2250.91</v>
      </c>
      <c r="I701">
        <v>2558.6799999999998</v>
      </c>
      <c r="J701" t="s">
        <v>30</v>
      </c>
      <c r="K701">
        <v>0.09</v>
      </c>
      <c r="L701" t="s">
        <v>31</v>
      </c>
      <c r="M701" t="s">
        <v>22</v>
      </c>
      <c r="N701" t="s">
        <v>15</v>
      </c>
      <c r="O701" t="s">
        <v>24</v>
      </c>
      <c r="P701" t="str">
        <f>Table1[[#This Row],[Region]]&amp;"|"&amp;Table1[[#This Row],[Sales Rep]]</f>
        <v>North|David</v>
      </c>
    </row>
    <row r="702" spans="1:16" x14ac:dyDescent="0.35">
      <c r="A702">
        <v>1020</v>
      </c>
      <c r="B702" s="1">
        <v>44966</v>
      </c>
      <c r="C702" t="s">
        <v>33</v>
      </c>
      <c r="D702" t="s">
        <v>34</v>
      </c>
      <c r="E702">
        <v>2102.3200000000002</v>
      </c>
      <c r="F702">
        <v>29</v>
      </c>
      <c r="G702" t="s">
        <v>35</v>
      </c>
      <c r="H702">
        <v>184.05</v>
      </c>
      <c r="I702">
        <v>675.91</v>
      </c>
      <c r="J702" t="s">
        <v>17</v>
      </c>
      <c r="K702">
        <v>0.1</v>
      </c>
      <c r="L702" t="s">
        <v>18</v>
      </c>
      <c r="M702" t="s">
        <v>22</v>
      </c>
      <c r="N702" t="s">
        <v>34</v>
      </c>
      <c r="O702" t="s">
        <v>33</v>
      </c>
      <c r="P702" t="str">
        <f>Table1[[#This Row],[Region]]&amp;"|"&amp;Table1[[#This Row],[Sales Rep]]</f>
        <v>East|Charlie</v>
      </c>
    </row>
    <row r="703" spans="1:16" x14ac:dyDescent="0.35">
      <c r="A703">
        <v>1092</v>
      </c>
      <c r="B703" s="1">
        <v>45273</v>
      </c>
      <c r="C703" t="s">
        <v>33</v>
      </c>
      <c r="D703" t="s">
        <v>15</v>
      </c>
      <c r="E703">
        <v>3206.89</v>
      </c>
      <c r="F703">
        <v>15</v>
      </c>
      <c r="G703" t="s">
        <v>29</v>
      </c>
      <c r="H703">
        <v>2273.88</v>
      </c>
      <c r="I703">
        <v>2696.02</v>
      </c>
      <c r="J703" t="s">
        <v>30</v>
      </c>
      <c r="K703">
        <v>0.3</v>
      </c>
      <c r="L703" t="s">
        <v>18</v>
      </c>
      <c r="M703" t="s">
        <v>19</v>
      </c>
      <c r="N703" t="s">
        <v>15</v>
      </c>
      <c r="O703" t="s">
        <v>33</v>
      </c>
      <c r="P703" t="str">
        <f>Table1[[#This Row],[Region]]&amp;"|"&amp;Table1[[#This Row],[Sales Rep]]</f>
        <v>North|Charlie</v>
      </c>
    </row>
    <row r="704" spans="1:16" x14ac:dyDescent="0.35">
      <c r="A704">
        <v>1072</v>
      </c>
      <c r="B704" s="1">
        <v>45163</v>
      </c>
      <c r="C704" t="s">
        <v>33</v>
      </c>
      <c r="D704" t="s">
        <v>25</v>
      </c>
      <c r="E704">
        <v>2490.86</v>
      </c>
      <c r="F704">
        <v>12</v>
      </c>
      <c r="G704" t="s">
        <v>26</v>
      </c>
      <c r="H704">
        <v>1517.4</v>
      </c>
      <c r="I704">
        <v>1545.02</v>
      </c>
      <c r="J704" t="s">
        <v>30</v>
      </c>
      <c r="K704">
        <v>0.03</v>
      </c>
      <c r="L704" t="s">
        <v>27</v>
      </c>
      <c r="M704" t="s">
        <v>22</v>
      </c>
      <c r="N704" t="s">
        <v>25</v>
      </c>
      <c r="O704" t="s">
        <v>33</v>
      </c>
      <c r="P704" t="str">
        <f>Table1[[#This Row],[Region]]&amp;"|"&amp;Table1[[#This Row],[Sales Rep]]</f>
        <v>South|Charlie</v>
      </c>
    </row>
    <row r="705" spans="1:16" x14ac:dyDescent="0.35">
      <c r="A705">
        <v>1061</v>
      </c>
      <c r="B705" s="1">
        <v>45215</v>
      </c>
      <c r="C705" t="s">
        <v>38</v>
      </c>
      <c r="D705" t="s">
        <v>34</v>
      </c>
      <c r="E705">
        <v>2227.64</v>
      </c>
      <c r="F705">
        <v>37</v>
      </c>
      <c r="G705" t="s">
        <v>16</v>
      </c>
      <c r="H705">
        <v>4651.7700000000004</v>
      </c>
      <c r="I705">
        <v>4984.3900000000003</v>
      </c>
      <c r="J705" t="s">
        <v>17</v>
      </c>
      <c r="K705">
        <v>0.12</v>
      </c>
      <c r="L705" t="s">
        <v>18</v>
      </c>
      <c r="M705" t="s">
        <v>22</v>
      </c>
      <c r="N705" t="s">
        <v>34</v>
      </c>
      <c r="O705" t="s">
        <v>38</v>
      </c>
      <c r="P705" t="str">
        <f>Table1[[#This Row],[Region]]&amp;"|"&amp;Table1[[#This Row],[Sales Rep]]</f>
        <v>East|Eve</v>
      </c>
    </row>
    <row r="706" spans="1:16" x14ac:dyDescent="0.35">
      <c r="A706">
        <v>1039</v>
      </c>
      <c r="B706" s="1">
        <v>45188</v>
      </c>
      <c r="C706" t="s">
        <v>14</v>
      </c>
      <c r="D706" t="s">
        <v>25</v>
      </c>
      <c r="E706">
        <v>4306.0200000000004</v>
      </c>
      <c r="F706">
        <v>28</v>
      </c>
      <c r="G706" t="s">
        <v>29</v>
      </c>
      <c r="H706">
        <v>666.84</v>
      </c>
      <c r="I706">
        <v>817.36</v>
      </c>
      <c r="J706" t="s">
        <v>17</v>
      </c>
      <c r="K706">
        <v>0.02</v>
      </c>
      <c r="L706" t="s">
        <v>18</v>
      </c>
      <c r="M706" t="s">
        <v>22</v>
      </c>
      <c r="N706" t="s">
        <v>25</v>
      </c>
      <c r="O706" t="s">
        <v>14</v>
      </c>
      <c r="P706" t="str">
        <f>Table1[[#This Row],[Region]]&amp;"|"&amp;Table1[[#This Row],[Sales Rep]]</f>
        <v>South|Bob</v>
      </c>
    </row>
    <row r="707" spans="1:16" x14ac:dyDescent="0.35">
      <c r="A707">
        <v>1001</v>
      </c>
      <c r="B707" s="1">
        <v>45142</v>
      </c>
      <c r="C707" t="s">
        <v>24</v>
      </c>
      <c r="D707" t="s">
        <v>21</v>
      </c>
      <c r="E707">
        <v>9087.6</v>
      </c>
      <c r="F707">
        <v>20</v>
      </c>
      <c r="G707" t="s">
        <v>26</v>
      </c>
      <c r="H707">
        <v>3279.76</v>
      </c>
      <c r="I707">
        <v>3563.97</v>
      </c>
      <c r="J707" t="s">
        <v>17</v>
      </c>
      <c r="K707">
        <v>0.25</v>
      </c>
      <c r="L707" t="s">
        <v>18</v>
      </c>
      <c r="M707" t="s">
        <v>22</v>
      </c>
      <c r="N707" t="s">
        <v>21</v>
      </c>
      <c r="O707" t="s">
        <v>24</v>
      </c>
      <c r="P707" t="str">
        <f>Table1[[#This Row],[Region]]&amp;"|"&amp;Table1[[#This Row],[Sales Rep]]</f>
        <v>West|David</v>
      </c>
    </row>
    <row r="708" spans="1:16" x14ac:dyDescent="0.35">
      <c r="A708">
        <v>1003</v>
      </c>
      <c r="B708" s="1">
        <v>45073</v>
      </c>
      <c r="C708" t="s">
        <v>38</v>
      </c>
      <c r="D708" t="s">
        <v>34</v>
      </c>
      <c r="E708">
        <v>5119.8900000000003</v>
      </c>
      <c r="F708">
        <v>39</v>
      </c>
      <c r="G708" t="s">
        <v>29</v>
      </c>
      <c r="H708">
        <v>310.95999999999998</v>
      </c>
      <c r="I708">
        <v>457.84</v>
      </c>
      <c r="J708" t="s">
        <v>30</v>
      </c>
      <c r="K708">
        <v>0.03</v>
      </c>
      <c r="L708" t="s">
        <v>31</v>
      </c>
      <c r="M708" t="s">
        <v>19</v>
      </c>
      <c r="N708" t="s">
        <v>34</v>
      </c>
      <c r="O708" t="s">
        <v>38</v>
      </c>
      <c r="P708" t="str">
        <f>Table1[[#This Row],[Region]]&amp;"|"&amp;Table1[[#This Row],[Sales Rep]]</f>
        <v>East|Eve</v>
      </c>
    </row>
    <row r="709" spans="1:16" x14ac:dyDescent="0.35">
      <c r="A709">
        <v>1077</v>
      </c>
      <c r="B709" s="1">
        <v>45262</v>
      </c>
      <c r="C709" t="s">
        <v>24</v>
      </c>
      <c r="D709" t="s">
        <v>34</v>
      </c>
      <c r="E709">
        <v>1960.41</v>
      </c>
      <c r="F709">
        <v>24</v>
      </c>
      <c r="G709" t="s">
        <v>35</v>
      </c>
      <c r="H709">
        <v>2258.54</v>
      </c>
      <c r="I709">
        <v>2439.4899999999998</v>
      </c>
      <c r="J709" t="s">
        <v>17</v>
      </c>
      <c r="K709">
        <v>0.2</v>
      </c>
      <c r="L709" t="s">
        <v>31</v>
      </c>
      <c r="M709" t="s">
        <v>22</v>
      </c>
      <c r="N709" t="s">
        <v>34</v>
      </c>
      <c r="O709" t="s">
        <v>24</v>
      </c>
      <c r="P709" t="str">
        <f>Table1[[#This Row],[Region]]&amp;"|"&amp;Table1[[#This Row],[Sales Rep]]</f>
        <v>East|David</v>
      </c>
    </row>
    <row r="710" spans="1:16" x14ac:dyDescent="0.35">
      <c r="A710">
        <v>1092</v>
      </c>
      <c r="B710" s="1">
        <v>45094</v>
      </c>
      <c r="C710" t="s">
        <v>24</v>
      </c>
      <c r="D710" t="s">
        <v>34</v>
      </c>
      <c r="E710">
        <v>862.02</v>
      </c>
      <c r="F710">
        <v>21</v>
      </c>
      <c r="G710" t="s">
        <v>29</v>
      </c>
      <c r="H710">
        <v>2792.2</v>
      </c>
      <c r="I710">
        <v>3254.5499999999902</v>
      </c>
      <c r="J710" t="s">
        <v>30</v>
      </c>
      <c r="K710">
        <v>0.02</v>
      </c>
      <c r="L710" t="s">
        <v>31</v>
      </c>
      <c r="M710" t="s">
        <v>22</v>
      </c>
      <c r="N710" t="s">
        <v>34</v>
      </c>
      <c r="O710" t="s">
        <v>24</v>
      </c>
      <c r="P710" t="str">
        <f>Table1[[#This Row],[Region]]&amp;"|"&amp;Table1[[#This Row],[Sales Rep]]</f>
        <v>East|David</v>
      </c>
    </row>
    <row r="711" spans="1:16" x14ac:dyDescent="0.35">
      <c r="A711">
        <v>1062</v>
      </c>
      <c r="B711" s="1">
        <v>45018</v>
      </c>
      <c r="C711" t="s">
        <v>14</v>
      </c>
      <c r="D711" t="s">
        <v>34</v>
      </c>
      <c r="E711">
        <v>6991.95</v>
      </c>
      <c r="F711">
        <v>10</v>
      </c>
      <c r="G711" t="s">
        <v>29</v>
      </c>
      <c r="H711">
        <v>1524.88</v>
      </c>
      <c r="I711">
        <v>1636.14</v>
      </c>
      <c r="J711" t="s">
        <v>30</v>
      </c>
      <c r="K711">
        <v>0.2</v>
      </c>
      <c r="L711" t="s">
        <v>27</v>
      </c>
      <c r="M711" t="s">
        <v>19</v>
      </c>
      <c r="N711" t="s">
        <v>34</v>
      </c>
      <c r="O711" t="s">
        <v>14</v>
      </c>
      <c r="P711" t="str">
        <f>Table1[[#This Row],[Region]]&amp;"|"&amp;Table1[[#This Row],[Sales Rep]]</f>
        <v>East|Bob</v>
      </c>
    </row>
    <row r="712" spans="1:16" x14ac:dyDescent="0.35">
      <c r="A712">
        <v>1063</v>
      </c>
      <c r="B712" s="1">
        <v>45279</v>
      </c>
      <c r="C712" t="s">
        <v>33</v>
      </c>
      <c r="D712" t="s">
        <v>21</v>
      </c>
      <c r="E712">
        <v>3889.71</v>
      </c>
      <c r="F712">
        <v>46</v>
      </c>
      <c r="G712" t="s">
        <v>16</v>
      </c>
      <c r="H712">
        <v>2302.62</v>
      </c>
      <c r="I712">
        <v>2740.93</v>
      </c>
      <c r="J712" t="s">
        <v>17</v>
      </c>
      <c r="K712">
        <v>0.25</v>
      </c>
      <c r="L712" t="s">
        <v>27</v>
      </c>
      <c r="M712" t="s">
        <v>19</v>
      </c>
      <c r="N712" t="s">
        <v>21</v>
      </c>
      <c r="O712" t="s">
        <v>33</v>
      </c>
      <c r="P712" t="str">
        <f>Table1[[#This Row],[Region]]&amp;"|"&amp;Table1[[#This Row],[Sales Rep]]</f>
        <v>West|Charlie</v>
      </c>
    </row>
    <row r="713" spans="1:16" x14ac:dyDescent="0.35">
      <c r="A713">
        <v>1025</v>
      </c>
      <c r="B713" s="1">
        <v>44985</v>
      </c>
      <c r="C713" t="s">
        <v>14</v>
      </c>
      <c r="D713" t="s">
        <v>34</v>
      </c>
      <c r="E713">
        <v>8236.1299999999992</v>
      </c>
      <c r="F713">
        <v>14</v>
      </c>
      <c r="G713" t="s">
        <v>35</v>
      </c>
      <c r="H713">
        <v>859.59</v>
      </c>
      <c r="I713">
        <v>884.51</v>
      </c>
      <c r="J713" t="s">
        <v>30</v>
      </c>
      <c r="K713">
        <v>0.12</v>
      </c>
      <c r="L713" t="s">
        <v>27</v>
      </c>
      <c r="M713" t="s">
        <v>19</v>
      </c>
      <c r="N713" t="s">
        <v>34</v>
      </c>
      <c r="O713" t="s">
        <v>14</v>
      </c>
      <c r="P713" t="str">
        <f>Table1[[#This Row],[Region]]&amp;"|"&amp;Table1[[#This Row],[Sales Rep]]</f>
        <v>East|Bob</v>
      </c>
    </row>
    <row r="714" spans="1:16" x14ac:dyDescent="0.35">
      <c r="A714">
        <v>1056</v>
      </c>
      <c r="B714" s="1">
        <v>44985</v>
      </c>
      <c r="C714" t="s">
        <v>38</v>
      </c>
      <c r="D714" t="s">
        <v>15</v>
      </c>
      <c r="E714">
        <v>6629.16</v>
      </c>
      <c r="F714">
        <v>37</v>
      </c>
      <c r="G714" t="s">
        <v>35</v>
      </c>
      <c r="H714">
        <v>1555.41</v>
      </c>
      <c r="I714">
        <v>1609.94</v>
      </c>
      <c r="J714" t="s">
        <v>17</v>
      </c>
      <c r="K714">
        <v>0.16</v>
      </c>
      <c r="L714" t="s">
        <v>31</v>
      </c>
      <c r="M714" t="s">
        <v>19</v>
      </c>
      <c r="N714" t="s">
        <v>15</v>
      </c>
      <c r="O714" t="s">
        <v>38</v>
      </c>
      <c r="P714" t="str">
        <f>Table1[[#This Row],[Region]]&amp;"|"&amp;Table1[[#This Row],[Sales Rep]]</f>
        <v>North|Eve</v>
      </c>
    </row>
    <row r="715" spans="1:16" x14ac:dyDescent="0.35">
      <c r="A715">
        <v>1033</v>
      </c>
      <c r="B715" s="1">
        <v>45230</v>
      </c>
      <c r="C715" t="s">
        <v>38</v>
      </c>
      <c r="D715" t="s">
        <v>34</v>
      </c>
      <c r="E715">
        <v>7982.79</v>
      </c>
      <c r="F715">
        <v>18</v>
      </c>
      <c r="G715" t="s">
        <v>16</v>
      </c>
      <c r="H715">
        <v>3124.48</v>
      </c>
      <c r="I715">
        <v>3553.27</v>
      </c>
      <c r="J715" t="s">
        <v>17</v>
      </c>
      <c r="K715">
        <v>0.12</v>
      </c>
      <c r="L715" t="s">
        <v>18</v>
      </c>
      <c r="M715" t="s">
        <v>22</v>
      </c>
      <c r="N715" t="s">
        <v>34</v>
      </c>
      <c r="O715" t="s">
        <v>38</v>
      </c>
      <c r="P715" t="str">
        <f>Table1[[#This Row],[Region]]&amp;"|"&amp;Table1[[#This Row],[Sales Rep]]</f>
        <v>East|Eve</v>
      </c>
    </row>
    <row r="716" spans="1:16" x14ac:dyDescent="0.35">
      <c r="A716">
        <v>1038</v>
      </c>
      <c r="B716" s="1">
        <v>45095</v>
      </c>
      <c r="C716" t="s">
        <v>38</v>
      </c>
      <c r="D716" t="s">
        <v>21</v>
      </c>
      <c r="E716">
        <v>2792.27</v>
      </c>
      <c r="F716">
        <v>24</v>
      </c>
      <c r="G716" t="s">
        <v>29</v>
      </c>
      <c r="H716">
        <v>1543.91</v>
      </c>
      <c r="I716">
        <v>1862.88</v>
      </c>
      <c r="J716" t="s">
        <v>30</v>
      </c>
      <c r="K716">
        <v>0.09</v>
      </c>
      <c r="L716" t="s">
        <v>27</v>
      </c>
      <c r="M716" t="s">
        <v>19</v>
      </c>
      <c r="N716" t="s">
        <v>21</v>
      </c>
      <c r="O716" t="s">
        <v>38</v>
      </c>
      <c r="P716" t="str">
        <f>Table1[[#This Row],[Region]]&amp;"|"&amp;Table1[[#This Row],[Sales Rep]]</f>
        <v>West|Eve</v>
      </c>
    </row>
    <row r="717" spans="1:16" x14ac:dyDescent="0.35">
      <c r="A717">
        <v>1006</v>
      </c>
      <c r="B717" s="1">
        <v>45195</v>
      </c>
      <c r="C717" t="s">
        <v>14</v>
      </c>
      <c r="D717" t="s">
        <v>34</v>
      </c>
      <c r="E717">
        <v>6954.35</v>
      </c>
      <c r="F717">
        <v>14</v>
      </c>
      <c r="G717" t="s">
        <v>26</v>
      </c>
      <c r="H717">
        <v>4503.7299999999996</v>
      </c>
      <c r="I717">
        <v>4879.8799999999901</v>
      </c>
      <c r="J717" t="s">
        <v>30</v>
      </c>
      <c r="K717">
        <v>0.24</v>
      </c>
      <c r="L717" t="s">
        <v>27</v>
      </c>
      <c r="M717" t="s">
        <v>22</v>
      </c>
      <c r="N717" t="s">
        <v>34</v>
      </c>
      <c r="O717" t="s">
        <v>14</v>
      </c>
      <c r="P717" t="str">
        <f>Table1[[#This Row],[Region]]&amp;"|"&amp;Table1[[#This Row],[Sales Rep]]</f>
        <v>East|Bob</v>
      </c>
    </row>
    <row r="718" spans="1:16" x14ac:dyDescent="0.35">
      <c r="A718">
        <v>1058</v>
      </c>
      <c r="B718" s="1">
        <v>45289</v>
      </c>
      <c r="C718" t="s">
        <v>24</v>
      </c>
      <c r="D718" t="s">
        <v>15</v>
      </c>
      <c r="E718">
        <v>2714.21</v>
      </c>
      <c r="F718">
        <v>34</v>
      </c>
      <c r="G718" t="s">
        <v>35</v>
      </c>
      <c r="H718">
        <v>3160.61</v>
      </c>
      <c r="I718">
        <v>3273.22</v>
      </c>
      <c r="J718" t="s">
        <v>17</v>
      </c>
      <c r="K718">
        <v>0.08</v>
      </c>
      <c r="L718" t="s">
        <v>31</v>
      </c>
      <c r="M718" t="s">
        <v>22</v>
      </c>
      <c r="N718" t="s">
        <v>15</v>
      </c>
      <c r="O718" t="s">
        <v>24</v>
      </c>
      <c r="P718" t="str">
        <f>Table1[[#This Row],[Region]]&amp;"|"&amp;Table1[[#This Row],[Sales Rep]]</f>
        <v>North|David</v>
      </c>
    </row>
    <row r="719" spans="1:16" x14ac:dyDescent="0.35">
      <c r="A719">
        <v>1044</v>
      </c>
      <c r="B719" s="1">
        <v>44971</v>
      </c>
      <c r="C719" t="s">
        <v>24</v>
      </c>
      <c r="D719" t="s">
        <v>21</v>
      </c>
      <c r="E719">
        <v>9396.7800000000007</v>
      </c>
      <c r="F719">
        <v>12</v>
      </c>
      <c r="G719" t="s">
        <v>35</v>
      </c>
      <c r="H719">
        <v>2221.31</v>
      </c>
      <c r="I719">
        <v>2494.48</v>
      </c>
      <c r="J719" t="s">
        <v>17</v>
      </c>
      <c r="K719">
        <v>0.22</v>
      </c>
      <c r="L719" t="s">
        <v>27</v>
      </c>
      <c r="M719" t="s">
        <v>19</v>
      </c>
      <c r="N719" t="s">
        <v>21</v>
      </c>
      <c r="O719" t="s">
        <v>24</v>
      </c>
      <c r="P719" t="str">
        <f>Table1[[#This Row],[Region]]&amp;"|"&amp;Table1[[#This Row],[Sales Rep]]</f>
        <v>West|David</v>
      </c>
    </row>
    <row r="720" spans="1:16" x14ac:dyDescent="0.35">
      <c r="A720">
        <v>1045</v>
      </c>
      <c r="B720" s="1">
        <v>45271</v>
      </c>
      <c r="C720" t="s">
        <v>42</v>
      </c>
      <c r="D720" t="s">
        <v>21</v>
      </c>
      <c r="E720">
        <v>6400.11</v>
      </c>
      <c r="F720">
        <v>22</v>
      </c>
      <c r="G720" t="s">
        <v>29</v>
      </c>
      <c r="H720">
        <v>241.85</v>
      </c>
      <c r="I720">
        <v>613.09</v>
      </c>
      <c r="J720" t="s">
        <v>17</v>
      </c>
      <c r="K720">
        <v>0.06</v>
      </c>
      <c r="L720" t="s">
        <v>18</v>
      </c>
      <c r="M720" t="s">
        <v>19</v>
      </c>
      <c r="N720" t="s">
        <v>21</v>
      </c>
      <c r="O720" t="s">
        <v>42</v>
      </c>
      <c r="P720" t="str">
        <f>Table1[[#This Row],[Region]]&amp;"|"&amp;Table1[[#This Row],[Sales Rep]]</f>
        <v>West|Alice</v>
      </c>
    </row>
    <row r="721" spans="1:16" x14ac:dyDescent="0.35">
      <c r="A721">
        <v>1032</v>
      </c>
      <c r="B721" s="1">
        <v>45107</v>
      </c>
      <c r="C721" t="s">
        <v>38</v>
      </c>
      <c r="D721" t="s">
        <v>15</v>
      </c>
      <c r="E721">
        <v>3312.67</v>
      </c>
      <c r="F721">
        <v>6</v>
      </c>
      <c r="G721" t="s">
        <v>29</v>
      </c>
      <c r="H721">
        <v>2522.7600000000002</v>
      </c>
      <c r="I721">
        <v>2840.14</v>
      </c>
      <c r="J721" t="s">
        <v>17</v>
      </c>
      <c r="K721">
        <v>7.0000000000000007E-2</v>
      </c>
      <c r="L721" t="s">
        <v>31</v>
      </c>
      <c r="M721" t="s">
        <v>22</v>
      </c>
      <c r="N721" t="s">
        <v>15</v>
      </c>
      <c r="O721" t="s">
        <v>38</v>
      </c>
      <c r="P721" t="str">
        <f>Table1[[#This Row],[Region]]&amp;"|"&amp;Table1[[#This Row],[Sales Rep]]</f>
        <v>North|Eve</v>
      </c>
    </row>
    <row r="722" spans="1:16" x14ac:dyDescent="0.35">
      <c r="A722">
        <v>1045</v>
      </c>
      <c r="B722" s="1">
        <v>45096</v>
      </c>
      <c r="C722" t="s">
        <v>24</v>
      </c>
      <c r="D722" t="s">
        <v>15</v>
      </c>
      <c r="E722">
        <v>2768.17</v>
      </c>
      <c r="F722">
        <v>36</v>
      </c>
      <c r="G722" t="s">
        <v>35</v>
      </c>
      <c r="H722">
        <v>3835.64</v>
      </c>
      <c r="I722">
        <v>4076.77</v>
      </c>
      <c r="J722" t="s">
        <v>17</v>
      </c>
      <c r="K722">
        <v>0.1</v>
      </c>
      <c r="L722" t="s">
        <v>31</v>
      </c>
      <c r="M722" t="s">
        <v>22</v>
      </c>
      <c r="N722" t="s">
        <v>15</v>
      </c>
      <c r="O722" t="s">
        <v>24</v>
      </c>
      <c r="P722" t="str">
        <f>Table1[[#This Row],[Region]]&amp;"|"&amp;Table1[[#This Row],[Sales Rep]]</f>
        <v>North|David</v>
      </c>
    </row>
    <row r="723" spans="1:16" x14ac:dyDescent="0.35">
      <c r="A723">
        <v>1061</v>
      </c>
      <c r="B723" s="1">
        <v>45282</v>
      </c>
      <c r="C723" t="s">
        <v>42</v>
      </c>
      <c r="D723" t="s">
        <v>15</v>
      </c>
      <c r="E723">
        <v>1990.17</v>
      </c>
      <c r="F723">
        <v>45</v>
      </c>
      <c r="G723" t="s">
        <v>29</v>
      </c>
      <c r="H723">
        <v>1364.51</v>
      </c>
      <c r="I723">
        <v>1844.8</v>
      </c>
      <c r="J723" t="s">
        <v>17</v>
      </c>
      <c r="K723">
        <v>0.18</v>
      </c>
      <c r="L723" t="s">
        <v>18</v>
      </c>
      <c r="M723" t="s">
        <v>19</v>
      </c>
      <c r="N723" t="s">
        <v>15</v>
      </c>
      <c r="O723" t="s">
        <v>42</v>
      </c>
      <c r="P723" t="str">
        <f>Table1[[#This Row],[Region]]&amp;"|"&amp;Table1[[#This Row],[Sales Rep]]</f>
        <v>North|Alice</v>
      </c>
    </row>
    <row r="724" spans="1:16" x14ac:dyDescent="0.35">
      <c r="A724">
        <v>1047</v>
      </c>
      <c r="B724" s="1">
        <v>45117</v>
      </c>
      <c r="C724" t="s">
        <v>24</v>
      </c>
      <c r="D724" t="s">
        <v>15</v>
      </c>
      <c r="E724">
        <v>6976.95</v>
      </c>
      <c r="F724">
        <v>36</v>
      </c>
      <c r="G724" t="s">
        <v>26</v>
      </c>
      <c r="H724">
        <v>4043.53</v>
      </c>
      <c r="I724">
        <v>4384.8500000000004</v>
      </c>
      <c r="J724" t="s">
        <v>30</v>
      </c>
      <c r="K724">
        <v>0.14000000000000001</v>
      </c>
      <c r="L724" t="s">
        <v>18</v>
      </c>
      <c r="M724" t="s">
        <v>19</v>
      </c>
      <c r="N724" t="s">
        <v>15</v>
      </c>
      <c r="O724" t="s">
        <v>24</v>
      </c>
      <c r="P724" t="str">
        <f>Table1[[#This Row],[Region]]&amp;"|"&amp;Table1[[#This Row],[Sales Rep]]</f>
        <v>North|David</v>
      </c>
    </row>
    <row r="725" spans="1:16" x14ac:dyDescent="0.35">
      <c r="A725">
        <v>1021</v>
      </c>
      <c r="B725" s="1">
        <v>45081</v>
      </c>
      <c r="C725" t="s">
        <v>38</v>
      </c>
      <c r="D725" t="s">
        <v>15</v>
      </c>
      <c r="E725">
        <v>2265.2800000000002</v>
      </c>
      <c r="F725">
        <v>22</v>
      </c>
      <c r="G725" t="s">
        <v>35</v>
      </c>
      <c r="H725">
        <v>1296.44</v>
      </c>
      <c r="I725">
        <v>1751.24</v>
      </c>
      <c r="J725" t="s">
        <v>30</v>
      </c>
      <c r="K725">
        <v>0.22</v>
      </c>
      <c r="L725" t="s">
        <v>18</v>
      </c>
      <c r="M725" t="s">
        <v>19</v>
      </c>
      <c r="N725" t="s">
        <v>15</v>
      </c>
      <c r="O725" t="s">
        <v>38</v>
      </c>
      <c r="P725" t="str">
        <f>Table1[[#This Row],[Region]]&amp;"|"&amp;Table1[[#This Row],[Sales Rep]]</f>
        <v>North|Eve</v>
      </c>
    </row>
    <row r="726" spans="1:16" x14ac:dyDescent="0.35">
      <c r="A726">
        <v>1080</v>
      </c>
      <c r="B726" s="1">
        <v>45114</v>
      </c>
      <c r="C726" t="s">
        <v>33</v>
      </c>
      <c r="D726" t="s">
        <v>21</v>
      </c>
      <c r="E726">
        <v>5993.5</v>
      </c>
      <c r="F726">
        <v>14</v>
      </c>
      <c r="G726" t="s">
        <v>26</v>
      </c>
      <c r="H726">
        <v>4127.54</v>
      </c>
      <c r="I726">
        <v>4495.13</v>
      </c>
      <c r="J726" t="s">
        <v>30</v>
      </c>
      <c r="K726">
        <v>0.06</v>
      </c>
      <c r="L726" t="s">
        <v>27</v>
      </c>
      <c r="M726" t="s">
        <v>22</v>
      </c>
      <c r="N726" t="s">
        <v>21</v>
      </c>
      <c r="O726" t="s">
        <v>33</v>
      </c>
      <c r="P726" t="str">
        <f>Table1[[#This Row],[Region]]&amp;"|"&amp;Table1[[#This Row],[Sales Rep]]</f>
        <v>West|Charlie</v>
      </c>
    </row>
    <row r="727" spans="1:16" x14ac:dyDescent="0.35">
      <c r="A727">
        <v>1085</v>
      </c>
      <c r="B727" s="1">
        <v>44933</v>
      </c>
      <c r="C727" t="s">
        <v>38</v>
      </c>
      <c r="D727" t="s">
        <v>21</v>
      </c>
      <c r="E727">
        <v>2719.89</v>
      </c>
      <c r="F727">
        <v>16</v>
      </c>
      <c r="G727" t="s">
        <v>26</v>
      </c>
      <c r="H727">
        <v>472.08</v>
      </c>
      <c r="I727">
        <v>842.46</v>
      </c>
      <c r="J727" t="s">
        <v>30</v>
      </c>
      <c r="K727">
        <v>0</v>
      </c>
      <c r="L727" t="s">
        <v>18</v>
      </c>
      <c r="M727" t="s">
        <v>22</v>
      </c>
      <c r="N727" t="s">
        <v>21</v>
      </c>
      <c r="O727" t="s">
        <v>38</v>
      </c>
      <c r="P727" t="str">
        <f>Table1[[#This Row],[Region]]&amp;"|"&amp;Table1[[#This Row],[Sales Rep]]</f>
        <v>West|Eve</v>
      </c>
    </row>
    <row r="728" spans="1:16" x14ac:dyDescent="0.35">
      <c r="A728">
        <v>1075</v>
      </c>
      <c r="B728" s="1">
        <v>45059</v>
      </c>
      <c r="C728" t="s">
        <v>14</v>
      </c>
      <c r="D728" t="s">
        <v>34</v>
      </c>
      <c r="E728">
        <v>6653.49</v>
      </c>
      <c r="F728">
        <v>36</v>
      </c>
      <c r="G728" t="s">
        <v>29</v>
      </c>
      <c r="H728">
        <v>4337.6099999999997</v>
      </c>
      <c r="I728">
        <v>4386.82</v>
      </c>
      <c r="J728" t="s">
        <v>17</v>
      </c>
      <c r="K728">
        <v>0.23</v>
      </c>
      <c r="L728" t="s">
        <v>31</v>
      </c>
      <c r="M728" t="s">
        <v>19</v>
      </c>
      <c r="N728" t="s">
        <v>34</v>
      </c>
      <c r="O728" t="s">
        <v>14</v>
      </c>
      <c r="P728" t="str">
        <f>Table1[[#This Row],[Region]]&amp;"|"&amp;Table1[[#This Row],[Sales Rep]]</f>
        <v>East|Bob</v>
      </c>
    </row>
    <row r="729" spans="1:16" x14ac:dyDescent="0.35">
      <c r="A729">
        <v>1036</v>
      </c>
      <c r="B729" s="1">
        <v>45161</v>
      </c>
      <c r="C729" t="s">
        <v>24</v>
      </c>
      <c r="D729" t="s">
        <v>34</v>
      </c>
      <c r="E729">
        <v>8167.9</v>
      </c>
      <c r="F729">
        <v>25</v>
      </c>
      <c r="G729" t="s">
        <v>26</v>
      </c>
      <c r="H729">
        <v>2520.9699999999998</v>
      </c>
      <c r="I729">
        <v>2707.1099999999901</v>
      </c>
      <c r="J729" t="s">
        <v>30</v>
      </c>
      <c r="K729">
        <v>0.25</v>
      </c>
      <c r="L729" t="s">
        <v>18</v>
      </c>
      <c r="M729" t="s">
        <v>22</v>
      </c>
      <c r="N729" t="s">
        <v>34</v>
      </c>
      <c r="O729" t="s">
        <v>24</v>
      </c>
      <c r="P729" t="str">
        <f>Table1[[#This Row],[Region]]&amp;"|"&amp;Table1[[#This Row],[Sales Rep]]</f>
        <v>East|David</v>
      </c>
    </row>
    <row r="730" spans="1:16" x14ac:dyDescent="0.35">
      <c r="A730">
        <v>1099</v>
      </c>
      <c r="B730" s="1">
        <v>44971</v>
      </c>
      <c r="C730" t="s">
        <v>24</v>
      </c>
      <c r="D730" t="s">
        <v>25</v>
      </c>
      <c r="E730">
        <v>7802.45</v>
      </c>
      <c r="F730">
        <v>32</v>
      </c>
      <c r="G730" t="s">
        <v>29</v>
      </c>
      <c r="H730">
        <v>1517.86</v>
      </c>
      <c r="I730">
        <v>1948.46</v>
      </c>
      <c r="J730" t="s">
        <v>30</v>
      </c>
      <c r="K730">
        <v>0.02</v>
      </c>
      <c r="L730" t="s">
        <v>31</v>
      </c>
      <c r="M730" t="s">
        <v>19</v>
      </c>
      <c r="N730" t="s">
        <v>25</v>
      </c>
      <c r="O730" t="s">
        <v>24</v>
      </c>
      <c r="P730" t="str">
        <f>Table1[[#This Row],[Region]]&amp;"|"&amp;Table1[[#This Row],[Sales Rep]]</f>
        <v>South|David</v>
      </c>
    </row>
    <row r="731" spans="1:16" x14ac:dyDescent="0.35">
      <c r="A731">
        <v>1019</v>
      </c>
      <c r="B731" s="1">
        <v>45240</v>
      </c>
      <c r="C731" t="s">
        <v>14</v>
      </c>
      <c r="D731" t="s">
        <v>34</v>
      </c>
      <c r="E731">
        <v>7632.43</v>
      </c>
      <c r="F731">
        <v>33</v>
      </c>
      <c r="G731" t="s">
        <v>16</v>
      </c>
      <c r="H731">
        <v>1362.31</v>
      </c>
      <c r="I731">
        <v>1486.29</v>
      </c>
      <c r="J731" t="s">
        <v>17</v>
      </c>
      <c r="K731">
        <v>0.18</v>
      </c>
      <c r="L731" t="s">
        <v>31</v>
      </c>
      <c r="M731" t="s">
        <v>22</v>
      </c>
      <c r="N731" t="s">
        <v>34</v>
      </c>
      <c r="O731" t="s">
        <v>14</v>
      </c>
      <c r="P731" t="str">
        <f>Table1[[#This Row],[Region]]&amp;"|"&amp;Table1[[#This Row],[Sales Rep]]</f>
        <v>East|Bob</v>
      </c>
    </row>
    <row r="732" spans="1:16" x14ac:dyDescent="0.35">
      <c r="A732">
        <v>1020</v>
      </c>
      <c r="B732" s="1">
        <v>45175</v>
      </c>
      <c r="C732" t="s">
        <v>14</v>
      </c>
      <c r="D732" t="s">
        <v>34</v>
      </c>
      <c r="E732">
        <v>1958.45</v>
      </c>
      <c r="F732">
        <v>45</v>
      </c>
      <c r="G732" t="s">
        <v>29</v>
      </c>
      <c r="H732">
        <v>2188.4499999999998</v>
      </c>
      <c r="I732">
        <v>2255.0499999999902</v>
      </c>
      <c r="J732" t="s">
        <v>30</v>
      </c>
      <c r="K732">
        <v>0.11</v>
      </c>
      <c r="L732" t="s">
        <v>27</v>
      </c>
      <c r="M732" t="s">
        <v>22</v>
      </c>
      <c r="N732" t="s">
        <v>34</v>
      </c>
      <c r="O732" t="s">
        <v>14</v>
      </c>
      <c r="P732" t="str">
        <f>Table1[[#This Row],[Region]]&amp;"|"&amp;Table1[[#This Row],[Sales Rep]]</f>
        <v>East|Bob</v>
      </c>
    </row>
    <row r="733" spans="1:16" x14ac:dyDescent="0.35">
      <c r="A733">
        <v>1057</v>
      </c>
      <c r="B733" s="1">
        <v>44957</v>
      </c>
      <c r="C733" t="s">
        <v>33</v>
      </c>
      <c r="D733" t="s">
        <v>15</v>
      </c>
      <c r="E733">
        <v>975.01</v>
      </c>
      <c r="F733">
        <v>36</v>
      </c>
      <c r="G733" t="s">
        <v>26</v>
      </c>
      <c r="H733">
        <v>4995.3</v>
      </c>
      <c r="I733">
        <v>5165.09</v>
      </c>
      <c r="J733" t="s">
        <v>17</v>
      </c>
      <c r="K733">
        <v>0.24</v>
      </c>
      <c r="L733" t="s">
        <v>18</v>
      </c>
      <c r="M733" t="s">
        <v>19</v>
      </c>
      <c r="N733" t="s">
        <v>15</v>
      </c>
      <c r="O733" t="s">
        <v>33</v>
      </c>
      <c r="P733" t="str">
        <f>Table1[[#This Row],[Region]]&amp;"|"&amp;Table1[[#This Row],[Sales Rep]]</f>
        <v>North|Charlie</v>
      </c>
    </row>
    <row r="734" spans="1:16" x14ac:dyDescent="0.35">
      <c r="A734">
        <v>1018</v>
      </c>
      <c r="B734" s="1">
        <v>44949</v>
      </c>
      <c r="C734" t="s">
        <v>24</v>
      </c>
      <c r="D734" t="s">
        <v>15</v>
      </c>
      <c r="E734">
        <v>7019.59</v>
      </c>
      <c r="F734">
        <v>20</v>
      </c>
      <c r="G734" t="s">
        <v>16</v>
      </c>
      <c r="H734">
        <v>1140.6199999999999</v>
      </c>
      <c r="I734">
        <v>1258.6299999999901</v>
      </c>
      <c r="J734" t="s">
        <v>17</v>
      </c>
      <c r="K734">
        <v>0.26</v>
      </c>
      <c r="L734" t="s">
        <v>27</v>
      </c>
      <c r="M734" t="s">
        <v>19</v>
      </c>
      <c r="N734" t="s">
        <v>15</v>
      </c>
      <c r="O734" t="s">
        <v>24</v>
      </c>
      <c r="P734" t="str">
        <f>Table1[[#This Row],[Region]]&amp;"|"&amp;Table1[[#This Row],[Sales Rep]]</f>
        <v>North|David</v>
      </c>
    </row>
    <row r="735" spans="1:16" x14ac:dyDescent="0.35">
      <c r="A735">
        <v>1047</v>
      </c>
      <c r="B735" s="1">
        <v>45086</v>
      </c>
      <c r="C735" t="s">
        <v>24</v>
      </c>
      <c r="D735" t="s">
        <v>34</v>
      </c>
      <c r="E735">
        <v>3746.64</v>
      </c>
      <c r="F735">
        <v>18</v>
      </c>
      <c r="G735" t="s">
        <v>29</v>
      </c>
      <c r="H735">
        <v>560.91999999999996</v>
      </c>
      <c r="I735">
        <v>1024.31</v>
      </c>
      <c r="J735" t="s">
        <v>17</v>
      </c>
      <c r="K735">
        <v>0.26</v>
      </c>
      <c r="L735" t="s">
        <v>18</v>
      </c>
      <c r="M735" t="s">
        <v>19</v>
      </c>
      <c r="N735" t="s">
        <v>34</v>
      </c>
      <c r="O735" t="s">
        <v>24</v>
      </c>
      <c r="P735" t="str">
        <f>Table1[[#This Row],[Region]]&amp;"|"&amp;Table1[[#This Row],[Sales Rep]]</f>
        <v>East|David</v>
      </c>
    </row>
    <row r="736" spans="1:16" x14ac:dyDescent="0.35">
      <c r="A736">
        <v>1049</v>
      </c>
      <c r="B736" s="1">
        <v>45289</v>
      </c>
      <c r="C736" t="s">
        <v>33</v>
      </c>
      <c r="D736" t="s">
        <v>25</v>
      </c>
      <c r="E736">
        <v>4380.2299999999996</v>
      </c>
      <c r="F736">
        <v>38</v>
      </c>
      <c r="G736" t="s">
        <v>26</v>
      </c>
      <c r="H736">
        <v>2945.92</v>
      </c>
      <c r="I736">
        <v>3381.22</v>
      </c>
      <c r="J736" t="s">
        <v>17</v>
      </c>
      <c r="K736">
        <v>0.23</v>
      </c>
      <c r="L736" t="s">
        <v>18</v>
      </c>
      <c r="M736" t="s">
        <v>22</v>
      </c>
      <c r="N736" t="s">
        <v>25</v>
      </c>
      <c r="O736" t="s">
        <v>33</v>
      </c>
      <c r="P736" t="str">
        <f>Table1[[#This Row],[Region]]&amp;"|"&amp;Table1[[#This Row],[Sales Rep]]</f>
        <v>South|Charlie</v>
      </c>
    </row>
    <row r="737" spans="1:16" x14ac:dyDescent="0.35">
      <c r="A737">
        <v>1014</v>
      </c>
      <c r="B737" s="1">
        <v>45084</v>
      </c>
      <c r="C737" t="s">
        <v>42</v>
      </c>
      <c r="D737" t="s">
        <v>15</v>
      </c>
      <c r="E737">
        <v>408.38</v>
      </c>
      <c r="F737">
        <v>3</v>
      </c>
      <c r="G737" t="s">
        <v>35</v>
      </c>
      <c r="H737">
        <v>2468.29</v>
      </c>
      <c r="I737">
        <v>2723.13</v>
      </c>
      <c r="J737" t="s">
        <v>17</v>
      </c>
      <c r="K737">
        <v>0.08</v>
      </c>
      <c r="L737" t="s">
        <v>18</v>
      </c>
      <c r="M737" t="s">
        <v>22</v>
      </c>
      <c r="N737" t="s">
        <v>15</v>
      </c>
      <c r="O737" t="s">
        <v>42</v>
      </c>
      <c r="P737" t="str">
        <f>Table1[[#This Row],[Region]]&amp;"|"&amp;Table1[[#This Row],[Sales Rep]]</f>
        <v>North|Alice</v>
      </c>
    </row>
    <row r="738" spans="1:16" x14ac:dyDescent="0.35">
      <c r="A738">
        <v>1015</v>
      </c>
      <c r="B738" s="1">
        <v>44965</v>
      </c>
      <c r="C738" t="s">
        <v>33</v>
      </c>
      <c r="D738" t="s">
        <v>34</v>
      </c>
      <c r="E738">
        <v>2669.81</v>
      </c>
      <c r="F738">
        <v>23</v>
      </c>
      <c r="G738" t="s">
        <v>35</v>
      </c>
      <c r="H738">
        <v>2644.77</v>
      </c>
      <c r="I738">
        <v>2684.83</v>
      </c>
      <c r="J738" t="s">
        <v>30</v>
      </c>
      <c r="K738">
        <v>0.24</v>
      </c>
      <c r="L738" t="s">
        <v>18</v>
      </c>
      <c r="M738" t="s">
        <v>19</v>
      </c>
      <c r="N738" t="s">
        <v>34</v>
      </c>
      <c r="O738" t="s">
        <v>33</v>
      </c>
      <c r="P738" t="str">
        <f>Table1[[#This Row],[Region]]&amp;"|"&amp;Table1[[#This Row],[Sales Rep]]</f>
        <v>East|Charlie</v>
      </c>
    </row>
    <row r="739" spans="1:16" x14ac:dyDescent="0.35">
      <c r="A739">
        <v>1031</v>
      </c>
      <c r="B739" s="1">
        <v>45008</v>
      </c>
      <c r="C739" t="s">
        <v>38</v>
      </c>
      <c r="D739" t="s">
        <v>34</v>
      </c>
      <c r="E739">
        <v>433.4</v>
      </c>
      <c r="F739">
        <v>32</v>
      </c>
      <c r="G739" t="s">
        <v>29</v>
      </c>
      <c r="H739">
        <v>3351.33</v>
      </c>
      <c r="I739">
        <v>3711.47</v>
      </c>
      <c r="J739" t="s">
        <v>30</v>
      </c>
      <c r="K739">
        <v>0.16</v>
      </c>
      <c r="L739" t="s">
        <v>18</v>
      </c>
      <c r="M739" t="s">
        <v>22</v>
      </c>
      <c r="N739" t="s">
        <v>34</v>
      </c>
      <c r="O739" t="s">
        <v>38</v>
      </c>
      <c r="P739" t="str">
        <f>Table1[[#This Row],[Region]]&amp;"|"&amp;Table1[[#This Row],[Sales Rep]]</f>
        <v>East|Eve</v>
      </c>
    </row>
    <row r="740" spans="1:16" x14ac:dyDescent="0.35">
      <c r="A740">
        <v>1001</v>
      </c>
      <c r="B740" s="1">
        <v>45282</v>
      </c>
      <c r="C740" t="s">
        <v>24</v>
      </c>
      <c r="D740" t="s">
        <v>21</v>
      </c>
      <c r="E740">
        <v>8803.94</v>
      </c>
      <c r="F740">
        <v>45</v>
      </c>
      <c r="G740" t="s">
        <v>29</v>
      </c>
      <c r="H740">
        <v>1372.36</v>
      </c>
      <c r="I740">
        <v>1687.83</v>
      </c>
      <c r="J740" t="s">
        <v>30</v>
      </c>
      <c r="K740">
        <v>0.02</v>
      </c>
      <c r="L740" t="s">
        <v>31</v>
      </c>
      <c r="M740" t="s">
        <v>19</v>
      </c>
      <c r="N740" t="s">
        <v>21</v>
      </c>
      <c r="O740" t="s">
        <v>24</v>
      </c>
      <c r="P740" t="str">
        <f>Table1[[#This Row],[Region]]&amp;"|"&amp;Table1[[#This Row],[Sales Rep]]</f>
        <v>West|David</v>
      </c>
    </row>
    <row r="741" spans="1:16" x14ac:dyDescent="0.35">
      <c r="A741">
        <v>1054</v>
      </c>
      <c r="B741" s="1">
        <v>45184</v>
      </c>
      <c r="C741" t="s">
        <v>14</v>
      </c>
      <c r="D741" t="s">
        <v>25</v>
      </c>
      <c r="E741">
        <v>2509.63</v>
      </c>
      <c r="F741">
        <v>16</v>
      </c>
      <c r="G741" t="s">
        <v>35</v>
      </c>
      <c r="H741">
        <v>4557.79</v>
      </c>
      <c r="I741">
        <v>5043.3599999999997</v>
      </c>
      <c r="J741" t="s">
        <v>17</v>
      </c>
      <c r="K741">
        <v>0.14000000000000001</v>
      </c>
      <c r="L741" t="s">
        <v>31</v>
      </c>
      <c r="M741" t="s">
        <v>22</v>
      </c>
      <c r="N741" t="s">
        <v>25</v>
      </c>
      <c r="O741" t="s">
        <v>14</v>
      </c>
      <c r="P741" t="str">
        <f>Table1[[#This Row],[Region]]&amp;"|"&amp;Table1[[#This Row],[Sales Rep]]</f>
        <v>South|Bob</v>
      </c>
    </row>
    <row r="742" spans="1:16" x14ac:dyDescent="0.35">
      <c r="A742">
        <v>1003</v>
      </c>
      <c r="B742" s="1">
        <v>45132</v>
      </c>
      <c r="C742" t="s">
        <v>38</v>
      </c>
      <c r="D742" t="s">
        <v>21</v>
      </c>
      <c r="E742">
        <v>5617.64</v>
      </c>
      <c r="F742">
        <v>5</v>
      </c>
      <c r="G742" t="s">
        <v>26</v>
      </c>
      <c r="H742">
        <v>2206.58</v>
      </c>
      <c r="I742">
        <v>2490.4699999999998</v>
      </c>
      <c r="J742" t="s">
        <v>30</v>
      </c>
      <c r="K742">
        <v>0.28000000000000003</v>
      </c>
      <c r="L742" t="s">
        <v>18</v>
      </c>
      <c r="M742" t="s">
        <v>19</v>
      </c>
      <c r="N742" t="s">
        <v>21</v>
      </c>
      <c r="O742" t="s">
        <v>38</v>
      </c>
      <c r="P742" t="str">
        <f>Table1[[#This Row],[Region]]&amp;"|"&amp;Table1[[#This Row],[Sales Rep]]</f>
        <v>West|Eve</v>
      </c>
    </row>
    <row r="743" spans="1:16" x14ac:dyDescent="0.35">
      <c r="A743">
        <v>1016</v>
      </c>
      <c r="B743" s="1">
        <v>45003</v>
      </c>
      <c r="C743" t="s">
        <v>24</v>
      </c>
      <c r="D743" t="s">
        <v>25</v>
      </c>
      <c r="E743">
        <v>485.9</v>
      </c>
      <c r="F743">
        <v>4</v>
      </c>
      <c r="G743" t="s">
        <v>26</v>
      </c>
      <c r="H743">
        <v>688.98</v>
      </c>
      <c r="I743">
        <v>863.81</v>
      </c>
      <c r="J743" t="s">
        <v>30</v>
      </c>
      <c r="K743">
        <v>0.27</v>
      </c>
      <c r="L743" t="s">
        <v>31</v>
      </c>
      <c r="M743" t="s">
        <v>22</v>
      </c>
      <c r="N743" t="s">
        <v>25</v>
      </c>
      <c r="O743" t="s">
        <v>24</v>
      </c>
      <c r="P743" t="str">
        <f>Table1[[#This Row],[Region]]&amp;"|"&amp;Table1[[#This Row],[Sales Rep]]</f>
        <v>South|David</v>
      </c>
    </row>
    <row r="744" spans="1:16" x14ac:dyDescent="0.35">
      <c r="A744">
        <v>1087</v>
      </c>
      <c r="B744" s="1">
        <v>44938</v>
      </c>
      <c r="C744" t="s">
        <v>33</v>
      </c>
      <c r="D744" t="s">
        <v>15</v>
      </c>
      <c r="E744">
        <v>6701.79</v>
      </c>
      <c r="F744">
        <v>21</v>
      </c>
      <c r="G744" t="s">
        <v>26</v>
      </c>
      <c r="H744">
        <v>3724.38</v>
      </c>
      <c r="I744">
        <v>3988.7</v>
      </c>
      <c r="J744" t="s">
        <v>30</v>
      </c>
      <c r="K744">
        <v>0.03</v>
      </c>
      <c r="L744" t="s">
        <v>27</v>
      </c>
      <c r="M744" t="s">
        <v>22</v>
      </c>
      <c r="N744" t="s">
        <v>15</v>
      </c>
      <c r="O744" t="s">
        <v>33</v>
      </c>
      <c r="P744" t="str">
        <f>Table1[[#This Row],[Region]]&amp;"|"&amp;Table1[[#This Row],[Sales Rep]]</f>
        <v>North|Charlie</v>
      </c>
    </row>
    <row r="745" spans="1:16" x14ac:dyDescent="0.35">
      <c r="A745">
        <v>1057</v>
      </c>
      <c r="B745" s="1">
        <v>45221</v>
      </c>
      <c r="C745" t="s">
        <v>38</v>
      </c>
      <c r="D745" t="s">
        <v>25</v>
      </c>
      <c r="E745">
        <v>3297.97</v>
      </c>
      <c r="F745">
        <v>40</v>
      </c>
      <c r="G745" t="s">
        <v>29</v>
      </c>
      <c r="H745">
        <v>3233.37</v>
      </c>
      <c r="I745">
        <v>3723.21</v>
      </c>
      <c r="J745" t="s">
        <v>30</v>
      </c>
      <c r="K745">
        <v>0.22</v>
      </c>
      <c r="L745" t="s">
        <v>27</v>
      </c>
      <c r="M745" t="s">
        <v>22</v>
      </c>
      <c r="N745" t="s">
        <v>25</v>
      </c>
      <c r="O745" t="s">
        <v>38</v>
      </c>
      <c r="P745" t="str">
        <f>Table1[[#This Row],[Region]]&amp;"|"&amp;Table1[[#This Row],[Sales Rep]]</f>
        <v>South|Eve</v>
      </c>
    </row>
    <row r="746" spans="1:16" x14ac:dyDescent="0.35">
      <c r="A746">
        <v>1075</v>
      </c>
      <c r="B746" s="1">
        <v>45150</v>
      </c>
      <c r="C746" t="s">
        <v>24</v>
      </c>
      <c r="D746" t="s">
        <v>34</v>
      </c>
      <c r="E746">
        <v>8989.4</v>
      </c>
      <c r="F746">
        <v>14</v>
      </c>
      <c r="G746" t="s">
        <v>16</v>
      </c>
      <c r="H746">
        <v>1612.93</v>
      </c>
      <c r="I746">
        <v>1964.15</v>
      </c>
      <c r="J746" t="s">
        <v>17</v>
      </c>
      <c r="K746">
        <v>0.24</v>
      </c>
      <c r="L746" t="s">
        <v>27</v>
      </c>
      <c r="M746" t="s">
        <v>22</v>
      </c>
      <c r="N746" t="s">
        <v>34</v>
      </c>
      <c r="O746" t="s">
        <v>24</v>
      </c>
      <c r="P746" t="str">
        <f>Table1[[#This Row],[Region]]&amp;"|"&amp;Table1[[#This Row],[Sales Rep]]</f>
        <v>East|David</v>
      </c>
    </row>
    <row r="747" spans="1:16" x14ac:dyDescent="0.35">
      <c r="A747">
        <v>1012</v>
      </c>
      <c r="B747" s="1">
        <v>44939</v>
      </c>
      <c r="C747" t="s">
        <v>42</v>
      </c>
      <c r="D747" t="s">
        <v>34</v>
      </c>
      <c r="E747">
        <v>8892.3700000000008</v>
      </c>
      <c r="F747">
        <v>39</v>
      </c>
      <c r="G747" t="s">
        <v>16</v>
      </c>
      <c r="H747">
        <v>3126.52</v>
      </c>
      <c r="I747">
        <v>3465.79</v>
      </c>
      <c r="J747" t="s">
        <v>30</v>
      </c>
      <c r="K747">
        <v>0.08</v>
      </c>
      <c r="L747" t="s">
        <v>18</v>
      </c>
      <c r="M747" t="s">
        <v>19</v>
      </c>
      <c r="N747" t="s">
        <v>34</v>
      </c>
      <c r="O747" t="s">
        <v>42</v>
      </c>
      <c r="P747" t="str">
        <f>Table1[[#This Row],[Region]]&amp;"|"&amp;Table1[[#This Row],[Sales Rep]]</f>
        <v>East|Alice</v>
      </c>
    </row>
    <row r="748" spans="1:16" x14ac:dyDescent="0.35">
      <c r="A748">
        <v>1074</v>
      </c>
      <c r="B748" s="1">
        <v>44972</v>
      </c>
      <c r="C748" t="s">
        <v>42</v>
      </c>
      <c r="D748" t="s">
        <v>25</v>
      </c>
      <c r="E748">
        <v>3320.38</v>
      </c>
      <c r="F748">
        <v>31</v>
      </c>
      <c r="G748" t="s">
        <v>16</v>
      </c>
      <c r="H748">
        <v>1138.32</v>
      </c>
      <c r="I748">
        <v>1266.25</v>
      </c>
      <c r="J748" t="s">
        <v>17</v>
      </c>
      <c r="K748">
        <v>0.14000000000000001</v>
      </c>
      <c r="L748" t="s">
        <v>18</v>
      </c>
      <c r="M748" t="s">
        <v>22</v>
      </c>
      <c r="N748" t="s">
        <v>25</v>
      </c>
      <c r="O748" t="s">
        <v>42</v>
      </c>
      <c r="P748" t="str">
        <f>Table1[[#This Row],[Region]]&amp;"|"&amp;Table1[[#This Row],[Sales Rep]]</f>
        <v>South|Alice</v>
      </c>
    </row>
    <row r="749" spans="1:16" x14ac:dyDescent="0.35">
      <c r="A749">
        <v>1096</v>
      </c>
      <c r="B749" s="1">
        <v>45081</v>
      </c>
      <c r="C749" t="s">
        <v>14</v>
      </c>
      <c r="D749" t="s">
        <v>25</v>
      </c>
      <c r="E749">
        <v>9019.51</v>
      </c>
      <c r="F749">
        <v>14</v>
      </c>
      <c r="G749" t="s">
        <v>16</v>
      </c>
      <c r="H749">
        <v>2251.9499999999998</v>
      </c>
      <c r="I749">
        <v>2626.3199999999902</v>
      </c>
      <c r="J749" t="s">
        <v>17</v>
      </c>
      <c r="K749">
        <v>0.21</v>
      </c>
      <c r="L749" t="s">
        <v>31</v>
      </c>
      <c r="M749" t="s">
        <v>19</v>
      </c>
      <c r="N749" t="s">
        <v>25</v>
      </c>
      <c r="O749" t="s">
        <v>14</v>
      </c>
      <c r="P749" t="str">
        <f>Table1[[#This Row],[Region]]&amp;"|"&amp;Table1[[#This Row],[Sales Rep]]</f>
        <v>South|Bob</v>
      </c>
    </row>
    <row r="750" spans="1:16" x14ac:dyDescent="0.35">
      <c r="A750">
        <v>1016</v>
      </c>
      <c r="B750" s="1">
        <v>45039</v>
      </c>
      <c r="C750" t="s">
        <v>24</v>
      </c>
      <c r="D750" t="s">
        <v>25</v>
      </c>
      <c r="E750">
        <v>9961.9599999999991</v>
      </c>
      <c r="F750">
        <v>6</v>
      </c>
      <c r="G750" t="s">
        <v>16</v>
      </c>
      <c r="H750">
        <v>4502.09</v>
      </c>
      <c r="I750">
        <v>4879.72</v>
      </c>
      <c r="J750" t="s">
        <v>30</v>
      </c>
      <c r="K750">
        <v>0.13</v>
      </c>
      <c r="L750" t="s">
        <v>31</v>
      </c>
      <c r="M750" t="s">
        <v>19</v>
      </c>
      <c r="N750" t="s">
        <v>25</v>
      </c>
      <c r="O750" t="s">
        <v>24</v>
      </c>
      <c r="P750" t="str">
        <f>Table1[[#This Row],[Region]]&amp;"|"&amp;Table1[[#This Row],[Sales Rep]]</f>
        <v>South|David</v>
      </c>
    </row>
    <row r="751" spans="1:16" x14ac:dyDescent="0.35">
      <c r="A751">
        <v>1072</v>
      </c>
      <c r="B751" s="1">
        <v>45159</v>
      </c>
      <c r="C751" t="s">
        <v>42</v>
      </c>
      <c r="D751" t="s">
        <v>21</v>
      </c>
      <c r="E751">
        <v>8271.6200000000008</v>
      </c>
      <c r="F751">
        <v>12</v>
      </c>
      <c r="G751" t="s">
        <v>29</v>
      </c>
      <c r="H751">
        <v>710.99</v>
      </c>
      <c r="I751">
        <v>876.46</v>
      </c>
      <c r="J751" t="s">
        <v>17</v>
      </c>
      <c r="K751">
        <v>0.03</v>
      </c>
      <c r="L751" t="s">
        <v>31</v>
      </c>
      <c r="M751" t="s">
        <v>19</v>
      </c>
      <c r="N751" t="s">
        <v>21</v>
      </c>
      <c r="O751" t="s">
        <v>42</v>
      </c>
      <c r="P751" t="str">
        <f>Table1[[#This Row],[Region]]&amp;"|"&amp;Table1[[#This Row],[Sales Rep]]</f>
        <v>West|Alice</v>
      </c>
    </row>
    <row r="752" spans="1:16" x14ac:dyDescent="0.35">
      <c r="A752">
        <v>1076</v>
      </c>
      <c r="B752" s="1">
        <v>44943</v>
      </c>
      <c r="C752" t="s">
        <v>33</v>
      </c>
      <c r="D752" t="s">
        <v>25</v>
      </c>
      <c r="E752">
        <v>8464.23</v>
      </c>
      <c r="F752">
        <v>16</v>
      </c>
      <c r="G752" t="s">
        <v>29</v>
      </c>
      <c r="H752">
        <v>1964.15</v>
      </c>
      <c r="I752">
        <v>2211.17</v>
      </c>
      <c r="J752" t="s">
        <v>17</v>
      </c>
      <c r="K752">
        <v>0.21</v>
      </c>
      <c r="L752" t="s">
        <v>27</v>
      </c>
      <c r="M752" t="s">
        <v>19</v>
      </c>
      <c r="N752" t="s">
        <v>25</v>
      </c>
      <c r="O752" t="s">
        <v>33</v>
      </c>
      <c r="P752" t="str">
        <f>Table1[[#This Row],[Region]]&amp;"|"&amp;Table1[[#This Row],[Sales Rep]]</f>
        <v>South|Charlie</v>
      </c>
    </row>
    <row r="753" spans="1:16" x14ac:dyDescent="0.35">
      <c r="A753">
        <v>1024</v>
      </c>
      <c r="B753" s="1">
        <v>45286</v>
      </c>
      <c r="C753" t="s">
        <v>24</v>
      </c>
      <c r="D753" t="s">
        <v>15</v>
      </c>
      <c r="E753">
        <v>2565.19</v>
      </c>
      <c r="F753">
        <v>17</v>
      </c>
      <c r="G753" t="s">
        <v>16</v>
      </c>
      <c r="H753">
        <v>4114.66</v>
      </c>
      <c r="I753">
        <v>4269.0199999999904</v>
      </c>
      <c r="J753" t="s">
        <v>17</v>
      </c>
      <c r="K753">
        <v>0.27</v>
      </c>
      <c r="L753" t="s">
        <v>27</v>
      </c>
      <c r="M753" t="s">
        <v>22</v>
      </c>
      <c r="N753" t="s">
        <v>15</v>
      </c>
      <c r="O753" t="s">
        <v>24</v>
      </c>
      <c r="P753" t="str">
        <f>Table1[[#This Row],[Region]]&amp;"|"&amp;Table1[[#This Row],[Sales Rep]]</f>
        <v>North|David</v>
      </c>
    </row>
    <row r="754" spans="1:16" x14ac:dyDescent="0.35">
      <c r="A754">
        <v>1028</v>
      </c>
      <c r="B754" s="1">
        <v>45149</v>
      </c>
      <c r="C754" t="s">
        <v>33</v>
      </c>
      <c r="D754" t="s">
        <v>21</v>
      </c>
      <c r="E754">
        <v>5809.35</v>
      </c>
      <c r="F754">
        <v>45</v>
      </c>
      <c r="G754" t="s">
        <v>29</v>
      </c>
      <c r="H754">
        <v>4848.9799999999996</v>
      </c>
      <c r="I754">
        <v>4985.75</v>
      </c>
      <c r="J754" t="s">
        <v>17</v>
      </c>
      <c r="K754">
        <v>0.2</v>
      </c>
      <c r="L754" t="s">
        <v>27</v>
      </c>
      <c r="M754" t="s">
        <v>19</v>
      </c>
      <c r="N754" t="s">
        <v>21</v>
      </c>
      <c r="O754" t="s">
        <v>33</v>
      </c>
      <c r="P754" t="str">
        <f>Table1[[#This Row],[Region]]&amp;"|"&amp;Table1[[#This Row],[Sales Rep]]</f>
        <v>West|Charlie</v>
      </c>
    </row>
    <row r="755" spans="1:16" x14ac:dyDescent="0.35">
      <c r="A755">
        <v>1008</v>
      </c>
      <c r="B755" s="1">
        <v>45280</v>
      </c>
      <c r="C755" t="s">
        <v>33</v>
      </c>
      <c r="D755" t="s">
        <v>21</v>
      </c>
      <c r="E755">
        <v>765.83</v>
      </c>
      <c r="F755">
        <v>23</v>
      </c>
      <c r="G755" t="s">
        <v>29</v>
      </c>
      <c r="H755">
        <v>2296.9299999999998</v>
      </c>
      <c r="I755">
        <v>2319.62</v>
      </c>
      <c r="J755" t="s">
        <v>17</v>
      </c>
      <c r="K755">
        <v>0.23</v>
      </c>
      <c r="L755" t="s">
        <v>27</v>
      </c>
      <c r="M755" t="s">
        <v>22</v>
      </c>
      <c r="N755" t="s">
        <v>21</v>
      </c>
      <c r="O755" t="s">
        <v>33</v>
      </c>
      <c r="P755" t="str">
        <f>Table1[[#This Row],[Region]]&amp;"|"&amp;Table1[[#This Row],[Sales Rep]]</f>
        <v>West|Charlie</v>
      </c>
    </row>
    <row r="756" spans="1:16" x14ac:dyDescent="0.35">
      <c r="A756">
        <v>1092</v>
      </c>
      <c r="B756" s="1">
        <v>45114</v>
      </c>
      <c r="C756" t="s">
        <v>42</v>
      </c>
      <c r="D756" t="s">
        <v>25</v>
      </c>
      <c r="E756">
        <v>1039.69</v>
      </c>
      <c r="F756">
        <v>14</v>
      </c>
      <c r="G756" t="s">
        <v>16</v>
      </c>
      <c r="H756">
        <v>2559.65</v>
      </c>
      <c r="I756">
        <v>2709.4</v>
      </c>
      <c r="J756" t="s">
        <v>17</v>
      </c>
      <c r="K756">
        <v>0.11</v>
      </c>
      <c r="L756" t="s">
        <v>31</v>
      </c>
      <c r="M756" t="s">
        <v>22</v>
      </c>
      <c r="N756" t="s">
        <v>25</v>
      </c>
      <c r="O756" t="s">
        <v>42</v>
      </c>
      <c r="P756" t="str">
        <f>Table1[[#This Row],[Region]]&amp;"|"&amp;Table1[[#This Row],[Sales Rep]]</f>
        <v>South|Alice</v>
      </c>
    </row>
    <row r="757" spans="1:16" x14ac:dyDescent="0.35">
      <c r="A757">
        <v>1036</v>
      </c>
      <c r="B757" s="1">
        <v>45270</v>
      </c>
      <c r="C757" t="s">
        <v>24</v>
      </c>
      <c r="D757" t="s">
        <v>15</v>
      </c>
      <c r="E757">
        <v>9989.0400000000009</v>
      </c>
      <c r="F757">
        <v>7</v>
      </c>
      <c r="G757" t="s">
        <v>26</v>
      </c>
      <c r="H757">
        <v>2882.25</v>
      </c>
      <c r="I757">
        <v>3163.7</v>
      </c>
      <c r="J757" t="s">
        <v>17</v>
      </c>
      <c r="K757">
        <v>0.05</v>
      </c>
      <c r="L757" t="s">
        <v>18</v>
      </c>
      <c r="M757" t="s">
        <v>22</v>
      </c>
      <c r="N757" t="s">
        <v>15</v>
      </c>
      <c r="O757" t="s">
        <v>24</v>
      </c>
      <c r="P757" t="str">
        <f>Table1[[#This Row],[Region]]&amp;"|"&amp;Table1[[#This Row],[Sales Rep]]</f>
        <v>North|David</v>
      </c>
    </row>
    <row r="758" spans="1:16" x14ac:dyDescent="0.35">
      <c r="A758">
        <v>1090</v>
      </c>
      <c r="B758" s="1">
        <v>45291</v>
      </c>
      <c r="C758" t="s">
        <v>38</v>
      </c>
      <c r="D758" t="s">
        <v>21</v>
      </c>
      <c r="E758">
        <v>3333.73</v>
      </c>
      <c r="F758">
        <v>46</v>
      </c>
      <c r="G758" t="s">
        <v>29</v>
      </c>
      <c r="H758">
        <v>4665.12</v>
      </c>
      <c r="I758">
        <v>4675.8999999999996</v>
      </c>
      <c r="J758" t="s">
        <v>30</v>
      </c>
      <c r="K758">
        <v>0.19</v>
      </c>
      <c r="L758" t="s">
        <v>18</v>
      </c>
      <c r="M758" t="s">
        <v>22</v>
      </c>
      <c r="N758" t="s">
        <v>21</v>
      </c>
      <c r="O758" t="s">
        <v>38</v>
      </c>
      <c r="P758" t="str">
        <f>Table1[[#This Row],[Region]]&amp;"|"&amp;Table1[[#This Row],[Sales Rep]]</f>
        <v>West|Eve</v>
      </c>
    </row>
    <row r="759" spans="1:16" x14ac:dyDescent="0.35">
      <c r="A759">
        <v>1008</v>
      </c>
      <c r="B759" s="1">
        <v>45089</v>
      </c>
      <c r="C759" t="s">
        <v>42</v>
      </c>
      <c r="D759" t="s">
        <v>34</v>
      </c>
      <c r="E759">
        <v>7507.02</v>
      </c>
      <c r="F759">
        <v>32</v>
      </c>
      <c r="G759" t="s">
        <v>26</v>
      </c>
      <c r="H759">
        <v>4298.12</v>
      </c>
      <c r="I759">
        <v>4446.8999999999996</v>
      </c>
      <c r="J759" t="s">
        <v>30</v>
      </c>
      <c r="K759">
        <v>0.1</v>
      </c>
      <c r="L759" t="s">
        <v>27</v>
      </c>
      <c r="M759" t="s">
        <v>19</v>
      </c>
      <c r="N759" t="s">
        <v>34</v>
      </c>
      <c r="O759" t="s">
        <v>42</v>
      </c>
      <c r="P759" t="str">
        <f>Table1[[#This Row],[Region]]&amp;"|"&amp;Table1[[#This Row],[Sales Rep]]</f>
        <v>East|Alice</v>
      </c>
    </row>
    <row r="760" spans="1:16" x14ac:dyDescent="0.35">
      <c r="A760">
        <v>1058</v>
      </c>
      <c r="B760" s="1">
        <v>45252</v>
      </c>
      <c r="C760" t="s">
        <v>42</v>
      </c>
      <c r="D760" t="s">
        <v>21</v>
      </c>
      <c r="E760">
        <v>8085.98</v>
      </c>
      <c r="F760">
        <v>15</v>
      </c>
      <c r="G760" t="s">
        <v>29</v>
      </c>
      <c r="H760">
        <v>894.48</v>
      </c>
      <c r="I760">
        <v>1336.37</v>
      </c>
      <c r="J760" t="s">
        <v>17</v>
      </c>
      <c r="K760">
        <v>0.26</v>
      </c>
      <c r="L760" t="s">
        <v>18</v>
      </c>
      <c r="M760" t="s">
        <v>22</v>
      </c>
      <c r="N760" t="s">
        <v>21</v>
      </c>
      <c r="O760" t="s">
        <v>42</v>
      </c>
      <c r="P760" t="str">
        <f>Table1[[#This Row],[Region]]&amp;"|"&amp;Table1[[#This Row],[Sales Rep]]</f>
        <v>West|Alice</v>
      </c>
    </row>
    <row r="761" spans="1:16" x14ac:dyDescent="0.35">
      <c r="A761">
        <v>1060</v>
      </c>
      <c r="B761" s="1">
        <v>45000</v>
      </c>
      <c r="C761" t="s">
        <v>24</v>
      </c>
      <c r="D761" t="s">
        <v>25</v>
      </c>
      <c r="E761">
        <v>8594.43</v>
      </c>
      <c r="F761">
        <v>44</v>
      </c>
      <c r="G761" t="s">
        <v>29</v>
      </c>
      <c r="H761">
        <v>2211.9499999999998</v>
      </c>
      <c r="I761">
        <v>2512.8399999999901</v>
      </c>
      <c r="J761" t="s">
        <v>17</v>
      </c>
      <c r="K761">
        <v>0.04</v>
      </c>
      <c r="L761" t="s">
        <v>18</v>
      </c>
      <c r="M761" t="s">
        <v>19</v>
      </c>
      <c r="N761" t="s">
        <v>25</v>
      </c>
      <c r="O761" t="s">
        <v>24</v>
      </c>
      <c r="P761" t="str">
        <f>Table1[[#This Row],[Region]]&amp;"|"&amp;Table1[[#This Row],[Sales Rep]]</f>
        <v>South|David</v>
      </c>
    </row>
    <row r="762" spans="1:16" x14ac:dyDescent="0.35">
      <c r="A762">
        <v>1050</v>
      </c>
      <c r="B762" s="1">
        <v>45159</v>
      </c>
      <c r="C762" t="s">
        <v>24</v>
      </c>
      <c r="D762" t="s">
        <v>15</v>
      </c>
      <c r="E762">
        <v>9976.52</v>
      </c>
      <c r="F762">
        <v>17</v>
      </c>
      <c r="G762" t="s">
        <v>16</v>
      </c>
      <c r="H762">
        <v>2346.8000000000002</v>
      </c>
      <c r="I762">
        <v>2654.65</v>
      </c>
      <c r="J762" t="s">
        <v>30</v>
      </c>
      <c r="K762">
        <v>0.13</v>
      </c>
      <c r="L762" t="s">
        <v>18</v>
      </c>
      <c r="M762" t="s">
        <v>22</v>
      </c>
      <c r="N762" t="s">
        <v>15</v>
      </c>
      <c r="O762" t="s">
        <v>24</v>
      </c>
      <c r="P762" t="str">
        <f>Table1[[#This Row],[Region]]&amp;"|"&amp;Table1[[#This Row],[Sales Rep]]</f>
        <v>North|David</v>
      </c>
    </row>
    <row r="763" spans="1:16" x14ac:dyDescent="0.35">
      <c r="A763">
        <v>1028</v>
      </c>
      <c r="B763" s="1">
        <v>45150</v>
      </c>
      <c r="C763" t="s">
        <v>33</v>
      </c>
      <c r="D763" t="s">
        <v>25</v>
      </c>
      <c r="E763">
        <v>2490.8200000000002</v>
      </c>
      <c r="F763">
        <v>41</v>
      </c>
      <c r="G763" t="s">
        <v>29</v>
      </c>
      <c r="H763">
        <v>3956.03</v>
      </c>
      <c r="I763">
        <v>4163.68</v>
      </c>
      <c r="J763" t="s">
        <v>30</v>
      </c>
      <c r="K763">
        <v>0.12</v>
      </c>
      <c r="L763" t="s">
        <v>27</v>
      </c>
      <c r="M763" t="s">
        <v>22</v>
      </c>
      <c r="N763" t="s">
        <v>25</v>
      </c>
      <c r="O763" t="s">
        <v>33</v>
      </c>
      <c r="P763" t="str">
        <f>Table1[[#This Row],[Region]]&amp;"|"&amp;Table1[[#This Row],[Sales Rep]]</f>
        <v>South|Charlie</v>
      </c>
    </row>
    <row r="764" spans="1:16" x14ac:dyDescent="0.35">
      <c r="A764">
        <v>1092</v>
      </c>
      <c r="B764" s="1">
        <v>45245</v>
      </c>
      <c r="C764" t="s">
        <v>24</v>
      </c>
      <c r="D764" t="s">
        <v>34</v>
      </c>
      <c r="E764">
        <v>499.47</v>
      </c>
      <c r="F764">
        <v>47</v>
      </c>
      <c r="G764" t="s">
        <v>35</v>
      </c>
      <c r="H764">
        <v>3034.32</v>
      </c>
      <c r="I764">
        <v>3375.79</v>
      </c>
      <c r="J764" t="s">
        <v>30</v>
      </c>
      <c r="K764">
        <v>0.28000000000000003</v>
      </c>
      <c r="L764" t="s">
        <v>31</v>
      </c>
      <c r="M764" t="s">
        <v>19</v>
      </c>
      <c r="N764" t="s">
        <v>34</v>
      </c>
      <c r="O764" t="s">
        <v>24</v>
      </c>
      <c r="P764" t="str">
        <f>Table1[[#This Row],[Region]]&amp;"|"&amp;Table1[[#This Row],[Sales Rep]]</f>
        <v>East|David</v>
      </c>
    </row>
    <row r="765" spans="1:16" x14ac:dyDescent="0.35">
      <c r="A765">
        <v>1041</v>
      </c>
      <c r="B765" s="1">
        <v>44986</v>
      </c>
      <c r="C765" t="s">
        <v>33</v>
      </c>
      <c r="D765" t="s">
        <v>34</v>
      </c>
      <c r="E765">
        <v>4170.8</v>
      </c>
      <c r="F765">
        <v>44</v>
      </c>
      <c r="G765" t="s">
        <v>35</v>
      </c>
      <c r="H765">
        <v>3288.39</v>
      </c>
      <c r="I765">
        <v>3391.46</v>
      </c>
      <c r="J765" t="s">
        <v>30</v>
      </c>
      <c r="K765">
        <v>0.05</v>
      </c>
      <c r="L765" t="s">
        <v>31</v>
      </c>
      <c r="M765" t="s">
        <v>22</v>
      </c>
      <c r="N765" t="s">
        <v>34</v>
      </c>
      <c r="O765" t="s">
        <v>33</v>
      </c>
      <c r="P765" t="str">
        <f>Table1[[#This Row],[Region]]&amp;"|"&amp;Table1[[#This Row],[Sales Rep]]</f>
        <v>East|Charlie</v>
      </c>
    </row>
    <row r="766" spans="1:16" x14ac:dyDescent="0.35">
      <c r="A766">
        <v>1100</v>
      </c>
      <c r="B766" s="1">
        <v>45261</v>
      </c>
      <c r="C766" t="s">
        <v>42</v>
      </c>
      <c r="D766" t="s">
        <v>34</v>
      </c>
      <c r="E766">
        <v>1387.8</v>
      </c>
      <c r="F766">
        <v>34</v>
      </c>
      <c r="G766" t="s">
        <v>16</v>
      </c>
      <c r="H766">
        <v>4991.09</v>
      </c>
      <c r="I766">
        <v>5402.28</v>
      </c>
      <c r="J766" t="s">
        <v>17</v>
      </c>
      <c r="K766">
        <v>0</v>
      </c>
      <c r="L766" t="s">
        <v>18</v>
      </c>
      <c r="M766" t="s">
        <v>22</v>
      </c>
      <c r="N766" t="s">
        <v>34</v>
      </c>
      <c r="O766" t="s">
        <v>42</v>
      </c>
      <c r="P766" t="str">
        <f>Table1[[#This Row],[Region]]&amp;"|"&amp;Table1[[#This Row],[Sales Rep]]</f>
        <v>East|Alice</v>
      </c>
    </row>
    <row r="767" spans="1:16" x14ac:dyDescent="0.35">
      <c r="A767">
        <v>1064</v>
      </c>
      <c r="B767" s="1">
        <v>45148</v>
      </c>
      <c r="C767" t="s">
        <v>14</v>
      </c>
      <c r="D767" t="s">
        <v>25</v>
      </c>
      <c r="E767">
        <v>322.02</v>
      </c>
      <c r="F767">
        <v>5</v>
      </c>
      <c r="G767" t="s">
        <v>26</v>
      </c>
      <c r="H767">
        <v>421.05</v>
      </c>
      <c r="I767">
        <v>488.23</v>
      </c>
      <c r="J767" t="s">
        <v>17</v>
      </c>
      <c r="K767">
        <v>7.0000000000000007E-2</v>
      </c>
      <c r="L767" t="s">
        <v>31</v>
      </c>
      <c r="M767" t="s">
        <v>22</v>
      </c>
      <c r="N767" t="s">
        <v>25</v>
      </c>
      <c r="O767" t="s">
        <v>14</v>
      </c>
      <c r="P767" t="str">
        <f>Table1[[#This Row],[Region]]&amp;"|"&amp;Table1[[#This Row],[Sales Rep]]</f>
        <v>South|Bob</v>
      </c>
    </row>
    <row r="768" spans="1:16" x14ac:dyDescent="0.35">
      <c r="A768">
        <v>1027</v>
      </c>
      <c r="B768" s="1">
        <v>44963</v>
      </c>
      <c r="C768" t="s">
        <v>38</v>
      </c>
      <c r="D768" t="s">
        <v>21</v>
      </c>
      <c r="E768">
        <v>3668.23</v>
      </c>
      <c r="F768">
        <v>45</v>
      </c>
      <c r="G768" t="s">
        <v>26</v>
      </c>
      <c r="H768">
        <v>1153.9000000000001</v>
      </c>
      <c r="I768">
        <v>1485.34</v>
      </c>
      <c r="J768" t="s">
        <v>30</v>
      </c>
      <c r="K768">
        <v>0.25</v>
      </c>
      <c r="L768" t="s">
        <v>31</v>
      </c>
      <c r="M768" t="s">
        <v>22</v>
      </c>
      <c r="N768" t="s">
        <v>21</v>
      </c>
      <c r="O768" t="s">
        <v>38</v>
      </c>
      <c r="P768" t="str">
        <f>Table1[[#This Row],[Region]]&amp;"|"&amp;Table1[[#This Row],[Sales Rep]]</f>
        <v>West|Eve</v>
      </c>
    </row>
    <row r="769" spans="1:16" x14ac:dyDescent="0.35">
      <c r="A769">
        <v>1063</v>
      </c>
      <c r="B769" s="1">
        <v>45204</v>
      </c>
      <c r="C769" t="s">
        <v>42</v>
      </c>
      <c r="D769" t="s">
        <v>25</v>
      </c>
      <c r="E769">
        <v>7859.01</v>
      </c>
      <c r="F769">
        <v>27</v>
      </c>
      <c r="G769" t="s">
        <v>26</v>
      </c>
      <c r="H769">
        <v>2069.08</v>
      </c>
      <c r="I769">
        <v>2246.2399999999998</v>
      </c>
      <c r="J769" t="s">
        <v>30</v>
      </c>
      <c r="K769">
        <v>0.06</v>
      </c>
      <c r="L769" t="s">
        <v>27</v>
      </c>
      <c r="M769" t="s">
        <v>22</v>
      </c>
      <c r="N769" t="s">
        <v>25</v>
      </c>
      <c r="O769" t="s">
        <v>42</v>
      </c>
      <c r="P769" t="str">
        <f>Table1[[#This Row],[Region]]&amp;"|"&amp;Table1[[#This Row],[Sales Rep]]</f>
        <v>South|Alice</v>
      </c>
    </row>
    <row r="770" spans="1:16" x14ac:dyDescent="0.35">
      <c r="A770">
        <v>1017</v>
      </c>
      <c r="B770" s="1">
        <v>45122</v>
      </c>
      <c r="C770" t="s">
        <v>24</v>
      </c>
      <c r="D770" t="s">
        <v>15</v>
      </c>
      <c r="E770">
        <v>5705.19</v>
      </c>
      <c r="F770">
        <v>23</v>
      </c>
      <c r="G770" t="s">
        <v>35</v>
      </c>
      <c r="H770">
        <v>1771.52</v>
      </c>
      <c r="I770">
        <v>2147.8000000000002</v>
      </c>
      <c r="J770" t="s">
        <v>30</v>
      </c>
      <c r="K770">
        <v>7.0000000000000007E-2</v>
      </c>
      <c r="L770" t="s">
        <v>27</v>
      </c>
      <c r="M770" t="s">
        <v>19</v>
      </c>
      <c r="N770" t="s">
        <v>15</v>
      </c>
      <c r="O770" t="s">
        <v>24</v>
      </c>
      <c r="P770" t="str">
        <f>Table1[[#This Row],[Region]]&amp;"|"&amp;Table1[[#This Row],[Sales Rep]]</f>
        <v>North|David</v>
      </c>
    </row>
    <row r="771" spans="1:16" x14ac:dyDescent="0.35">
      <c r="A771">
        <v>1073</v>
      </c>
      <c r="B771" s="1">
        <v>45278</v>
      </c>
      <c r="C771" t="s">
        <v>38</v>
      </c>
      <c r="D771" t="s">
        <v>21</v>
      </c>
      <c r="E771">
        <v>3196.5</v>
      </c>
      <c r="F771">
        <v>40</v>
      </c>
      <c r="G771" t="s">
        <v>26</v>
      </c>
      <c r="H771">
        <v>157.15</v>
      </c>
      <c r="I771">
        <v>436.53</v>
      </c>
      <c r="J771" t="s">
        <v>30</v>
      </c>
      <c r="K771">
        <v>0.04</v>
      </c>
      <c r="L771" t="s">
        <v>18</v>
      </c>
      <c r="M771" t="s">
        <v>22</v>
      </c>
      <c r="N771" t="s">
        <v>21</v>
      </c>
      <c r="O771" t="s">
        <v>38</v>
      </c>
      <c r="P771" t="str">
        <f>Table1[[#This Row],[Region]]&amp;"|"&amp;Table1[[#This Row],[Sales Rep]]</f>
        <v>West|Eve</v>
      </c>
    </row>
    <row r="772" spans="1:16" x14ac:dyDescent="0.35">
      <c r="A772">
        <v>1033</v>
      </c>
      <c r="B772" s="1">
        <v>45168</v>
      </c>
      <c r="C772" t="s">
        <v>14</v>
      </c>
      <c r="D772" t="s">
        <v>34</v>
      </c>
      <c r="E772">
        <v>6577.99</v>
      </c>
      <c r="F772">
        <v>14</v>
      </c>
      <c r="G772" t="s">
        <v>26</v>
      </c>
      <c r="H772">
        <v>504.3</v>
      </c>
      <c r="I772">
        <v>735.95</v>
      </c>
      <c r="J772" t="s">
        <v>17</v>
      </c>
      <c r="K772">
        <v>0.21</v>
      </c>
      <c r="L772" t="s">
        <v>18</v>
      </c>
      <c r="M772" t="s">
        <v>22</v>
      </c>
      <c r="N772" t="s">
        <v>34</v>
      </c>
      <c r="O772" t="s">
        <v>14</v>
      </c>
      <c r="P772" t="str">
        <f>Table1[[#This Row],[Region]]&amp;"|"&amp;Table1[[#This Row],[Sales Rep]]</f>
        <v>East|Bob</v>
      </c>
    </row>
    <row r="773" spans="1:16" x14ac:dyDescent="0.35">
      <c r="A773">
        <v>1084</v>
      </c>
      <c r="B773" s="1">
        <v>45250</v>
      </c>
      <c r="C773" t="s">
        <v>14</v>
      </c>
      <c r="D773" t="s">
        <v>25</v>
      </c>
      <c r="E773">
        <v>2396.98</v>
      </c>
      <c r="F773">
        <v>15</v>
      </c>
      <c r="G773" t="s">
        <v>16</v>
      </c>
      <c r="H773">
        <v>3420.72</v>
      </c>
      <c r="I773">
        <v>3513.74</v>
      </c>
      <c r="J773" t="s">
        <v>30</v>
      </c>
      <c r="K773">
        <v>0.02</v>
      </c>
      <c r="L773" t="s">
        <v>18</v>
      </c>
      <c r="M773" t="s">
        <v>19</v>
      </c>
      <c r="N773" t="s">
        <v>25</v>
      </c>
      <c r="O773" t="s">
        <v>14</v>
      </c>
      <c r="P773" t="str">
        <f>Table1[[#This Row],[Region]]&amp;"|"&amp;Table1[[#This Row],[Sales Rep]]</f>
        <v>South|Bob</v>
      </c>
    </row>
    <row r="774" spans="1:16" x14ac:dyDescent="0.35">
      <c r="A774">
        <v>1077</v>
      </c>
      <c r="B774" s="1">
        <v>45145</v>
      </c>
      <c r="C774" t="s">
        <v>33</v>
      </c>
      <c r="D774" t="s">
        <v>34</v>
      </c>
      <c r="E774">
        <v>242.38</v>
      </c>
      <c r="F774">
        <v>43</v>
      </c>
      <c r="G774" t="s">
        <v>26</v>
      </c>
      <c r="H774">
        <v>4402.66</v>
      </c>
      <c r="I774">
        <v>4724.7</v>
      </c>
      <c r="J774" t="s">
        <v>30</v>
      </c>
      <c r="K774">
        <v>0.1</v>
      </c>
      <c r="L774" t="s">
        <v>27</v>
      </c>
      <c r="M774" t="s">
        <v>22</v>
      </c>
      <c r="N774" t="s">
        <v>34</v>
      </c>
      <c r="O774" t="s">
        <v>33</v>
      </c>
      <c r="P774" t="str">
        <f>Table1[[#This Row],[Region]]&amp;"|"&amp;Table1[[#This Row],[Sales Rep]]</f>
        <v>East|Charlie</v>
      </c>
    </row>
    <row r="775" spans="1:16" x14ac:dyDescent="0.35">
      <c r="A775">
        <v>1092</v>
      </c>
      <c r="B775" s="1">
        <v>45118</v>
      </c>
      <c r="C775" t="s">
        <v>38</v>
      </c>
      <c r="D775" t="s">
        <v>34</v>
      </c>
      <c r="E775">
        <v>7667.1</v>
      </c>
      <c r="F775">
        <v>33</v>
      </c>
      <c r="G775" t="s">
        <v>35</v>
      </c>
      <c r="H775">
        <v>2595.42</v>
      </c>
      <c r="I775">
        <v>3083.06</v>
      </c>
      <c r="J775" t="s">
        <v>30</v>
      </c>
      <c r="K775">
        <v>0.08</v>
      </c>
      <c r="L775" t="s">
        <v>31</v>
      </c>
      <c r="M775" t="s">
        <v>19</v>
      </c>
      <c r="N775" t="s">
        <v>34</v>
      </c>
      <c r="O775" t="s">
        <v>38</v>
      </c>
      <c r="P775" t="str">
        <f>Table1[[#This Row],[Region]]&amp;"|"&amp;Table1[[#This Row],[Sales Rep]]</f>
        <v>East|Eve</v>
      </c>
    </row>
    <row r="776" spans="1:16" x14ac:dyDescent="0.35">
      <c r="A776">
        <v>1029</v>
      </c>
      <c r="B776" s="1">
        <v>44943</v>
      </c>
      <c r="C776" t="s">
        <v>33</v>
      </c>
      <c r="D776" t="s">
        <v>15</v>
      </c>
      <c r="E776">
        <v>6275.06</v>
      </c>
      <c r="F776">
        <v>31</v>
      </c>
      <c r="G776" t="s">
        <v>35</v>
      </c>
      <c r="H776">
        <v>2719</v>
      </c>
      <c r="I776">
        <v>3133.55</v>
      </c>
      <c r="J776" t="s">
        <v>17</v>
      </c>
      <c r="K776">
        <v>0.17</v>
      </c>
      <c r="L776" t="s">
        <v>27</v>
      </c>
      <c r="M776" t="s">
        <v>22</v>
      </c>
      <c r="N776" t="s">
        <v>15</v>
      </c>
      <c r="O776" t="s">
        <v>33</v>
      </c>
      <c r="P776" t="str">
        <f>Table1[[#This Row],[Region]]&amp;"|"&amp;Table1[[#This Row],[Sales Rep]]</f>
        <v>North|Charlie</v>
      </c>
    </row>
    <row r="777" spans="1:16" x14ac:dyDescent="0.35">
      <c r="A777">
        <v>1013</v>
      </c>
      <c r="B777" s="1">
        <v>44938</v>
      </c>
      <c r="C777" t="s">
        <v>42</v>
      </c>
      <c r="D777" t="s">
        <v>21</v>
      </c>
      <c r="E777">
        <v>7646.8</v>
      </c>
      <c r="F777">
        <v>35</v>
      </c>
      <c r="G777" t="s">
        <v>35</v>
      </c>
      <c r="H777">
        <v>1312.71</v>
      </c>
      <c r="I777">
        <v>1352.11</v>
      </c>
      <c r="J777" t="s">
        <v>17</v>
      </c>
      <c r="K777">
        <v>0.22</v>
      </c>
      <c r="L777" t="s">
        <v>27</v>
      </c>
      <c r="M777" t="s">
        <v>22</v>
      </c>
      <c r="N777" t="s">
        <v>21</v>
      </c>
      <c r="O777" t="s">
        <v>42</v>
      </c>
      <c r="P777" t="str">
        <f>Table1[[#This Row],[Region]]&amp;"|"&amp;Table1[[#This Row],[Sales Rep]]</f>
        <v>West|Alice</v>
      </c>
    </row>
    <row r="778" spans="1:16" x14ac:dyDescent="0.35">
      <c r="A778">
        <v>1046</v>
      </c>
      <c r="B778" s="1">
        <v>45119</v>
      </c>
      <c r="C778" t="s">
        <v>38</v>
      </c>
      <c r="D778" t="s">
        <v>15</v>
      </c>
      <c r="E778">
        <v>485.49</v>
      </c>
      <c r="F778">
        <v>17</v>
      </c>
      <c r="G778" t="s">
        <v>16</v>
      </c>
      <c r="H778">
        <v>3850.99</v>
      </c>
      <c r="I778">
        <v>4045.3399999999901</v>
      </c>
      <c r="J778" t="s">
        <v>17</v>
      </c>
      <c r="K778">
        <v>0.16</v>
      </c>
      <c r="L778" t="s">
        <v>31</v>
      </c>
      <c r="M778" t="s">
        <v>19</v>
      </c>
      <c r="N778" t="s">
        <v>15</v>
      </c>
      <c r="O778" t="s">
        <v>38</v>
      </c>
      <c r="P778" t="str">
        <f>Table1[[#This Row],[Region]]&amp;"|"&amp;Table1[[#This Row],[Sales Rep]]</f>
        <v>North|Eve</v>
      </c>
    </row>
    <row r="779" spans="1:16" x14ac:dyDescent="0.35">
      <c r="A779">
        <v>1035</v>
      </c>
      <c r="B779" s="1">
        <v>44948</v>
      </c>
      <c r="C779" t="s">
        <v>42</v>
      </c>
      <c r="D779" t="s">
        <v>15</v>
      </c>
      <c r="E779">
        <v>8387.48</v>
      </c>
      <c r="F779">
        <v>28</v>
      </c>
      <c r="G779" t="s">
        <v>16</v>
      </c>
      <c r="H779">
        <v>3771.38</v>
      </c>
      <c r="I779">
        <v>4234.92</v>
      </c>
      <c r="J779" t="s">
        <v>30</v>
      </c>
      <c r="K779">
        <v>0.28000000000000003</v>
      </c>
      <c r="L779" t="s">
        <v>31</v>
      </c>
      <c r="M779" t="s">
        <v>22</v>
      </c>
      <c r="N779" t="s">
        <v>15</v>
      </c>
      <c r="O779" t="s">
        <v>42</v>
      </c>
      <c r="P779" t="str">
        <f>Table1[[#This Row],[Region]]&amp;"|"&amp;Table1[[#This Row],[Sales Rep]]</f>
        <v>North|Alice</v>
      </c>
    </row>
    <row r="780" spans="1:16" x14ac:dyDescent="0.35">
      <c r="A780">
        <v>1006</v>
      </c>
      <c r="B780" s="1">
        <v>45046</v>
      </c>
      <c r="C780" t="s">
        <v>33</v>
      </c>
      <c r="D780" t="s">
        <v>15</v>
      </c>
      <c r="E780">
        <v>6233.31</v>
      </c>
      <c r="F780">
        <v>19</v>
      </c>
      <c r="G780" t="s">
        <v>29</v>
      </c>
      <c r="H780">
        <v>2962.41</v>
      </c>
      <c r="I780">
        <v>3218.8999999999901</v>
      </c>
      <c r="J780" t="s">
        <v>30</v>
      </c>
      <c r="K780">
        <v>0.28999999999999998</v>
      </c>
      <c r="L780" t="s">
        <v>18</v>
      </c>
      <c r="M780" t="s">
        <v>22</v>
      </c>
      <c r="N780" t="s">
        <v>15</v>
      </c>
      <c r="O780" t="s">
        <v>33</v>
      </c>
      <c r="P780" t="str">
        <f>Table1[[#This Row],[Region]]&amp;"|"&amp;Table1[[#This Row],[Sales Rep]]</f>
        <v>North|Charlie</v>
      </c>
    </row>
    <row r="781" spans="1:16" x14ac:dyDescent="0.35">
      <c r="A781">
        <v>1082</v>
      </c>
      <c r="B781" s="1">
        <v>45136</v>
      </c>
      <c r="C781" t="s">
        <v>38</v>
      </c>
      <c r="D781" t="s">
        <v>34</v>
      </c>
      <c r="E781">
        <v>5677.61</v>
      </c>
      <c r="F781">
        <v>46</v>
      </c>
      <c r="G781" t="s">
        <v>26</v>
      </c>
      <c r="H781">
        <v>1102.69</v>
      </c>
      <c r="I781">
        <v>1437.12</v>
      </c>
      <c r="J781" t="s">
        <v>30</v>
      </c>
      <c r="K781">
        <v>0.11</v>
      </c>
      <c r="L781" t="s">
        <v>31</v>
      </c>
      <c r="M781" t="s">
        <v>19</v>
      </c>
      <c r="N781" t="s">
        <v>34</v>
      </c>
      <c r="O781" t="s">
        <v>38</v>
      </c>
      <c r="P781" t="str">
        <f>Table1[[#This Row],[Region]]&amp;"|"&amp;Table1[[#This Row],[Sales Rep]]</f>
        <v>East|Eve</v>
      </c>
    </row>
    <row r="782" spans="1:16" x14ac:dyDescent="0.35">
      <c r="A782">
        <v>1069</v>
      </c>
      <c r="B782" s="1">
        <v>45232</v>
      </c>
      <c r="C782" t="s">
        <v>33</v>
      </c>
      <c r="D782" t="s">
        <v>15</v>
      </c>
      <c r="E782">
        <v>6283.68</v>
      </c>
      <c r="F782">
        <v>23</v>
      </c>
      <c r="G782" t="s">
        <v>16</v>
      </c>
      <c r="H782">
        <v>530.24</v>
      </c>
      <c r="I782">
        <v>987.41</v>
      </c>
      <c r="J782" t="s">
        <v>17</v>
      </c>
      <c r="K782">
        <v>0.23</v>
      </c>
      <c r="L782" t="s">
        <v>31</v>
      </c>
      <c r="M782" t="s">
        <v>19</v>
      </c>
      <c r="N782" t="s">
        <v>15</v>
      </c>
      <c r="O782" t="s">
        <v>33</v>
      </c>
      <c r="P782" t="str">
        <f>Table1[[#This Row],[Region]]&amp;"|"&amp;Table1[[#This Row],[Sales Rep]]</f>
        <v>North|Charlie</v>
      </c>
    </row>
    <row r="783" spans="1:16" x14ac:dyDescent="0.35">
      <c r="A783">
        <v>1047</v>
      </c>
      <c r="B783" s="1">
        <v>45196</v>
      </c>
      <c r="C783" t="s">
        <v>38</v>
      </c>
      <c r="D783" t="s">
        <v>15</v>
      </c>
      <c r="E783">
        <v>8657.89</v>
      </c>
      <c r="F783">
        <v>32</v>
      </c>
      <c r="G783" t="s">
        <v>35</v>
      </c>
      <c r="H783">
        <v>367.98</v>
      </c>
      <c r="I783">
        <v>806.14</v>
      </c>
      <c r="J783" t="s">
        <v>17</v>
      </c>
      <c r="K783">
        <v>0.22</v>
      </c>
      <c r="L783" t="s">
        <v>31</v>
      </c>
      <c r="M783" t="s">
        <v>22</v>
      </c>
      <c r="N783" t="s">
        <v>15</v>
      </c>
      <c r="O783" t="s">
        <v>38</v>
      </c>
      <c r="P783" t="str">
        <f>Table1[[#This Row],[Region]]&amp;"|"&amp;Table1[[#This Row],[Sales Rep]]</f>
        <v>North|Eve</v>
      </c>
    </row>
    <row r="784" spans="1:16" x14ac:dyDescent="0.35">
      <c r="A784">
        <v>1025</v>
      </c>
      <c r="B784" s="1">
        <v>45118</v>
      </c>
      <c r="C784" t="s">
        <v>33</v>
      </c>
      <c r="D784" t="s">
        <v>21</v>
      </c>
      <c r="E784">
        <v>5910.67</v>
      </c>
      <c r="F784">
        <v>40</v>
      </c>
      <c r="G784" t="s">
        <v>35</v>
      </c>
      <c r="H784">
        <v>2983.85</v>
      </c>
      <c r="I784">
        <v>3239.74</v>
      </c>
      <c r="J784" t="s">
        <v>30</v>
      </c>
      <c r="K784">
        <v>0.27</v>
      </c>
      <c r="L784" t="s">
        <v>31</v>
      </c>
      <c r="M784" t="s">
        <v>19</v>
      </c>
      <c r="N784" t="s">
        <v>21</v>
      </c>
      <c r="O784" t="s">
        <v>33</v>
      </c>
      <c r="P784" t="str">
        <f>Table1[[#This Row],[Region]]&amp;"|"&amp;Table1[[#This Row],[Sales Rep]]</f>
        <v>West|Charlie</v>
      </c>
    </row>
    <row r="785" spans="1:16" x14ac:dyDescent="0.35">
      <c r="A785">
        <v>1066</v>
      </c>
      <c r="B785" s="1">
        <v>45101</v>
      </c>
      <c r="C785" t="s">
        <v>14</v>
      </c>
      <c r="D785" t="s">
        <v>21</v>
      </c>
      <c r="E785">
        <v>5851.41</v>
      </c>
      <c r="F785">
        <v>13</v>
      </c>
      <c r="G785" t="s">
        <v>16</v>
      </c>
      <c r="H785">
        <v>4133.92</v>
      </c>
      <c r="I785">
        <v>4358.37</v>
      </c>
      <c r="J785" t="s">
        <v>30</v>
      </c>
      <c r="K785">
        <v>0.13</v>
      </c>
      <c r="L785" t="s">
        <v>18</v>
      </c>
      <c r="M785" t="s">
        <v>22</v>
      </c>
      <c r="N785" t="s">
        <v>21</v>
      </c>
      <c r="O785" t="s">
        <v>14</v>
      </c>
      <c r="P785" t="str">
        <f>Table1[[#This Row],[Region]]&amp;"|"&amp;Table1[[#This Row],[Sales Rep]]</f>
        <v>West|Bob</v>
      </c>
    </row>
    <row r="786" spans="1:16" x14ac:dyDescent="0.35">
      <c r="A786">
        <v>1010</v>
      </c>
      <c r="B786" s="1">
        <v>45211</v>
      </c>
      <c r="C786" t="s">
        <v>33</v>
      </c>
      <c r="D786" t="s">
        <v>15</v>
      </c>
      <c r="E786">
        <v>9907.7199999999993</v>
      </c>
      <c r="F786">
        <v>20</v>
      </c>
      <c r="G786" t="s">
        <v>16</v>
      </c>
      <c r="H786">
        <v>4298.74</v>
      </c>
      <c r="I786">
        <v>4475.1899999999996</v>
      </c>
      <c r="J786" t="s">
        <v>17</v>
      </c>
      <c r="K786">
        <v>0.16</v>
      </c>
      <c r="L786" t="s">
        <v>18</v>
      </c>
      <c r="M786" t="s">
        <v>19</v>
      </c>
      <c r="N786" t="s">
        <v>15</v>
      </c>
      <c r="O786" t="s">
        <v>33</v>
      </c>
      <c r="P786" t="str">
        <f>Table1[[#This Row],[Region]]&amp;"|"&amp;Table1[[#This Row],[Sales Rep]]</f>
        <v>North|Charlie</v>
      </c>
    </row>
    <row r="787" spans="1:16" x14ac:dyDescent="0.35">
      <c r="A787">
        <v>1056</v>
      </c>
      <c r="B787" s="1">
        <v>45130</v>
      </c>
      <c r="C787" t="s">
        <v>14</v>
      </c>
      <c r="D787" t="s">
        <v>21</v>
      </c>
      <c r="E787">
        <v>7591.63</v>
      </c>
      <c r="F787">
        <v>35</v>
      </c>
      <c r="G787" t="s">
        <v>16</v>
      </c>
      <c r="H787">
        <v>2344.9299999999998</v>
      </c>
      <c r="I787">
        <v>2707.25</v>
      </c>
      <c r="J787" t="s">
        <v>30</v>
      </c>
      <c r="K787">
        <v>0.12</v>
      </c>
      <c r="L787" t="s">
        <v>31</v>
      </c>
      <c r="M787" t="s">
        <v>22</v>
      </c>
      <c r="N787" t="s">
        <v>21</v>
      </c>
      <c r="O787" t="s">
        <v>14</v>
      </c>
      <c r="P787" t="str">
        <f>Table1[[#This Row],[Region]]&amp;"|"&amp;Table1[[#This Row],[Sales Rep]]</f>
        <v>West|Bob</v>
      </c>
    </row>
    <row r="788" spans="1:16" x14ac:dyDescent="0.35">
      <c r="A788">
        <v>1030</v>
      </c>
      <c r="B788" s="1">
        <v>45090</v>
      </c>
      <c r="C788" t="s">
        <v>33</v>
      </c>
      <c r="D788" t="s">
        <v>21</v>
      </c>
      <c r="E788">
        <v>4478.71</v>
      </c>
      <c r="F788">
        <v>5</v>
      </c>
      <c r="G788" t="s">
        <v>29</v>
      </c>
      <c r="H788">
        <v>3932.14</v>
      </c>
      <c r="I788">
        <v>4082.7599999999902</v>
      </c>
      <c r="J788" t="s">
        <v>30</v>
      </c>
      <c r="K788">
        <v>0.26</v>
      </c>
      <c r="L788" t="s">
        <v>31</v>
      </c>
      <c r="M788" t="s">
        <v>19</v>
      </c>
      <c r="N788" t="s">
        <v>21</v>
      </c>
      <c r="O788" t="s">
        <v>33</v>
      </c>
      <c r="P788" t="str">
        <f>Table1[[#This Row],[Region]]&amp;"|"&amp;Table1[[#This Row],[Sales Rep]]</f>
        <v>West|Charlie</v>
      </c>
    </row>
    <row r="789" spans="1:16" x14ac:dyDescent="0.35">
      <c r="A789">
        <v>1005</v>
      </c>
      <c r="B789" s="1">
        <v>45177</v>
      </c>
      <c r="C789" t="s">
        <v>38</v>
      </c>
      <c r="D789" t="s">
        <v>15</v>
      </c>
      <c r="E789">
        <v>7103.23</v>
      </c>
      <c r="F789">
        <v>9</v>
      </c>
      <c r="G789" t="s">
        <v>35</v>
      </c>
      <c r="H789">
        <v>4737.0600000000004</v>
      </c>
      <c r="I789">
        <v>4869.5</v>
      </c>
      <c r="J789" t="s">
        <v>30</v>
      </c>
      <c r="K789">
        <v>7.0000000000000007E-2</v>
      </c>
      <c r="L789" t="s">
        <v>18</v>
      </c>
      <c r="M789" t="s">
        <v>19</v>
      </c>
      <c r="N789" t="s">
        <v>15</v>
      </c>
      <c r="O789" t="s">
        <v>38</v>
      </c>
      <c r="P789" t="str">
        <f>Table1[[#This Row],[Region]]&amp;"|"&amp;Table1[[#This Row],[Sales Rep]]</f>
        <v>North|Eve</v>
      </c>
    </row>
    <row r="790" spans="1:16" x14ac:dyDescent="0.35">
      <c r="A790">
        <v>1033</v>
      </c>
      <c r="B790" s="1">
        <v>45153</v>
      </c>
      <c r="C790" t="s">
        <v>38</v>
      </c>
      <c r="D790" t="s">
        <v>34</v>
      </c>
      <c r="E790">
        <v>3953.38</v>
      </c>
      <c r="F790">
        <v>29</v>
      </c>
      <c r="G790" t="s">
        <v>29</v>
      </c>
      <c r="H790">
        <v>1412.09</v>
      </c>
      <c r="I790">
        <v>1596.6499999999901</v>
      </c>
      <c r="J790" t="s">
        <v>17</v>
      </c>
      <c r="K790">
        <v>7.0000000000000007E-2</v>
      </c>
      <c r="L790" t="s">
        <v>18</v>
      </c>
      <c r="M790" t="s">
        <v>19</v>
      </c>
      <c r="N790" t="s">
        <v>34</v>
      </c>
      <c r="O790" t="s">
        <v>38</v>
      </c>
      <c r="P790" t="str">
        <f>Table1[[#This Row],[Region]]&amp;"|"&amp;Table1[[#This Row],[Sales Rep]]</f>
        <v>East|Eve</v>
      </c>
    </row>
    <row r="791" spans="1:16" x14ac:dyDescent="0.35">
      <c r="A791">
        <v>1065</v>
      </c>
      <c r="B791" s="1">
        <v>44933</v>
      </c>
      <c r="C791" t="s">
        <v>38</v>
      </c>
      <c r="D791" t="s">
        <v>15</v>
      </c>
      <c r="E791">
        <v>2365.87</v>
      </c>
      <c r="F791">
        <v>6</v>
      </c>
      <c r="G791" t="s">
        <v>29</v>
      </c>
      <c r="H791">
        <v>2019.9</v>
      </c>
      <c r="I791">
        <v>2116.7399999999998</v>
      </c>
      <c r="J791" t="s">
        <v>30</v>
      </c>
      <c r="K791">
        <v>0.11</v>
      </c>
      <c r="L791" t="s">
        <v>31</v>
      </c>
      <c r="M791" t="s">
        <v>19</v>
      </c>
      <c r="N791" t="s">
        <v>15</v>
      </c>
      <c r="O791" t="s">
        <v>38</v>
      </c>
      <c r="P791" t="str">
        <f>Table1[[#This Row],[Region]]&amp;"|"&amp;Table1[[#This Row],[Sales Rep]]</f>
        <v>North|Eve</v>
      </c>
    </row>
    <row r="792" spans="1:16" x14ac:dyDescent="0.35">
      <c r="A792">
        <v>1018</v>
      </c>
      <c r="B792" s="1">
        <v>44955</v>
      </c>
      <c r="C792" t="s">
        <v>24</v>
      </c>
      <c r="D792" t="s">
        <v>21</v>
      </c>
      <c r="E792">
        <v>6008.83</v>
      </c>
      <c r="F792">
        <v>25</v>
      </c>
      <c r="G792" t="s">
        <v>26</v>
      </c>
      <c r="H792">
        <v>4660.82</v>
      </c>
      <c r="I792">
        <v>5011.4299999999903</v>
      </c>
      <c r="J792" t="s">
        <v>30</v>
      </c>
      <c r="K792">
        <v>7.0000000000000007E-2</v>
      </c>
      <c r="L792" t="s">
        <v>27</v>
      </c>
      <c r="M792" t="s">
        <v>19</v>
      </c>
      <c r="N792" t="s">
        <v>21</v>
      </c>
      <c r="O792" t="s">
        <v>24</v>
      </c>
      <c r="P792" t="str">
        <f>Table1[[#This Row],[Region]]&amp;"|"&amp;Table1[[#This Row],[Sales Rep]]</f>
        <v>West|David</v>
      </c>
    </row>
    <row r="793" spans="1:16" x14ac:dyDescent="0.35">
      <c r="A793">
        <v>1096</v>
      </c>
      <c r="B793" s="1">
        <v>44959</v>
      </c>
      <c r="C793" t="s">
        <v>42</v>
      </c>
      <c r="D793" t="s">
        <v>34</v>
      </c>
      <c r="E793">
        <v>9289</v>
      </c>
      <c r="F793">
        <v>31</v>
      </c>
      <c r="G793" t="s">
        <v>35</v>
      </c>
      <c r="H793">
        <v>1724.24</v>
      </c>
      <c r="I793">
        <v>2036.2</v>
      </c>
      <c r="J793" t="s">
        <v>30</v>
      </c>
      <c r="K793">
        <v>0.17</v>
      </c>
      <c r="L793" t="s">
        <v>18</v>
      </c>
      <c r="M793" t="s">
        <v>19</v>
      </c>
      <c r="N793" t="s">
        <v>34</v>
      </c>
      <c r="O793" t="s">
        <v>42</v>
      </c>
      <c r="P793" t="str">
        <f>Table1[[#This Row],[Region]]&amp;"|"&amp;Table1[[#This Row],[Sales Rep]]</f>
        <v>East|Alice</v>
      </c>
    </row>
    <row r="794" spans="1:16" x14ac:dyDescent="0.35">
      <c r="A794">
        <v>1049</v>
      </c>
      <c r="B794" s="1">
        <v>45060</v>
      </c>
      <c r="C794" t="s">
        <v>38</v>
      </c>
      <c r="D794" t="s">
        <v>25</v>
      </c>
      <c r="E794">
        <v>9298.48</v>
      </c>
      <c r="F794">
        <v>22</v>
      </c>
      <c r="G794" t="s">
        <v>35</v>
      </c>
      <c r="H794">
        <v>4573.6899999999996</v>
      </c>
      <c r="I794">
        <v>4820.2999999999902</v>
      </c>
      <c r="J794" t="s">
        <v>30</v>
      </c>
      <c r="K794">
        <v>0.04</v>
      </c>
      <c r="L794" t="s">
        <v>18</v>
      </c>
      <c r="M794" t="s">
        <v>19</v>
      </c>
      <c r="N794" t="s">
        <v>25</v>
      </c>
      <c r="O794" t="s">
        <v>38</v>
      </c>
      <c r="P794" t="str">
        <f>Table1[[#This Row],[Region]]&amp;"|"&amp;Table1[[#This Row],[Sales Rep]]</f>
        <v>South|Eve</v>
      </c>
    </row>
    <row r="795" spans="1:16" x14ac:dyDescent="0.35">
      <c r="A795">
        <v>1011</v>
      </c>
      <c r="B795" s="1">
        <v>45005</v>
      </c>
      <c r="C795" t="s">
        <v>14</v>
      </c>
      <c r="D795" t="s">
        <v>34</v>
      </c>
      <c r="E795">
        <v>3484.86</v>
      </c>
      <c r="F795">
        <v>2</v>
      </c>
      <c r="G795" t="s">
        <v>16</v>
      </c>
      <c r="H795">
        <v>4906.17</v>
      </c>
      <c r="I795">
        <v>5107.43</v>
      </c>
      <c r="J795" t="s">
        <v>17</v>
      </c>
      <c r="K795">
        <v>0.1</v>
      </c>
      <c r="L795" t="s">
        <v>18</v>
      </c>
      <c r="M795" t="s">
        <v>19</v>
      </c>
      <c r="N795" t="s">
        <v>34</v>
      </c>
      <c r="O795" t="s">
        <v>14</v>
      </c>
      <c r="P795" t="str">
        <f>Table1[[#This Row],[Region]]&amp;"|"&amp;Table1[[#This Row],[Sales Rep]]</f>
        <v>East|Bob</v>
      </c>
    </row>
    <row r="796" spans="1:16" x14ac:dyDescent="0.35">
      <c r="A796">
        <v>1085</v>
      </c>
      <c r="B796" s="1">
        <v>44984</v>
      </c>
      <c r="C796" t="s">
        <v>38</v>
      </c>
      <c r="D796" t="s">
        <v>21</v>
      </c>
      <c r="E796">
        <v>5324.01</v>
      </c>
      <c r="F796">
        <v>45</v>
      </c>
      <c r="G796" t="s">
        <v>16</v>
      </c>
      <c r="H796">
        <v>3325.96</v>
      </c>
      <c r="I796">
        <v>3781.4</v>
      </c>
      <c r="J796" t="s">
        <v>17</v>
      </c>
      <c r="K796">
        <v>0.27</v>
      </c>
      <c r="L796" t="s">
        <v>31</v>
      </c>
      <c r="M796" t="s">
        <v>19</v>
      </c>
      <c r="N796" t="s">
        <v>21</v>
      </c>
      <c r="O796" t="s">
        <v>38</v>
      </c>
      <c r="P796" t="str">
        <f>Table1[[#This Row],[Region]]&amp;"|"&amp;Table1[[#This Row],[Sales Rep]]</f>
        <v>West|Eve</v>
      </c>
    </row>
    <row r="797" spans="1:16" x14ac:dyDescent="0.35">
      <c r="A797">
        <v>1026</v>
      </c>
      <c r="B797" s="1">
        <v>44952</v>
      </c>
      <c r="C797" t="s">
        <v>24</v>
      </c>
      <c r="D797" t="s">
        <v>34</v>
      </c>
      <c r="E797">
        <v>2195.1999999999998</v>
      </c>
      <c r="F797">
        <v>5</v>
      </c>
      <c r="G797" t="s">
        <v>26</v>
      </c>
      <c r="H797">
        <v>4093.61</v>
      </c>
      <c r="I797">
        <v>4117.88</v>
      </c>
      <c r="J797" t="s">
        <v>17</v>
      </c>
      <c r="K797">
        <v>0.12</v>
      </c>
      <c r="L797" t="s">
        <v>31</v>
      </c>
      <c r="M797" t="s">
        <v>22</v>
      </c>
      <c r="N797" t="s">
        <v>34</v>
      </c>
      <c r="O797" t="s">
        <v>24</v>
      </c>
      <c r="P797" t="str">
        <f>Table1[[#This Row],[Region]]&amp;"|"&amp;Table1[[#This Row],[Sales Rep]]</f>
        <v>East|David</v>
      </c>
    </row>
    <row r="798" spans="1:16" x14ac:dyDescent="0.35">
      <c r="A798">
        <v>1063</v>
      </c>
      <c r="B798" s="1">
        <v>45152</v>
      </c>
      <c r="C798" t="s">
        <v>14</v>
      </c>
      <c r="D798" t="s">
        <v>15</v>
      </c>
      <c r="E798">
        <v>9956.75</v>
      </c>
      <c r="F798">
        <v>27</v>
      </c>
      <c r="G798" t="s">
        <v>29</v>
      </c>
      <c r="H798">
        <v>3760.25</v>
      </c>
      <c r="I798">
        <v>4147.1099999999997</v>
      </c>
      <c r="J798" t="s">
        <v>30</v>
      </c>
      <c r="K798">
        <v>0.22</v>
      </c>
      <c r="L798" t="s">
        <v>18</v>
      </c>
      <c r="M798" t="s">
        <v>19</v>
      </c>
      <c r="N798" t="s">
        <v>15</v>
      </c>
      <c r="O798" t="s">
        <v>14</v>
      </c>
      <c r="P798" t="str">
        <f>Table1[[#This Row],[Region]]&amp;"|"&amp;Table1[[#This Row],[Sales Rep]]</f>
        <v>North|Bob</v>
      </c>
    </row>
    <row r="799" spans="1:16" x14ac:dyDescent="0.35">
      <c r="A799">
        <v>1089</v>
      </c>
      <c r="B799" s="1">
        <v>45211</v>
      </c>
      <c r="C799" t="s">
        <v>24</v>
      </c>
      <c r="D799" t="s">
        <v>25</v>
      </c>
      <c r="E799">
        <v>9813.07</v>
      </c>
      <c r="F799">
        <v>25</v>
      </c>
      <c r="G799" t="s">
        <v>16</v>
      </c>
      <c r="H799">
        <v>3512.69</v>
      </c>
      <c r="I799">
        <v>3964.63</v>
      </c>
      <c r="J799" t="s">
        <v>17</v>
      </c>
      <c r="K799">
        <v>0.03</v>
      </c>
      <c r="L799" t="s">
        <v>31</v>
      </c>
      <c r="M799" t="s">
        <v>22</v>
      </c>
      <c r="N799" t="s">
        <v>25</v>
      </c>
      <c r="O799" t="s">
        <v>24</v>
      </c>
      <c r="P799" t="str">
        <f>Table1[[#This Row],[Region]]&amp;"|"&amp;Table1[[#This Row],[Sales Rep]]</f>
        <v>South|David</v>
      </c>
    </row>
    <row r="800" spans="1:16" x14ac:dyDescent="0.35">
      <c r="A800">
        <v>1086</v>
      </c>
      <c r="B800" s="1">
        <v>44930</v>
      </c>
      <c r="C800" t="s">
        <v>14</v>
      </c>
      <c r="D800" t="s">
        <v>25</v>
      </c>
      <c r="E800">
        <v>6530.14</v>
      </c>
      <c r="F800">
        <v>8</v>
      </c>
      <c r="G800" t="s">
        <v>16</v>
      </c>
      <c r="H800">
        <v>1569.31</v>
      </c>
      <c r="I800">
        <v>1798.02</v>
      </c>
      <c r="J800" t="s">
        <v>30</v>
      </c>
      <c r="K800">
        <v>7.0000000000000007E-2</v>
      </c>
      <c r="L800" t="s">
        <v>31</v>
      </c>
      <c r="M800" t="s">
        <v>19</v>
      </c>
      <c r="N800" t="s">
        <v>25</v>
      </c>
      <c r="O800" t="s">
        <v>14</v>
      </c>
      <c r="P800" t="str">
        <f>Table1[[#This Row],[Region]]&amp;"|"&amp;Table1[[#This Row],[Sales Rep]]</f>
        <v>South|Bob</v>
      </c>
    </row>
    <row r="801" spans="1:16" x14ac:dyDescent="0.35">
      <c r="A801">
        <v>1059</v>
      </c>
      <c r="B801" s="1">
        <v>45025</v>
      </c>
      <c r="C801" t="s">
        <v>33</v>
      </c>
      <c r="D801" t="s">
        <v>25</v>
      </c>
      <c r="E801">
        <v>8063.7</v>
      </c>
      <c r="F801">
        <v>1</v>
      </c>
      <c r="G801" t="s">
        <v>35</v>
      </c>
      <c r="H801">
        <v>332.62</v>
      </c>
      <c r="I801">
        <v>612.46</v>
      </c>
      <c r="J801" t="s">
        <v>17</v>
      </c>
      <c r="K801">
        <v>0.24</v>
      </c>
      <c r="L801" t="s">
        <v>18</v>
      </c>
      <c r="M801" t="s">
        <v>22</v>
      </c>
      <c r="N801" t="s">
        <v>25</v>
      </c>
      <c r="O801" t="s">
        <v>33</v>
      </c>
      <c r="P801" t="str">
        <f>Table1[[#This Row],[Region]]&amp;"|"&amp;Table1[[#This Row],[Sales Rep]]</f>
        <v>South|Charlie</v>
      </c>
    </row>
    <row r="802" spans="1:16" x14ac:dyDescent="0.35">
      <c r="A802">
        <v>1027</v>
      </c>
      <c r="B802" s="1">
        <v>44965</v>
      </c>
      <c r="C802" t="s">
        <v>42</v>
      </c>
      <c r="D802" t="s">
        <v>21</v>
      </c>
      <c r="E802">
        <v>7179.49</v>
      </c>
      <c r="F802">
        <v>20</v>
      </c>
      <c r="G802" t="s">
        <v>35</v>
      </c>
      <c r="H802">
        <v>1748.11</v>
      </c>
      <c r="I802">
        <v>2220.9</v>
      </c>
      <c r="J802" t="s">
        <v>30</v>
      </c>
      <c r="K802">
        <v>0.23</v>
      </c>
      <c r="L802" t="s">
        <v>31</v>
      </c>
      <c r="M802" t="s">
        <v>22</v>
      </c>
      <c r="N802" t="s">
        <v>21</v>
      </c>
      <c r="O802" t="s">
        <v>42</v>
      </c>
      <c r="P802" t="str">
        <f>Table1[[#This Row],[Region]]&amp;"|"&amp;Table1[[#This Row],[Sales Rep]]</f>
        <v>West|Alice</v>
      </c>
    </row>
    <row r="803" spans="1:16" x14ac:dyDescent="0.35">
      <c r="A803">
        <v>1049</v>
      </c>
      <c r="B803" s="1">
        <v>45197</v>
      </c>
      <c r="C803" t="s">
        <v>42</v>
      </c>
      <c r="D803" t="s">
        <v>21</v>
      </c>
      <c r="E803">
        <v>5972.27</v>
      </c>
      <c r="F803">
        <v>44</v>
      </c>
      <c r="G803" t="s">
        <v>16</v>
      </c>
      <c r="H803">
        <v>3351.33</v>
      </c>
      <c r="I803">
        <v>3465.35</v>
      </c>
      <c r="J803" t="s">
        <v>17</v>
      </c>
      <c r="K803">
        <v>0.12</v>
      </c>
      <c r="L803" t="s">
        <v>27</v>
      </c>
      <c r="M803" t="s">
        <v>19</v>
      </c>
      <c r="N803" t="s">
        <v>21</v>
      </c>
      <c r="O803" t="s">
        <v>42</v>
      </c>
      <c r="P803" t="str">
        <f>Table1[[#This Row],[Region]]&amp;"|"&amp;Table1[[#This Row],[Sales Rep]]</f>
        <v>West|Alice</v>
      </c>
    </row>
    <row r="804" spans="1:16" x14ac:dyDescent="0.35">
      <c r="A804">
        <v>1077</v>
      </c>
      <c r="B804" s="1">
        <v>45211</v>
      </c>
      <c r="C804" t="s">
        <v>24</v>
      </c>
      <c r="D804" t="s">
        <v>25</v>
      </c>
      <c r="E804">
        <v>628.15</v>
      </c>
      <c r="F804">
        <v>23</v>
      </c>
      <c r="G804" t="s">
        <v>35</v>
      </c>
      <c r="H804">
        <v>557.52</v>
      </c>
      <c r="I804">
        <v>822.39</v>
      </c>
      <c r="J804" t="s">
        <v>17</v>
      </c>
      <c r="K804">
        <v>0.28999999999999998</v>
      </c>
      <c r="L804" t="s">
        <v>31</v>
      </c>
      <c r="M804" t="s">
        <v>19</v>
      </c>
      <c r="N804" t="s">
        <v>25</v>
      </c>
      <c r="O804" t="s">
        <v>24</v>
      </c>
      <c r="P804" t="str">
        <f>Table1[[#This Row],[Region]]&amp;"|"&amp;Table1[[#This Row],[Sales Rep]]</f>
        <v>South|David</v>
      </c>
    </row>
    <row r="805" spans="1:16" x14ac:dyDescent="0.35">
      <c r="A805">
        <v>1033</v>
      </c>
      <c r="B805" s="1">
        <v>45083</v>
      </c>
      <c r="C805" t="s">
        <v>42</v>
      </c>
      <c r="D805" t="s">
        <v>34</v>
      </c>
      <c r="E805">
        <v>4602.17</v>
      </c>
      <c r="F805">
        <v>32</v>
      </c>
      <c r="G805" t="s">
        <v>26</v>
      </c>
      <c r="H805">
        <v>108.99</v>
      </c>
      <c r="I805">
        <v>351.6</v>
      </c>
      <c r="J805" t="s">
        <v>17</v>
      </c>
      <c r="K805">
        <v>0.27</v>
      </c>
      <c r="L805" t="s">
        <v>31</v>
      </c>
      <c r="M805" t="s">
        <v>22</v>
      </c>
      <c r="N805" t="s">
        <v>34</v>
      </c>
      <c r="O805" t="s">
        <v>42</v>
      </c>
      <c r="P805" t="str">
        <f>Table1[[#This Row],[Region]]&amp;"|"&amp;Table1[[#This Row],[Sales Rep]]</f>
        <v>East|Alice</v>
      </c>
    </row>
    <row r="806" spans="1:16" x14ac:dyDescent="0.35">
      <c r="A806">
        <v>1098</v>
      </c>
      <c r="B806" s="1">
        <v>45001</v>
      </c>
      <c r="C806" t="s">
        <v>24</v>
      </c>
      <c r="D806" t="s">
        <v>25</v>
      </c>
      <c r="E806">
        <v>6780.38</v>
      </c>
      <c r="F806">
        <v>11</v>
      </c>
      <c r="G806" t="s">
        <v>16</v>
      </c>
      <c r="H806">
        <v>741.48</v>
      </c>
      <c r="I806">
        <v>878.09</v>
      </c>
      <c r="J806" t="s">
        <v>30</v>
      </c>
      <c r="K806">
        <v>0.28999999999999998</v>
      </c>
      <c r="L806" t="s">
        <v>18</v>
      </c>
      <c r="M806" t="s">
        <v>22</v>
      </c>
      <c r="N806" t="s">
        <v>25</v>
      </c>
      <c r="O806" t="s">
        <v>24</v>
      </c>
      <c r="P806" t="str">
        <f>Table1[[#This Row],[Region]]&amp;"|"&amp;Table1[[#This Row],[Sales Rep]]</f>
        <v>South|David</v>
      </c>
    </row>
    <row r="807" spans="1:16" x14ac:dyDescent="0.35">
      <c r="A807">
        <v>1099</v>
      </c>
      <c r="B807" s="1">
        <v>45214</v>
      </c>
      <c r="C807" t="s">
        <v>24</v>
      </c>
      <c r="D807" t="s">
        <v>34</v>
      </c>
      <c r="E807">
        <v>6807.56</v>
      </c>
      <c r="F807">
        <v>39</v>
      </c>
      <c r="G807" t="s">
        <v>35</v>
      </c>
      <c r="H807">
        <v>3592.89</v>
      </c>
      <c r="I807">
        <v>4004</v>
      </c>
      <c r="J807" t="s">
        <v>30</v>
      </c>
      <c r="K807">
        <v>0.13</v>
      </c>
      <c r="L807" t="s">
        <v>18</v>
      </c>
      <c r="M807" t="s">
        <v>19</v>
      </c>
      <c r="N807" t="s">
        <v>34</v>
      </c>
      <c r="O807" t="s">
        <v>24</v>
      </c>
      <c r="P807" t="str">
        <f>Table1[[#This Row],[Region]]&amp;"|"&amp;Table1[[#This Row],[Sales Rep]]</f>
        <v>East|David</v>
      </c>
    </row>
    <row r="808" spans="1:16" x14ac:dyDescent="0.35">
      <c r="A808">
        <v>1001</v>
      </c>
      <c r="B808" s="1">
        <v>45056</v>
      </c>
      <c r="C808" t="s">
        <v>24</v>
      </c>
      <c r="D808" t="s">
        <v>34</v>
      </c>
      <c r="E808">
        <v>3793.91</v>
      </c>
      <c r="F808">
        <v>47</v>
      </c>
      <c r="G808" t="s">
        <v>26</v>
      </c>
      <c r="H808">
        <v>4865.33</v>
      </c>
      <c r="I808">
        <v>5316.13</v>
      </c>
      <c r="J808" t="s">
        <v>30</v>
      </c>
      <c r="K808">
        <v>0.06</v>
      </c>
      <c r="L808" t="s">
        <v>27</v>
      </c>
      <c r="M808" t="s">
        <v>19</v>
      </c>
      <c r="N808" t="s">
        <v>34</v>
      </c>
      <c r="O808" t="s">
        <v>24</v>
      </c>
      <c r="P808" t="str">
        <f>Table1[[#This Row],[Region]]&amp;"|"&amp;Table1[[#This Row],[Sales Rep]]</f>
        <v>East|David</v>
      </c>
    </row>
    <row r="809" spans="1:16" x14ac:dyDescent="0.35">
      <c r="A809">
        <v>1021</v>
      </c>
      <c r="B809" s="1">
        <v>45101</v>
      </c>
      <c r="C809" t="s">
        <v>42</v>
      </c>
      <c r="D809" t="s">
        <v>21</v>
      </c>
      <c r="E809">
        <v>9422.75</v>
      </c>
      <c r="F809">
        <v>24</v>
      </c>
      <c r="G809" t="s">
        <v>35</v>
      </c>
      <c r="H809">
        <v>4916.17</v>
      </c>
      <c r="I809">
        <v>5309.32</v>
      </c>
      <c r="J809" t="s">
        <v>17</v>
      </c>
      <c r="K809">
        <v>0.19</v>
      </c>
      <c r="L809" t="s">
        <v>31</v>
      </c>
      <c r="M809" t="s">
        <v>19</v>
      </c>
      <c r="N809" t="s">
        <v>21</v>
      </c>
      <c r="O809" t="s">
        <v>42</v>
      </c>
      <c r="P809" t="str">
        <f>Table1[[#This Row],[Region]]&amp;"|"&amp;Table1[[#This Row],[Sales Rep]]</f>
        <v>West|Alice</v>
      </c>
    </row>
    <row r="810" spans="1:16" x14ac:dyDescent="0.35">
      <c r="A810">
        <v>1055</v>
      </c>
      <c r="B810" s="1">
        <v>45010</v>
      </c>
      <c r="C810" t="s">
        <v>24</v>
      </c>
      <c r="D810" t="s">
        <v>34</v>
      </c>
      <c r="E810">
        <v>1756.83</v>
      </c>
      <c r="F810">
        <v>11</v>
      </c>
      <c r="G810" t="s">
        <v>35</v>
      </c>
      <c r="H810">
        <v>2495.1999999999998</v>
      </c>
      <c r="I810">
        <v>2600.9299999999998</v>
      </c>
      <c r="J810" t="s">
        <v>30</v>
      </c>
      <c r="K810">
        <v>0.21</v>
      </c>
      <c r="L810" t="s">
        <v>27</v>
      </c>
      <c r="M810" t="s">
        <v>22</v>
      </c>
      <c r="N810" t="s">
        <v>34</v>
      </c>
      <c r="O810" t="s">
        <v>24</v>
      </c>
      <c r="P810" t="str">
        <f>Table1[[#This Row],[Region]]&amp;"|"&amp;Table1[[#This Row],[Sales Rep]]</f>
        <v>East|David</v>
      </c>
    </row>
    <row r="811" spans="1:16" x14ac:dyDescent="0.35">
      <c r="A811">
        <v>1006</v>
      </c>
      <c r="B811" s="1">
        <v>44948</v>
      </c>
      <c r="C811" t="s">
        <v>42</v>
      </c>
      <c r="D811" t="s">
        <v>25</v>
      </c>
      <c r="E811">
        <v>5053.5600000000004</v>
      </c>
      <c r="F811">
        <v>29</v>
      </c>
      <c r="G811" t="s">
        <v>35</v>
      </c>
      <c r="H811">
        <v>4353.29</v>
      </c>
      <c r="I811">
        <v>4405.8</v>
      </c>
      <c r="J811" t="s">
        <v>30</v>
      </c>
      <c r="K811">
        <v>0.04</v>
      </c>
      <c r="L811" t="s">
        <v>27</v>
      </c>
      <c r="M811" t="s">
        <v>19</v>
      </c>
      <c r="N811" t="s">
        <v>25</v>
      </c>
      <c r="O811" t="s">
        <v>42</v>
      </c>
      <c r="P811" t="str">
        <f>Table1[[#This Row],[Region]]&amp;"|"&amp;Table1[[#This Row],[Sales Rep]]</f>
        <v>South|Alice</v>
      </c>
    </row>
    <row r="812" spans="1:16" x14ac:dyDescent="0.35">
      <c r="A812">
        <v>1092</v>
      </c>
      <c r="B812" s="1">
        <v>44953</v>
      </c>
      <c r="C812" t="s">
        <v>24</v>
      </c>
      <c r="D812" t="s">
        <v>21</v>
      </c>
      <c r="E812">
        <v>6939.75</v>
      </c>
      <c r="F812">
        <v>26</v>
      </c>
      <c r="G812" t="s">
        <v>16</v>
      </c>
      <c r="H812">
        <v>3697.29</v>
      </c>
      <c r="I812">
        <v>4003.96</v>
      </c>
      <c r="J812" t="s">
        <v>30</v>
      </c>
      <c r="K812">
        <v>0.24</v>
      </c>
      <c r="L812" t="s">
        <v>18</v>
      </c>
      <c r="M812" t="s">
        <v>19</v>
      </c>
      <c r="N812" t="s">
        <v>21</v>
      </c>
      <c r="O812" t="s">
        <v>24</v>
      </c>
      <c r="P812" t="str">
        <f>Table1[[#This Row],[Region]]&amp;"|"&amp;Table1[[#This Row],[Sales Rep]]</f>
        <v>West|David</v>
      </c>
    </row>
    <row r="813" spans="1:16" x14ac:dyDescent="0.35">
      <c r="A813">
        <v>1081</v>
      </c>
      <c r="B813" s="1">
        <v>45121</v>
      </c>
      <c r="C813" t="s">
        <v>38</v>
      </c>
      <c r="D813" t="s">
        <v>15</v>
      </c>
      <c r="E813">
        <v>7001.64</v>
      </c>
      <c r="F813">
        <v>16</v>
      </c>
      <c r="G813" t="s">
        <v>29</v>
      </c>
      <c r="H813">
        <v>2530.15</v>
      </c>
      <c r="I813">
        <v>2568.13</v>
      </c>
      <c r="J813" t="s">
        <v>30</v>
      </c>
      <c r="K813">
        <v>0.01</v>
      </c>
      <c r="L813" t="s">
        <v>31</v>
      </c>
      <c r="M813" t="s">
        <v>19</v>
      </c>
      <c r="N813" t="s">
        <v>15</v>
      </c>
      <c r="O813" t="s">
        <v>38</v>
      </c>
      <c r="P813" t="str">
        <f>Table1[[#This Row],[Region]]&amp;"|"&amp;Table1[[#This Row],[Sales Rep]]</f>
        <v>North|Eve</v>
      </c>
    </row>
    <row r="814" spans="1:16" x14ac:dyDescent="0.35">
      <c r="A814">
        <v>1069</v>
      </c>
      <c r="B814" s="1">
        <v>45263</v>
      </c>
      <c r="C814" t="s">
        <v>24</v>
      </c>
      <c r="D814" t="s">
        <v>15</v>
      </c>
      <c r="E814">
        <v>6521.53</v>
      </c>
      <c r="F814">
        <v>35</v>
      </c>
      <c r="G814" t="s">
        <v>35</v>
      </c>
      <c r="H814">
        <v>2885.16</v>
      </c>
      <c r="I814">
        <v>3224.8399999999901</v>
      </c>
      <c r="J814" t="s">
        <v>30</v>
      </c>
      <c r="K814">
        <v>0.14000000000000001</v>
      </c>
      <c r="L814" t="s">
        <v>18</v>
      </c>
      <c r="M814" t="s">
        <v>19</v>
      </c>
      <c r="N814" t="s">
        <v>15</v>
      </c>
      <c r="O814" t="s">
        <v>24</v>
      </c>
      <c r="P814" t="str">
        <f>Table1[[#This Row],[Region]]&amp;"|"&amp;Table1[[#This Row],[Sales Rep]]</f>
        <v>North|David</v>
      </c>
    </row>
    <row r="815" spans="1:16" x14ac:dyDescent="0.35">
      <c r="A815">
        <v>1095</v>
      </c>
      <c r="B815" s="1">
        <v>45162</v>
      </c>
      <c r="C815" t="s">
        <v>14</v>
      </c>
      <c r="D815" t="s">
        <v>21</v>
      </c>
      <c r="E815">
        <v>2825.35</v>
      </c>
      <c r="F815">
        <v>20</v>
      </c>
      <c r="G815" t="s">
        <v>26</v>
      </c>
      <c r="H815">
        <v>729.27</v>
      </c>
      <c r="I815">
        <v>999.18</v>
      </c>
      <c r="J815" t="s">
        <v>30</v>
      </c>
      <c r="K815">
        <v>0.1</v>
      </c>
      <c r="L815" t="s">
        <v>27</v>
      </c>
      <c r="M815" t="s">
        <v>19</v>
      </c>
      <c r="N815" t="s">
        <v>21</v>
      </c>
      <c r="O815" t="s">
        <v>14</v>
      </c>
      <c r="P815" t="str">
        <f>Table1[[#This Row],[Region]]&amp;"|"&amp;Table1[[#This Row],[Sales Rep]]</f>
        <v>West|Bob</v>
      </c>
    </row>
    <row r="816" spans="1:16" x14ac:dyDescent="0.35">
      <c r="A816">
        <v>1005</v>
      </c>
      <c r="B816" s="1">
        <v>45018</v>
      </c>
      <c r="C816" t="s">
        <v>24</v>
      </c>
      <c r="D816" t="s">
        <v>25</v>
      </c>
      <c r="E816">
        <v>1646.45</v>
      </c>
      <c r="F816">
        <v>46</v>
      </c>
      <c r="G816" t="s">
        <v>16</v>
      </c>
      <c r="H816">
        <v>4691.42</v>
      </c>
      <c r="I816">
        <v>5026.1899999999996</v>
      </c>
      <c r="J816" t="s">
        <v>17</v>
      </c>
      <c r="K816">
        <v>0.22</v>
      </c>
      <c r="L816" t="s">
        <v>27</v>
      </c>
      <c r="M816" t="s">
        <v>22</v>
      </c>
      <c r="N816" t="s">
        <v>25</v>
      </c>
      <c r="O816" t="s">
        <v>24</v>
      </c>
      <c r="P816" t="str">
        <f>Table1[[#This Row],[Region]]&amp;"|"&amp;Table1[[#This Row],[Sales Rep]]</f>
        <v>South|David</v>
      </c>
    </row>
    <row r="817" spans="1:16" x14ac:dyDescent="0.35">
      <c r="A817">
        <v>1003</v>
      </c>
      <c r="B817" s="1">
        <v>44947</v>
      </c>
      <c r="C817" t="s">
        <v>33</v>
      </c>
      <c r="D817" t="s">
        <v>15</v>
      </c>
      <c r="E817">
        <v>6395.81</v>
      </c>
      <c r="F817">
        <v>3</v>
      </c>
      <c r="G817" t="s">
        <v>16</v>
      </c>
      <c r="H817">
        <v>1792.05</v>
      </c>
      <c r="I817">
        <v>2091.23</v>
      </c>
      <c r="J817" t="s">
        <v>17</v>
      </c>
      <c r="K817">
        <v>0.09</v>
      </c>
      <c r="L817" t="s">
        <v>18</v>
      </c>
      <c r="M817" t="s">
        <v>22</v>
      </c>
      <c r="N817" t="s">
        <v>15</v>
      </c>
      <c r="O817" t="s">
        <v>33</v>
      </c>
      <c r="P817" t="str">
        <f>Table1[[#This Row],[Region]]&amp;"|"&amp;Table1[[#This Row],[Sales Rep]]</f>
        <v>North|Charlie</v>
      </c>
    </row>
    <row r="818" spans="1:16" x14ac:dyDescent="0.35">
      <c r="A818">
        <v>1053</v>
      </c>
      <c r="B818" s="1">
        <v>45229</v>
      </c>
      <c r="C818" t="s">
        <v>24</v>
      </c>
      <c r="D818" t="s">
        <v>15</v>
      </c>
      <c r="E818">
        <v>6033.09</v>
      </c>
      <c r="F818">
        <v>1</v>
      </c>
      <c r="G818" t="s">
        <v>26</v>
      </c>
      <c r="H818">
        <v>2258.44</v>
      </c>
      <c r="I818">
        <v>2475.56</v>
      </c>
      <c r="J818" t="s">
        <v>30</v>
      </c>
      <c r="K818">
        <v>0.25</v>
      </c>
      <c r="L818" t="s">
        <v>18</v>
      </c>
      <c r="M818" t="s">
        <v>19</v>
      </c>
      <c r="N818" t="s">
        <v>15</v>
      </c>
      <c r="O818" t="s">
        <v>24</v>
      </c>
      <c r="P818" t="str">
        <f>Table1[[#This Row],[Region]]&amp;"|"&amp;Table1[[#This Row],[Sales Rep]]</f>
        <v>North|David</v>
      </c>
    </row>
    <row r="819" spans="1:16" x14ac:dyDescent="0.35">
      <c r="A819">
        <v>1023</v>
      </c>
      <c r="B819" s="1">
        <v>45283</v>
      </c>
      <c r="C819" t="s">
        <v>14</v>
      </c>
      <c r="D819" t="s">
        <v>34</v>
      </c>
      <c r="E819">
        <v>1875.62</v>
      </c>
      <c r="F819">
        <v>47</v>
      </c>
      <c r="G819" t="s">
        <v>35</v>
      </c>
      <c r="H819">
        <v>3374.72</v>
      </c>
      <c r="I819">
        <v>3483.1499999999901</v>
      </c>
      <c r="J819" t="s">
        <v>17</v>
      </c>
      <c r="K819">
        <v>0.18</v>
      </c>
      <c r="L819" t="s">
        <v>18</v>
      </c>
      <c r="M819" t="s">
        <v>19</v>
      </c>
      <c r="N819" t="s">
        <v>34</v>
      </c>
      <c r="O819" t="s">
        <v>14</v>
      </c>
      <c r="P819" t="str">
        <f>Table1[[#This Row],[Region]]&amp;"|"&amp;Table1[[#This Row],[Sales Rep]]</f>
        <v>East|Bob</v>
      </c>
    </row>
    <row r="820" spans="1:16" x14ac:dyDescent="0.35">
      <c r="A820">
        <v>1053</v>
      </c>
      <c r="B820" s="1">
        <v>45010</v>
      </c>
      <c r="C820" t="s">
        <v>14</v>
      </c>
      <c r="D820" t="s">
        <v>34</v>
      </c>
      <c r="E820">
        <v>7080.88</v>
      </c>
      <c r="F820">
        <v>1</v>
      </c>
      <c r="G820" t="s">
        <v>29</v>
      </c>
      <c r="H820">
        <v>1702.82</v>
      </c>
      <c r="I820">
        <v>1862.61</v>
      </c>
      <c r="J820" t="s">
        <v>17</v>
      </c>
      <c r="K820">
        <v>0.24</v>
      </c>
      <c r="L820" t="s">
        <v>18</v>
      </c>
      <c r="M820" t="s">
        <v>22</v>
      </c>
      <c r="N820" t="s">
        <v>34</v>
      </c>
      <c r="O820" t="s">
        <v>14</v>
      </c>
      <c r="P820" t="str">
        <f>Table1[[#This Row],[Region]]&amp;"|"&amp;Table1[[#This Row],[Sales Rep]]</f>
        <v>East|Bob</v>
      </c>
    </row>
    <row r="821" spans="1:16" x14ac:dyDescent="0.35">
      <c r="A821">
        <v>1037</v>
      </c>
      <c r="B821" s="1">
        <v>45188</v>
      </c>
      <c r="C821" t="s">
        <v>42</v>
      </c>
      <c r="D821" t="s">
        <v>25</v>
      </c>
      <c r="E821">
        <v>4606.2</v>
      </c>
      <c r="F821">
        <v>17</v>
      </c>
      <c r="G821" t="s">
        <v>35</v>
      </c>
      <c r="H821">
        <v>1308.58</v>
      </c>
      <c r="I821">
        <v>1575.59</v>
      </c>
      <c r="J821" t="s">
        <v>30</v>
      </c>
      <c r="K821">
        <v>0.3</v>
      </c>
      <c r="L821" t="s">
        <v>18</v>
      </c>
      <c r="M821" t="s">
        <v>19</v>
      </c>
      <c r="N821" t="s">
        <v>25</v>
      </c>
      <c r="O821" t="s">
        <v>42</v>
      </c>
      <c r="P821" t="str">
        <f>Table1[[#This Row],[Region]]&amp;"|"&amp;Table1[[#This Row],[Sales Rep]]</f>
        <v>South|Alice</v>
      </c>
    </row>
    <row r="822" spans="1:16" x14ac:dyDescent="0.35">
      <c r="A822">
        <v>1074</v>
      </c>
      <c r="B822" s="1">
        <v>45073</v>
      </c>
      <c r="C822" t="s">
        <v>38</v>
      </c>
      <c r="D822" t="s">
        <v>21</v>
      </c>
      <c r="E822">
        <v>6710.83</v>
      </c>
      <c r="F822">
        <v>2</v>
      </c>
      <c r="G822" t="s">
        <v>26</v>
      </c>
      <c r="H822">
        <v>3173.69</v>
      </c>
      <c r="I822">
        <v>3503.11</v>
      </c>
      <c r="J822" t="s">
        <v>30</v>
      </c>
      <c r="K822">
        <v>0.2</v>
      </c>
      <c r="L822" t="s">
        <v>27</v>
      </c>
      <c r="M822" t="s">
        <v>22</v>
      </c>
      <c r="N822" t="s">
        <v>21</v>
      </c>
      <c r="O822" t="s">
        <v>38</v>
      </c>
      <c r="P822" t="str">
        <f>Table1[[#This Row],[Region]]&amp;"|"&amp;Table1[[#This Row],[Sales Rep]]</f>
        <v>West|Eve</v>
      </c>
    </row>
    <row r="823" spans="1:16" x14ac:dyDescent="0.35">
      <c r="A823">
        <v>1074</v>
      </c>
      <c r="B823" s="1">
        <v>45183</v>
      </c>
      <c r="C823" t="s">
        <v>24</v>
      </c>
      <c r="D823" t="s">
        <v>25</v>
      </c>
      <c r="E823">
        <v>8389.93</v>
      </c>
      <c r="F823">
        <v>29</v>
      </c>
      <c r="G823" t="s">
        <v>16</v>
      </c>
      <c r="H823">
        <v>173.67</v>
      </c>
      <c r="I823">
        <v>565.62</v>
      </c>
      <c r="J823" t="s">
        <v>17</v>
      </c>
      <c r="K823">
        <v>0.3</v>
      </c>
      <c r="L823" t="s">
        <v>18</v>
      </c>
      <c r="M823" t="s">
        <v>19</v>
      </c>
      <c r="N823" t="s">
        <v>25</v>
      </c>
      <c r="O823" t="s">
        <v>24</v>
      </c>
      <c r="P823" t="str">
        <f>Table1[[#This Row],[Region]]&amp;"|"&amp;Table1[[#This Row],[Sales Rep]]</f>
        <v>South|David</v>
      </c>
    </row>
    <row r="824" spans="1:16" x14ac:dyDescent="0.35">
      <c r="A824">
        <v>1083</v>
      </c>
      <c r="B824" s="1">
        <v>44984</v>
      </c>
      <c r="C824" t="s">
        <v>42</v>
      </c>
      <c r="D824" t="s">
        <v>21</v>
      </c>
      <c r="E824">
        <v>1780.31</v>
      </c>
      <c r="F824">
        <v>20</v>
      </c>
      <c r="G824" t="s">
        <v>29</v>
      </c>
      <c r="H824">
        <v>3617.59</v>
      </c>
      <c r="I824">
        <v>4003.5</v>
      </c>
      <c r="J824" t="s">
        <v>30</v>
      </c>
      <c r="K824">
        <v>0.01</v>
      </c>
      <c r="L824" t="s">
        <v>31</v>
      </c>
      <c r="M824" t="s">
        <v>22</v>
      </c>
      <c r="N824" t="s">
        <v>21</v>
      </c>
      <c r="O824" t="s">
        <v>42</v>
      </c>
      <c r="P824" t="str">
        <f>Table1[[#This Row],[Region]]&amp;"|"&amp;Table1[[#This Row],[Sales Rep]]</f>
        <v>West|Alice</v>
      </c>
    </row>
    <row r="825" spans="1:16" x14ac:dyDescent="0.35">
      <c r="A825">
        <v>1017</v>
      </c>
      <c r="B825" s="1">
        <v>44941</v>
      </c>
      <c r="C825" t="s">
        <v>38</v>
      </c>
      <c r="D825" t="s">
        <v>15</v>
      </c>
      <c r="E825">
        <v>289.52999999999997</v>
      </c>
      <c r="F825">
        <v>6</v>
      </c>
      <c r="G825" t="s">
        <v>16</v>
      </c>
      <c r="H825">
        <v>2594.42</v>
      </c>
      <c r="I825">
        <v>3081.04</v>
      </c>
      <c r="J825" t="s">
        <v>17</v>
      </c>
      <c r="K825">
        <v>0.1</v>
      </c>
      <c r="L825" t="s">
        <v>27</v>
      </c>
      <c r="M825" t="s">
        <v>22</v>
      </c>
      <c r="N825" t="s">
        <v>15</v>
      </c>
      <c r="O825" t="s">
        <v>38</v>
      </c>
      <c r="P825" t="str">
        <f>Table1[[#This Row],[Region]]&amp;"|"&amp;Table1[[#This Row],[Sales Rep]]</f>
        <v>North|Eve</v>
      </c>
    </row>
    <row r="826" spans="1:16" x14ac:dyDescent="0.35">
      <c r="A826">
        <v>1085</v>
      </c>
      <c r="B826" s="1">
        <v>45088</v>
      </c>
      <c r="C826" t="s">
        <v>24</v>
      </c>
      <c r="D826" t="s">
        <v>34</v>
      </c>
      <c r="E826">
        <v>7813.12</v>
      </c>
      <c r="F826">
        <v>8</v>
      </c>
      <c r="G826" t="s">
        <v>26</v>
      </c>
      <c r="H826">
        <v>3048.48</v>
      </c>
      <c r="I826">
        <v>3198.54</v>
      </c>
      <c r="J826" t="s">
        <v>17</v>
      </c>
      <c r="K826">
        <v>0.03</v>
      </c>
      <c r="L826" t="s">
        <v>27</v>
      </c>
      <c r="M826" t="s">
        <v>19</v>
      </c>
      <c r="N826" t="s">
        <v>34</v>
      </c>
      <c r="O826" t="s">
        <v>24</v>
      </c>
      <c r="P826" t="str">
        <f>Table1[[#This Row],[Region]]&amp;"|"&amp;Table1[[#This Row],[Sales Rep]]</f>
        <v>East|David</v>
      </c>
    </row>
    <row r="827" spans="1:16" x14ac:dyDescent="0.35">
      <c r="A827">
        <v>1078</v>
      </c>
      <c r="B827" s="1">
        <v>45089</v>
      </c>
      <c r="C827" t="s">
        <v>33</v>
      </c>
      <c r="D827" t="s">
        <v>25</v>
      </c>
      <c r="E827">
        <v>6136</v>
      </c>
      <c r="F827">
        <v>29</v>
      </c>
      <c r="G827" t="s">
        <v>35</v>
      </c>
      <c r="H827">
        <v>3177.81</v>
      </c>
      <c r="I827">
        <v>3222.65</v>
      </c>
      <c r="J827" t="s">
        <v>17</v>
      </c>
      <c r="K827">
        <v>0.08</v>
      </c>
      <c r="L827" t="s">
        <v>31</v>
      </c>
      <c r="M827" t="s">
        <v>22</v>
      </c>
      <c r="N827" t="s">
        <v>25</v>
      </c>
      <c r="O827" t="s">
        <v>33</v>
      </c>
      <c r="P827" t="str">
        <f>Table1[[#This Row],[Region]]&amp;"|"&amp;Table1[[#This Row],[Sales Rep]]</f>
        <v>South|Charlie</v>
      </c>
    </row>
    <row r="828" spans="1:16" x14ac:dyDescent="0.35">
      <c r="A828">
        <v>1073</v>
      </c>
      <c r="B828" s="1">
        <v>45246</v>
      </c>
      <c r="C828" t="s">
        <v>24</v>
      </c>
      <c r="D828" t="s">
        <v>25</v>
      </c>
      <c r="E828">
        <v>7026.43</v>
      </c>
      <c r="F828">
        <v>48</v>
      </c>
      <c r="G828" t="s">
        <v>29</v>
      </c>
      <c r="H828">
        <v>2658.9</v>
      </c>
      <c r="I828">
        <v>2838.27</v>
      </c>
      <c r="J828" t="s">
        <v>30</v>
      </c>
      <c r="K828">
        <v>0.25</v>
      </c>
      <c r="L828" t="s">
        <v>31</v>
      </c>
      <c r="M828" t="s">
        <v>19</v>
      </c>
      <c r="N828" t="s">
        <v>25</v>
      </c>
      <c r="O828" t="s">
        <v>24</v>
      </c>
      <c r="P828" t="str">
        <f>Table1[[#This Row],[Region]]&amp;"|"&amp;Table1[[#This Row],[Sales Rep]]</f>
        <v>South|David</v>
      </c>
    </row>
    <row r="829" spans="1:16" x14ac:dyDescent="0.35">
      <c r="A829">
        <v>1001</v>
      </c>
      <c r="B829" s="1">
        <v>45207</v>
      </c>
      <c r="C829" t="s">
        <v>14</v>
      </c>
      <c r="D829" t="s">
        <v>21</v>
      </c>
      <c r="E829">
        <v>8397.73</v>
      </c>
      <c r="F829">
        <v>33</v>
      </c>
      <c r="G829" t="s">
        <v>16</v>
      </c>
      <c r="H829">
        <v>2933.54</v>
      </c>
      <c r="I829">
        <v>3307.75</v>
      </c>
      <c r="J829" t="s">
        <v>17</v>
      </c>
      <c r="K829">
        <v>0.01</v>
      </c>
      <c r="L829" t="s">
        <v>27</v>
      </c>
      <c r="M829" t="s">
        <v>22</v>
      </c>
      <c r="N829" t="s">
        <v>21</v>
      </c>
      <c r="O829" t="s">
        <v>14</v>
      </c>
      <c r="P829" t="str">
        <f>Table1[[#This Row],[Region]]&amp;"|"&amp;Table1[[#This Row],[Sales Rep]]</f>
        <v>West|Bob</v>
      </c>
    </row>
    <row r="830" spans="1:16" x14ac:dyDescent="0.35">
      <c r="A830">
        <v>1051</v>
      </c>
      <c r="B830" s="1">
        <v>45206</v>
      </c>
      <c r="C830" t="s">
        <v>14</v>
      </c>
      <c r="D830" t="s">
        <v>21</v>
      </c>
      <c r="E830">
        <v>8047.83</v>
      </c>
      <c r="F830">
        <v>3</v>
      </c>
      <c r="G830" t="s">
        <v>16</v>
      </c>
      <c r="H830">
        <v>3434.75</v>
      </c>
      <c r="I830">
        <v>3659.42</v>
      </c>
      <c r="J830" t="s">
        <v>30</v>
      </c>
      <c r="K830">
        <v>0.16</v>
      </c>
      <c r="L830" t="s">
        <v>18</v>
      </c>
      <c r="M830" t="s">
        <v>19</v>
      </c>
      <c r="N830" t="s">
        <v>21</v>
      </c>
      <c r="O830" t="s">
        <v>14</v>
      </c>
      <c r="P830" t="str">
        <f>Table1[[#This Row],[Region]]&amp;"|"&amp;Table1[[#This Row],[Sales Rep]]</f>
        <v>West|Bob</v>
      </c>
    </row>
    <row r="831" spans="1:16" x14ac:dyDescent="0.35">
      <c r="A831">
        <v>1045</v>
      </c>
      <c r="B831" s="1">
        <v>44938</v>
      </c>
      <c r="C831" t="s">
        <v>33</v>
      </c>
      <c r="D831" t="s">
        <v>25</v>
      </c>
      <c r="E831">
        <v>9613.11</v>
      </c>
      <c r="F831">
        <v>35</v>
      </c>
      <c r="G831" t="s">
        <v>16</v>
      </c>
      <c r="H831">
        <v>3777.94</v>
      </c>
      <c r="I831">
        <v>4188.66</v>
      </c>
      <c r="J831" t="s">
        <v>30</v>
      </c>
      <c r="K831">
        <v>0.17</v>
      </c>
      <c r="L831" t="s">
        <v>27</v>
      </c>
      <c r="M831" t="s">
        <v>19</v>
      </c>
      <c r="N831" t="s">
        <v>25</v>
      </c>
      <c r="O831" t="s">
        <v>33</v>
      </c>
      <c r="P831" t="str">
        <f>Table1[[#This Row],[Region]]&amp;"|"&amp;Table1[[#This Row],[Sales Rep]]</f>
        <v>South|Charlie</v>
      </c>
    </row>
    <row r="832" spans="1:16" x14ac:dyDescent="0.35">
      <c r="A832">
        <v>1077</v>
      </c>
      <c r="B832" s="1">
        <v>45200</v>
      </c>
      <c r="C832" t="s">
        <v>42</v>
      </c>
      <c r="D832" t="s">
        <v>21</v>
      </c>
      <c r="E832">
        <v>5405.76</v>
      </c>
      <c r="F832">
        <v>5</v>
      </c>
      <c r="G832" t="s">
        <v>35</v>
      </c>
      <c r="H832">
        <v>3650.89</v>
      </c>
      <c r="I832">
        <v>3930.06</v>
      </c>
      <c r="J832" t="s">
        <v>30</v>
      </c>
      <c r="K832">
        <v>0.17</v>
      </c>
      <c r="L832" t="s">
        <v>27</v>
      </c>
      <c r="M832" t="s">
        <v>19</v>
      </c>
      <c r="N832" t="s">
        <v>21</v>
      </c>
      <c r="O832" t="s">
        <v>42</v>
      </c>
      <c r="P832" t="str">
        <f>Table1[[#This Row],[Region]]&amp;"|"&amp;Table1[[#This Row],[Sales Rep]]</f>
        <v>West|Alice</v>
      </c>
    </row>
    <row r="833" spans="1:16" x14ac:dyDescent="0.35">
      <c r="A833">
        <v>1004</v>
      </c>
      <c r="B833" s="1">
        <v>45197</v>
      </c>
      <c r="C833" t="s">
        <v>38</v>
      </c>
      <c r="D833" t="s">
        <v>25</v>
      </c>
      <c r="E833">
        <v>4936.1099999999997</v>
      </c>
      <c r="F833">
        <v>27</v>
      </c>
      <c r="G833" t="s">
        <v>29</v>
      </c>
      <c r="H833">
        <v>4354.6000000000004</v>
      </c>
      <c r="I833">
        <v>4820.2</v>
      </c>
      <c r="J833" t="s">
        <v>30</v>
      </c>
      <c r="K833">
        <v>0.14000000000000001</v>
      </c>
      <c r="L833" t="s">
        <v>31</v>
      </c>
      <c r="M833" t="s">
        <v>22</v>
      </c>
      <c r="N833" t="s">
        <v>25</v>
      </c>
      <c r="O833" t="s">
        <v>38</v>
      </c>
      <c r="P833" t="str">
        <f>Table1[[#This Row],[Region]]&amp;"|"&amp;Table1[[#This Row],[Sales Rep]]</f>
        <v>South|Eve</v>
      </c>
    </row>
    <row r="834" spans="1:16" x14ac:dyDescent="0.35">
      <c r="A834">
        <v>1062</v>
      </c>
      <c r="B834" s="1">
        <v>45134</v>
      </c>
      <c r="C834" t="s">
        <v>24</v>
      </c>
      <c r="D834" t="s">
        <v>25</v>
      </c>
      <c r="E834">
        <v>4078.68</v>
      </c>
      <c r="F834">
        <v>44</v>
      </c>
      <c r="G834" t="s">
        <v>35</v>
      </c>
      <c r="H834">
        <v>987.74</v>
      </c>
      <c r="I834">
        <v>1462.19</v>
      </c>
      <c r="J834" t="s">
        <v>30</v>
      </c>
      <c r="K834">
        <v>0.24</v>
      </c>
      <c r="L834" t="s">
        <v>27</v>
      </c>
      <c r="M834" t="s">
        <v>19</v>
      </c>
      <c r="N834" t="s">
        <v>25</v>
      </c>
      <c r="O834" t="s">
        <v>24</v>
      </c>
      <c r="P834" t="str">
        <f>Table1[[#This Row],[Region]]&amp;"|"&amp;Table1[[#This Row],[Sales Rep]]</f>
        <v>South|David</v>
      </c>
    </row>
    <row r="835" spans="1:16" x14ac:dyDescent="0.35">
      <c r="A835">
        <v>1065</v>
      </c>
      <c r="B835" s="1">
        <v>44953</v>
      </c>
      <c r="C835" t="s">
        <v>14</v>
      </c>
      <c r="D835" t="s">
        <v>25</v>
      </c>
      <c r="E835">
        <v>1621.54</v>
      </c>
      <c r="F835">
        <v>12</v>
      </c>
      <c r="G835" t="s">
        <v>35</v>
      </c>
      <c r="H835">
        <v>2035.68</v>
      </c>
      <c r="I835">
        <v>2079.64</v>
      </c>
      <c r="J835" t="s">
        <v>17</v>
      </c>
      <c r="K835">
        <v>0.04</v>
      </c>
      <c r="L835" t="s">
        <v>18</v>
      </c>
      <c r="M835" t="s">
        <v>19</v>
      </c>
      <c r="N835" t="s">
        <v>25</v>
      </c>
      <c r="O835" t="s">
        <v>14</v>
      </c>
      <c r="P835" t="str">
        <f>Table1[[#This Row],[Region]]&amp;"|"&amp;Table1[[#This Row],[Sales Rep]]</f>
        <v>South|Bob</v>
      </c>
    </row>
    <row r="836" spans="1:16" x14ac:dyDescent="0.35">
      <c r="A836">
        <v>1032</v>
      </c>
      <c r="B836" s="1">
        <v>44998</v>
      </c>
      <c r="C836" t="s">
        <v>42</v>
      </c>
      <c r="D836" t="s">
        <v>15</v>
      </c>
      <c r="E836">
        <v>5768.81</v>
      </c>
      <c r="F836">
        <v>20</v>
      </c>
      <c r="G836" t="s">
        <v>35</v>
      </c>
      <c r="H836">
        <v>4741.59</v>
      </c>
      <c r="I836">
        <v>4975.2299999999996</v>
      </c>
      <c r="J836" t="s">
        <v>30</v>
      </c>
      <c r="K836">
        <v>0.09</v>
      </c>
      <c r="L836" t="s">
        <v>31</v>
      </c>
      <c r="M836" t="s">
        <v>19</v>
      </c>
      <c r="N836" t="s">
        <v>15</v>
      </c>
      <c r="O836" t="s">
        <v>42</v>
      </c>
      <c r="P836" t="str">
        <f>Table1[[#This Row],[Region]]&amp;"|"&amp;Table1[[#This Row],[Sales Rep]]</f>
        <v>North|Alice</v>
      </c>
    </row>
    <row r="837" spans="1:16" x14ac:dyDescent="0.35">
      <c r="A837">
        <v>1034</v>
      </c>
      <c r="B837" s="1">
        <v>44986</v>
      </c>
      <c r="C837" t="s">
        <v>33</v>
      </c>
      <c r="D837" t="s">
        <v>21</v>
      </c>
      <c r="E837">
        <v>2842.42</v>
      </c>
      <c r="F837">
        <v>45</v>
      </c>
      <c r="G837" t="s">
        <v>26</v>
      </c>
      <c r="H837">
        <v>2013.12</v>
      </c>
      <c r="I837">
        <v>2321.87</v>
      </c>
      <c r="J837" t="s">
        <v>30</v>
      </c>
      <c r="K837">
        <v>0.18</v>
      </c>
      <c r="L837" t="s">
        <v>27</v>
      </c>
      <c r="M837" t="s">
        <v>22</v>
      </c>
      <c r="N837" t="s">
        <v>21</v>
      </c>
      <c r="O837" t="s">
        <v>33</v>
      </c>
      <c r="P837" t="str">
        <f>Table1[[#This Row],[Region]]&amp;"|"&amp;Table1[[#This Row],[Sales Rep]]</f>
        <v>West|Charlie</v>
      </c>
    </row>
    <row r="838" spans="1:16" x14ac:dyDescent="0.35">
      <c r="A838">
        <v>1092</v>
      </c>
      <c r="B838" s="1">
        <v>45071</v>
      </c>
      <c r="C838" t="s">
        <v>14</v>
      </c>
      <c r="D838" t="s">
        <v>34</v>
      </c>
      <c r="E838">
        <v>9220.94</v>
      </c>
      <c r="F838">
        <v>20</v>
      </c>
      <c r="G838" t="s">
        <v>26</v>
      </c>
      <c r="H838">
        <v>668.11</v>
      </c>
      <c r="I838">
        <v>803.49</v>
      </c>
      <c r="J838" t="s">
        <v>30</v>
      </c>
      <c r="K838">
        <v>0.21</v>
      </c>
      <c r="L838" t="s">
        <v>27</v>
      </c>
      <c r="M838" t="s">
        <v>19</v>
      </c>
      <c r="N838" t="s">
        <v>34</v>
      </c>
      <c r="O838" t="s">
        <v>14</v>
      </c>
      <c r="P838" t="str">
        <f>Table1[[#This Row],[Region]]&amp;"|"&amp;Table1[[#This Row],[Sales Rep]]</f>
        <v>East|Bob</v>
      </c>
    </row>
    <row r="839" spans="1:16" x14ac:dyDescent="0.35">
      <c r="A839">
        <v>1095</v>
      </c>
      <c r="B839" s="1">
        <v>45019</v>
      </c>
      <c r="C839" t="s">
        <v>33</v>
      </c>
      <c r="D839" t="s">
        <v>34</v>
      </c>
      <c r="E839">
        <v>5873.59</v>
      </c>
      <c r="F839">
        <v>9</v>
      </c>
      <c r="G839" t="s">
        <v>26</v>
      </c>
      <c r="H839">
        <v>2650.95</v>
      </c>
      <c r="I839">
        <v>2860.4199999999901</v>
      </c>
      <c r="J839" t="s">
        <v>30</v>
      </c>
      <c r="K839">
        <v>0.12</v>
      </c>
      <c r="L839" t="s">
        <v>18</v>
      </c>
      <c r="M839" t="s">
        <v>22</v>
      </c>
      <c r="N839" t="s">
        <v>34</v>
      </c>
      <c r="O839" t="s">
        <v>33</v>
      </c>
      <c r="P839" t="str">
        <f>Table1[[#This Row],[Region]]&amp;"|"&amp;Table1[[#This Row],[Sales Rep]]</f>
        <v>East|Charlie</v>
      </c>
    </row>
    <row r="840" spans="1:16" x14ac:dyDescent="0.35">
      <c r="A840">
        <v>1072</v>
      </c>
      <c r="B840" s="1">
        <v>45235</v>
      </c>
      <c r="C840" t="s">
        <v>24</v>
      </c>
      <c r="D840" t="s">
        <v>21</v>
      </c>
      <c r="E840">
        <v>5969.12</v>
      </c>
      <c r="F840">
        <v>39</v>
      </c>
      <c r="G840" t="s">
        <v>29</v>
      </c>
      <c r="H840">
        <v>591.98</v>
      </c>
      <c r="I840">
        <v>934.04</v>
      </c>
      <c r="J840" t="s">
        <v>30</v>
      </c>
      <c r="K840">
        <v>0.26</v>
      </c>
      <c r="L840" t="s">
        <v>27</v>
      </c>
      <c r="M840" t="s">
        <v>22</v>
      </c>
      <c r="N840" t="s">
        <v>21</v>
      </c>
      <c r="O840" t="s">
        <v>24</v>
      </c>
      <c r="P840" t="str">
        <f>Table1[[#This Row],[Region]]&amp;"|"&amp;Table1[[#This Row],[Sales Rep]]</f>
        <v>West|David</v>
      </c>
    </row>
    <row r="841" spans="1:16" x14ac:dyDescent="0.35">
      <c r="A841">
        <v>1039</v>
      </c>
      <c r="B841" s="1">
        <v>44934</v>
      </c>
      <c r="C841" t="s">
        <v>38</v>
      </c>
      <c r="D841" t="s">
        <v>25</v>
      </c>
      <c r="E841">
        <v>3613.75</v>
      </c>
      <c r="F841">
        <v>4</v>
      </c>
      <c r="G841" t="s">
        <v>35</v>
      </c>
      <c r="H841">
        <v>1054.1199999999999</v>
      </c>
      <c r="I841">
        <v>1175.21999999999</v>
      </c>
      <c r="J841" t="s">
        <v>17</v>
      </c>
      <c r="K841">
        <v>0.12</v>
      </c>
      <c r="L841" t="s">
        <v>27</v>
      </c>
      <c r="M841" t="s">
        <v>22</v>
      </c>
      <c r="N841" t="s">
        <v>25</v>
      </c>
      <c r="O841" t="s">
        <v>38</v>
      </c>
      <c r="P841" t="str">
        <f>Table1[[#This Row],[Region]]&amp;"|"&amp;Table1[[#This Row],[Sales Rep]]</f>
        <v>South|Eve</v>
      </c>
    </row>
    <row r="842" spans="1:16" x14ac:dyDescent="0.35">
      <c r="A842">
        <v>1026</v>
      </c>
      <c r="B842" s="1">
        <v>45005</v>
      </c>
      <c r="C842" t="s">
        <v>14</v>
      </c>
      <c r="D842" t="s">
        <v>34</v>
      </c>
      <c r="E842">
        <v>614.69000000000005</v>
      </c>
      <c r="F842">
        <v>19</v>
      </c>
      <c r="G842" t="s">
        <v>35</v>
      </c>
      <c r="H842">
        <v>4991.68</v>
      </c>
      <c r="I842">
        <v>5296.65</v>
      </c>
      <c r="J842" t="s">
        <v>30</v>
      </c>
      <c r="K842">
        <v>0.12</v>
      </c>
      <c r="L842" t="s">
        <v>27</v>
      </c>
      <c r="M842" t="s">
        <v>19</v>
      </c>
      <c r="N842" t="s">
        <v>34</v>
      </c>
      <c r="O842" t="s">
        <v>14</v>
      </c>
      <c r="P842" t="str">
        <f>Table1[[#This Row],[Region]]&amp;"|"&amp;Table1[[#This Row],[Sales Rep]]</f>
        <v>East|Bob</v>
      </c>
    </row>
    <row r="843" spans="1:16" x14ac:dyDescent="0.35">
      <c r="A843">
        <v>1034</v>
      </c>
      <c r="B843" s="1">
        <v>44953</v>
      </c>
      <c r="C843" t="s">
        <v>14</v>
      </c>
      <c r="D843" t="s">
        <v>34</v>
      </c>
      <c r="E843">
        <v>414.26</v>
      </c>
      <c r="F843">
        <v>38</v>
      </c>
      <c r="G843" t="s">
        <v>26</v>
      </c>
      <c r="H843">
        <v>2729.75</v>
      </c>
      <c r="I843">
        <v>3081.5</v>
      </c>
      <c r="J843" t="s">
        <v>30</v>
      </c>
      <c r="K843">
        <v>0.01</v>
      </c>
      <c r="L843" t="s">
        <v>27</v>
      </c>
      <c r="M843" t="s">
        <v>19</v>
      </c>
      <c r="N843" t="s">
        <v>34</v>
      </c>
      <c r="O843" t="s">
        <v>14</v>
      </c>
      <c r="P843" t="str">
        <f>Table1[[#This Row],[Region]]&amp;"|"&amp;Table1[[#This Row],[Sales Rep]]</f>
        <v>East|Bob</v>
      </c>
    </row>
    <row r="844" spans="1:16" x14ac:dyDescent="0.35">
      <c r="A844">
        <v>1054</v>
      </c>
      <c r="B844" s="1">
        <v>45100</v>
      </c>
      <c r="C844" t="s">
        <v>24</v>
      </c>
      <c r="D844" t="s">
        <v>21</v>
      </c>
      <c r="E844">
        <v>4291.0200000000004</v>
      </c>
      <c r="F844">
        <v>27</v>
      </c>
      <c r="G844" t="s">
        <v>35</v>
      </c>
      <c r="H844">
        <v>1456.09</v>
      </c>
      <c r="I844">
        <v>1510.4299999999901</v>
      </c>
      <c r="J844" t="s">
        <v>17</v>
      </c>
      <c r="K844">
        <v>0.17</v>
      </c>
      <c r="L844" t="s">
        <v>18</v>
      </c>
      <c r="M844" t="s">
        <v>22</v>
      </c>
      <c r="N844" t="s">
        <v>21</v>
      </c>
      <c r="O844" t="s">
        <v>24</v>
      </c>
      <c r="P844" t="str">
        <f>Table1[[#This Row],[Region]]&amp;"|"&amp;Table1[[#This Row],[Sales Rep]]</f>
        <v>West|David</v>
      </c>
    </row>
    <row r="845" spans="1:16" x14ac:dyDescent="0.35">
      <c r="A845">
        <v>1003</v>
      </c>
      <c r="B845" s="1">
        <v>44976</v>
      </c>
      <c r="C845" t="s">
        <v>42</v>
      </c>
      <c r="D845" t="s">
        <v>34</v>
      </c>
      <c r="E845">
        <v>937.2</v>
      </c>
      <c r="F845">
        <v>45</v>
      </c>
      <c r="G845" t="s">
        <v>35</v>
      </c>
      <c r="H845">
        <v>4974.1400000000003</v>
      </c>
      <c r="I845">
        <v>5227.93</v>
      </c>
      <c r="J845" t="s">
        <v>30</v>
      </c>
      <c r="K845">
        <v>0.21</v>
      </c>
      <c r="L845" t="s">
        <v>27</v>
      </c>
      <c r="M845" t="s">
        <v>19</v>
      </c>
      <c r="N845" t="s">
        <v>34</v>
      </c>
      <c r="O845" t="s">
        <v>42</v>
      </c>
      <c r="P845" t="str">
        <f>Table1[[#This Row],[Region]]&amp;"|"&amp;Table1[[#This Row],[Sales Rep]]</f>
        <v>East|Alice</v>
      </c>
    </row>
    <row r="846" spans="1:16" x14ac:dyDescent="0.35">
      <c r="A846">
        <v>1050</v>
      </c>
      <c r="B846" s="1">
        <v>45125</v>
      </c>
      <c r="C846" t="s">
        <v>38</v>
      </c>
      <c r="D846" t="s">
        <v>25</v>
      </c>
      <c r="E846">
        <v>6107.78</v>
      </c>
      <c r="F846">
        <v>43</v>
      </c>
      <c r="G846" t="s">
        <v>16</v>
      </c>
      <c r="H846">
        <v>4834.47</v>
      </c>
      <c r="I846">
        <v>4973.38</v>
      </c>
      <c r="J846" t="s">
        <v>17</v>
      </c>
      <c r="K846">
        <v>0.03</v>
      </c>
      <c r="L846" t="s">
        <v>27</v>
      </c>
      <c r="M846" t="s">
        <v>19</v>
      </c>
      <c r="N846" t="s">
        <v>25</v>
      </c>
      <c r="O846" t="s">
        <v>38</v>
      </c>
      <c r="P846" t="str">
        <f>Table1[[#This Row],[Region]]&amp;"|"&amp;Table1[[#This Row],[Sales Rep]]</f>
        <v>South|Eve</v>
      </c>
    </row>
    <row r="847" spans="1:16" x14ac:dyDescent="0.35">
      <c r="A847">
        <v>1012</v>
      </c>
      <c r="B847" s="1">
        <v>45275</v>
      </c>
      <c r="C847" t="s">
        <v>14</v>
      </c>
      <c r="D847" t="s">
        <v>21</v>
      </c>
      <c r="E847">
        <v>8821.6299999999992</v>
      </c>
      <c r="F847">
        <v>13</v>
      </c>
      <c r="G847" t="s">
        <v>35</v>
      </c>
      <c r="H847">
        <v>2231.66</v>
      </c>
      <c r="I847">
        <v>2596.6099999999901</v>
      </c>
      <c r="J847" t="s">
        <v>17</v>
      </c>
      <c r="K847">
        <v>0.09</v>
      </c>
      <c r="L847" t="s">
        <v>27</v>
      </c>
      <c r="M847" t="s">
        <v>22</v>
      </c>
      <c r="N847" t="s">
        <v>21</v>
      </c>
      <c r="O847" t="s">
        <v>14</v>
      </c>
      <c r="P847" t="str">
        <f>Table1[[#This Row],[Region]]&amp;"|"&amp;Table1[[#This Row],[Sales Rep]]</f>
        <v>West|Bob</v>
      </c>
    </row>
    <row r="848" spans="1:16" x14ac:dyDescent="0.35">
      <c r="A848">
        <v>1065</v>
      </c>
      <c r="B848" s="1">
        <v>45107</v>
      </c>
      <c r="C848" t="s">
        <v>38</v>
      </c>
      <c r="D848" t="s">
        <v>25</v>
      </c>
      <c r="E848">
        <v>8840.86</v>
      </c>
      <c r="F848">
        <v>13</v>
      </c>
      <c r="G848" t="s">
        <v>16</v>
      </c>
      <c r="H848">
        <v>1339</v>
      </c>
      <c r="I848">
        <v>1441.88</v>
      </c>
      <c r="J848" t="s">
        <v>17</v>
      </c>
      <c r="K848">
        <v>0.23</v>
      </c>
      <c r="L848" t="s">
        <v>31</v>
      </c>
      <c r="M848" t="s">
        <v>22</v>
      </c>
      <c r="N848" t="s">
        <v>25</v>
      </c>
      <c r="O848" t="s">
        <v>38</v>
      </c>
      <c r="P848" t="str">
        <f>Table1[[#This Row],[Region]]&amp;"|"&amp;Table1[[#This Row],[Sales Rep]]</f>
        <v>South|Eve</v>
      </c>
    </row>
    <row r="849" spans="1:16" x14ac:dyDescent="0.35">
      <c r="A849">
        <v>1054</v>
      </c>
      <c r="B849" s="1">
        <v>44950</v>
      </c>
      <c r="C849" t="s">
        <v>14</v>
      </c>
      <c r="D849" t="s">
        <v>34</v>
      </c>
      <c r="E849">
        <v>6624.55</v>
      </c>
      <c r="F849">
        <v>22</v>
      </c>
      <c r="G849" t="s">
        <v>35</v>
      </c>
      <c r="H849">
        <v>4200.08</v>
      </c>
      <c r="I849">
        <v>4647.28</v>
      </c>
      <c r="J849" t="s">
        <v>17</v>
      </c>
      <c r="K849">
        <v>0.11</v>
      </c>
      <c r="L849" t="s">
        <v>18</v>
      </c>
      <c r="M849" t="s">
        <v>19</v>
      </c>
      <c r="N849" t="s">
        <v>34</v>
      </c>
      <c r="O849" t="s">
        <v>14</v>
      </c>
      <c r="P849" t="str">
        <f>Table1[[#This Row],[Region]]&amp;"|"&amp;Table1[[#This Row],[Sales Rep]]</f>
        <v>East|Bob</v>
      </c>
    </row>
    <row r="850" spans="1:16" x14ac:dyDescent="0.35">
      <c r="A850">
        <v>1005</v>
      </c>
      <c r="B850" s="1">
        <v>45242</v>
      </c>
      <c r="C850" t="s">
        <v>38</v>
      </c>
      <c r="D850" t="s">
        <v>34</v>
      </c>
      <c r="E850">
        <v>2191.1999999999998</v>
      </c>
      <c r="F850">
        <v>28</v>
      </c>
      <c r="G850" t="s">
        <v>29</v>
      </c>
      <c r="H850">
        <v>3592.32</v>
      </c>
      <c r="I850">
        <v>3813.48</v>
      </c>
      <c r="J850" t="s">
        <v>30</v>
      </c>
      <c r="K850">
        <v>7.0000000000000007E-2</v>
      </c>
      <c r="L850" t="s">
        <v>31</v>
      </c>
      <c r="M850" t="s">
        <v>22</v>
      </c>
      <c r="N850" t="s">
        <v>34</v>
      </c>
      <c r="O850" t="s">
        <v>38</v>
      </c>
      <c r="P850" t="str">
        <f>Table1[[#This Row],[Region]]&amp;"|"&amp;Table1[[#This Row],[Sales Rep]]</f>
        <v>East|Eve</v>
      </c>
    </row>
    <row r="851" spans="1:16" x14ac:dyDescent="0.35">
      <c r="A851">
        <v>1094</v>
      </c>
      <c r="B851" s="1">
        <v>44972</v>
      </c>
      <c r="C851" t="s">
        <v>33</v>
      </c>
      <c r="D851" t="s">
        <v>25</v>
      </c>
      <c r="E851">
        <v>8643.67</v>
      </c>
      <c r="F851">
        <v>47</v>
      </c>
      <c r="G851" t="s">
        <v>26</v>
      </c>
      <c r="H851">
        <v>3450.36</v>
      </c>
      <c r="I851">
        <v>3557.38</v>
      </c>
      <c r="J851" t="s">
        <v>30</v>
      </c>
      <c r="K851">
        <v>0.2</v>
      </c>
      <c r="L851" t="s">
        <v>31</v>
      </c>
      <c r="M851" t="s">
        <v>19</v>
      </c>
      <c r="N851" t="s">
        <v>25</v>
      </c>
      <c r="O851" t="s">
        <v>33</v>
      </c>
      <c r="P851" t="str">
        <f>Table1[[#This Row],[Region]]&amp;"|"&amp;Table1[[#This Row],[Sales Rep]]</f>
        <v>South|Charlie</v>
      </c>
    </row>
    <row r="852" spans="1:16" x14ac:dyDescent="0.35">
      <c r="A852">
        <v>1094</v>
      </c>
      <c r="B852" s="1">
        <v>44941</v>
      </c>
      <c r="C852" t="s">
        <v>14</v>
      </c>
      <c r="D852" t="s">
        <v>15</v>
      </c>
      <c r="E852">
        <v>8872.33</v>
      </c>
      <c r="F852">
        <v>45</v>
      </c>
      <c r="G852" t="s">
        <v>16</v>
      </c>
      <c r="H852">
        <v>4470.91</v>
      </c>
      <c r="I852">
        <v>4695.54</v>
      </c>
      <c r="J852" t="s">
        <v>17</v>
      </c>
      <c r="K852">
        <v>0.06</v>
      </c>
      <c r="L852" t="s">
        <v>18</v>
      </c>
      <c r="M852" t="s">
        <v>22</v>
      </c>
      <c r="N852" t="s">
        <v>15</v>
      </c>
      <c r="O852" t="s">
        <v>14</v>
      </c>
      <c r="P852" t="str">
        <f>Table1[[#This Row],[Region]]&amp;"|"&amp;Table1[[#This Row],[Sales Rep]]</f>
        <v>North|Bob</v>
      </c>
    </row>
    <row r="853" spans="1:16" x14ac:dyDescent="0.35">
      <c r="A853">
        <v>1057</v>
      </c>
      <c r="B853" s="1">
        <v>45079</v>
      </c>
      <c r="C853" t="s">
        <v>38</v>
      </c>
      <c r="D853" t="s">
        <v>34</v>
      </c>
      <c r="E853">
        <v>2046.87</v>
      </c>
      <c r="F853">
        <v>22</v>
      </c>
      <c r="G853" t="s">
        <v>26</v>
      </c>
      <c r="H853">
        <v>3462.61</v>
      </c>
      <c r="I853">
        <v>3672.89</v>
      </c>
      <c r="J853" t="s">
        <v>17</v>
      </c>
      <c r="K853">
        <v>0.27</v>
      </c>
      <c r="L853" t="s">
        <v>31</v>
      </c>
      <c r="M853" t="s">
        <v>19</v>
      </c>
      <c r="N853" t="s">
        <v>34</v>
      </c>
      <c r="O853" t="s">
        <v>38</v>
      </c>
      <c r="P853" t="str">
        <f>Table1[[#This Row],[Region]]&amp;"|"&amp;Table1[[#This Row],[Sales Rep]]</f>
        <v>East|Eve</v>
      </c>
    </row>
    <row r="854" spans="1:16" x14ac:dyDescent="0.35">
      <c r="A854">
        <v>1017</v>
      </c>
      <c r="B854" s="1">
        <v>45148</v>
      </c>
      <c r="C854" t="s">
        <v>42</v>
      </c>
      <c r="D854" t="s">
        <v>15</v>
      </c>
      <c r="E854">
        <v>7400.52</v>
      </c>
      <c r="F854">
        <v>43</v>
      </c>
      <c r="G854" t="s">
        <v>16</v>
      </c>
      <c r="H854">
        <v>1454.8</v>
      </c>
      <c r="I854">
        <v>1674.97</v>
      </c>
      <c r="J854" t="s">
        <v>30</v>
      </c>
      <c r="K854">
        <v>0.03</v>
      </c>
      <c r="L854" t="s">
        <v>31</v>
      </c>
      <c r="M854" t="s">
        <v>19</v>
      </c>
      <c r="N854" t="s">
        <v>15</v>
      </c>
      <c r="O854" t="s">
        <v>42</v>
      </c>
      <c r="P854" t="str">
        <f>Table1[[#This Row],[Region]]&amp;"|"&amp;Table1[[#This Row],[Sales Rep]]</f>
        <v>North|Alice</v>
      </c>
    </row>
    <row r="855" spans="1:16" x14ac:dyDescent="0.35">
      <c r="A855">
        <v>1047</v>
      </c>
      <c r="B855" s="1">
        <v>45132</v>
      </c>
      <c r="C855" t="s">
        <v>33</v>
      </c>
      <c r="D855" t="s">
        <v>34</v>
      </c>
      <c r="E855">
        <v>2936.54</v>
      </c>
      <c r="F855">
        <v>19</v>
      </c>
      <c r="G855" t="s">
        <v>16</v>
      </c>
      <c r="H855">
        <v>3484.62</v>
      </c>
      <c r="I855">
        <v>3781.5499999999902</v>
      </c>
      <c r="J855" t="s">
        <v>17</v>
      </c>
      <c r="K855">
        <v>0.21</v>
      </c>
      <c r="L855" t="s">
        <v>31</v>
      </c>
      <c r="M855" t="s">
        <v>22</v>
      </c>
      <c r="N855" t="s">
        <v>34</v>
      </c>
      <c r="O855" t="s">
        <v>33</v>
      </c>
      <c r="P855" t="str">
        <f>Table1[[#This Row],[Region]]&amp;"|"&amp;Table1[[#This Row],[Sales Rep]]</f>
        <v>East|Charlie</v>
      </c>
    </row>
    <row r="856" spans="1:16" x14ac:dyDescent="0.35">
      <c r="A856">
        <v>1023</v>
      </c>
      <c r="B856" s="1">
        <v>45199</v>
      </c>
      <c r="C856" t="s">
        <v>33</v>
      </c>
      <c r="D856" t="s">
        <v>15</v>
      </c>
      <c r="E856">
        <v>8046.14</v>
      </c>
      <c r="F856">
        <v>8</v>
      </c>
      <c r="G856" t="s">
        <v>16</v>
      </c>
      <c r="H856">
        <v>1563.78</v>
      </c>
      <c r="I856">
        <v>1829.1599999999901</v>
      </c>
      <c r="J856" t="s">
        <v>17</v>
      </c>
      <c r="K856">
        <v>0.15</v>
      </c>
      <c r="L856" t="s">
        <v>18</v>
      </c>
      <c r="M856" t="s">
        <v>19</v>
      </c>
      <c r="N856" t="s">
        <v>15</v>
      </c>
      <c r="O856" t="s">
        <v>33</v>
      </c>
      <c r="P856" t="str">
        <f>Table1[[#This Row],[Region]]&amp;"|"&amp;Table1[[#This Row],[Sales Rep]]</f>
        <v>North|Charlie</v>
      </c>
    </row>
    <row r="857" spans="1:16" x14ac:dyDescent="0.35">
      <c r="A857">
        <v>1079</v>
      </c>
      <c r="B857" s="1">
        <v>45162</v>
      </c>
      <c r="C857" t="s">
        <v>42</v>
      </c>
      <c r="D857" t="s">
        <v>15</v>
      </c>
      <c r="E857">
        <v>9972.66</v>
      </c>
      <c r="F857">
        <v>8</v>
      </c>
      <c r="G857" t="s">
        <v>29</v>
      </c>
      <c r="H857">
        <v>3808.23</v>
      </c>
      <c r="I857">
        <v>3891.62</v>
      </c>
      <c r="J857" t="s">
        <v>17</v>
      </c>
      <c r="K857">
        <v>0.26</v>
      </c>
      <c r="L857" t="s">
        <v>27</v>
      </c>
      <c r="M857" t="s">
        <v>19</v>
      </c>
      <c r="N857" t="s">
        <v>15</v>
      </c>
      <c r="O857" t="s">
        <v>42</v>
      </c>
      <c r="P857" t="str">
        <f>Table1[[#This Row],[Region]]&amp;"|"&amp;Table1[[#This Row],[Sales Rep]]</f>
        <v>North|Alice</v>
      </c>
    </row>
    <row r="858" spans="1:16" x14ac:dyDescent="0.35">
      <c r="A858">
        <v>1085</v>
      </c>
      <c r="B858" s="1">
        <v>45266</v>
      </c>
      <c r="C858" t="s">
        <v>38</v>
      </c>
      <c r="D858" t="s">
        <v>15</v>
      </c>
      <c r="E858">
        <v>397.26</v>
      </c>
      <c r="F858">
        <v>42</v>
      </c>
      <c r="G858" t="s">
        <v>35</v>
      </c>
      <c r="H858">
        <v>3117.75</v>
      </c>
      <c r="I858">
        <v>3159.88</v>
      </c>
      <c r="J858" t="s">
        <v>30</v>
      </c>
      <c r="K858">
        <v>0.04</v>
      </c>
      <c r="L858" t="s">
        <v>18</v>
      </c>
      <c r="M858" t="s">
        <v>22</v>
      </c>
      <c r="N858" t="s">
        <v>15</v>
      </c>
      <c r="O858" t="s">
        <v>38</v>
      </c>
      <c r="P858" t="str">
        <f>Table1[[#This Row],[Region]]&amp;"|"&amp;Table1[[#This Row],[Sales Rep]]</f>
        <v>North|Eve</v>
      </c>
    </row>
    <row r="859" spans="1:16" x14ac:dyDescent="0.35">
      <c r="A859">
        <v>1014</v>
      </c>
      <c r="B859" s="1">
        <v>45154</v>
      </c>
      <c r="C859" t="s">
        <v>24</v>
      </c>
      <c r="D859" t="s">
        <v>25</v>
      </c>
      <c r="E859">
        <v>8983.92</v>
      </c>
      <c r="F859">
        <v>26</v>
      </c>
      <c r="G859" t="s">
        <v>16</v>
      </c>
      <c r="H859">
        <v>433.19</v>
      </c>
      <c r="I859">
        <v>800.6</v>
      </c>
      <c r="J859" t="s">
        <v>17</v>
      </c>
      <c r="K859">
        <v>0.2</v>
      </c>
      <c r="L859" t="s">
        <v>18</v>
      </c>
      <c r="M859" t="s">
        <v>19</v>
      </c>
      <c r="N859" t="s">
        <v>25</v>
      </c>
      <c r="O859" t="s">
        <v>24</v>
      </c>
      <c r="P859" t="str">
        <f>Table1[[#This Row],[Region]]&amp;"|"&amp;Table1[[#This Row],[Sales Rep]]</f>
        <v>South|David</v>
      </c>
    </row>
    <row r="860" spans="1:16" x14ac:dyDescent="0.35">
      <c r="A860">
        <v>1066</v>
      </c>
      <c r="B860" s="1">
        <v>44935</v>
      </c>
      <c r="C860" t="s">
        <v>42</v>
      </c>
      <c r="D860" t="s">
        <v>15</v>
      </c>
      <c r="E860">
        <v>6264.04</v>
      </c>
      <c r="F860">
        <v>48</v>
      </c>
      <c r="G860" t="s">
        <v>29</v>
      </c>
      <c r="H860">
        <v>2588.54</v>
      </c>
      <c r="I860">
        <v>2872.8</v>
      </c>
      <c r="J860" t="s">
        <v>30</v>
      </c>
      <c r="K860">
        <v>0.17</v>
      </c>
      <c r="L860" t="s">
        <v>18</v>
      </c>
      <c r="M860" t="s">
        <v>19</v>
      </c>
      <c r="N860" t="s">
        <v>15</v>
      </c>
      <c r="O860" t="s">
        <v>42</v>
      </c>
      <c r="P860" t="str">
        <f>Table1[[#This Row],[Region]]&amp;"|"&amp;Table1[[#This Row],[Sales Rep]]</f>
        <v>North|Alice</v>
      </c>
    </row>
    <row r="861" spans="1:16" x14ac:dyDescent="0.35">
      <c r="A861">
        <v>1075</v>
      </c>
      <c r="B861" s="1">
        <v>45092</v>
      </c>
      <c r="C861" t="s">
        <v>38</v>
      </c>
      <c r="D861" t="s">
        <v>15</v>
      </c>
      <c r="E861">
        <v>9736.49</v>
      </c>
      <c r="F861">
        <v>26</v>
      </c>
      <c r="G861" t="s">
        <v>16</v>
      </c>
      <c r="H861">
        <v>1749.34</v>
      </c>
      <c r="I861">
        <v>1935.25</v>
      </c>
      <c r="J861" t="s">
        <v>30</v>
      </c>
      <c r="K861">
        <v>0.14000000000000001</v>
      </c>
      <c r="L861" t="s">
        <v>31</v>
      </c>
      <c r="M861" t="s">
        <v>19</v>
      </c>
      <c r="N861" t="s">
        <v>15</v>
      </c>
      <c r="O861" t="s">
        <v>38</v>
      </c>
      <c r="P861" t="str">
        <f>Table1[[#This Row],[Region]]&amp;"|"&amp;Table1[[#This Row],[Sales Rep]]</f>
        <v>North|Eve</v>
      </c>
    </row>
    <row r="862" spans="1:16" x14ac:dyDescent="0.35">
      <c r="A862">
        <v>1051</v>
      </c>
      <c r="B862" s="1">
        <v>45245</v>
      </c>
      <c r="C862" t="s">
        <v>42</v>
      </c>
      <c r="D862" t="s">
        <v>15</v>
      </c>
      <c r="E862">
        <v>4703.59</v>
      </c>
      <c r="F862">
        <v>23</v>
      </c>
      <c r="G862" t="s">
        <v>35</v>
      </c>
      <c r="H862">
        <v>1676.42</v>
      </c>
      <c r="I862">
        <v>2082.52</v>
      </c>
      <c r="J862" t="s">
        <v>30</v>
      </c>
      <c r="K862">
        <v>0.15</v>
      </c>
      <c r="L862" t="s">
        <v>27</v>
      </c>
      <c r="M862" t="s">
        <v>22</v>
      </c>
      <c r="N862" t="s">
        <v>15</v>
      </c>
      <c r="O862" t="s">
        <v>42</v>
      </c>
      <c r="P862" t="str">
        <f>Table1[[#This Row],[Region]]&amp;"|"&amp;Table1[[#This Row],[Sales Rep]]</f>
        <v>North|Alice</v>
      </c>
    </row>
    <row r="863" spans="1:16" x14ac:dyDescent="0.35">
      <c r="A863">
        <v>1038</v>
      </c>
      <c r="B863" s="1">
        <v>45140</v>
      </c>
      <c r="C863" t="s">
        <v>42</v>
      </c>
      <c r="D863" t="s">
        <v>34</v>
      </c>
      <c r="E863">
        <v>8489.14</v>
      </c>
      <c r="F863">
        <v>43</v>
      </c>
      <c r="G863" t="s">
        <v>16</v>
      </c>
      <c r="H863">
        <v>3031.17</v>
      </c>
      <c r="I863">
        <v>3231.32</v>
      </c>
      <c r="J863" t="s">
        <v>17</v>
      </c>
      <c r="K863">
        <v>0.22</v>
      </c>
      <c r="L863" t="s">
        <v>18</v>
      </c>
      <c r="M863" t="s">
        <v>22</v>
      </c>
      <c r="N863" t="s">
        <v>34</v>
      </c>
      <c r="O863" t="s">
        <v>42</v>
      </c>
      <c r="P863" t="str">
        <f>Table1[[#This Row],[Region]]&amp;"|"&amp;Table1[[#This Row],[Sales Rep]]</f>
        <v>East|Alice</v>
      </c>
    </row>
    <row r="864" spans="1:16" x14ac:dyDescent="0.35">
      <c r="A864">
        <v>1064</v>
      </c>
      <c r="B864" s="1">
        <v>45043</v>
      </c>
      <c r="C864" t="s">
        <v>14</v>
      </c>
      <c r="D864" t="s">
        <v>15</v>
      </c>
      <c r="E864">
        <v>717.7</v>
      </c>
      <c r="F864">
        <v>13</v>
      </c>
      <c r="G864" t="s">
        <v>29</v>
      </c>
      <c r="H864">
        <v>1645.51</v>
      </c>
      <c r="I864">
        <v>2045.53</v>
      </c>
      <c r="J864" t="s">
        <v>17</v>
      </c>
      <c r="K864">
        <v>0.28000000000000003</v>
      </c>
      <c r="L864" t="s">
        <v>18</v>
      </c>
      <c r="M864" t="s">
        <v>22</v>
      </c>
      <c r="N864" t="s">
        <v>15</v>
      </c>
      <c r="O864" t="s">
        <v>14</v>
      </c>
      <c r="P864" t="str">
        <f>Table1[[#This Row],[Region]]&amp;"|"&amp;Table1[[#This Row],[Sales Rep]]</f>
        <v>North|Bob</v>
      </c>
    </row>
    <row r="865" spans="1:16" x14ac:dyDescent="0.35">
      <c r="A865">
        <v>1098</v>
      </c>
      <c r="B865" s="1">
        <v>45270</v>
      </c>
      <c r="C865" t="s">
        <v>38</v>
      </c>
      <c r="D865" t="s">
        <v>34</v>
      </c>
      <c r="E865">
        <v>3419.26</v>
      </c>
      <c r="F865">
        <v>28</v>
      </c>
      <c r="G865" t="s">
        <v>35</v>
      </c>
      <c r="H865">
        <v>3895.62</v>
      </c>
      <c r="I865">
        <v>4055.44</v>
      </c>
      <c r="J865" t="s">
        <v>30</v>
      </c>
      <c r="K865">
        <v>0.03</v>
      </c>
      <c r="L865" t="s">
        <v>27</v>
      </c>
      <c r="M865" t="s">
        <v>22</v>
      </c>
      <c r="N865" t="s">
        <v>34</v>
      </c>
      <c r="O865" t="s">
        <v>38</v>
      </c>
      <c r="P865" t="str">
        <f>Table1[[#This Row],[Region]]&amp;"|"&amp;Table1[[#This Row],[Sales Rep]]</f>
        <v>East|Eve</v>
      </c>
    </row>
    <row r="866" spans="1:16" x14ac:dyDescent="0.35">
      <c r="A866">
        <v>1038</v>
      </c>
      <c r="B866" s="1">
        <v>44998</v>
      </c>
      <c r="C866" t="s">
        <v>24</v>
      </c>
      <c r="D866" t="s">
        <v>15</v>
      </c>
      <c r="E866">
        <v>763.46</v>
      </c>
      <c r="F866">
        <v>9</v>
      </c>
      <c r="G866" t="s">
        <v>29</v>
      </c>
      <c r="H866">
        <v>400.42</v>
      </c>
      <c r="I866">
        <v>446.11</v>
      </c>
      <c r="J866" t="s">
        <v>30</v>
      </c>
      <c r="K866">
        <v>0.01</v>
      </c>
      <c r="L866" t="s">
        <v>27</v>
      </c>
      <c r="M866" t="s">
        <v>22</v>
      </c>
      <c r="N866" t="s">
        <v>15</v>
      </c>
      <c r="O866" t="s">
        <v>24</v>
      </c>
      <c r="P866" t="str">
        <f>Table1[[#This Row],[Region]]&amp;"|"&amp;Table1[[#This Row],[Sales Rep]]</f>
        <v>North|David</v>
      </c>
    </row>
    <row r="867" spans="1:16" x14ac:dyDescent="0.35">
      <c r="A867">
        <v>1050</v>
      </c>
      <c r="B867" s="1">
        <v>44990</v>
      </c>
      <c r="C867" t="s">
        <v>14</v>
      </c>
      <c r="D867" t="s">
        <v>15</v>
      </c>
      <c r="E867">
        <v>9755.9</v>
      </c>
      <c r="F867">
        <v>20</v>
      </c>
      <c r="G867" t="s">
        <v>35</v>
      </c>
      <c r="H867">
        <v>3318.92</v>
      </c>
      <c r="I867">
        <v>3785.91</v>
      </c>
      <c r="J867" t="s">
        <v>30</v>
      </c>
      <c r="K867">
        <v>0.24</v>
      </c>
      <c r="L867" t="s">
        <v>27</v>
      </c>
      <c r="M867" t="s">
        <v>19</v>
      </c>
      <c r="N867" t="s">
        <v>15</v>
      </c>
      <c r="O867" t="s">
        <v>14</v>
      </c>
      <c r="P867" t="str">
        <f>Table1[[#This Row],[Region]]&amp;"|"&amp;Table1[[#This Row],[Sales Rep]]</f>
        <v>North|Bob</v>
      </c>
    </row>
    <row r="868" spans="1:16" x14ac:dyDescent="0.35">
      <c r="A868">
        <v>1098</v>
      </c>
      <c r="B868" s="1">
        <v>45131</v>
      </c>
      <c r="C868" t="s">
        <v>42</v>
      </c>
      <c r="D868" t="s">
        <v>25</v>
      </c>
      <c r="E868">
        <v>8188.04</v>
      </c>
      <c r="F868">
        <v>19</v>
      </c>
      <c r="G868" t="s">
        <v>35</v>
      </c>
      <c r="H868">
        <v>4055.51</v>
      </c>
      <c r="I868">
        <v>4258.84</v>
      </c>
      <c r="J868" t="s">
        <v>17</v>
      </c>
      <c r="K868">
        <v>0.03</v>
      </c>
      <c r="L868" t="s">
        <v>31</v>
      </c>
      <c r="M868" t="s">
        <v>19</v>
      </c>
      <c r="N868" t="s">
        <v>25</v>
      </c>
      <c r="O868" t="s">
        <v>42</v>
      </c>
      <c r="P868" t="str">
        <f>Table1[[#This Row],[Region]]&amp;"|"&amp;Table1[[#This Row],[Sales Rep]]</f>
        <v>South|Alice</v>
      </c>
    </row>
    <row r="869" spans="1:16" x14ac:dyDescent="0.35">
      <c r="A869">
        <v>1082</v>
      </c>
      <c r="B869" s="1">
        <v>45135</v>
      </c>
      <c r="C869" t="s">
        <v>42</v>
      </c>
      <c r="D869" t="s">
        <v>34</v>
      </c>
      <c r="E869">
        <v>8540.2199999999993</v>
      </c>
      <c r="F869">
        <v>48</v>
      </c>
      <c r="G869" t="s">
        <v>26</v>
      </c>
      <c r="H869">
        <v>3380.52</v>
      </c>
      <c r="I869">
        <v>3778.94</v>
      </c>
      <c r="J869" t="s">
        <v>17</v>
      </c>
      <c r="K869">
        <v>0.3</v>
      </c>
      <c r="L869" t="s">
        <v>27</v>
      </c>
      <c r="M869" t="s">
        <v>19</v>
      </c>
      <c r="N869" t="s">
        <v>34</v>
      </c>
      <c r="O869" t="s">
        <v>42</v>
      </c>
      <c r="P869" t="str">
        <f>Table1[[#This Row],[Region]]&amp;"|"&amp;Table1[[#This Row],[Sales Rep]]</f>
        <v>East|Alice</v>
      </c>
    </row>
    <row r="870" spans="1:16" x14ac:dyDescent="0.35">
      <c r="A870">
        <v>1030</v>
      </c>
      <c r="B870" s="1">
        <v>44998</v>
      </c>
      <c r="C870" t="s">
        <v>42</v>
      </c>
      <c r="D870" t="s">
        <v>15</v>
      </c>
      <c r="E870">
        <v>9385.86</v>
      </c>
      <c r="F870">
        <v>39</v>
      </c>
      <c r="G870" t="s">
        <v>26</v>
      </c>
      <c r="H870">
        <v>2511.2800000000002</v>
      </c>
      <c r="I870">
        <v>2658.06</v>
      </c>
      <c r="J870" t="s">
        <v>30</v>
      </c>
      <c r="K870">
        <v>0.19</v>
      </c>
      <c r="L870" t="s">
        <v>31</v>
      </c>
      <c r="M870" t="s">
        <v>22</v>
      </c>
      <c r="N870" t="s">
        <v>15</v>
      </c>
      <c r="O870" t="s">
        <v>42</v>
      </c>
      <c r="P870" t="str">
        <f>Table1[[#This Row],[Region]]&amp;"|"&amp;Table1[[#This Row],[Sales Rep]]</f>
        <v>North|Alice</v>
      </c>
    </row>
    <row r="871" spans="1:16" x14ac:dyDescent="0.35">
      <c r="A871">
        <v>1079</v>
      </c>
      <c r="B871" s="1">
        <v>45203</v>
      </c>
      <c r="C871" t="s">
        <v>38</v>
      </c>
      <c r="D871" t="s">
        <v>34</v>
      </c>
      <c r="E871">
        <v>942.52</v>
      </c>
      <c r="F871">
        <v>12</v>
      </c>
      <c r="G871" t="s">
        <v>26</v>
      </c>
      <c r="H871">
        <v>4754.0200000000004</v>
      </c>
      <c r="I871">
        <v>5080.74</v>
      </c>
      <c r="J871" t="s">
        <v>30</v>
      </c>
      <c r="K871">
        <v>0.2</v>
      </c>
      <c r="L871" t="s">
        <v>18</v>
      </c>
      <c r="M871" t="s">
        <v>19</v>
      </c>
      <c r="N871" t="s">
        <v>34</v>
      </c>
      <c r="O871" t="s">
        <v>38</v>
      </c>
      <c r="P871" t="str">
        <f>Table1[[#This Row],[Region]]&amp;"|"&amp;Table1[[#This Row],[Sales Rep]]</f>
        <v>East|Eve</v>
      </c>
    </row>
    <row r="872" spans="1:16" x14ac:dyDescent="0.35">
      <c r="A872">
        <v>1091</v>
      </c>
      <c r="B872" s="1">
        <v>45200</v>
      </c>
      <c r="C872" t="s">
        <v>38</v>
      </c>
      <c r="D872" t="s">
        <v>34</v>
      </c>
      <c r="E872">
        <v>3917.42</v>
      </c>
      <c r="F872">
        <v>15</v>
      </c>
      <c r="G872" t="s">
        <v>35</v>
      </c>
      <c r="H872">
        <v>1534.7</v>
      </c>
      <c r="I872">
        <v>1972.62</v>
      </c>
      <c r="J872" t="s">
        <v>17</v>
      </c>
      <c r="K872">
        <v>0.06</v>
      </c>
      <c r="L872" t="s">
        <v>31</v>
      </c>
      <c r="M872" t="s">
        <v>22</v>
      </c>
      <c r="N872" t="s">
        <v>34</v>
      </c>
      <c r="O872" t="s">
        <v>38</v>
      </c>
      <c r="P872" t="str">
        <f>Table1[[#This Row],[Region]]&amp;"|"&amp;Table1[[#This Row],[Sales Rep]]</f>
        <v>East|Eve</v>
      </c>
    </row>
    <row r="873" spans="1:16" x14ac:dyDescent="0.35">
      <c r="A873">
        <v>1051</v>
      </c>
      <c r="B873" s="1">
        <v>45246</v>
      </c>
      <c r="C873" t="s">
        <v>14</v>
      </c>
      <c r="D873" t="s">
        <v>21</v>
      </c>
      <c r="E873">
        <v>803.25</v>
      </c>
      <c r="F873">
        <v>31</v>
      </c>
      <c r="G873" t="s">
        <v>16</v>
      </c>
      <c r="H873">
        <v>144.88</v>
      </c>
      <c r="I873">
        <v>175.29</v>
      </c>
      <c r="J873" t="s">
        <v>30</v>
      </c>
      <c r="K873">
        <v>7.0000000000000007E-2</v>
      </c>
      <c r="L873" t="s">
        <v>27</v>
      </c>
      <c r="M873" t="s">
        <v>19</v>
      </c>
      <c r="N873" t="s">
        <v>21</v>
      </c>
      <c r="O873" t="s">
        <v>14</v>
      </c>
      <c r="P873" t="str">
        <f>Table1[[#This Row],[Region]]&amp;"|"&amp;Table1[[#This Row],[Sales Rep]]</f>
        <v>West|Bob</v>
      </c>
    </row>
    <row r="874" spans="1:16" x14ac:dyDescent="0.35">
      <c r="A874">
        <v>1063</v>
      </c>
      <c r="B874" s="1">
        <v>45264</v>
      </c>
      <c r="C874" t="s">
        <v>24</v>
      </c>
      <c r="D874" t="s">
        <v>25</v>
      </c>
      <c r="E874">
        <v>2186.85</v>
      </c>
      <c r="F874">
        <v>14</v>
      </c>
      <c r="G874" t="s">
        <v>29</v>
      </c>
      <c r="H874">
        <v>2188.35</v>
      </c>
      <c r="I874">
        <v>2605.3599999999901</v>
      </c>
      <c r="J874" t="s">
        <v>17</v>
      </c>
      <c r="K874">
        <v>0.2</v>
      </c>
      <c r="L874" t="s">
        <v>31</v>
      </c>
      <c r="M874" t="s">
        <v>22</v>
      </c>
      <c r="N874" t="s">
        <v>25</v>
      </c>
      <c r="O874" t="s">
        <v>24</v>
      </c>
      <c r="P874" t="str">
        <f>Table1[[#This Row],[Region]]&amp;"|"&amp;Table1[[#This Row],[Sales Rep]]</f>
        <v>South|David</v>
      </c>
    </row>
    <row r="875" spans="1:16" x14ac:dyDescent="0.35">
      <c r="A875">
        <v>1098</v>
      </c>
      <c r="B875" s="1">
        <v>45292</v>
      </c>
      <c r="C875" t="s">
        <v>14</v>
      </c>
      <c r="D875" t="s">
        <v>25</v>
      </c>
      <c r="E875">
        <v>2370.7199999999998</v>
      </c>
      <c r="F875">
        <v>11</v>
      </c>
      <c r="G875" t="s">
        <v>29</v>
      </c>
      <c r="H875">
        <v>213.41</v>
      </c>
      <c r="I875">
        <v>503.36</v>
      </c>
      <c r="J875" t="s">
        <v>17</v>
      </c>
      <c r="K875">
        <v>0.27</v>
      </c>
      <c r="L875" t="s">
        <v>27</v>
      </c>
      <c r="M875" t="s">
        <v>19</v>
      </c>
      <c r="N875" t="s">
        <v>25</v>
      </c>
      <c r="O875" t="s">
        <v>14</v>
      </c>
      <c r="P875" t="str">
        <f>Table1[[#This Row],[Region]]&amp;"|"&amp;Table1[[#This Row],[Sales Rep]]</f>
        <v>South|Bob</v>
      </c>
    </row>
    <row r="876" spans="1:16" x14ac:dyDescent="0.35">
      <c r="A876">
        <v>1052</v>
      </c>
      <c r="B876" s="1">
        <v>45021</v>
      </c>
      <c r="C876" t="s">
        <v>33</v>
      </c>
      <c r="D876" t="s">
        <v>25</v>
      </c>
      <c r="E876">
        <v>4744.16</v>
      </c>
      <c r="F876">
        <v>26</v>
      </c>
      <c r="G876" t="s">
        <v>29</v>
      </c>
      <c r="H876">
        <v>4771.99</v>
      </c>
      <c r="I876">
        <v>5079.6499999999996</v>
      </c>
      <c r="J876" t="s">
        <v>30</v>
      </c>
      <c r="K876">
        <v>0.28999999999999998</v>
      </c>
      <c r="L876" t="s">
        <v>31</v>
      </c>
      <c r="M876" t="s">
        <v>19</v>
      </c>
      <c r="N876" t="s">
        <v>25</v>
      </c>
      <c r="O876" t="s">
        <v>33</v>
      </c>
      <c r="P876" t="str">
        <f>Table1[[#This Row],[Region]]&amp;"|"&amp;Table1[[#This Row],[Sales Rep]]</f>
        <v>South|Charlie</v>
      </c>
    </row>
    <row r="877" spans="1:16" x14ac:dyDescent="0.35">
      <c r="A877">
        <v>1038</v>
      </c>
      <c r="B877" s="1">
        <v>45092</v>
      </c>
      <c r="C877" t="s">
        <v>42</v>
      </c>
      <c r="D877" t="s">
        <v>21</v>
      </c>
      <c r="E877">
        <v>2758.77</v>
      </c>
      <c r="F877">
        <v>42</v>
      </c>
      <c r="G877" t="s">
        <v>26</v>
      </c>
      <c r="H877">
        <v>1089.0899999999999</v>
      </c>
      <c r="I877">
        <v>1355.44</v>
      </c>
      <c r="J877" t="s">
        <v>30</v>
      </c>
      <c r="K877">
        <v>0.06</v>
      </c>
      <c r="L877" t="s">
        <v>18</v>
      </c>
      <c r="M877" t="s">
        <v>22</v>
      </c>
      <c r="N877" t="s">
        <v>21</v>
      </c>
      <c r="O877" t="s">
        <v>42</v>
      </c>
      <c r="P877" t="str">
        <f>Table1[[#This Row],[Region]]&amp;"|"&amp;Table1[[#This Row],[Sales Rep]]</f>
        <v>West|Alice</v>
      </c>
    </row>
    <row r="878" spans="1:16" x14ac:dyDescent="0.35">
      <c r="A878">
        <v>1097</v>
      </c>
      <c r="B878" s="1">
        <v>44958</v>
      </c>
      <c r="C878" t="s">
        <v>42</v>
      </c>
      <c r="D878" t="s">
        <v>21</v>
      </c>
      <c r="E878">
        <v>1099.68</v>
      </c>
      <c r="F878">
        <v>27</v>
      </c>
      <c r="G878" t="s">
        <v>35</v>
      </c>
      <c r="H878">
        <v>3955.19</v>
      </c>
      <c r="I878">
        <v>4393.68</v>
      </c>
      <c r="J878" t="s">
        <v>17</v>
      </c>
      <c r="K878">
        <v>0.04</v>
      </c>
      <c r="L878" t="s">
        <v>31</v>
      </c>
      <c r="M878" t="s">
        <v>19</v>
      </c>
      <c r="N878" t="s">
        <v>21</v>
      </c>
      <c r="O878" t="s">
        <v>42</v>
      </c>
      <c r="P878" t="str">
        <f>Table1[[#This Row],[Region]]&amp;"|"&amp;Table1[[#This Row],[Sales Rep]]</f>
        <v>West|Alice</v>
      </c>
    </row>
    <row r="879" spans="1:16" x14ac:dyDescent="0.35">
      <c r="A879">
        <v>1088</v>
      </c>
      <c r="B879" s="1">
        <v>44937</v>
      </c>
      <c r="C879" t="s">
        <v>42</v>
      </c>
      <c r="D879" t="s">
        <v>25</v>
      </c>
      <c r="E879">
        <v>1758.16</v>
      </c>
      <c r="F879">
        <v>11</v>
      </c>
      <c r="G879" t="s">
        <v>26</v>
      </c>
      <c r="H879">
        <v>3884.13</v>
      </c>
      <c r="I879">
        <v>3915.41</v>
      </c>
      <c r="J879" t="s">
        <v>17</v>
      </c>
      <c r="K879">
        <v>0.02</v>
      </c>
      <c r="L879" t="s">
        <v>18</v>
      </c>
      <c r="M879" t="s">
        <v>19</v>
      </c>
      <c r="N879" t="s">
        <v>25</v>
      </c>
      <c r="O879" t="s">
        <v>42</v>
      </c>
      <c r="P879" t="str">
        <f>Table1[[#This Row],[Region]]&amp;"|"&amp;Table1[[#This Row],[Sales Rep]]</f>
        <v>South|Alice</v>
      </c>
    </row>
    <row r="880" spans="1:16" x14ac:dyDescent="0.35">
      <c r="A880">
        <v>1079</v>
      </c>
      <c r="B880" s="1">
        <v>45227</v>
      </c>
      <c r="C880" t="s">
        <v>14</v>
      </c>
      <c r="D880" t="s">
        <v>21</v>
      </c>
      <c r="E880">
        <v>1558.03</v>
      </c>
      <c r="F880">
        <v>38</v>
      </c>
      <c r="G880" t="s">
        <v>16</v>
      </c>
      <c r="H880">
        <v>1127.76</v>
      </c>
      <c r="I880">
        <v>1265.6600000000001</v>
      </c>
      <c r="J880" t="s">
        <v>17</v>
      </c>
      <c r="K880">
        <v>0.26</v>
      </c>
      <c r="L880" t="s">
        <v>27</v>
      </c>
      <c r="M880" t="s">
        <v>22</v>
      </c>
      <c r="N880" t="s">
        <v>21</v>
      </c>
      <c r="O880" t="s">
        <v>14</v>
      </c>
      <c r="P880" t="str">
        <f>Table1[[#This Row],[Region]]&amp;"|"&amp;Table1[[#This Row],[Sales Rep]]</f>
        <v>West|Bob</v>
      </c>
    </row>
    <row r="881" spans="1:16" x14ac:dyDescent="0.35">
      <c r="A881">
        <v>1030</v>
      </c>
      <c r="B881" s="1">
        <v>45143</v>
      </c>
      <c r="C881" t="s">
        <v>14</v>
      </c>
      <c r="D881" t="s">
        <v>21</v>
      </c>
      <c r="E881">
        <v>9733.4599999999991</v>
      </c>
      <c r="F881">
        <v>34</v>
      </c>
      <c r="G881" t="s">
        <v>35</v>
      </c>
      <c r="H881">
        <v>3125.07</v>
      </c>
      <c r="I881">
        <v>3564.19</v>
      </c>
      <c r="J881" t="s">
        <v>17</v>
      </c>
      <c r="K881">
        <v>0.09</v>
      </c>
      <c r="L881" t="s">
        <v>18</v>
      </c>
      <c r="M881" t="s">
        <v>19</v>
      </c>
      <c r="N881" t="s">
        <v>21</v>
      </c>
      <c r="O881" t="s">
        <v>14</v>
      </c>
      <c r="P881" t="str">
        <f>Table1[[#This Row],[Region]]&amp;"|"&amp;Table1[[#This Row],[Sales Rep]]</f>
        <v>West|Bob</v>
      </c>
    </row>
    <row r="882" spans="1:16" x14ac:dyDescent="0.35">
      <c r="A882">
        <v>1051</v>
      </c>
      <c r="B882" s="1">
        <v>45215</v>
      </c>
      <c r="C882" t="s">
        <v>42</v>
      </c>
      <c r="D882" t="s">
        <v>21</v>
      </c>
      <c r="E882">
        <v>7617</v>
      </c>
      <c r="F882">
        <v>43</v>
      </c>
      <c r="G882" t="s">
        <v>29</v>
      </c>
      <c r="H882">
        <v>287.99</v>
      </c>
      <c r="I882">
        <v>666.64</v>
      </c>
      <c r="J882" t="s">
        <v>17</v>
      </c>
      <c r="K882">
        <v>0</v>
      </c>
      <c r="L882" t="s">
        <v>27</v>
      </c>
      <c r="M882" t="s">
        <v>19</v>
      </c>
      <c r="N882" t="s">
        <v>21</v>
      </c>
      <c r="O882" t="s">
        <v>42</v>
      </c>
      <c r="P882" t="str">
        <f>Table1[[#This Row],[Region]]&amp;"|"&amp;Table1[[#This Row],[Sales Rep]]</f>
        <v>West|Alice</v>
      </c>
    </row>
    <row r="883" spans="1:16" x14ac:dyDescent="0.35">
      <c r="A883">
        <v>1081</v>
      </c>
      <c r="B883" s="1">
        <v>45028</v>
      </c>
      <c r="C883" t="s">
        <v>14</v>
      </c>
      <c r="D883" t="s">
        <v>25</v>
      </c>
      <c r="E883">
        <v>9680.84</v>
      </c>
      <c r="F883">
        <v>19</v>
      </c>
      <c r="G883" t="s">
        <v>26</v>
      </c>
      <c r="H883">
        <v>2443.69</v>
      </c>
      <c r="I883">
        <v>2462.34</v>
      </c>
      <c r="J883" t="s">
        <v>30</v>
      </c>
      <c r="K883">
        <v>7.0000000000000007E-2</v>
      </c>
      <c r="L883" t="s">
        <v>27</v>
      </c>
      <c r="M883" t="s">
        <v>22</v>
      </c>
      <c r="N883" t="s">
        <v>25</v>
      </c>
      <c r="O883" t="s">
        <v>14</v>
      </c>
      <c r="P883" t="str">
        <f>Table1[[#This Row],[Region]]&amp;"|"&amp;Table1[[#This Row],[Sales Rep]]</f>
        <v>South|Bob</v>
      </c>
    </row>
    <row r="884" spans="1:16" x14ac:dyDescent="0.35">
      <c r="A884">
        <v>1005</v>
      </c>
      <c r="B884" s="1">
        <v>45193</v>
      </c>
      <c r="C884" t="s">
        <v>38</v>
      </c>
      <c r="D884" t="s">
        <v>25</v>
      </c>
      <c r="E884">
        <v>4453.43</v>
      </c>
      <c r="F884">
        <v>6</v>
      </c>
      <c r="G884" t="s">
        <v>26</v>
      </c>
      <c r="H884">
        <v>122.5</v>
      </c>
      <c r="I884">
        <v>385.83</v>
      </c>
      <c r="J884" t="s">
        <v>17</v>
      </c>
      <c r="K884">
        <v>0.1</v>
      </c>
      <c r="L884" t="s">
        <v>18</v>
      </c>
      <c r="M884" t="s">
        <v>22</v>
      </c>
      <c r="N884" t="s">
        <v>25</v>
      </c>
      <c r="O884" t="s">
        <v>38</v>
      </c>
      <c r="P884" t="str">
        <f>Table1[[#This Row],[Region]]&amp;"|"&amp;Table1[[#This Row],[Sales Rep]]</f>
        <v>South|Eve</v>
      </c>
    </row>
    <row r="885" spans="1:16" x14ac:dyDescent="0.35">
      <c r="A885">
        <v>1029</v>
      </c>
      <c r="B885" s="1">
        <v>45140</v>
      </c>
      <c r="C885" t="s">
        <v>38</v>
      </c>
      <c r="D885" t="s">
        <v>25</v>
      </c>
      <c r="E885">
        <v>2855.85</v>
      </c>
      <c r="F885">
        <v>46</v>
      </c>
      <c r="G885" t="s">
        <v>16</v>
      </c>
      <c r="H885">
        <v>4609.66</v>
      </c>
      <c r="I885">
        <v>4879.1499999999996</v>
      </c>
      <c r="J885" t="s">
        <v>17</v>
      </c>
      <c r="K885">
        <v>0.3</v>
      </c>
      <c r="L885" t="s">
        <v>18</v>
      </c>
      <c r="M885" t="s">
        <v>22</v>
      </c>
      <c r="N885" t="s">
        <v>25</v>
      </c>
      <c r="O885" t="s">
        <v>38</v>
      </c>
      <c r="P885" t="str">
        <f>Table1[[#This Row],[Region]]&amp;"|"&amp;Table1[[#This Row],[Sales Rep]]</f>
        <v>South|Eve</v>
      </c>
    </row>
    <row r="886" spans="1:16" x14ac:dyDescent="0.35">
      <c r="A886">
        <v>1004</v>
      </c>
      <c r="B886" s="1">
        <v>45105</v>
      </c>
      <c r="C886" t="s">
        <v>14</v>
      </c>
      <c r="D886" t="s">
        <v>21</v>
      </c>
      <c r="E886">
        <v>8003.1</v>
      </c>
      <c r="F886">
        <v>38</v>
      </c>
      <c r="G886" t="s">
        <v>16</v>
      </c>
      <c r="H886">
        <v>4881.63</v>
      </c>
      <c r="I886">
        <v>5088.0600000000004</v>
      </c>
      <c r="J886" t="s">
        <v>17</v>
      </c>
      <c r="K886">
        <v>0.16</v>
      </c>
      <c r="L886" t="s">
        <v>31</v>
      </c>
      <c r="M886" t="s">
        <v>22</v>
      </c>
      <c r="N886" t="s">
        <v>21</v>
      </c>
      <c r="O886" t="s">
        <v>14</v>
      </c>
      <c r="P886" t="str">
        <f>Table1[[#This Row],[Region]]&amp;"|"&amp;Table1[[#This Row],[Sales Rep]]</f>
        <v>West|Bob</v>
      </c>
    </row>
    <row r="887" spans="1:16" x14ac:dyDescent="0.35">
      <c r="A887">
        <v>1010</v>
      </c>
      <c r="B887" s="1">
        <v>45014</v>
      </c>
      <c r="C887" t="s">
        <v>42</v>
      </c>
      <c r="D887" t="s">
        <v>25</v>
      </c>
      <c r="E887">
        <v>3329.91</v>
      </c>
      <c r="F887">
        <v>49</v>
      </c>
      <c r="G887" t="s">
        <v>26</v>
      </c>
      <c r="H887">
        <v>1150.3</v>
      </c>
      <c r="I887">
        <v>1306.02</v>
      </c>
      <c r="J887" t="s">
        <v>30</v>
      </c>
      <c r="K887">
        <v>0.06</v>
      </c>
      <c r="L887" t="s">
        <v>31</v>
      </c>
      <c r="M887" t="s">
        <v>22</v>
      </c>
      <c r="N887" t="s">
        <v>25</v>
      </c>
      <c r="O887" t="s">
        <v>42</v>
      </c>
      <c r="P887" t="str">
        <f>Table1[[#This Row],[Region]]&amp;"|"&amp;Table1[[#This Row],[Sales Rep]]</f>
        <v>South|Alice</v>
      </c>
    </row>
    <row r="888" spans="1:16" x14ac:dyDescent="0.35">
      <c r="A888">
        <v>1056</v>
      </c>
      <c r="B888" s="1">
        <v>44967</v>
      </c>
      <c r="C888" t="s">
        <v>14</v>
      </c>
      <c r="D888" t="s">
        <v>21</v>
      </c>
      <c r="E888">
        <v>3063.9</v>
      </c>
      <c r="F888">
        <v>42</v>
      </c>
      <c r="G888" t="s">
        <v>16</v>
      </c>
      <c r="H888">
        <v>1080.1199999999999</v>
      </c>
      <c r="I888">
        <v>1424.1699999999901</v>
      </c>
      <c r="J888" t="s">
        <v>30</v>
      </c>
      <c r="K888">
        <v>0.1</v>
      </c>
      <c r="L888" t="s">
        <v>18</v>
      </c>
      <c r="M888" t="s">
        <v>19</v>
      </c>
      <c r="N888" t="s">
        <v>21</v>
      </c>
      <c r="O888" t="s">
        <v>14</v>
      </c>
      <c r="P888" t="str">
        <f>Table1[[#This Row],[Region]]&amp;"|"&amp;Table1[[#This Row],[Sales Rep]]</f>
        <v>West|Bob</v>
      </c>
    </row>
    <row r="889" spans="1:16" x14ac:dyDescent="0.35">
      <c r="A889">
        <v>1017</v>
      </c>
      <c r="B889" s="1">
        <v>45002</v>
      </c>
      <c r="C889" t="s">
        <v>14</v>
      </c>
      <c r="D889" t="s">
        <v>15</v>
      </c>
      <c r="E889">
        <v>2401.81</v>
      </c>
      <c r="F889">
        <v>28</v>
      </c>
      <c r="G889" t="s">
        <v>29</v>
      </c>
      <c r="H889">
        <v>3780.91</v>
      </c>
      <c r="I889">
        <v>3892.73</v>
      </c>
      <c r="J889" t="s">
        <v>17</v>
      </c>
      <c r="K889">
        <v>0.1</v>
      </c>
      <c r="L889" t="s">
        <v>18</v>
      </c>
      <c r="M889" t="s">
        <v>22</v>
      </c>
      <c r="N889" t="s">
        <v>15</v>
      </c>
      <c r="O889" t="s">
        <v>14</v>
      </c>
      <c r="P889" t="str">
        <f>Table1[[#This Row],[Region]]&amp;"|"&amp;Table1[[#This Row],[Sales Rep]]</f>
        <v>North|Bob</v>
      </c>
    </row>
    <row r="890" spans="1:16" x14ac:dyDescent="0.35">
      <c r="A890">
        <v>1074</v>
      </c>
      <c r="B890" s="1">
        <v>44972</v>
      </c>
      <c r="C890" t="s">
        <v>14</v>
      </c>
      <c r="D890" t="s">
        <v>21</v>
      </c>
      <c r="E890">
        <v>1383.82</v>
      </c>
      <c r="F890">
        <v>1</v>
      </c>
      <c r="G890" t="s">
        <v>16</v>
      </c>
      <c r="H890">
        <v>1304.23</v>
      </c>
      <c r="I890">
        <v>1705.71</v>
      </c>
      <c r="J890" t="s">
        <v>17</v>
      </c>
      <c r="K890">
        <v>0.01</v>
      </c>
      <c r="L890" t="s">
        <v>18</v>
      </c>
      <c r="M890" t="s">
        <v>22</v>
      </c>
      <c r="N890" t="s">
        <v>21</v>
      </c>
      <c r="O890" t="s">
        <v>14</v>
      </c>
      <c r="P890" t="str">
        <f>Table1[[#This Row],[Region]]&amp;"|"&amp;Table1[[#This Row],[Sales Rep]]</f>
        <v>West|Bob</v>
      </c>
    </row>
    <row r="891" spans="1:16" x14ac:dyDescent="0.35">
      <c r="A891">
        <v>1017</v>
      </c>
      <c r="B891" s="1">
        <v>45086</v>
      </c>
      <c r="C891" t="s">
        <v>33</v>
      </c>
      <c r="D891" t="s">
        <v>34</v>
      </c>
      <c r="E891">
        <v>2638.98</v>
      </c>
      <c r="F891">
        <v>35</v>
      </c>
      <c r="G891" t="s">
        <v>16</v>
      </c>
      <c r="H891">
        <v>4480.63</v>
      </c>
      <c r="I891">
        <v>4884.12</v>
      </c>
      <c r="J891" t="s">
        <v>30</v>
      </c>
      <c r="K891">
        <v>0.04</v>
      </c>
      <c r="L891" t="s">
        <v>18</v>
      </c>
      <c r="M891" t="s">
        <v>19</v>
      </c>
      <c r="N891" t="s">
        <v>34</v>
      </c>
      <c r="O891" t="s">
        <v>33</v>
      </c>
      <c r="P891" t="str">
        <f>Table1[[#This Row],[Region]]&amp;"|"&amp;Table1[[#This Row],[Sales Rep]]</f>
        <v>East|Charlie</v>
      </c>
    </row>
    <row r="892" spans="1:16" x14ac:dyDescent="0.35">
      <c r="A892">
        <v>1084</v>
      </c>
      <c r="B892" s="1">
        <v>45006</v>
      </c>
      <c r="C892" t="s">
        <v>38</v>
      </c>
      <c r="D892" t="s">
        <v>25</v>
      </c>
      <c r="E892">
        <v>3617.67</v>
      </c>
      <c r="F892">
        <v>40</v>
      </c>
      <c r="G892" t="s">
        <v>26</v>
      </c>
      <c r="H892">
        <v>2890.95</v>
      </c>
      <c r="I892">
        <v>3104.43</v>
      </c>
      <c r="J892" t="s">
        <v>30</v>
      </c>
      <c r="K892">
        <v>0.21</v>
      </c>
      <c r="L892" t="s">
        <v>27</v>
      </c>
      <c r="M892" t="s">
        <v>19</v>
      </c>
      <c r="N892" t="s">
        <v>25</v>
      </c>
      <c r="O892" t="s">
        <v>38</v>
      </c>
      <c r="P892" t="str">
        <f>Table1[[#This Row],[Region]]&amp;"|"&amp;Table1[[#This Row],[Sales Rep]]</f>
        <v>South|Eve</v>
      </c>
    </row>
    <row r="893" spans="1:16" x14ac:dyDescent="0.35">
      <c r="A893">
        <v>1088</v>
      </c>
      <c r="B893" s="1">
        <v>45236</v>
      </c>
      <c r="C893" t="s">
        <v>24</v>
      </c>
      <c r="D893" t="s">
        <v>25</v>
      </c>
      <c r="E893">
        <v>6772.54</v>
      </c>
      <c r="F893">
        <v>8</v>
      </c>
      <c r="G893" t="s">
        <v>26</v>
      </c>
      <c r="H893">
        <v>1786.35</v>
      </c>
      <c r="I893">
        <v>1935.29</v>
      </c>
      <c r="J893" t="s">
        <v>30</v>
      </c>
      <c r="K893">
        <v>0.04</v>
      </c>
      <c r="L893" t="s">
        <v>18</v>
      </c>
      <c r="M893" t="s">
        <v>19</v>
      </c>
      <c r="N893" t="s">
        <v>25</v>
      </c>
      <c r="O893" t="s">
        <v>24</v>
      </c>
      <c r="P893" t="str">
        <f>Table1[[#This Row],[Region]]&amp;"|"&amp;Table1[[#This Row],[Sales Rep]]</f>
        <v>South|David</v>
      </c>
    </row>
    <row r="894" spans="1:16" x14ac:dyDescent="0.35">
      <c r="A894">
        <v>1069</v>
      </c>
      <c r="B894" s="1">
        <v>45012</v>
      </c>
      <c r="C894" t="s">
        <v>24</v>
      </c>
      <c r="D894" t="s">
        <v>34</v>
      </c>
      <c r="E894">
        <v>719.39</v>
      </c>
      <c r="F894">
        <v>47</v>
      </c>
      <c r="G894" t="s">
        <v>35</v>
      </c>
      <c r="H894">
        <v>4171.83</v>
      </c>
      <c r="I894">
        <v>4320.93</v>
      </c>
      <c r="J894" t="s">
        <v>30</v>
      </c>
      <c r="K894">
        <v>7.0000000000000007E-2</v>
      </c>
      <c r="L894" t="s">
        <v>18</v>
      </c>
      <c r="M894" t="s">
        <v>19</v>
      </c>
      <c r="N894" t="s">
        <v>34</v>
      </c>
      <c r="O894" t="s">
        <v>24</v>
      </c>
      <c r="P894" t="str">
        <f>Table1[[#This Row],[Region]]&amp;"|"&amp;Table1[[#This Row],[Sales Rep]]</f>
        <v>East|David</v>
      </c>
    </row>
    <row r="895" spans="1:16" x14ac:dyDescent="0.35">
      <c r="A895">
        <v>1034</v>
      </c>
      <c r="B895" s="1">
        <v>45018</v>
      </c>
      <c r="C895" t="s">
        <v>33</v>
      </c>
      <c r="D895" t="s">
        <v>21</v>
      </c>
      <c r="E895">
        <v>2184.02</v>
      </c>
      <c r="F895">
        <v>7</v>
      </c>
      <c r="G895" t="s">
        <v>35</v>
      </c>
      <c r="H895">
        <v>2492.36</v>
      </c>
      <c r="I895">
        <v>2738.68</v>
      </c>
      <c r="J895" t="s">
        <v>17</v>
      </c>
      <c r="K895">
        <v>0.11</v>
      </c>
      <c r="L895" t="s">
        <v>18</v>
      </c>
      <c r="M895" t="s">
        <v>19</v>
      </c>
      <c r="N895" t="s">
        <v>21</v>
      </c>
      <c r="O895" t="s">
        <v>33</v>
      </c>
      <c r="P895" t="str">
        <f>Table1[[#This Row],[Region]]&amp;"|"&amp;Table1[[#This Row],[Sales Rep]]</f>
        <v>West|Charlie</v>
      </c>
    </row>
    <row r="896" spans="1:16" x14ac:dyDescent="0.35">
      <c r="A896">
        <v>1006</v>
      </c>
      <c r="B896" s="1">
        <v>45074</v>
      </c>
      <c r="C896" t="s">
        <v>14</v>
      </c>
      <c r="D896" t="s">
        <v>15</v>
      </c>
      <c r="E896">
        <v>8109.33</v>
      </c>
      <c r="F896">
        <v>11</v>
      </c>
      <c r="G896" t="s">
        <v>26</v>
      </c>
      <c r="H896">
        <v>4562.58</v>
      </c>
      <c r="I896">
        <v>4925.17</v>
      </c>
      <c r="J896" t="s">
        <v>30</v>
      </c>
      <c r="K896">
        <v>0.23</v>
      </c>
      <c r="L896" t="s">
        <v>18</v>
      </c>
      <c r="M896" t="s">
        <v>22</v>
      </c>
      <c r="N896" t="s">
        <v>15</v>
      </c>
      <c r="O896" t="s">
        <v>14</v>
      </c>
      <c r="P896" t="str">
        <f>Table1[[#This Row],[Region]]&amp;"|"&amp;Table1[[#This Row],[Sales Rep]]</f>
        <v>North|Bob</v>
      </c>
    </row>
    <row r="897" spans="1:16" x14ac:dyDescent="0.35">
      <c r="A897">
        <v>1053</v>
      </c>
      <c r="B897" s="1">
        <v>45087</v>
      </c>
      <c r="C897" t="s">
        <v>33</v>
      </c>
      <c r="D897" t="s">
        <v>34</v>
      </c>
      <c r="E897">
        <v>1554.53</v>
      </c>
      <c r="F897">
        <v>39</v>
      </c>
      <c r="G897" t="s">
        <v>16</v>
      </c>
      <c r="H897">
        <v>4643.67</v>
      </c>
      <c r="I897">
        <v>4829.5200000000004</v>
      </c>
      <c r="J897" t="s">
        <v>17</v>
      </c>
      <c r="K897">
        <v>0.17</v>
      </c>
      <c r="L897" t="s">
        <v>27</v>
      </c>
      <c r="M897" t="s">
        <v>19</v>
      </c>
      <c r="N897" t="s">
        <v>34</v>
      </c>
      <c r="O897" t="s">
        <v>33</v>
      </c>
      <c r="P897" t="str">
        <f>Table1[[#This Row],[Region]]&amp;"|"&amp;Table1[[#This Row],[Sales Rep]]</f>
        <v>East|Charlie</v>
      </c>
    </row>
    <row r="898" spans="1:16" x14ac:dyDescent="0.35">
      <c r="A898">
        <v>1066</v>
      </c>
      <c r="B898" s="1">
        <v>45128</v>
      </c>
      <c r="C898" t="s">
        <v>33</v>
      </c>
      <c r="D898" t="s">
        <v>34</v>
      </c>
      <c r="E898">
        <v>3492.19</v>
      </c>
      <c r="F898">
        <v>4</v>
      </c>
      <c r="G898" t="s">
        <v>16</v>
      </c>
      <c r="H898">
        <v>868.83</v>
      </c>
      <c r="I898">
        <v>1177.75</v>
      </c>
      <c r="J898" t="s">
        <v>17</v>
      </c>
      <c r="K898">
        <v>0.21</v>
      </c>
      <c r="L898" t="s">
        <v>31</v>
      </c>
      <c r="M898" t="s">
        <v>22</v>
      </c>
      <c r="N898" t="s">
        <v>34</v>
      </c>
      <c r="O898" t="s">
        <v>33</v>
      </c>
      <c r="P898" t="str">
        <f>Table1[[#This Row],[Region]]&amp;"|"&amp;Table1[[#This Row],[Sales Rep]]</f>
        <v>East|Charlie</v>
      </c>
    </row>
    <row r="899" spans="1:16" x14ac:dyDescent="0.35">
      <c r="A899">
        <v>1077</v>
      </c>
      <c r="B899" s="1">
        <v>45168</v>
      </c>
      <c r="C899" t="s">
        <v>42</v>
      </c>
      <c r="D899" t="s">
        <v>21</v>
      </c>
      <c r="E899">
        <v>8660.1200000000008</v>
      </c>
      <c r="F899">
        <v>25</v>
      </c>
      <c r="G899" t="s">
        <v>35</v>
      </c>
      <c r="H899">
        <v>61.5</v>
      </c>
      <c r="I899">
        <v>258.91999999999899</v>
      </c>
      <c r="J899" t="s">
        <v>30</v>
      </c>
      <c r="K899">
        <v>0.17</v>
      </c>
      <c r="L899" t="s">
        <v>31</v>
      </c>
      <c r="M899" t="s">
        <v>19</v>
      </c>
      <c r="N899" t="s">
        <v>21</v>
      </c>
      <c r="O899" t="s">
        <v>42</v>
      </c>
      <c r="P899" t="str">
        <f>Table1[[#This Row],[Region]]&amp;"|"&amp;Table1[[#This Row],[Sales Rep]]</f>
        <v>West|Alice</v>
      </c>
    </row>
    <row r="900" spans="1:16" x14ac:dyDescent="0.35">
      <c r="A900">
        <v>1043</v>
      </c>
      <c r="B900" s="1">
        <v>45279</v>
      </c>
      <c r="C900" t="s">
        <v>38</v>
      </c>
      <c r="D900" t="s">
        <v>25</v>
      </c>
      <c r="E900">
        <v>1633.76</v>
      </c>
      <c r="F900">
        <v>12</v>
      </c>
      <c r="G900" t="s">
        <v>35</v>
      </c>
      <c r="H900">
        <v>4920.46</v>
      </c>
      <c r="I900">
        <v>5079.68</v>
      </c>
      <c r="J900" t="s">
        <v>30</v>
      </c>
      <c r="K900">
        <v>0.21</v>
      </c>
      <c r="L900" t="s">
        <v>31</v>
      </c>
      <c r="M900" t="s">
        <v>22</v>
      </c>
      <c r="N900" t="s">
        <v>25</v>
      </c>
      <c r="O900" t="s">
        <v>38</v>
      </c>
      <c r="P900" t="str">
        <f>Table1[[#This Row],[Region]]&amp;"|"&amp;Table1[[#This Row],[Sales Rep]]</f>
        <v>South|Eve</v>
      </c>
    </row>
    <row r="901" spans="1:16" x14ac:dyDescent="0.35">
      <c r="A901">
        <v>1075</v>
      </c>
      <c r="B901" s="1">
        <v>44928</v>
      </c>
      <c r="C901" t="s">
        <v>24</v>
      </c>
      <c r="D901" t="s">
        <v>21</v>
      </c>
      <c r="E901">
        <v>919.09</v>
      </c>
      <c r="F901">
        <v>26</v>
      </c>
      <c r="G901" t="s">
        <v>35</v>
      </c>
      <c r="H901">
        <v>4535.38</v>
      </c>
      <c r="I901">
        <v>4557.5600000000004</v>
      </c>
      <c r="J901" t="s">
        <v>30</v>
      </c>
      <c r="K901">
        <v>0</v>
      </c>
      <c r="L901" t="s">
        <v>31</v>
      </c>
      <c r="M901" t="s">
        <v>19</v>
      </c>
      <c r="N901" t="s">
        <v>21</v>
      </c>
      <c r="O901" t="s">
        <v>24</v>
      </c>
      <c r="P901" t="str">
        <f>Table1[[#This Row],[Region]]&amp;"|"&amp;Table1[[#This Row],[Sales Rep]]</f>
        <v>West|David</v>
      </c>
    </row>
    <row r="902" spans="1:16" x14ac:dyDescent="0.35">
      <c r="A902">
        <v>1023</v>
      </c>
      <c r="B902" s="1">
        <v>45151</v>
      </c>
      <c r="C902" t="s">
        <v>14</v>
      </c>
      <c r="D902" t="s">
        <v>34</v>
      </c>
      <c r="E902">
        <v>4896.93</v>
      </c>
      <c r="F902">
        <v>38</v>
      </c>
      <c r="G902" t="s">
        <v>29</v>
      </c>
      <c r="H902">
        <v>324.45</v>
      </c>
      <c r="I902">
        <v>336.37</v>
      </c>
      <c r="J902" t="s">
        <v>30</v>
      </c>
      <c r="K902">
        <v>0.28000000000000003</v>
      </c>
      <c r="L902" t="s">
        <v>31</v>
      </c>
      <c r="M902" t="s">
        <v>22</v>
      </c>
      <c r="N902" t="s">
        <v>34</v>
      </c>
      <c r="O902" t="s">
        <v>14</v>
      </c>
      <c r="P902" t="str">
        <f>Table1[[#This Row],[Region]]&amp;"|"&amp;Table1[[#This Row],[Sales Rep]]</f>
        <v>East|Bob</v>
      </c>
    </row>
    <row r="903" spans="1:16" x14ac:dyDescent="0.35">
      <c r="A903">
        <v>1055</v>
      </c>
      <c r="B903" s="1">
        <v>45215</v>
      </c>
      <c r="C903" t="s">
        <v>24</v>
      </c>
      <c r="D903" t="s">
        <v>34</v>
      </c>
      <c r="E903">
        <v>3093.95</v>
      </c>
      <c r="F903">
        <v>46</v>
      </c>
      <c r="G903" t="s">
        <v>29</v>
      </c>
      <c r="H903">
        <v>4173.5200000000004</v>
      </c>
      <c r="I903">
        <v>4294.8500000000004</v>
      </c>
      <c r="J903" t="s">
        <v>17</v>
      </c>
      <c r="K903">
        <v>0.03</v>
      </c>
      <c r="L903" t="s">
        <v>27</v>
      </c>
      <c r="M903" t="s">
        <v>22</v>
      </c>
      <c r="N903" t="s">
        <v>34</v>
      </c>
      <c r="O903" t="s">
        <v>24</v>
      </c>
      <c r="P903" t="str">
        <f>Table1[[#This Row],[Region]]&amp;"|"&amp;Table1[[#This Row],[Sales Rep]]</f>
        <v>East|David</v>
      </c>
    </row>
    <row r="904" spans="1:16" x14ac:dyDescent="0.35">
      <c r="A904">
        <v>1080</v>
      </c>
      <c r="B904" s="1">
        <v>45159</v>
      </c>
      <c r="C904" t="s">
        <v>24</v>
      </c>
      <c r="D904" t="s">
        <v>25</v>
      </c>
      <c r="E904">
        <v>5677.74</v>
      </c>
      <c r="F904">
        <v>12</v>
      </c>
      <c r="G904" t="s">
        <v>35</v>
      </c>
      <c r="H904">
        <v>2316.13</v>
      </c>
      <c r="I904">
        <v>2525.27</v>
      </c>
      <c r="J904" t="s">
        <v>17</v>
      </c>
      <c r="K904">
        <v>0.12</v>
      </c>
      <c r="L904" t="s">
        <v>31</v>
      </c>
      <c r="M904" t="s">
        <v>22</v>
      </c>
      <c r="N904" t="s">
        <v>25</v>
      </c>
      <c r="O904" t="s">
        <v>24</v>
      </c>
      <c r="P904" t="str">
        <f>Table1[[#This Row],[Region]]&amp;"|"&amp;Table1[[#This Row],[Sales Rep]]</f>
        <v>South|David</v>
      </c>
    </row>
    <row r="905" spans="1:16" x14ac:dyDescent="0.35">
      <c r="A905">
        <v>1095</v>
      </c>
      <c r="B905" s="1">
        <v>45003</v>
      </c>
      <c r="C905" t="s">
        <v>38</v>
      </c>
      <c r="D905" t="s">
        <v>25</v>
      </c>
      <c r="E905">
        <v>8057.67</v>
      </c>
      <c r="F905">
        <v>43</v>
      </c>
      <c r="G905" t="s">
        <v>16</v>
      </c>
      <c r="H905">
        <v>1331.86</v>
      </c>
      <c r="I905">
        <v>1758.98</v>
      </c>
      <c r="J905" t="s">
        <v>17</v>
      </c>
      <c r="K905">
        <v>0.23</v>
      </c>
      <c r="L905" t="s">
        <v>27</v>
      </c>
      <c r="M905" t="s">
        <v>22</v>
      </c>
      <c r="N905" t="s">
        <v>25</v>
      </c>
      <c r="O905" t="s">
        <v>38</v>
      </c>
      <c r="P905" t="str">
        <f>Table1[[#This Row],[Region]]&amp;"|"&amp;Table1[[#This Row],[Sales Rep]]</f>
        <v>South|Eve</v>
      </c>
    </row>
    <row r="906" spans="1:16" x14ac:dyDescent="0.35">
      <c r="A906">
        <v>1075</v>
      </c>
      <c r="B906" s="1">
        <v>45042</v>
      </c>
      <c r="C906" t="s">
        <v>24</v>
      </c>
      <c r="D906" t="s">
        <v>25</v>
      </c>
      <c r="E906">
        <v>1457.77</v>
      </c>
      <c r="F906">
        <v>37</v>
      </c>
      <c r="G906" t="s">
        <v>35</v>
      </c>
      <c r="H906">
        <v>4399.8</v>
      </c>
      <c r="I906">
        <v>4801.0600000000004</v>
      </c>
      <c r="J906" t="s">
        <v>30</v>
      </c>
      <c r="K906">
        <v>0.13</v>
      </c>
      <c r="L906" t="s">
        <v>27</v>
      </c>
      <c r="M906" t="s">
        <v>22</v>
      </c>
      <c r="N906" t="s">
        <v>25</v>
      </c>
      <c r="O906" t="s">
        <v>24</v>
      </c>
      <c r="P906" t="str">
        <f>Table1[[#This Row],[Region]]&amp;"|"&amp;Table1[[#This Row],[Sales Rep]]</f>
        <v>South|David</v>
      </c>
    </row>
    <row r="907" spans="1:16" x14ac:dyDescent="0.35">
      <c r="A907">
        <v>1016</v>
      </c>
      <c r="B907" s="1">
        <v>45080</v>
      </c>
      <c r="C907" t="s">
        <v>24</v>
      </c>
      <c r="D907" t="s">
        <v>21</v>
      </c>
      <c r="E907">
        <v>5848.92</v>
      </c>
      <c r="F907">
        <v>46</v>
      </c>
      <c r="G907" t="s">
        <v>29</v>
      </c>
      <c r="H907">
        <v>1023.5</v>
      </c>
      <c r="I907">
        <v>1164.4100000000001</v>
      </c>
      <c r="J907" t="s">
        <v>17</v>
      </c>
      <c r="K907">
        <v>0.28000000000000003</v>
      </c>
      <c r="L907" t="s">
        <v>31</v>
      </c>
      <c r="M907" t="s">
        <v>22</v>
      </c>
      <c r="N907" t="s">
        <v>21</v>
      </c>
      <c r="O907" t="s">
        <v>24</v>
      </c>
      <c r="P907" t="str">
        <f>Table1[[#This Row],[Region]]&amp;"|"&amp;Table1[[#This Row],[Sales Rep]]</f>
        <v>West|David</v>
      </c>
    </row>
    <row r="908" spans="1:16" x14ac:dyDescent="0.35">
      <c r="A908">
        <v>1008</v>
      </c>
      <c r="B908" s="1">
        <v>45029</v>
      </c>
      <c r="C908" t="s">
        <v>33</v>
      </c>
      <c r="D908" t="s">
        <v>25</v>
      </c>
      <c r="E908">
        <v>5104.54</v>
      </c>
      <c r="F908">
        <v>24</v>
      </c>
      <c r="G908" t="s">
        <v>16</v>
      </c>
      <c r="H908">
        <v>4739.13</v>
      </c>
      <c r="I908">
        <v>4868.95</v>
      </c>
      <c r="J908" t="s">
        <v>30</v>
      </c>
      <c r="K908">
        <v>0.14000000000000001</v>
      </c>
      <c r="L908" t="s">
        <v>31</v>
      </c>
      <c r="M908" t="s">
        <v>22</v>
      </c>
      <c r="N908" t="s">
        <v>25</v>
      </c>
      <c r="O908" t="s">
        <v>33</v>
      </c>
      <c r="P908" t="str">
        <f>Table1[[#This Row],[Region]]&amp;"|"&amp;Table1[[#This Row],[Sales Rep]]</f>
        <v>South|Charlie</v>
      </c>
    </row>
    <row r="909" spans="1:16" x14ac:dyDescent="0.35">
      <c r="A909">
        <v>1004</v>
      </c>
      <c r="B909" s="1">
        <v>45120</v>
      </c>
      <c r="C909" t="s">
        <v>38</v>
      </c>
      <c r="D909" t="s">
        <v>34</v>
      </c>
      <c r="E909">
        <v>1526.38</v>
      </c>
      <c r="F909">
        <v>16</v>
      </c>
      <c r="G909" t="s">
        <v>29</v>
      </c>
      <c r="H909">
        <v>1067.83</v>
      </c>
      <c r="I909">
        <v>1189.22</v>
      </c>
      <c r="J909" t="s">
        <v>17</v>
      </c>
      <c r="K909">
        <v>0.26</v>
      </c>
      <c r="L909" t="s">
        <v>31</v>
      </c>
      <c r="M909" t="s">
        <v>22</v>
      </c>
      <c r="N909" t="s">
        <v>34</v>
      </c>
      <c r="O909" t="s">
        <v>38</v>
      </c>
      <c r="P909" t="str">
        <f>Table1[[#This Row],[Region]]&amp;"|"&amp;Table1[[#This Row],[Sales Rep]]</f>
        <v>East|Eve</v>
      </c>
    </row>
    <row r="910" spans="1:16" x14ac:dyDescent="0.35">
      <c r="A910">
        <v>1004</v>
      </c>
      <c r="B910" s="1">
        <v>45092</v>
      </c>
      <c r="C910" t="s">
        <v>42</v>
      </c>
      <c r="D910" t="s">
        <v>34</v>
      </c>
      <c r="E910">
        <v>6277.59</v>
      </c>
      <c r="F910">
        <v>13</v>
      </c>
      <c r="G910" t="s">
        <v>16</v>
      </c>
      <c r="H910">
        <v>3087.73</v>
      </c>
      <c r="I910">
        <v>3263.96</v>
      </c>
      <c r="J910" t="s">
        <v>30</v>
      </c>
      <c r="K910">
        <v>0.24</v>
      </c>
      <c r="L910" t="s">
        <v>18</v>
      </c>
      <c r="M910" t="s">
        <v>22</v>
      </c>
      <c r="N910" t="s">
        <v>34</v>
      </c>
      <c r="O910" t="s">
        <v>42</v>
      </c>
      <c r="P910" t="str">
        <f>Table1[[#This Row],[Region]]&amp;"|"&amp;Table1[[#This Row],[Sales Rep]]</f>
        <v>East|Alice</v>
      </c>
    </row>
    <row r="911" spans="1:16" x14ac:dyDescent="0.35">
      <c r="A911">
        <v>1056</v>
      </c>
      <c r="B911" s="1">
        <v>45285</v>
      </c>
      <c r="C911" t="s">
        <v>14</v>
      </c>
      <c r="D911" t="s">
        <v>15</v>
      </c>
      <c r="E911">
        <v>2809.04</v>
      </c>
      <c r="F911">
        <v>25</v>
      </c>
      <c r="G911" t="s">
        <v>29</v>
      </c>
      <c r="H911">
        <v>1154.28</v>
      </c>
      <c r="I911">
        <v>1408.4</v>
      </c>
      <c r="J911" t="s">
        <v>17</v>
      </c>
      <c r="K911">
        <v>0.28999999999999998</v>
      </c>
      <c r="L911" t="s">
        <v>27</v>
      </c>
      <c r="M911" t="s">
        <v>22</v>
      </c>
      <c r="N911" t="s">
        <v>15</v>
      </c>
      <c r="O911" t="s">
        <v>14</v>
      </c>
      <c r="P911" t="str">
        <f>Table1[[#This Row],[Region]]&amp;"|"&amp;Table1[[#This Row],[Sales Rep]]</f>
        <v>North|Bob</v>
      </c>
    </row>
    <row r="912" spans="1:16" x14ac:dyDescent="0.35">
      <c r="A912">
        <v>1025</v>
      </c>
      <c r="B912" s="1">
        <v>45016</v>
      </c>
      <c r="C912" t="s">
        <v>24</v>
      </c>
      <c r="D912" t="s">
        <v>21</v>
      </c>
      <c r="E912">
        <v>4929.5600000000004</v>
      </c>
      <c r="F912">
        <v>4</v>
      </c>
      <c r="G912" t="s">
        <v>16</v>
      </c>
      <c r="H912">
        <v>2751.06</v>
      </c>
      <c r="I912">
        <v>2976.0099999999902</v>
      </c>
      <c r="J912" t="s">
        <v>17</v>
      </c>
      <c r="K912">
        <v>0.28000000000000003</v>
      </c>
      <c r="L912" t="s">
        <v>31</v>
      </c>
      <c r="M912" t="s">
        <v>19</v>
      </c>
      <c r="N912" t="s">
        <v>21</v>
      </c>
      <c r="O912" t="s">
        <v>24</v>
      </c>
      <c r="P912" t="str">
        <f>Table1[[#This Row],[Region]]&amp;"|"&amp;Table1[[#This Row],[Sales Rep]]</f>
        <v>West|David</v>
      </c>
    </row>
    <row r="913" spans="1:16" x14ac:dyDescent="0.35">
      <c r="A913">
        <v>1067</v>
      </c>
      <c r="B913" s="1">
        <v>45100</v>
      </c>
      <c r="C913" t="s">
        <v>14</v>
      </c>
      <c r="D913" t="s">
        <v>15</v>
      </c>
      <c r="E913">
        <v>914.5</v>
      </c>
      <c r="F913">
        <v>11</v>
      </c>
      <c r="G913" t="s">
        <v>16</v>
      </c>
      <c r="H913">
        <v>3435.68</v>
      </c>
      <c r="I913">
        <v>3552.6299999999901</v>
      </c>
      <c r="J913" t="s">
        <v>30</v>
      </c>
      <c r="K913">
        <v>0.27</v>
      </c>
      <c r="L913" t="s">
        <v>18</v>
      </c>
      <c r="M913" t="s">
        <v>22</v>
      </c>
      <c r="N913" t="s">
        <v>15</v>
      </c>
      <c r="O913" t="s">
        <v>14</v>
      </c>
      <c r="P913" t="str">
        <f>Table1[[#This Row],[Region]]&amp;"|"&amp;Table1[[#This Row],[Sales Rep]]</f>
        <v>North|Bob</v>
      </c>
    </row>
    <row r="914" spans="1:16" x14ac:dyDescent="0.35">
      <c r="A914">
        <v>1096</v>
      </c>
      <c r="B914" s="1">
        <v>45048</v>
      </c>
      <c r="C914" t="s">
        <v>42</v>
      </c>
      <c r="D914" t="s">
        <v>34</v>
      </c>
      <c r="E914">
        <v>4649.88</v>
      </c>
      <c r="F914">
        <v>32</v>
      </c>
      <c r="G914" t="s">
        <v>16</v>
      </c>
      <c r="H914">
        <v>991.63</v>
      </c>
      <c r="I914">
        <v>1065.55</v>
      </c>
      <c r="J914" t="s">
        <v>17</v>
      </c>
      <c r="K914">
        <v>0.22</v>
      </c>
      <c r="L914" t="s">
        <v>27</v>
      </c>
      <c r="M914" t="s">
        <v>22</v>
      </c>
      <c r="N914" t="s">
        <v>34</v>
      </c>
      <c r="O914" t="s">
        <v>42</v>
      </c>
      <c r="P914" t="str">
        <f>Table1[[#This Row],[Region]]&amp;"|"&amp;Table1[[#This Row],[Sales Rep]]</f>
        <v>East|Alice</v>
      </c>
    </row>
    <row r="915" spans="1:16" x14ac:dyDescent="0.35">
      <c r="A915">
        <v>1067</v>
      </c>
      <c r="B915" s="1">
        <v>45069</v>
      </c>
      <c r="C915" t="s">
        <v>14</v>
      </c>
      <c r="D915" t="s">
        <v>15</v>
      </c>
      <c r="E915">
        <v>3133.99</v>
      </c>
      <c r="F915">
        <v>49</v>
      </c>
      <c r="G915" t="s">
        <v>16</v>
      </c>
      <c r="H915">
        <v>2628.38</v>
      </c>
      <c r="I915">
        <v>2644.54</v>
      </c>
      <c r="J915" t="s">
        <v>17</v>
      </c>
      <c r="K915">
        <v>0.11</v>
      </c>
      <c r="L915" t="s">
        <v>18</v>
      </c>
      <c r="M915" t="s">
        <v>19</v>
      </c>
      <c r="N915" t="s">
        <v>15</v>
      </c>
      <c r="O915" t="s">
        <v>14</v>
      </c>
      <c r="P915" t="str">
        <f>Table1[[#This Row],[Region]]&amp;"|"&amp;Table1[[#This Row],[Sales Rep]]</f>
        <v>North|Bob</v>
      </c>
    </row>
    <row r="916" spans="1:16" x14ac:dyDescent="0.35">
      <c r="A916">
        <v>1027</v>
      </c>
      <c r="B916" s="1">
        <v>45032</v>
      </c>
      <c r="C916" t="s">
        <v>42</v>
      </c>
      <c r="D916" t="s">
        <v>34</v>
      </c>
      <c r="E916">
        <v>8241.57</v>
      </c>
      <c r="F916">
        <v>7</v>
      </c>
      <c r="G916" t="s">
        <v>26</v>
      </c>
      <c r="H916">
        <v>2371.85</v>
      </c>
      <c r="I916">
        <v>2457.29</v>
      </c>
      <c r="J916" t="s">
        <v>30</v>
      </c>
      <c r="K916">
        <v>0.03</v>
      </c>
      <c r="L916" t="s">
        <v>18</v>
      </c>
      <c r="M916" t="s">
        <v>22</v>
      </c>
      <c r="N916" t="s">
        <v>34</v>
      </c>
      <c r="O916" t="s">
        <v>42</v>
      </c>
      <c r="P916" t="str">
        <f>Table1[[#This Row],[Region]]&amp;"|"&amp;Table1[[#This Row],[Sales Rep]]</f>
        <v>East|Alice</v>
      </c>
    </row>
    <row r="917" spans="1:16" x14ac:dyDescent="0.35">
      <c r="A917">
        <v>1093</v>
      </c>
      <c r="B917" s="1">
        <v>45231</v>
      </c>
      <c r="C917" t="s">
        <v>33</v>
      </c>
      <c r="D917" t="s">
        <v>15</v>
      </c>
      <c r="E917">
        <v>664.09</v>
      </c>
      <c r="F917">
        <v>46</v>
      </c>
      <c r="G917" t="s">
        <v>29</v>
      </c>
      <c r="H917">
        <v>401.64</v>
      </c>
      <c r="I917">
        <v>757.26</v>
      </c>
      <c r="J917" t="s">
        <v>30</v>
      </c>
      <c r="K917">
        <v>0.21</v>
      </c>
      <c r="L917" t="s">
        <v>31</v>
      </c>
      <c r="M917" t="s">
        <v>22</v>
      </c>
      <c r="N917" t="s">
        <v>15</v>
      </c>
      <c r="O917" t="s">
        <v>33</v>
      </c>
      <c r="P917" t="str">
        <f>Table1[[#This Row],[Region]]&amp;"|"&amp;Table1[[#This Row],[Sales Rep]]</f>
        <v>North|Charlie</v>
      </c>
    </row>
    <row r="918" spans="1:16" x14ac:dyDescent="0.35">
      <c r="A918">
        <v>1032</v>
      </c>
      <c r="B918" s="1">
        <v>45286</v>
      </c>
      <c r="C918" t="s">
        <v>24</v>
      </c>
      <c r="D918" t="s">
        <v>25</v>
      </c>
      <c r="E918">
        <v>4244.21</v>
      </c>
      <c r="F918">
        <v>11</v>
      </c>
      <c r="G918" t="s">
        <v>29</v>
      </c>
      <c r="H918">
        <v>4100.62</v>
      </c>
      <c r="I918">
        <v>4230</v>
      </c>
      <c r="J918" t="s">
        <v>30</v>
      </c>
      <c r="K918">
        <v>0.28999999999999998</v>
      </c>
      <c r="L918" t="s">
        <v>27</v>
      </c>
      <c r="M918" t="s">
        <v>19</v>
      </c>
      <c r="N918" t="s">
        <v>25</v>
      </c>
      <c r="O918" t="s">
        <v>24</v>
      </c>
      <c r="P918" t="str">
        <f>Table1[[#This Row],[Region]]&amp;"|"&amp;Table1[[#This Row],[Sales Rep]]</f>
        <v>South|David</v>
      </c>
    </row>
    <row r="919" spans="1:16" x14ac:dyDescent="0.35">
      <c r="A919">
        <v>1050</v>
      </c>
      <c r="B919" s="1">
        <v>45243</v>
      </c>
      <c r="C919" t="s">
        <v>42</v>
      </c>
      <c r="D919" t="s">
        <v>15</v>
      </c>
      <c r="E919">
        <v>4638.47</v>
      </c>
      <c r="F919">
        <v>28</v>
      </c>
      <c r="G919" t="s">
        <v>26</v>
      </c>
      <c r="H919">
        <v>1711.63</v>
      </c>
      <c r="I919">
        <v>1951.24</v>
      </c>
      <c r="J919" t="s">
        <v>30</v>
      </c>
      <c r="K919">
        <v>0.22</v>
      </c>
      <c r="L919" t="s">
        <v>18</v>
      </c>
      <c r="M919" t="s">
        <v>19</v>
      </c>
      <c r="N919" t="s">
        <v>15</v>
      </c>
      <c r="O919" t="s">
        <v>42</v>
      </c>
      <c r="P919" t="str">
        <f>Table1[[#This Row],[Region]]&amp;"|"&amp;Table1[[#This Row],[Sales Rep]]</f>
        <v>North|Alice</v>
      </c>
    </row>
    <row r="920" spans="1:16" x14ac:dyDescent="0.35">
      <c r="A920">
        <v>1061</v>
      </c>
      <c r="B920" s="1">
        <v>45049</v>
      </c>
      <c r="C920" t="s">
        <v>14</v>
      </c>
      <c r="D920" t="s">
        <v>25</v>
      </c>
      <c r="E920">
        <v>7277.56</v>
      </c>
      <c r="F920">
        <v>41</v>
      </c>
      <c r="G920" t="s">
        <v>16</v>
      </c>
      <c r="H920">
        <v>2894.18</v>
      </c>
      <c r="I920">
        <v>3193.92</v>
      </c>
      <c r="J920" t="s">
        <v>30</v>
      </c>
      <c r="K920">
        <v>0.28000000000000003</v>
      </c>
      <c r="L920" t="s">
        <v>27</v>
      </c>
      <c r="M920" t="s">
        <v>22</v>
      </c>
      <c r="N920" t="s">
        <v>25</v>
      </c>
      <c r="O920" t="s">
        <v>14</v>
      </c>
      <c r="P920" t="str">
        <f>Table1[[#This Row],[Region]]&amp;"|"&amp;Table1[[#This Row],[Sales Rep]]</f>
        <v>South|Bob</v>
      </c>
    </row>
    <row r="921" spans="1:16" x14ac:dyDescent="0.35">
      <c r="A921">
        <v>1051</v>
      </c>
      <c r="B921" s="1">
        <v>44935</v>
      </c>
      <c r="C921" t="s">
        <v>24</v>
      </c>
      <c r="D921" t="s">
        <v>25</v>
      </c>
      <c r="E921">
        <v>5785.45</v>
      </c>
      <c r="F921">
        <v>23</v>
      </c>
      <c r="G921" t="s">
        <v>16</v>
      </c>
      <c r="H921">
        <v>2598.1799999999998</v>
      </c>
      <c r="I921">
        <v>3042.73</v>
      </c>
      <c r="J921" t="s">
        <v>17</v>
      </c>
      <c r="K921">
        <v>0.24</v>
      </c>
      <c r="L921" t="s">
        <v>31</v>
      </c>
      <c r="M921" t="s">
        <v>19</v>
      </c>
      <c r="N921" t="s">
        <v>25</v>
      </c>
      <c r="O921" t="s">
        <v>24</v>
      </c>
      <c r="P921" t="str">
        <f>Table1[[#This Row],[Region]]&amp;"|"&amp;Table1[[#This Row],[Sales Rep]]</f>
        <v>South|David</v>
      </c>
    </row>
    <row r="922" spans="1:16" x14ac:dyDescent="0.35">
      <c r="A922">
        <v>1019</v>
      </c>
      <c r="B922" s="1">
        <v>45188</v>
      </c>
      <c r="C922" t="s">
        <v>33</v>
      </c>
      <c r="D922" t="s">
        <v>21</v>
      </c>
      <c r="E922">
        <v>6705.4</v>
      </c>
      <c r="F922">
        <v>45</v>
      </c>
      <c r="G922" t="s">
        <v>29</v>
      </c>
      <c r="H922">
        <v>2590.64</v>
      </c>
      <c r="I922">
        <v>3036.18</v>
      </c>
      <c r="J922" t="s">
        <v>30</v>
      </c>
      <c r="K922">
        <v>0.05</v>
      </c>
      <c r="L922" t="s">
        <v>27</v>
      </c>
      <c r="M922" t="s">
        <v>22</v>
      </c>
      <c r="N922" t="s">
        <v>21</v>
      </c>
      <c r="O922" t="s">
        <v>33</v>
      </c>
      <c r="P922" t="str">
        <f>Table1[[#This Row],[Region]]&amp;"|"&amp;Table1[[#This Row],[Sales Rep]]</f>
        <v>West|Charlie</v>
      </c>
    </row>
    <row r="923" spans="1:16" x14ac:dyDescent="0.35">
      <c r="A923">
        <v>1021</v>
      </c>
      <c r="B923" s="1">
        <v>44999</v>
      </c>
      <c r="C923" t="s">
        <v>24</v>
      </c>
      <c r="D923" t="s">
        <v>25</v>
      </c>
      <c r="E923">
        <v>7792.79</v>
      </c>
      <c r="F923">
        <v>23</v>
      </c>
      <c r="G923" t="s">
        <v>26</v>
      </c>
      <c r="H923">
        <v>580.75</v>
      </c>
      <c r="I923">
        <v>956.16</v>
      </c>
      <c r="J923" t="s">
        <v>17</v>
      </c>
      <c r="K923">
        <v>7.0000000000000007E-2</v>
      </c>
      <c r="L923" t="s">
        <v>18</v>
      </c>
      <c r="M923" t="s">
        <v>22</v>
      </c>
      <c r="N923" t="s">
        <v>25</v>
      </c>
      <c r="O923" t="s">
        <v>24</v>
      </c>
      <c r="P923" t="str">
        <f>Table1[[#This Row],[Region]]&amp;"|"&amp;Table1[[#This Row],[Sales Rep]]</f>
        <v>South|David</v>
      </c>
    </row>
    <row r="924" spans="1:16" x14ac:dyDescent="0.35">
      <c r="A924">
        <v>1005</v>
      </c>
      <c r="B924" s="1">
        <v>45285</v>
      </c>
      <c r="C924" t="s">
        <v>42</v>
      </c>
      <c r="D924" t="s">
        <v>25</v>
      </c>
      <c r="E924">
        <v>8635.81</v>
      </c>
      <c r="F924">
        <v>28</v>
      </c>
      <c r="G924" t="s">
        <v>16</v>
      </c>
      <c r="H924">
        <v>2146.2399999999998</v>
      </c>
      <c r="I924">
        <v>2173.4699999999998</v>
      </c>
      <c r="J924" t="s">
        <v>17</v>
      </c>
      <c r="K924">
        <v>0.1</v>
      </c>
      <c r="L924" t="s">
        <v>18</v>
      </c>
      <c r="M924" t="s">
        <v>22</v>
      </c>
      <c r="N924" t="s">
        <v>25</v>
      </c>
      <c r="O924" t="s">
        <v>42</v>
      </c>
      <c r="P924" t="str">
        <f>Table1[[#This Row],[Region]]&amp;"|"&amp;Table1[[#This Row],[Sales Rep]]</f>
        <v>South|Alice</v>
      </c>
    </row>
    <row r="925" spans="1:16" x14ac:dyDescent="0.35">
      <c r="A925">
        <v>1082</v>
      </c>
      <c r="B925" s="1">
        <v>45149</v>
      </c>
      <c r="C925" t="s">
        <v>33</v>
      </c>
      <c r="D925" t="s">
        <v>15</v>
      </c>
      <c r="E925">
        <v>3207.37</v>
      </c>
      <c r="F925">
        <v>43</v>
      </c>
      <c r="G925" t="s">
        <v>16</v>
      </c>
      <c r="H925">
        <v>2289.2199999999998</v>
      </c>
      <c r="I925">
        <v>2581</v>
      </c>
      <c r="J925" t="s">
        <v>30</v>
      </c>
      <c r="K925">
        <v>0.05</v>
      </c>
      <c r="L925" t="s">
        <v>27</v>
      </c>
      <c r="M925" t="s">
        <v>19</v>
      </c>
      <c r="N925" t="s">
        <v>15</v>
      </c>
      <c r="O925" t="s">
        <v>33</v>
      </c>
      <c r="P925" t="str">
        <f>Table1[[#This Row],[Region]]&amp;"|"&amp;Table1[[#This Row],[Sales Rep]]</f>
        <v>North|Charlie</v>
      </c>
    </row>
    <row r="926" spans="1:16" x14ac:dyDescent="0.35">
      <c r="A926">
        <v>1092</v>
      </c>
      <c r="B926" s="1">
        <v>44967</v>
      </c>
      <c r="C926" t="s">
        <v>14</v>
      </c>
      <c r="D926" t="s">
        <v>34</v>
      </c>
      <c r="E926">
        <v>5426.42</v>
      </c>
      <c r="F926">
        <v>47</v>
      </c>
      <c r="G926" t="s">
        <v>16</v>
      </c>
      <c r="H926">
        <v>3681.53</v>
      </c>
      <c r="I926">
        <v>4076.96</v>
      </c>
      <c r="J926" t="s">
        <v>17</v>
      </c>
      <c r="K926">
        <v>0.17</v>
      </c>
      <c r="L926" t="s">
        <v>18</v>
      </c>
      <c r="M926" t="s">
        <v>22</v>
      </c>
      <c r="N926" t="s">
        <v>34</v>
      </c>
      <c r="O926" t="s">
        <v>14</v>
      </c>
      <c r="P926" t="str">
        <f>Table1[[#This Row],[Region]]&amp;"|"&amp;Table1[[#This Row],[Sales Rep]]</f>
        <v>East|Bob</v>
      </c>
    </row>
    <row r="927" spans="1:16" x14ac:dyDescent="0.35">
      <c r="A927">
        <v>1042</v>
      </c>
      <c r="B927" s="1">
        <v>45130</v>
      </c>
      <c r="C927" t="s">
        <v>33</v>
      </c>
      <c r="D927" t="s">
        <v>21</v>
      </c>
      <c r="E927">
        <v>8417.07</v>
      </c>
      <c r="F927">
        <v>26</v>
      </c>
      <c r="G927" t="s">
        <v>35</v>
      </c>
      <c r="H927">
        <v>4208.09</v>
      </c>
      <c r="I927">
        <v>4226.5600000000004</v>
      </c>
      <c r="J927" t="s">
        <v>17</v>
      </c>
      <c r="K927">
        <v>0.28999999999999998</v>
      </c>
      <c r="L927" t="s">
        <v>18</v>
      </c>
      <c r="M927" t="s">
        <v>22</v>
      </c>
      <c r="N927" t="s">
        <v>21</v>
      </c>
      <c r="O927" t="s">
        <v>33</v>
      </c>
      <c r="P927" t="str">
        <f>Table1[[#This Row],[Region]]&amp;"|"&amp;Table1[[#This Row],[Sales Rep]]</f>
        <v>West|Charlie</v>
      </c>
    </row>
    <row r="928" spans="1:16" x14ac:dyDescent="0.35">
      <c r="A928">
        <v>1061</v>
      </c>
      <c r="B928" s="1">
        <v>45190</v>
      </c>
      <c r="C928" t="s">
        <v>33</v>
      </c>
      <c r="D928" t="s">
        <v>25</v>
      </c>
      <c r="E928">
        <v>9895.57</v>
      </c>
      <c r="F928">
        <v>25</v>
      </c>
      <c r="G928" t="s">
        <v>26</v>
      </c>
      <c r="H928">
        <v>2747.66</v>
      </c>
      <c r="I928">
        <v>3027.0099999999902</v>
      </c>
      <c r="J928" t="s">
        <v>30</v>
      </c>
      <c r="K928">
        <v>0.23</v>
      </c>
      <c r="L928" t="s">
        <v>18</v>
      </c>
      <c r="M928" t="s">
        <v>19</v>
      </c>
      <c r="N928" t="s">
        <v>25</v>
      </c>
      <c r="O928" t="s">
        <v>33</v>
      </c>
      <c r="P928" t="str">
        <f>Table1[[#This Row],[Region]]&amp;"|"&amp;Table1[[#This Row],[Sales Rep]]</f>
        <v>South|Charlie</v>
      </c>
    </row>
    <row r="929" spans="1:16" x14ac:dyDescent="0.35">
      <c r="A929">
        <v>1022</v>
      </c>
      <c r="B929" s="1">
        <v>45254</v>
      </c>
      <c r="C929" t="s">
        <v>38</v>
      </c>
      <c r="D929" t="s">
        <v>21</v>
      </c>
      <c r="E929">
        <v>8906.24</v>
      </c>
      <c r="F929">
        <v>29</v>
      </c>
      <c r="G929" t="s">
        <v>16</v>
      </c>
      <c r="H929">
        <v>479.58</v>
      </c>
      <c r="I929">
        <v>909.88</v>
      </c>
      <c r="J929" t="s">
        <v>17</v>
      </c>
      <c r="K929">
        <v>0.13</v>
      </c>
      <c r="L929" t="s">
        <v>31</v>
      </c>
      <c r="M929" t="s">
        <v>22</v>
      </c>
      <c r="N929" t="s">
        <v>21</v>
      </c>
      <c r="O929" t="s">
        <v>38</v>
      </c>
      <c r="P929" t="str">
        <f>Table1[[#This Row],[Region]]&amp;"|"&amp;Table1[[#This Row],[Sales Rep]]</f>
        <v>West|Eve</v>
      </c>
    </row>
    <row r="930" spans="1:16" x14ac:dyDescent="0.35">
      <c r="A930">
        <v>1021</v>
      </c>
      <c r="B930" s="1">
        <v>45104</v>
      </c>
      <c r="C930" t="s">
        <v>33</v>
      </c>
      <c r="D930" t="s">
        <v>15</v>
      </c>
      <c r="E930">
        <v>3777.53</v>
      </c>
      <c r="F930">
        <v>19</v>
      </c>
      <c r="G930" t="s">
        <v>35</v>
      </c>
      <c r="H930">
        <v>1222.4000000000001</v>
      </c>
      <c r="I930">
        <v>1464.71</v>
      </c>
      <c r="J930" t="s">
        <v>30</v>
      </c>
      <c r="K930">
        <v>0</v>
      </c>
      <c r="L930" t="s">
        <v>31</v>
      </c>
      <c r="M930" t="s">
        <v>22</v>
      </c>
      <c r="N930" t="s">
        <v>15</v>
      </c>
      <c r="O930" t="s">
        <v>33</v>
      </c>
      <c r="P930" t="str">
        <f>Table1[[#This Row],[Region]]&amp;"|"&amp;Table1[[#This Row],[Sales Rep]]</f>
        <v>North|Charlie</v>
      </c>
    </row>
    <row r="931" spans="1:16" x14ac:dyDescent="0.35">
      <c r="A931">
        <v>1070</v>
      </c>
      <c r="B931" s="1">
        <v>45274</v>
      </c>
      <c r="C931" t="s">
        <v>33</v>
      </c>
      <c r="D931" t="s">
        <v>25</v>
      </c>
      <c r="E931">
        <v>2032.15</v>
      </c>
      <c r="F931">
        <v>33</v>
      </c>
      <c r="G931" t="s">
        <v>26</v>
      </c>
      <c r="H931">
        <v>866.42</v>
      </c>
      <c r="I931">
        <v>878.43</v>
      </c>
      <c r="J931" t="s">
        <v>30</v>
      </c>
      <c r="K931">
        <v>0.09</v>
      </c>
      <c r="L931" t="s">
        <v>18</v>
      </c>
      <c r="M931" t="s">
        <v>22</v>
      </c>
      <c r="N931" t="s">
        <v>25</v>
      </c>
      <c r="O931" t="s">
        <v>33</v>
      </c>
      <c r="P931" t="str">
        <f>Table1[[#This Row],[Region]]&amp;"|"&amp;Table1[[#This Row],[Sales Rep]]</f>
        <v>South|Charlie</v>
      </c>
    </row>
    <row r="932" spans="1:16" x14ac:dyDescent="0.35">
      <c r="A932">
        <v>1001</v>
      </c>
      <c r="B932" s="1">
        <v>45244</v>
      </c>
      <c r="C932" t="s">
        <v>24</v>
      </c>
      <c r="D932" t="s">
        <v>15</v>
      </c>
      <c r="E932">
        <v>4944.99</v>
      </c>
      <c r="F932">
        <v>36</v>
      </c>
      <c r="G932" t="s">
        <v>16</v>
      </c>
      <c r="H932">
        <v>666.84</v>
      </c>
      <c r="I932">
        <v>682.24</v>
      </c>
      <c r="J932" t="s">
        <v>30</v>
      </c>
      <c r="K932">
        <v>0.16</v>
      </c>
      <c r="L932" t="s">
        <v>27</v>
      </c>
      <c r="M932" t="s">
        <v>22</v>
      </c>
      <c r="N932" t="s">
        <v>15</v>
      </c>
      <c r="O932" t="s">
        <v>24</v>
      </c>
      <c r="P932" t="str">
        <f>Table1[[#This Row],[Region]]&amp;"|"&amp;Table1[[#This Row],[Sales Rep]]</f>
        <v>North|David</v>
      </c>
    </row>
    <row r="933" spans="1:16" x14ac:dyDescent="0.35">
      <c r="A933">
        <v>1005</v>
      </c>
      <c r="B933" s="1">
        <v>45010</v>
      </c>
      <c r="C933" t="s">
        <v>14</v>
      </c>
      <c r="D933" t="s">
        <v>21</v>
      </c>
      <c r="E933">
        <v>7442.25</v>
      </c>
      <c r="F933">
        <v>14</v>
      </c>
      <c r="G933" t="s">
        <v>29</v>
      </c>
      <c r="H933">
        <v>1861.2</v>
      </c>
      <c r="I933">
        <v>2075.35</v>
      </c>
      <c r="J933" t="s">
        <v>17</v>
      </c>
      <c r="K933">
        <v>0.1</v>
      </c>
      <c r="L933" t="s">
        <v>31</v>
      </c>
      <c r="M933" t="s">
        <v>22</v>
      </c>
      <c r="N933" t="s">
        <v>21</v>
      </c>
      <c r="O933" t="s">
        <v>14</v>
      </c>
      <c r="P933" t="str">
        <f>Table1[[#This Row],[Region]]&amp;"|"&amp;Table1[[#This Row],[Sales Rep]]</f>
        <v>West|Bob</v>
      </c>
    </row>
    <row r="934" spans="1:16" x14ac:dyDescent="0.35">
      <c r="A934">
        <v>1012</v>
      </c>
      <c r="B934" s="1">
        <v>45244</v>
      </c>
      <c r="C934" t="s">
        <v>24</v>
      </c>
      <c r="D934" t="s">
        <v>15</v>
      </c>
      <c r="E934">
        <v>4976.43</v>
      </c>
      <c r="F934">
        <v>14</v>
      </c>
      <c r="G934" t="s">
        <v>35</v>
      </c>
      <c r="H934">
        <v>1185.5</v>
      </c>
      <c r="I934">
        <v>1271.45</v>
      </c>
      <c r="J934" t="s">
        <v>17</v>
      </c>
      <c r="K934">
        <v>0.03</v>
      </c>
      <c r="L934" t="s">
        <v>27</v>
      </c>
      <c r="M934" t="s">
        <v>22</v>
      </c>
      <c r="N934" t="s">
        <v>15</v>
      </c>
      <c r="O934" t="s">
        <v>24</v>
      </c>
      <c r="P934" t="str">
        <f>Table1[[#This Row],[Region]]&amp;"|"&amp;Table1[[#This Row],[Sales Rep]]</f>
        <v>North|David</v>
      </c>
    </row>
    <row r="935" spans="1:16" x14ac:dyDescent="0.35">
      <c r="A935">
        <v>1090</v>
      </c>
      <c r="B935" s="1">
        <v>45037</v>
      </c>
      <c r="C935" t="s">
        <v>24</v>
      </c>
      <c r="D935" t="s">
        <v>21</v>
      </c>
      <c r="E935">
        <v>4883.49</v>
      </c>
      <c r="F935">
        <v>35</v>
      </c>
      <c r="G935" t="s">
        <v>35</v>
      </c>
      <c r="H935">
        <v>1130.5999999999999</v>
      </c>
      <c r="I935">
        <v>1466.1799999999901</v>
      </c>
      <c r="J935" t="s">
        <v>17</v>
      </c>
      <c r="K935">
        <v>0.13</v>
      </c>
      <c r="L935" t="s">
        <v>18</v>
      </c>
      <c r="M935" t="s">
        <v>19</v>
      </c>
      <c r="N935" t="s">
        <v>21</v>
      </c>
      <c r="O935" t="s">
        <v>24</v>
      </c>
      <c r="P935" t="str">
        <f>Table1[[#This Row],[Region]]&amp;"|"&amp;Table1[[#This Row],[Sales Rep]]</f>
        <v>West|David</v>
      </c>
    </row>
    <row r="936" spans="1:16" x14ac:dyDescent="0.35">
      <c r="A936">
        <v>1046</v>
      </c>
      <c r="B936" s="1">
        <v>45177</v>
      </c>
      <c r="C936" t="s">
        <v>42</v>
      </c>
      <c r="D936" t="s">
        <v>15</v>
      </c>
      <c r="E936">
        <v>8398.48</v>
      </c>
      <c r="F936">
        <v>30</v>
      </c>
      <c r="G936" t="s">
        <v>16</v>
      </c>
      <c r="H936">
        <v>320.73</v>
      </c>
      <c r="I936">
        <v>678.04</v>
      </c>
      <c r="J936" t="s">
        <v>17</v>
      </c>
      <c r="K936">
        <v>0.08</v>
      </c>
      <c r="L936" t="s">
        <v>18</v>
      </c>
      <c r="M936" t="s">
        <v>22</v>
      </c>
      <c r="N936" t="s">
        <v>15</v>
      </c>
      <c r="O936" t="s">
        <v>42</v>
      </c>
      <c r="P936" t="str">
        <f>Table1[[#This Row],[Region]]&amp;"|"&amp;Table1[[#This Row],[Sales Rep]]</f>
        <v>North|Alice</v>
      </c>
    </row>
    <row r="937" spans="1:16" x14ac:dyDescent="0.35">
      <c r="A937">
        <v>1034</v>
      </c>
      <c r="B937" s="1">
        <v>44933</v>
      </c>
      <c r="C937" t="s">
        <v>24</v>
      </c>
      <c r="D937" t="s">
        <v>21</v>
      </c>
      <c r="E937">
        <v>3677.9</v>
      </c>
      <c r="F937">
        <v>28</v>
      </c>
      <c r="G937" t="s">
        <v>16</v>
      </c>
      <c r="H937">
        <v>137.47</v>
      </c>
      <c r="I937">
        <v>234.63</v>
      </c>
      <c r="J937" t="s">
        <v>30</v>
      </c>
      <c r="K937">
        <v>0.27</v>
      </c>
      <c r="L937" t="s">
        <v>27</v>
      </c>
      <c r="M937" t="s">
        <v>22</v>
      </c>
      <c r="N937" t="s">
        <v>21</v>
      </c>
      <c r="O937" t="s">
        <v>24</v>
      </c>
      <c r="P937" t="str">
        <f>Table1[[#This Row],[Region]]&amp;"|"&amp;Table1[[#This Row],[Sales Rep]]</f>
        <v>West|David</v>
      </c>
    </row>
    <row r="938" spans="1:16" x14ac:dyDescent="0.35">
      <c r="A938">
        <v>1049</v>
      </c>
      <c r="B938" s="1">
        <v>45010</v>
      </c>
      <c r="C938" t="s">
        <v>38</v>
      </c>
      <c r="D938" t="s">
        <v>34</v>
      </c>
      <c r="E938">
        <v>8611.9699999999993</v>
      </c>
      <c r="F938">
        <v>17</v>
      </c>
      <c r="G938" t="s">
        <v>35</v>
      </c>
      <c r="H938">
        <v>558.70000000000005</v>
      </c>
      <c r="I938">
        <v>1004.08</v>
      </c>
      <c r="J938" t="s">
        <v>17</v>
      </c>
      <c r="K938">
        <v>0.03</v>
      </c>
      <c r="L938" t="s">
        <v>31</v>
      </c>
      <c r="M938" t="s">
        <v>19</v>
      </c>
      <c r="N938" t="s">
        <v>34</v>
      </c>
      <c r="O938" t="s">
        <v>38</v>
      </c>
      <c r="P938" t="str">
        <f>Table1[[#This Row],[Region]]&amp;"|"&amp;Table1[[#This Row],[Sales Rep]]</f>
        <v>East|Eve</v>
      </c>
    </row>
    <row r="939" spans="1:16" x14ac:dyDescent="0.35">
      <c r="A939">
        <v>1078</v>
      </c>
      <c r="B939" s="1">
        <v>45134</v>
      </c>
      <c r="C939" t="s">
        <v>38</v>
      </c>
      <c r="D939" t="s">
        <v>15</v>
      </c>
      <c r="E939">
        <v>4127.37</v>
      </c>
      <c r="F939">
        <v>3</v>
      </c>
      <c r="G939" t="s">
        <v>29</v>
      </c>
      <c r="H939">
        <v>902.38</v>
      </c>
      <c r="I939">
        <v>1128.9100000000001</v>
      </c>
      <c r="J939" t="s">
        <v>30</v>
      </c>
      <c r="K939">
        <v>0.01</v>
      </c>
      <c r="L939" t="s">
        <v>27</v>
      </c>
      <c r="M939" t="s">
        <v>22</v>
      </c>
      <c r="N939" t="s">
        <v>15</v>
      </c>
      <c r="O939" t="s">
        <v>38</v>
      </c>
      <c r="P939" t="str">
        <f>Table1[[#This Row],[Region]]&amp;"|"&amp;Table1[[#This Row],[Sales Rep]]</f>
        <v>North|Eve</v>
      </c>
    </row>
    <row r="940" spans="1:16" x14ac:dyDescent="0.35">
      <c r="A940">
        <v>1090</v>
      </c>
      <c r="B940" s="1">
        <v>45240</v>
      </c>
      <c r="C940" t="s">
        <v>42</v>
      </c>
      <c r="D940" t="s">
        <v>15</v>
      </c>
      <c r="E940">
        <v>3349.51</v>
      </c>
      <c r="F940">
        <v>16</v>
      </c>
      <c r="G940" t="s">
        <v>29</v>
      </c>
      <c r="H940">
        <v>2183.37</v>
      </c>
      <c r="I940">
        <v>2263.3599999999901</v>
      </c>
      <c r="J940" t="s">
        <v>17</v>
      </c>
      <c r="K940">
        <v>0</v>
      </c>
      <c r="L940" t="s">
        <v>27</v>
      </c>
      <c r="M940" t="s">
        <v>22</v>
      </c>
      <c r="N940" t="s">
        <v>15</v>
      </c>
      <c r="O940" t="s">
        <v>42</v>
      </c>
      <c r="P940" t="str">
        <f>Table1[[#This Row],[Region]]&amp;"|"&amp;Table1[[#This Row],[Sales Rep]]</f>
        <v>North|Alice</v>
      </c>
    </row>
    <row r="941" spans="1:16" x14ac:dyDescent="0.35">
      <c r="A941">
        <v>1045</v>
      </c>
      <c r="B941" s="1">
        <v>44948</v>
      </c>
      <c r="C941" t="s">
        <v>14</v>
      </c>
      <c r="D941" t="s">
        <v>34</v>
      </c>
      <c r="E941">
        <v>4594.5</v>
      </c>
      <c r="F941">
        <v>46</v>
      </c>
      <c r="G941" t="s">
        <v>26</v>
      </c>
      <c r="H941">
        <v>2577.08</v>
      </c>
      <c r="I941">
        <v>2961.56</v>
      </c>
      <c r="J941" t="s">
        <v>17</v>
      </c>
      <c r="K941">
        <v>0.1</v>
      </c>
      <c r="L941" t="s">
        <v>18</v>
      </c>
      <c r="M941" t="s">
        <v>19</v>
      </c>
      <c r="N941" t="s">
        <v>34</v>
      </c>
      <c r="O941" t="s">
        <v>14</v>
      </c>
      <c r="P941" t="str">
        <f>Table1[[#This Row],[Region]]&amp;"|"&amp;Table1[[#This Row],[Sales Rep]]</f>
        <v>East|Bob</v>
      </c>
    </row>
    <row r="942" spans="1:16" x14ac:dyDescent="0.35">
      <c r="A942">
        <v>1027</v>
      </c>
      <c r="B942" s="1">
        <v>44929</v>
      </c>
      <c r="C942" t="s">
        <v>14</v>
      </c>
      <c r="D942" t="s">
        <v>34</v>
      </c>
      <c r="E942">
        <v>7648.22</v>
      </c>
      <c r="F942">
        <v>30</v>
      </c>
      <c r="G942" t="s">
        <v>16</v>
      </c>
      <c r="H942">
        <v>745.93</v>
      </c>
      <c r="I942">
        <v>1143.02</v>
      </c>
      <c r="J942" t="s">
        <v>17</v>
      </c>
      <c r="K942">
        <v>0.2</v>
      </c>
      <c r="L942" t="s">
        <v>31</v>
      </c>
      <c r="M942" t="s">
        <v>19</v>
      </c>
      <c r="N942" t="s">
        <v>34</v>
      </c>
      <c r="O942" t="s">
        <v>14</v>
      </c>
      <c r="P942" t="str">
        <f>Table1[[#This Row],[Region]]&amp;"|"&amp;Table1[[#This Row],[Sales Rep]]</f>
        <v>East|Bob</v>
      </c>
    </row>
    <row r="943" spans="1:16" x14ac:dyDescent="0.35">
      <c r="A943">
        <v>1073</v>
      </c>
      <c r="B943" s="1">
        <v>45053</v>
      </c>
      <c r="C943" t="s">
        <v>24</v>
      </c>
      <c r="D943" t="s">
        <v>15</v>
      </c>
      <c r="E943">
        <v>1347.42</v>
      </c>
      <c r="F943">
        <v>29</v>
      </c>
      <c r="G943" t="s">
        <v>29</v>
      </c>
      <c r="H943">
        <v>2152.6799999999998</v>
      </c>
      <c r="I943">
        <v>2475.9299999999998</v>
      </c>
      <c r="J943" t="s">
        <v>17</v>
      </c>
      <c r="K943">
        <v>0.22</v>
      </c>
      <c r="L943" t="s">
        <v>27</v>
      </c>
      <c r="M943" t="s">
        <v>19</v>
      </c>
      <c r="N943" t="s">
        <v>15</v>
      </c>
      <c r="O943" t="s">
        <v>24</v>
      </c>
      <c r="P943" t="str">
        <f>Table1[[#This Row],[Region]]&amp;"|"&amp;Table1[[#This Row],[Sales Rep]]</f>
        <v>North|David</v>
      </c>
    </row>
    <row r="944" spans="1:16" x14ac:dyDescent="0.35">
      <c r="A944">
        <v>1026</v>
      </c>
      <c r="B944" s="1">
        <v>45223</v>
      </c>
      <c r="C944" t="s">
        <v>24</v>
      </c>
      <c r="D944" t="s">
        <v>34</v>
      </c>
      <c r="E944">
        <v>2044.55</v>
      </c>
      <c r="F944">
        <v>45</v>
      </c>
      <c r="G944" t="s">
        <v>26</v>
      </c>
      <c r="H944">
        <v>1741.66</v>
      </c>
      <c r="I944">
        <v>2169.86</v>
      </c>
      <c r="J944" t="s">
        <v>17</v>
      </c>
      <c r="K944">
        <v>0.14000000000000001</v>
      </c>
      <c r="L944" t="s">
        <v>31</v>
      </c>
      <c r="M944" t="s">
        <v>19</v>
      </c>
      <c r="N944" t="s">
        <v>34</v>
      </c>
      <c r="O944" t="s">
        <v>24</v>
      </c>
      <c r="P944" t="str">
        <f>Table1[[#This Row],[Region]]&amp;"|"&amp;Table1[[#This Row],[Sales Rep]]</f>
        <v>East|David</v>
      </c>
    </row>
    <row r="945" spans="1:16" x14ac:dyDescent="0.35">
      <c r="A945">
        <v>1047</v>
      </c>
      <c r="B945" s="1">
        <v>45114</v>
      </c>
      <c r="C945" t="s">
        <v>24</v>
      </c>
      <c r="D945" t="s">
        <v>25</v>
      </c>
      <c r="E945">
        <v>9519.2999999999993</v>
      </c>
      <c r="F945">
        <v>15</v>
      </c>
      <c r="G945" t="s">
        <v>29</v>
      </c>
      <c r="H945">
        <v>957.95</v>
      </c>
      <c r="I945">
        <v>1329.26</v>
      </c>
      <c r="J945" t="s">
        <v>30</v>
      </c>
      <c r="K945">
        <v>0.21</v>
      </c>
      <c r="L945" t="s">
        <v>18</v>
      </c>
      <c r="M945" t="s">
        <v>19</v>
      </c>
      <c r="N945" t="s">
        <v>25</v>
      </c>
      <c r="O945" t="s">
        <v>24</v>
      </c>
      <c r="P945" t="str">
        <f>Table1[[#This Row],[Region]]&amp;"|"&amp;Table1[[#This Row],[Sales Rep]]</f>
        <v>South|David</v>
      </c>
    </row>
    <row r="946" spans="1:16" x14ac:dyDescent="0.35">
      <c r="A946">
        <v>1086</v>
      </c>
      <c r="B946" s="1">
        <v>45288</v>
      </c>
      <c r="C946" t="s">
        <v>14</v>
      </c>
      <c r="D946" t="s">
        <v>21</v>
      </c>
      <c r="E946">
        <v>1837.37</v>
      </c>
      <c r="F946">
        <v>46</v>
      </c>
      <c r="G946" t="s">
        <v>16</v>
      </c>
      <c r="H946">
        <v>83.86</v>
      </c>
      <c r="I946">
        <v>526.14</v>
      </c>
      <c r="J946" t="s">
        <v>17</v>
      </c>
      <c r="K946">
        <v>0.11</v>
      </c>
      <c r="L946" t="s">
        <v>31</v>
      </c>
      <c r="M946" t="s">
        <v>19</v>
      </c>
      <c r="N946" t="s">
        <v>21</v>
      </c>
      <c r="O946" t="s">
        <v>14</v>
      </c>
      <c r="P946" t="str">
        <f>Table1[[#This Row],[Region]]&amp;"|"&amp;Table1[[#This Row],[Sales Rep]]</f>
        <v>West|Bob</v>
      </c>
    </row>
    <row r="947" spans="1:16" x14ac:dyDescent="0.35">
      <c r="A947">
        <v>1056</v>
      </c>
      <c r="B947" s="1">
        <v>44940</v>
      </c>
      <c r="C947" t="s">
        <v>33</v>
      </c>
      <c r="D947" t="s">
        <v>21</v>
      </c>
      <c r="E947">
        <v>5720.5</v>
      </c>
      <c r="F947">
        <v>25</v>
      </c>
      <c r="G947" t="s">
        <v>26</v>
      </c>
      <c r="H947">
        <v>2361.7399999999998</v>
      </c>
      <c r="I947">
        <v>2584.35</v>
      </c>
      <c r="J947" t="s">
        <v>17</v>
      </c>
      <c r="K947">
        <v>0.2</v>
      </c>
      <c r="L947" t="s">
        <v>18</v>
      </c>
      <c r="M947" t="s">
        <v>19</v>
      </c>
      <c r="N947" t="s">
        <v>21</v>
      </c>
      <c r="O947" t="s">
        <v>33</v>
      </c>
      <c r="P947" t="str">
        <f>Table1[[#This Row],[Region]]&amp;"|"&amp;Table1[[#This Row],[Sales Rep]]</f>
        <v>West|Charlie</v>
      </c>
    </row>
    <row r="948" spans="1:16" x14ac:dyDescent="0.35">
      <c r="A948">
        <v>1094</v>
      </c>
      <c r="B948" s="1">
        <v>44938</v>
      </c>
      <c r="C948" t="s">
        <v>38</v>
      </c>
      <c r="D948" t="s">
        <v>21</v>
      </c>
      <c r="E948">
        <v>5835.21</v>
      </c>
      <c r="F948">
        <v>38</v>
      </c>
      <c r="G948" t="s">
        <v>26</v>
      </c>
      <c r="H948">
        <v>3443.98</v>
      </c>
      <c r="I948">
        <v>3820.3</v>
      </c>
      <c r="J948" t="s">
        <v>17</v>
      </c>
      <c r="K948">
        <v>0.01</v>
      </c>
      <c r="L948" t="s">
        <v>31</v>
      </c>
      <c r="M948" t="s">
        <v>22</v>
      </c>
      <c r="N948" t="s">
        <v>21</v>
      </c>
      <c r="O948" t="s">
        <v>38</v>
      </c>
      <c r="P948" t="str">
        <f>Table1[[#This Row],[Region]]&amp;"|"&amp;Table1[[#This Row],[Sales Rep]]</f>
        <v>West|Eve</v>
      </c>
    </row>
    <row r="949" spans="1:16" x14ac:dyDescent="0.35">
      <c r="A949">
        <v>1063</v>
      </c>
      <c r="B949" s="1">
        <v>45013</v>
      </c>
      <c r="C949" t="s">
        <v>33</v>
      </c>
      <c r="D949" t="s">
        <v>25</v>
      </c>
      <c r="E949">
        <v>4947.28</v>
      </c>
      <c r="F949">
        <v>42</v>
      </c>
      <c r="G949" t="s">
        <v>26</v>
      </c>
      <c r="H949">
        <v>1170.07</v>
      </c>
      <c r="I949">
        <v>1669.94999999999</v>
      </c>
      <c r="J949" t="s">
        <v>17</v>
      </c>
      <c r="K949">
        <v>0.12</v>
      </c>
      <c r="L949" t="s">
        <v>27</v>
      </c>
      <c r="M949" t="s">
        <v>22</v>
      </c>
      <c r="N949" t="s">
        <v>25</v>
      </c>
      <c r="O949" t="s">
        <v>33</v>
      </c>
      <c r="P949" t="str">
        <f>Table1[[#This Row],[Region]]&amp;"|"&amp;Table1[[#This Row],[Sales Rep]]</f>
        <v>South|Charlie</v>
      </c>
    </row>
    <row r="950" spans="1:16" x14ac:dyDescent="0.35">
      <c r="A950">
        <v>1048</v>
      </c>
      <c r="B950" s="1">
        <v>44938</v>
      </c>
      <c r="C950" t="s">
        <v>33</v>
      </c>
      <c r="D950" t="s">
        <v>34</v>
      </c>
      <c r="E950">
        <v>6482.98</v>
      </c>
      <c r="F950">
        <v>47</v>
      </c>
      <c r="G950" t="s">
        <v>29</v>
      </c>
      <c r="H950">
        <v>702.44</v>
      </c>
      <c r="I950">
        <v>1067.6600000000001</v>
      </c>
      <c r="J950" t="s">
        <v>30</v>
      </c>
      <c r="K950">
        <v>0.24</v>
      </c>
      <c r="L950" t="s">
        <v>18</v>
      </c>
      <c r="M950" t="s">
        <v>22</v>
      </c>
      <c r="N950" t="s">
        <v>34</v>
      </c>
      <c r="O950" t="s">
        <v>33</v>
      </c>
      <c r="P950" t="str">
        <f>Table1[[#This Row],[Region]]&amp;"|"&amp;Table1[[#This Row],[Sales Rep]]</f>
        <v>East|Charlie</v>
      </c>
    </row>
    <row r="951" spans="1:16" x14ac:dyDescent="0.35">
      <c r="A951">
        <v>1061</v>
      </c>
      <c r="B951" s="1">
        <v>44951</v>
      </c>
      <c r="C951" t="s">
        <v>14</v>
      </c>
      <c r="D951" t="s">
        <v>34</v>
      </c>
      <c r="E951">
        <v>2375.2800000000002</v>
      </c>
      <c r="F951">
        <v>38</v>
      </c>
      <c r="G951" t="s">
        <v>16</v>
      </c>
      <c r="H951">
        <v>4440.8599999999997</v>
      </c>
      <c r="I951">
        <v>4506.8099999999904</v>
      </c>
      <c r="J951" t="s">
        <v>17</v>
      </c>
      <c r="K951">
        <v>0.24</v>
      </c>
      <c r="L951" t="s">
        <v>27</v>
      </c>
      <c r="M951" t="s">
        <v>19</v>
      </c>
      <c r="N951" t="s">
        <v>34</v>
      </c>
      <c r="O951" t="s">
        <v>14</v>
      </c>
      <c r="P951" t="str">
        <f>Table1[[#This Row],[Region]]&amp;"|"&amp;Table1[[#This Row],[Sales Rep]]</f>
        <v>East|Bob</v>
      </c>
    </row>
    <row r="952" spans="1:16" x14ac:dyDescent="0.35">
      <c r="A952">
        <v>1081</v>
      </c>
      <c r="B952" s="1">
        <v>45227</v>
      </c>
      <c r="C952" t="s">
        <v>33</v>
      </c>
      <c r="D952" t="s">
        <v>15</v>
      </c>
      <c r="E952">
        <v>5571.36</v>
      </c>
      <c r="F952">
        <v>23</v>
      </c>
      <c r="G952" t="s">
        <v>26</v>
      </c>
      <c r="H952">
        <v>1411.37</v>
      </c>
      <c r="I952">
        <v>1675.35</v>
      </c>
      <c r="J952" t="s">
        <v>30</v>
      </c>
      <c r="K952">
        <v>0.21</v>
      </c>
      <c r="L952" t="s">
        <v>18</v>
      </c>
      <c r="M952" t="s">
        <v>22</v>
      </c>
      <c r="N952" t="s">
        <v>15</v>
      </c>
      <c r="O952" t="s">
        <v>33</v>
      </c>
      <c r="P952" t="str">
        <f>Table1[[#This Row],[Region]]&amp;"|"&amp;Table1[[#This Row],[Sales Rep]]</f>
        <v>North|Charlie</v>
      </c>
    </row>
    <row r="953" spans="1:16" x14ac:dyDescent="0.35">
      <c r="A953">
        <v>1026</v>
      </c>
      <c r="B953" s="1">
        <v>45169</v>
      </c>
      <c r="C953" t="s">
        <v>42</v>
      </c>
      <c r="D953" t="s">
        <v>34</v>
      </c>
      <c r="E953">
        <v>3784.52</v>
      </c>
      <c r="F953">
        <v>25</v>
      </c>
      <c r="G953" t="s">
        <v>35</v>
      </c>
      <c r="H953">
        <v>1156.8800000000001</v>
      </c>
      <c r="I953">
        <v>1454.68</v>
      </c>
      <c r="J953" t="s">
        <v>17</v>
      </c>
      <c r="K953">
        <v>0.06</v>
      </c>
      <c r="L953" t="s">
        <v>31</v>
      </c>
      <c r="M953" t="s">
        <v>19</v>
      </c>
      <c r="N953" t="s">
        <v>34</v>
      </c>
      <c r="O953" t="s">
        <v>42</v>
      </c>
      <c r="P953" t="str">
        <f>Table1[[#This Row],[Region]]&amp;"|"&amp;Table1[[#This Row],[Sales Rep]]</f>
        <v>East|Alice</v>
      </c>
    </row>
    <row r="954" spans="1:16" x14ac:dyDescent="0.35">
      <c r="A954">
        <v>1036</v>
      </c>
      <c r="B954" s="1">
        <v>45048</v>
      </c>
      <c r="C954" t="s">
        <v>24</v>
      </c>
      <c r="D954" t="s">
        <v>15</v>
      </c>
      <c r="E954">
        <v>6650.51</v>
      </c>
      <c r="F954">
        <v>42</v>
      </c>
      <c r="G954" t="s">
        <v>16</v>
      </c>
      <c r="H954">
        <v>4292.63</v>
      </c>
      <c r="I954">
        <v>4387.99</v>
      </c>
      <c r="J954" t="s">
        <v>30</v>
      </c>
      <c r="K954">
        <v>7.0000000000000007E-2</v>
      </c>
      <c r="L954" t="s">
        <v>31</v>
      </c>
      <c r="M954" t="s">
        <v>22</v>
      </c>
      <c r="N954" t="s">
        <v>15</v>
      </c>
      <c r="O954" t="s">
        <v>24</v>
      </c>
      <c r="P954" t="str">
        <f>Table1[[#This Row],[Region]]&amp;"|"&amp;Table1[[#This Row],[Sales Rep]]</f>
        <v>North|David</v>
      </c>
    </row>
    <row r="955" spans="1:16" x14ac:dyDescent="0.35">
      <c r="A955">
        <v>1001</v>
      </c>
      <c r="B955" s="1">
        <v>45073</v>
      </c>
      <c r="C955" t="s">
        <v>42</v>
      </c>
      <c r="D955" t="s">
        <v>25</v>
      </c>
      <c r="E955">
        <v>1498.11</v>
      </c>
      <c r="F955">
        <v>7</v>
      </c>
      <c r="G955" t="s">
        <v>35</v>
      </c>
      <c r="H955">
        <v>4094.68</v>
      </c>
      <c r="I955">
        <v>4576.5</v>
      </c>
      <c r="J955" t="s">
        <v>30</v>
      </c>
      <c r="K955">
        <v>0.3</v>
      </c>
      <c r="L955" t="s">
        <v>18</v>
      </c>
      <c r="M955" t="s">
        <v>22</v>
      </c>
      <c r="N955" t="s">
        <v>25</v>
      </c>
      <c r="O955" t="s">
        <v>42</v>
      </c>
      <c r="P955" t="str">
        <f>Table1[[#This Row],[Region]]&amp;"|"&amp;Table1[[#This Row],[Sales Rep]]</f>
        <v>South|Alice</v>
      </c>
    </row>
    <row r="956" spans="1:16" x14ac:dyDescent="0.35">
      <c r="A956">
        <v>1008</v>
      </c>
      <c r="B956" s="1">
        <v>44981</v>
      </c>
      <c r="C956" t="s">
        <v>38</v>
      </c>
      <c r="D956" t="s">
        <v>21</v>
      </c>
      <c r="E956">
        <v>5751.69</v>
      </c>
      <c r="F956">
        <v>22</v>
      </c>
      <c r="G956" t="s">
        <v>35</v>
      </c>
      <c r="H956">
        <v>2269.3200000000002</v>
      </c>
      <c r="I956">
        <v>2365.35</v>
      </c>
      <c r="J956" t="s">
        <v>30</v>
      </c>
      <c r="K956">
        <v>0.03</v>
      </c>
      <c r="L956" t="s">
        <v>18</v>
      </c>
      <c r="M956" t="s">
        <v>22</v>
      </c>
      <c r="N956" t="s">
        <v>21</v>
      </c>
      <c r="O956" t="s">
        <v>38</v>
      </c>
      <c r="P956" t="str">
        <f>Table1[[#This Row],[Region]]&amp;"|"&amp;Table1[[#This Row],[Sales Rep]]</f>
        <v>West|Eve</v>
      </c>
    </row>
    <row r="957" spans="1:16" x14ac:dyDescent="0.35">
      <c r="A957">
        <v>1099</v>
      </c>
      <c r="B957" s="1">
        <v>45164</v>
      </c>
      <c r="C957" t="s">
        <v>24</v>
      </c>
      <c r="D957" t="s">
        <v>21</v>
      </c>
      <c r="E957">
        <v>1934.18</v>
      </c>
      <c r="F957">
        <v>17</v>
      </c>
      <c r="G957" t="s">
        <v>26</v>
      </c>
      <c r="H957">
        <v>2471.73</v>
      </c>
      <c r="I957">
        <v>2568.73</v>
      </c>
      <c r="J957" t="s">
        <v>30</v>
      </c>
      <c r="K957">
        <v>0.05</v>
      </c>
      <c r="L957" t="s">
        <v>18</v>
      </c>
      <c r="M957" t="s">
        <v>22</v>
      </c>
      <c r="N957" t="s">
        <v>21</v>
      </c>
      <c r="O957" t="s">
        <v>24</v>
      </c>
      <c r="P957" t="str">
        <f>Table1[[#This Row],[Region]]&amp;"|"&amp;Table1[[#This Row],[Sales Rep]]</f>
        <v>West|David</v>
      </c>
    </row>
    <row r="958" spans="1:16" x14ac:dyDescent="0.35">
      <c r="A958">
        <v>1052</v>
      </c>
      <c r="B958" s="1">
        <v>45282</v>
      </c>
      <c r="C958" t="s">
        <v>33</v>
      </c>
      <c r="D958" t="s">
        <v>21</v>
      </c>
      <c r="E958">
        <v>2858.57</v>
      </c>
      <c r="F958">
        <v>18</v>
      </c>
      <c r="G958" t="s">
        <v>26</v>
      </c>
      <c r="H958">
        <v>1127.8599999999999</v>
      </c>
      <c r="I958">
        <v>1586.29</v>
      </c>
      <c r="J958" t="s">
        <v>30</v>
      </c>
      <c r="K958">
        <v>0.04</v>
      </c>
      <c r="L958" t="s">
        <v>31</v>
      </c>
      <c r="M958" t="s">
        <v>19</v>
      </c>
      <c r="N958" t="s">
        <v>21</v>
      </c>
      <c r="O958" t="s">
        <v>33</v>
      </c>
      <c r="P958" t="str">
        <f>Table1[[#This Row],[Region]]&amp;"|"&amp;Table1[[#This Row],[Sales Rep]]</f>
        <v>West|Charlie</v>
      </c>
    </row>
    <row r="959" spans="1:16" x14ac:dyDescent="0.35">
      <c r="A959">
        <v>1079</v>
      </c>
      <c r="B959" s="1">
        <v>45099</v>
      </c>
      <c r="C959" t="s">
        <v>38</v>
      </c>
      <c r="D959" t="s">
        <v>34</v>
      </c>
      <c r="E959">
        <v>2265.23</v>
      </c>
      <c r="F959">
        <v>49</v>
      </c>
      <c r="G959" t="s">
        <v>29</v>
      </c>
      <c r="H959">
        <v>437.59</v>
      </c>
      <c r="I959">
        <v>675.54</v>
      </c>
      <c r="J959" t="s">
        <v>17</v>
      </c>
      <c r="K959">
        <v>0.1</v>
      </c>
      <c r="L959" t="s">
        <v>18</v>
      </c>
      <c r="M959" t="s">
        <v>19</v>
      </c>
      <c r="N959" t="s">
        <v>34</v>
      </c>
      <c r="O959" t="s">
        <v>38</v>
      </c>
      <c r="P959" t="str">
        <f>Table1[[#This Row],[Region]]&amp;"|"&amp;Table1[[#This Row],[Sales Rep]]</f>
        <v>East|Eve</v>
      </c>
    </row>
    <row r="960" spans="1:16" x14ac:dyDescent="0.35">
      <c r="A960">
        <v>1047</v>
      </c>
      <c r="B960" s="1">
        <v>45147</v>
      </c>
      <c r="C960" t="s">
        <v>24</v>
      </c>
      <c r="D960" t="s">
        <v>15</v>
      </c>
      <c r="E960">
        <v>1910.09</v>
      </c>
      <c r="F960">
        <v>41</v>
      </c>
      <c r="G960" t="s">
        <v>29</v>
      </c>
      <c r="H960">
        <v>2888.49</v>
      </c>
      <c r="I960">
        <v>2929.45</v>
      </c>
      <c r="J960" t="s">
        <v>30</v>
      </c>
      <c r="K960">
        <v>0.06</v>
      </c>
      <c r="L960" t="s">
        <v>18</v>
      </c>
      <c r="M960" t="s">
        <v>22</v>
      </c>
      <c r="N960" t="s">
        <v>15</v>
      </c>
      <c r="O960" t="s">
        <v>24</v>
      </c>
      <c r="P960" t="str">
        <f>Table1[[#This Row],[Region]]&amp;"|"&amp;Table1[[#This Row],[Sales Rep]]</f>
        <v>North|David</v>
      </c>
    </row>
    <row r="961" spans="1:16" x14ac:dyDescent="0.35">
      <c r="A961">
        <v>1056</v>
      </c>
      <c r="B961" s="1">
        <v>45045</v>
      </c>
      <c r="C961" t="s">
        <v>33</v>
      </c>
      <c r="D961" t="s">
        <v>15</v>
      </c>
      <c r="E961">
        <v>8274.5400000000009</v>
      </c>
      <c r="F961">
        <v>10</v>
      </c>
      <c r="G961" t="s">
        <v>29</v>
      </c>
      <c r="H961">
        <v>536.80999999999995</v>
      </c>
      <c r="I961">
        <v>839.92</v>
      </c>
      <c r="J961" t="s">
        <v>17</v>
      </c>
      <c r="K961">
        <v>0.15</v>
      </c>
      <c r="L961" t="s">
        <v>27</v>
      </c>
      <c r="M961" t="s">
        <v>19</v>
      </c>
      <c r="N961" t="s">
        <v>15</v>
      </c>
      <c r="O961" t="s">
        <v>33</v>
      </c>
      <c r="P961" t="str">
        <f>Table1[[#This Row],[Region]]&amp;"|"&amp;Table1[[#This Row],[Sales Rep]]</f>
        <v>North|Charlie</v>
      </c>
    </row>
    <row r="962" spans="1:16" x14ac:dyDescent="0.35">
      <c r="A962">
        <v>1086</v>
      </c>
      <c r="B962" s="1">
        <v>45235</v>
      </c>
      <c r="C962" t="s">
        <v>42</v>
      </c>
      <c r="D962" t="s">
        <v>25</v>
      </c>
      <c r="E962">
        <v>2928.5</v>
      </c>
      <c r="F962">
        <v>10</v>
      </c>
      <c r="G962" t="s">
        <v>16</v>
      </c>
      <c r="H962">
        <v>2273.91</v>
      </c>
      <c r="I962">
        <v>2578.7999999999902</v>
      </c>
      <c r="J962" t="s">
        <v>30</v>
      </c>
      <c r="K962">
        <v>0.14000000000000001</v>
      </c>
      <c r="L962" t="s">
        <v>18</v>
      </c>
      <c r="M962" t="s">
        <v>19</v>
      </c>
      <c r="N962" t="s">
        <v>25</v>
      </c>
      <c r="O962" t="s">
        <v>42</v>
      </c>
      <c r="P962" t="str">
        <f>Table1[[#This Row],[Region]]&amp;"|"&amp;Table1[[#This Row],[Sales Rep]]</f>
        <v>South|Alice</v>
      </c>
    </row>
    <row r="963" spans="1:16" x14ac:dyDescent="0.35">
      <c r="A963">
        <v>1014</v>
      </c>
      <c r="B963" s="1">
        <v>45109</v>
      </c>
      <c r="C963" t="s">
        <v>24</v>
      </c>
      <c r="D963" t="s">
        <v>34</v>
      </c>
      <c r="E963">
        <v>9278.5300000000007</v>
      </c>
      <c r="F963">
        <v>7</v>
      </c>
      <c r="G963" t="s">
        <v>29</v>
      </c>
      <c r="H963">
        <v>4705.46</v>
      </c>
      <c r="I963">
        <v>4747.07</v>
      </c>
      <c r="J963" t="s">
        <v>30</v>
      </c>
      <c r="K963">
        <v>0.27</v>
      </c>
      <c r="L963" t="s">
        <v>27</v>
      </c>
      <c r="M963" t="s">
        <v>22</v>
      </c>
      <c r="N963" t="s">
        <v>34</v>
      </c>
      <c r="O963" t="s">
        <v>24</v>
      </c>
      <c r="P963" t="str">
        <f>Table1[[#This Row],[Region]]&amp;"|"&amp;Table1[[#This Row],[Sales Rep]]</f>
        <v>East|David</v>
      </c>
    </row>
    <row r="964" spans="1:16" x14ac:dyDescent="0.35">
      <c r="A964">
        <v>1090</v>
      </c>
      <c r="B964" s="1">
        <v>45214</v>
      </c>
      <c r="C964" t="s">
        <v>33</v>
      </c>
      <c r="D964" t="s">
        <v>25</v>
      </c>
      <c r="E964">
        <v>9702.27</v>
      </c>
      <c r="F964">
        <v>48</v>
      </c>
      <c r="G964" t="s">
        <v>35</v>
      </c>
      <c r="H964">
        <v>4766.53</v>
      </c>
      <c r="I964">
        <v>5253.07</v>
      </c>
      <c r="J964" t="s">
        <v>17</v>
      </c>
      <c r="K964">
        <v>0.01</v>
      </c>
      <c r="L964" t="s">
        <v>27</v>
      </c>
      <c r="M964" t="s">
        <v>19</v>
      </c>
      <c r="N964" t="s">
        <v>25</v>
      </c>
      <c r="O964" t="s">
        <v>33</v>
      </c>
      <c r="P964" t="str">
        <f>Table1[[#This Row],[Region]]&amp;"|"&amp;Table1[[#This Row],[Sales Rep]]</f>
        <v>South|Charlie</v>
      </c>
    </row>
    <row r="965" spans="1:16" x14ac:dyDescent="0.35">
      <c r="A965">
        <v>1028</v>
      </c>
      <c r="B965" s="1">
        <v>45233</v>
      </c>
      <c r="C965" t="s">
        <v>42</v>
      </c>
      <c r="D965" t="s">
        <v>15</v>
      </c>
      <c r="E965">
        <v>5755.48</v>
      </c>
      <c r="F965">
        <v>38</v>
      </c>
      <c r="G965" t="s">
        <v>29</v>
      </c>
      <c r="H965">
        <v>1234.69</v>
      </c>
      <c r="I965">
        <v>1511.26</v>
      </c>
      <c r="J965" t="s">
        <v>30</v>
      </c>
      <c r="K965">
        <v>0.1</v>
      </c>
      <c r="L965" t="s">
        <v>27</v>
      </c>
      <c r="M965" t="s">
        <v>19</v>
      </c>
      <c r="N965" t="s">
        <v>15</v>
      </c>
      <c r="O965" t="s">
        <v>42</v>
      </c>
      <c r="P965" t="str">
        <f>Table1[[#This Row],[Region]]&amp;"|"&amp;Table1[[#This Row],[Sales Rep]]</f>
        <v>North|Alice</v>
      </c>
    </row>
    <row r="966" spans="1:16" x14ac:dyDescent="0.35">
      <c r="A966">
        <v>1087</v>
      </c>
      <c r="B966" s="1">
        <v>45226</v>
      </c>
      <c r="C966" t="s">
        <v>38</v>
      </c>
      <c r="D966" t="s">
        <v>15</v>
      </c>
      <c r="E966">
        <v>1515.71</v>
      </c>
      <c r="F966">
        <v>27</v>
      </c>
      <c r="G966" t="s">
        <v>26</v>
      </c>
      <c r="H966">
        <v>3139.36</v>
      </c>
      <c r="I966">
        <v>3423.66</v>
      </c>
      <c r="J966" t="s">
        <v>30</v>
      </c>
      <c r="K966">
        <v>0.18</v>
      </c>
      <c r="L966" t="s">
        <v>31</v>
      </c>
      <c r="M966" t="s">
        <v>19</v>
      </c>
      <c r="N966" t="s">
        <v>15</v>
      </c>
      <c r="O966" t="s">
        <v>38</v>
      </c>
      <c r="P966" t="str">
        <f>Table1[[#This Row],[Region]]&amp;"|"&amp;Table1[[#This Row],[Sales Rep]]</f>
        <v>North|Eve</v>
      </c>
    </row>
    <row r="967" spans="1:16" x14ac:dyDescent="0.35">
      <c r="A967">
        <v>1078</v>
      </c>
      <c r="B967" s="1">
        <v>45008</v>
      </c>
      <c r="C967" t="s">
        <v>38</v>
      </c>
      <c r="D967" t="s">
        <v>21</v>
      </c>
      <c r="E967">
        <v>3808.03</v>
      </c>
      <c r="F967">
        <v>33</v>
      </c>
      <c r="G967" t="s">
        <v>29</v>
      </c>
      <c r="H967">
        <v>2396.6799999999998</v>
      </c>
      <c r="I967">
        <v>2661.54</v>
      </c>
      <c r="J967" t="s">
        <v>30</v>
      </c>
      <c r="K967">
        <v>0.18</v>
      </c>
      <c r="L967" t="s">
        <v>27</v>
      </c>
      <c r="M967" t="s">
        <v>19</v>
      </c>
      <c r="N967" t="s">
        <v>21</v>
      </c>
      <c r="O967" t="s">
        <v>38</v>
      </c>
      <c r="P967" t="str">
        <f>Table1[[#This Row],[Region]]&amp;"|"&amp;Table1[[#This Row],[Sales Rep]]</f>
        <v>West|Eve</v>
      </c>
    </row>
    <row r="968" spans="1:16" x14ac:dyDescent="0.35">
      <c r="A968">
        <v>1088</v>
      </c>
      <c r="B968" s="1">
        <v>45137</v>
      </c>
      <c r="C968" t="s">
        <v>38</v>
      </c>
      <c r="D968" t="s">
        <v>34</v>
      </c>
      <c r="E968">
        <v>7997.55</v>
      </c>
      <c r="F968">
        <v>1</v>
      </c>
      <c r="G968" t="s">
        <v>16</v>
      </c>
      <c r="H968">
        <v>4384.6400000000003</v>
      </c>
      <c r="I968">
        <v>4693.8999999999996</v>
      </c>
      <c r="J968" t="s">
        <v>30</v>
      </c>
      <c r="K968">
        <v>0.14000000000000001</v>
      </c>
      <c r="L968" t="s">
        <v>18</v>
      </c>
      <c r="M968" t="s">
        <v>22</v>
      </c>
      <c r="N968" t="s">
        <v>34</v>
      </c>
      <c r="O968" t="s">
        <v>38</v>
      </c>
      <c r="P968" t="str">
        <f>Table1[[#This Row],[Region]]&amp;"|"&amp;Table1[[#This Row],[Sales Rep]]</f>
        <v>East|Eve</v>
      </c>
    </row>
    <row r="969" spans="1:16" x14ac:dyDescent="0.35">
      <c r="A969">
        <v>1002</v>
      </c>
      <c r="B969" s="1">
        <v>45076</v>
      </c>
      <c r="C969" t="s">
        <v>38</v>
      </c>
      <c r="D969" t="s">
        <v>15</v>
      </c>
      <c r="E969">
        <v>3737.17</v>
      </c>
      <c r="F969">
        <v>44</v>
      </c>
      <c r="G969" t="s">
        <v>16</v>
      </c>
      <c r="H969">
        <v>1393.58</v>
      </c>
      <c r="I969">
        <v>1533.09</v>
      </c>
      <c r="J969" t="s">
        <v>17</v>
      </c>
      <c r="K969">
        <v>0.24</v>
      </c>
      <c r="L969" t="s">
        <v>31</v>
      </c>
      <c r="M969" t="s">
        <v>22</v>
      </c>
      <c r="N969" t="s">
        <v>15</v>
      </c>
      <c r="O969" t="s">
        <v>38</v>
      </c>
      <c r="P969" t="str">
        <f>Table1[[#This Row],[Region]]&amp;"|"&amp;Table1[[#This Row],[Sales Rep]]</f>
        <v>North|Eve</v>
      </c>
    </row>
    <row r="970" spans="1:16" x14ac:dyDescent="0.35">
      <c r="A970">
        <v>1026</v>
      </c>
      <c r="B970" s="1">
        <v>44963</v>
      </c>
      <c r="C970" t="s">
        <v>14</v>
      </c>
      <c r="D970" t="s">
        <v>21</v>
      </c>
      <c r="E970">
        <v>961.47</v>
      </c>
      <c r="F970">
        <v>34</v>
      </c>
      <c r="G970" t="s">
        <v>35</v>
      </c>
      <c r="H970">
        <v>68.33</v>
      </c>
      <c r="I970">
        <v>219.07999999999899</v>
      </c>
      <c r="J970" t="s">
        <v>30</v>
      </c>
      <c r="K970">
        <v>0.02</v>
      </c>
      <c r="L970" t="s">
        <v>31</v>
      </c>
      <c r="M970" t="s">
        <v>19</v>
      </c>
      <c r="N970" t="s">
        <v>21</v>
      </c>
      <c r="O970" t="s">
        <v>14</v>
      </c>
      <c r="P970" t="str">
        <f>Table1[[#This Row],[Region]]&amp;"|"&amp;Table1[[#This Row],[Sales Rep]]</f>
        <v>West|Bob</v>
      </c>
    </row>
    <row r="971" spans="1:16" x14ac:dyDescent="0.35">
      <c r="A971">
        <v>1014</v>
      </c>
      <c r="B971" s="1">
        <v>45278</v>
      </c>
      <c r="C971" t="s">
        <v>24</v>
      </c>
      <c r="D971" t="s">
        <v>34</v>
      </c>
      <c r="E971">
        <v>5612.17</v>
      </c>
      <c r="F971">
        <v>4</v>
      </c>
      <c r="G971" t="s">
        <v>16</v>
      </c>
      <c r="H971">
        <v>854.68</v>
      </c>
      <c r="I971">
        <v>1115.24</v>
      </c>
      <c r="J971" t="s">
        <v>30</v>
      </c>
      <c r="K971">
        <v>0.24</v>
      </c>
      <c r="L971" t="s">
        <v>31</v>
      </c>
      <c r="M971" t="s">
        <v>22</v>
      </c>
      <c r="N971" t="s">
        <v>34</v>
      </c>
      <c r="O971" t="s">
        <v>24</v>
      </c>
      <c r="P971" t="str">
        <f>Table1[[#This Row],[Region]]&amp;"|"&amp;Table1[[#This Row],[Sales Rep]]</f>
        <v>East|David</v>
      </c>
    </row>
    <row r="972" spans="1:16" x14ac:dyDescent="0.35">
      <c r="A972">
        <v>1059</v>
      </c>
      <c r="B972" s="1">
        <v>45238</v>
      </c>
      <c r="C972" t="s">
        <v>24</v>
      </c>
      <c r="D972" t="s">
        <v>25</v>
      </c>
      <c r="E972">
        <v>8466.7000000000007</v>
      </c>
      <c r="F972">
        <v>17</v>
      </c>
      <c r="G972" t="s">
        <v>29</v>
      </c>
      <c r="H972">
        <v>1780.14</v>
      </c>
      <c r="I972">
        <v>2185.42</v>
      </c>
      <c r="J972" t="s">
        <v>17</v>
      </c>
      <c r="K972">
        <v>0.15</v>
      </c>
      <c r="L972" t="s">
        <v>31</v>
      </c>
      <c r="M972" t="s">
        <v>22</v>
      </c>
      <c r="N972" t="s">
        <v>25</v>
      </c>
      <c r="O972" t="s">
        <v>24</v>
      </c>
      <c r="P972" t="str">
        <f>Table1[[#This Row],[Region]]&amp;"|"&amp;Table1[[#This Row],[Sales Rep]]</f>
        <v>South|David</v>
      </c>
    </row>
    <row r="973" spans="1:16" x14ac:dyDescent="0.35">
      <c r="A973">
        <v>1056</v>
      </c>
      <c r="B973" s="1">
        <v>45287</v>
      </c>
      <c r="C973" t="s">
        <v>14</v>
      </c>
      <c r="D973" t="s">
        <v>34</v>
      </c>
      <c r="E973">
        <v>7979.67</v>
      </c>
      <c r="F973">
        <v>4</v>
      </c>
      <c r="G973" t="s">
        <v>26</v>
      </c>
      <c r="H973">
        <v>1612.82</v>
      </c>
      <c r="I973">
        <v>1647.25</v>
      </c>
      <c r="J973" t="s">
        <v>17</v>
      </c>
      <c r="K973">
        <v>0.04</v>
      </c>
      <c r="L973" t="s">
        <v>31</v>
      </c>
      <c r="M973" t="s">
        <v>22</v>
      </c>
      <c r="N973" t="s">
        <v>34</v>
      </c>
      <c r="O973" t="s">
        <v>14</v>
      </c>
      <c r="P973" t="str">
        <f>Table1[[#This Row],[Region]]&amp;"|"&amp;Table1[[#This Row],[Sales Rep]]</f>
        <v>East|Bob</v>
      </c>
    </row>
    <row r="974" spans="1:16" x14ac:dyDescent="0.35">
      <c r="A974">
        <v>1007</v>
      </c>
      <c r="B974" s="1">
        <v>44985</v>
      </c>
      <c r="C974" t="s">
        <v>33</v>
      </c>
      <c r="D974" t="s">
        <v>34</v>
      </c>
      <c r="E974">
        <v>1833.72</v>
      </c>
      <c r="F974">
        <v>43</v>
      </c>
      <c r="G974" t="s">
        <v>16</v>
      </c>
      <c r="H974">
        <v>3967.25</v>
      </c>
      <c r="I974">
        <v>4272.92</v>
      </c>
      <c r="J974" t="s">
        <v>30</v>
      </c>
      <c r="K974">
        <v>0.27</v>
      </c>
      <c r="L974" t="s">
        <v>31</v>
      </c>
      <c r="M974" t="s">
        <v>19</v>
      </c>
      <c r="N974" t="s">
        <v>34</v>
      </c>
      <c r="O974" t="s">
        <v>33</v>
      </c>
      <c r="P974" t="str">
        <f>Table1[[#This Row],[Region]]&amp;"|"&amp;Table1[[#This Row],[Sales Rep]]</f>
        <v>East|Charlie</v>
      </c>
    </row>
    <row r="975" spans="1:16" x14ac:dyDescent="0.35">
      <c r="A975">
        <v>1003</v>
      </c>
      <c r="B975" s="1">
        <v>45057</v>
      </c>
      <c r="C975" t="s">
        <v>33</v>
      </c>
      <c r="D975" t="s">
        <v>15</v>
      </c>
      <c r="E975">
        <v>6760.37</v>
      </c>
      <c r="F975">
        <v>26</v>
      </c>
      <c r="G975" t="s">
        <v>35</v>
      </c>
      <c r="H975">
        <v>3418.78</v>
      </c>
      <c r="I975">
        <v>3824.1</v>
      </c>
      <c r="J975" t="s">
        <v>30</v>
      </c>
      <c r="K975">
        <v>0.19</v>
      </c>
      <c r="L975" t="s">
        <v>31</v>
      </c>
      <c r="M975" t="s">
        <v>19</v>
      </c>
      <c r="N975" t="s">
        <v>15</v>
      </c>
      <c r="O975" t="s">
        <v>33</v>
      </c>
      <c r="P975" t="str">
        <f>Table1[[#This Row],[Region]]&amp;"|"&amp;Table1[[#This Row],[Sales Rep]]</f>
        <v>North|Charlie</v>
      </c>
    </row>
    <row r="976" spans="1:16" x14ac:dyDescent="0.35">
      <c r="A976">
        <v>1023</v>
      </c>
      <c r="B976" s="1">
        <v>45128</v>
      </c>
      <c r="C976" t="s">
        <v>38</v>
      </c>
      <c r="D976" t="s">
        <v>15</v>
      </c>
      <c r="E976">
        <v>2282.9899999999998</v>
      </c>
      <c r="F976">
        <v>4</v>
      </c>
      <c r="G976" t="s">
        <v>29</v>
      </c>
      <c r="H976">
        <v>1532.8</v>
      </c>
      <c r="I976">
        <v>1619.69</v>
      </c>
      <c r="J976" t="s">
        <v>17</v>
      </c>
      <c r="K976">
        <v>0.05</v>
      </c>
      <c r="L976" t="s">
        <v>27</v>
      </c>
      <c r="M976" t="s">
        <v>22</v>
      </c>
      <c r="N976" t="s">
        <v>15</v>
      </c>
      <c r="O976" t="s">
        <v>38</v>
      </c>
      <c r="P976" t="str">
        <f>Table1[[#This Row],[Region]]&amp;"|"&amp;Table1[[#This Row],[Sales Rep]]</f>
        <v>North|Eve</v>
      </c>
    </row>
    <row r="977" spans="1:16" x14ac:dyDescent="0.35">
      <c r="A977">
        <v>1018</v>
      </c>
      <c r="B977" s="1">
        <v>45169</v>
      </c>
      <c r="C977" t="s">
        <v>42</v>
      </c>
      <c r="D977" t="s">
        <v>34</v>
      </c>
      <c r="E977">
        <v>2260.25</v>
      </c>
      <c r="F977">
        <v>1</v>
      </c>
      <c r="G977" t="s">
        <v>35</v>
      </c>
      <c r="H977">
        <v>2315.83</v>
      </c>
      <c r="I977">
        <v>2333.19</v>
      </c>
      <c r="J977" t="s">
        <v>30</v>
      </c>
      <c r="K977">
        <v>0.01</v>
      </c>
      <c r="L977" t="s">
        <v>18</v>
      </c>
      <c r="M977" t="s">
        <v>22</v>
      </c>
      <c r="N977" t="s">
        <v>34</v>
      </c>
      <c r="O977" t="s">
        <v>42</v>
      </c>
      <c r="P977" t="str">
        <f>Table1[[#This Row],[Region]]&amp;"|"&amp;Table1[[#This Row],[Sales Rep]]</f>
        <v>East|Alice</v>
      </c>
    </row>
    <row r="978" spans="1:16" x14ac:dyDescent="0.35">
      <c r="A978">
        <v>1038</v>
      </c>
      <c r="B978" s="1">
        <v>44961</v>
      </c>
      <c r="C978" t="s">
        <v>33</v>
      </c>
      <c r="D978" t="s">
        <v>15</v>
      </c>
      <c r="E978">
        <v>8753.31</v>
      </c>
      <c r="F978">
        <v>7</v>
      </c>
      <c r="G978" t="s">
        <v>16</v>
      </c>
      <c r="H978">
        <v>523.02</v>
      </c>
      <c r="I978">
        <v>686.25</v>
      </c>
      <c r="J978" t="s">
        <v>17</v>
      </c>
      <c r="K978">
        <v>0.04</v>
      </c>
      <c r="L978" t="s">
        <v>18</v>
      </c>
      <c r="M978" t="s">
        <v>19</v>
      </c>
      <c r="N978" t="s">
        <v>15</v>
      </c>
      <c r="O978" t="s">
        <v>33</v>
      </c>
      <c r="P978" t="str">
        <f>Table1[[#This Row],[Region]]&amp;"|"&amp;Table1[[#This Row],[Sales Rep]]</f>
        <v>North|Charlie</v>
      </c>
    </row>
    <row r="979" spans="1:16" x14ac:dyDescent="0.35">
      <c r="A979">
        <v>1099</v>
      </c>
      <c r="B979" s="1">
        <v>45019</v>
      </c>
      <c r="C979" t="s">
        <v>42</v>
      </c>
      <c r="D979" t="s">
        <v>15</v>
      </c>
      <c r="E979">
        <v>2571.7199999999998</v>
      </c>
      <c r="F979">
        <v>30</v>
      </c>
      <c r="G979" t="s">
        <v>16</v>
      </c>
      <c r="H979">
        <v>4495.82</v>
      </c>
      <c r="I979">
        <v>4794.0099999999902</v>
      </c>
      <c r="J979" t="s">
        <v>30</v>
      </c>
      <c r="K979">
        <v>0.18</v>
      </c>
      <c r="L979" t="s">
        <v>27</v>
      </c>
      <c r="M979" t="s">
        <v>22</v>
      </c>
      <c r="N979" t="s">
        <v>15</v>
      </c>
      <c r="O979" t="s">
        <v>42</v>
      </c>
      <c r="P979" t="str">
        <f>Table1[[#This Row],[Region]]&amp;"|"&amp;Table1[[#This Row],[Sales Rep]]</f>
        <v>North|Alice</v>
      </c>
    </row>
    <row r="980" spans="1:16" x14ac:dyDescent="0.35">
      <c r="A980">
        <v>1015</v>
      </c>
      <c r="B980" s="1">
        <v>45133</v>
      </c>
      <c r="C980" t="s">
        <v>24</v>
      </c>
      <c r="D980" t="s">
        <v>15</v>
      </c>
      <c r="E980">
        <v>2706.15</v>
      </c>
      <c r="F980">
        <v>9</v>
      </c>
      <c r="G980" t="s">
        <v>35</v>
      </c>
      <c r="H980">
        <v>4680.3500000000004</v>
      </c>
      <c r="I980">
        <v>4758.1099999999997</v>
      </c>
      <c r="J980" t="s">
        <v>17</v>
      </c>
      <c r="K980">
        <v>0.05</v>
      </c>
      <c r="L980" t="s">
        <v>27</v>
      </c>
      <c r="M980" t="s">
        <v>19</v>
      </c>
      <c r="N980" t="s">
        <v>15</v>
      </c>
      <c r="O980" t="s">
        <v>24</v>
      </c>
      <c r="P980" t="str">
        <f>Table1[[#This Row],[Region]]&amp;"|"&amp;Table1[[#This Row],[Sales Rep]]</f>
        <v>North|David</v>
      </c>
    </row>
    <row r="981" spans="1:16" x14ac:dyDescent="0.35">
      <c r="A981">
        <v>1064</v>
      </c>
      <c r="B981" s="1">
        <v>45279</v>
      </c>
      <c r="C981" t="s">
        <v>42</v>
      </c>
      <c r="D981" t="s">
        <v>21</v>
      </c>
      <c r="E981">
        <v>106.47</v>
      </c>
      <c r="F981">
        <v>35</v>
      </c>
      <c r="G981" t="s">
        <v>29</v>
      </c>
      <c r="H981">
        <v>4900.03</v>
      </c>
      <c r="I981">
        <v>5118.83</v>
      </c>
      <c r="J981" t="s">
        <v>17</v>
      </c>
      <c r="K981">
        <v>7.0000000000000007E-2</v>
      </c>
      <c r="L981" t="s">
        <v>31</v>
      </c>
      <c r="M981" t="s">
        <v>22</v>
      </c>
      <c r="N981" t="s">
        <v>21</v>
      </c>
      <c r="O981" t="s">
        <v>42</v>
      </c>
      <c r="P981" t="str">
        <f>Table1[[#This Row],[Region]]&amp;"|"&amp;Table1[[#This Row],[Sales Rep]]</f>
        <v>West|Alice</v>
      </c>
    </row>
    <row r="982" spans="1:16" x14ac:dyDescent="0.35">
      <c r="A982">
        <v>1089</v>
      </c>
      <c r="B982" s="1">
        <v>45258</v>
      </c>
      <c r="C982" t="s">
        <v>24</v>
      </c>
      <c r="D982" t="s">
        <v>21</v>
      </c>
      <c r="E982">
        <v>8719.6200000000008</v>
      </c>
      <c r="F982">
        <v>8</v>
      </c>
      <c r="G982" t="s">
        <v>16</v>
      </c>
      <c r="H982">
        <v>4349.34</v>
      </c>
      <c r="I982">
        <v>4629.9799999999996</v>
      </c>
      <c r="J982" t="s">
        <v>17</v>
      </c>
      <c r="K982">
        <v>0.01</v>
      </c>
      <c r="L982" t="s">
        <v>31</v>
      </c>
      <c r="M982" t="s">
        <v>19</v>
      </c>
      <c r="N982" t="s">
        <v>21</v>
      </c>
      <c r="O982" t="s">
        <v>24</v>
      </c>
      <c r="P982" t="str">
        <f>Table1[[#This Row],[Region]]&amp;"|"&amp;Table1[[#This Row],[Sales Rep]]</f>
        <v>West|David</v>
      </c>
    </row>
    <row r="983" spans="1:16" x14ac:dyDescent="0.35">
      <c r="A983">
        <v>1028</v>
      </c>
      <c r="B983" s="1">
        <v>45231</v>
      </c>
      <c r="C983" t="s">
        <v>14</v>
      </c>
      <c r="D983" t="s">
        <v>34</v>
      </c>
      <c r="E983">
        <v>7946.69</v>
      </c>
      <c r="F983">
        <v>24</v>
      </c>
      <c r="G983" t="s">
        <v>26</v>
      </c>
      <c r="H983">
        <v>911.11</v>
      </c>
      <c r="I983">
        <v>1214.56</v>
      </c>
      <c r="J983" t="s">
        <v>30</v>
      </c>
      <c r="K983">
        <v>0.22</v>
      </c>
      <c r="L983" t="s">
        <v>27</v>
      </c>
      <c r="M983" t="s">
        <v>19</v>
      </c>
      <c r="N983" t="s">
        <v>34</v>
      </c>
      <c r="O983" t="s">
        <v>14</v>
      </c>
      <c r="P983" t="str">
        <f>Table1[[#This Row],[Region]]&amp;"|"&amp;Table1[[#This Row],[Sales Rep]]</f>
        <v>East|Bob</v>
      </c>
    </row>
    <row r="984" spans="1:16" x14ac:dyDescent="0.35">
      <c r="A984">
        <v>1074</v>
      </c>
      <c r="B984" s="1">
        <v>45276</v>
      </c>
      <c r="C984" t="s">
        <v>14</v>
      </c>
      <c r="D984" t="s">
        <v>15</v>
      </c>
      <c r="E984">
        <v>6310.56</v>
      </c>
      <c r="F984">
        <v>19</v>
      </c>
      <c r="G984" t="s">
        <v>16</v>
      </c>
      <c r="H984">
        <v>278.67</v>
      </c>
      <c r="I984">
        <v>423.13</v>
      </c>
      <c r="J984" t="s">
        <v>30</v>
      </c>
      <c r="K984">
        <v>0.24</v>
      </c>
      <c r="L984" t="s">
        <v>31</v>
      </c>
      <c r="M984" t="s">
        <v>19</v>
      </c>
      <c r="N984" t="s">
        <v>15</v>
      </c>
      <c r="O984" t="s">
        <v>14</v>
      </c>
      <c r="P984" t="str">
        <f>Table1[[#This Row],[Region]]&amp;"|"&amp;Table1[[#This Row],[Sales Rep]]</f>
        <v>North|Bob</v>
      </c>
    </row>
    <row r="985" spans="1:16" x14ac:dyDescent="0.35">
      <c r="A985">
        <v>1039</v>
      </c>
      <c r="B985" s="1">
        <v>45139</v>
      </c>
      <c r="C985" t="s">
        <v>38</v>
      </c>
      <c r="D985" t="s">
        <v>21</v>
      </c>
      <c r="E985">
        <v>7527.63</v>
      </c>
      <c r="F985">
        <v>36</v>
      </c>
      <c r="G985" t="s">
        <v>29</v>
      </c>
      <c r="H985">
        <v>2919</v>
      </c>
      <c r="I985">
        <v>3125.01</v>
      </c>
      <c r="J985" t="s">
        <v>30</v>
      </c>
      <c r="K985">
        <v>0.24</v>
      </c>
      <c r="L985" t="s">
        <v>18</v>
      </c>
      <c r="M985" t="s">
        <v>19</v>
      </c>
      <c r="N985" t="s">
        <v>21</v>
      </c>
      <c r="O985" t="s">
        <v>38</v>
      </c>
      <c r="P985" t="str">
        <f>Table1[[#This Row],[Region]]&amp;"|"&amp;Table1[[#This Row],[Sales Rep]]</f>
        <v>West|Eve</v>
      </c>
    </row>
    <row r="986" spans="1:16" x14ac:dyDescent="0.35">
      <c r="A986">
        <v>1057</v>
      </c>
      <c r="B986" s="1">
        <v>45085</v>
      </c>
      <c r="C986" t="s">
        <v>33</v>
      </c>
      <c r="D986" t="s">
        <v>34</v>
      </c>
      <c r="E986">
        <v>1605.28</v>
      </c>
      <c r="F986">
        <v>43</v>
      </c>
      <c r="G986" t="s">
        <v>16</v>
      </c>
      <c r="H986">
        <v>4567.3900000000003</v>
      </c>
      <c r="I986">
        <v>4958.78</v>
      </c>
      <c r="J986" t="s">
        <v>30</v>
      </c>
      <c r="K986">
        <v>0.04</v>
      </c>
      <c r="L986" t="s">
        <v>18</v>
      </c>
      <c r="M986" t="s">
        <v>22</v>
      </c>
      <c r="N986" t="s">
        <v>34</v>
      </c>
      <c r="O986" t="s">
        <v>33</v>
      </c>
      <c r="P986" t="str">
        <f>Table1[[#This Row],[Region]]&amp;"|"&amp;Table1[[#This Row],[Sales Rep]]</f>
        <v>East|Charlie</v>
      </c>
    </row>
    <row r="987" spans="1:16" x14ac:dyDescent="0.35">
      <c r="A987">
        <v>1017</v>
      </c>
      <c r="B987" s="1">
        <v>44950</v>
      </c>
      <c r="C987" t="s">
        <v>38</v>
      </c>
      <c r="D987" t="s">
        <v>15</v>
      </c>
      <c r="E987">
        <v>4637.3999999999996</v>
      </c>
      <c r="F987">
        <v>27</v>
      </c>
      <c r="G987" t="s">
        <v>35</v>
      </c>
      <c r="H987">
        <v>927.89</v>
      </c>
      <c r="I987">
        <v>1399.09</v>
      </c>
      <c r="J987" t="s">
        <v>17</v>
      </c>
      <c r="K987">
        <v>0.27</v>
      </c>
      <c r="L987" t="s">
        <v>31</v>
      </c>
      <c r="M987" t="s">
        <v>19</v>
      </c>
      <c r="N987" t="s">
        <v>15</v>
      </c>
      <c r="O987" t="s">
        <v>38</v>
      </c>
      <c r="P987" t="str">
        <f>Table1[[#This Row],[Region]]&amp;"|"&amp;Table1[[#This Row],[Sales Rep]]</f>
        <v>North|Eve</v>
      </c>
    </row>
    <row r="988" spans="1:16" x14ac:dyDescent="0.35">
      <c r="A988">
        <v>1086</v>
      </c>
      <c r="B988" s="1">
        <v>45219</v>
      </c>
      <c r="C988" t="s">
        <v>24</v>
      </c>
      <c r="D988" t="s">
        <v>25</v>
      </c>
      <c r="E988">
        <v>3577.07</v>
      </c>
      <c r="F988">
        <v>32</v>
      </c>
      <c r="G988" t="s">
        <v>16</v>
      </c>
      <c r="H988">
        <v>84.86</v>
      </c>
      <c r="I988">
        <v>517.17999999999995</v>
      </c>
      <c r="J988" t="s">
        <v>17</v>
      </c>
      <c r="K988">
        <v>0.2</v>
      </c>
      <c r="L988" t="s">
        <v>31</v>
      </c>
      <c r="M988" t="s">
        <v>22</v>
      </c>
      <c r="N988" t="s">
        <v>25</v>
      </c>
      <c r="O988" t="s">
        <v>24</v>
      </c>
      <c r="P988" t="str">
        <f>Table1[[#This Row],[Region]]&amp;"|"&amp;Table1[[#This Row],[Sales Rep]]</f>
        <v>South|David</v>
      </c>
    </row>
    <row r="989" spans="1:16" x14ac:dyDescent="0.35">
      <c r="A989">
        <v>1090</v>
      </c>
      <c r="B989" s="1">
        <v>44930</v>
      </c>
      <c r="C989" t="s">
        <v>38</v>
      </c>
      <c r="D989" t="s">
        <v>15</v>
      </c>
      <c r="E989">
        <v>1028.3900000000001</v>
      </c>
      <c r="F989">
        <v>14</v>
      </c>
      <c r="G989" t="s">
        <v>16</v>
      </c>
      <c r="H989">
        <v>4037.21</v>
      </c>
      <c r="I989">
        <v>4323.71</v>
      </c>
      <c r="J989" t="s">
        <v>17</v>
      </c>
      <c r="K989">
        <v>0.27</v>
      </c>
      <c r="L989" t="s">
        <v>31</v>
      </c>
      <c r="M989" t="s">
        <v>19</v>
      </c>
      <c r="N989" t="s">
        <v>15</v>
      </c>
      <c r="O989" t="s">
        <v>38</v>
      </c>
      <c r="P989" t="str">
        <f>Table1[[#This Row],[Region]]&amp;"|"&amp;Table1[[#This Row],[Sales Rep]]</f>
        <v>North|Eve</v>
      </c>
    </row>
    <row r="990" spans="1:16" x14ac:dyDescent="0.35">
      <c r="A990">
        <v>1044</v>
      </c>
      <c r="B990" s="1">
        <v>45146</v>
      </c>
      <c r="C990" t="s">
        <v>42</v>
      </c>
      <c r="D990" t="s">
        <v>15</v>
      </c>
      <c r="E990">
        <v>4912.6899999999996</v>
      </c>
      <c r="F990">
        <v>18</v>
      </c>
      <c r="G990" t="s">
        <v>29</v>
      </c>
      <c r="H990">
        <v>430.14</v>
      </c>
      <c r="I990">
        <v>641.17999999999995</v>
      </c>
      <c r="J990" t="s">
        <v>30</v>
      </c>
      <c r="K990">
        <v>0.13</v>
      </c>
      <c r="L990" t="s">
        <v>18</v>
      </c>
      <c r="M990" t="s">
        <v>19</v>
      </c>
      <c r="N990" t="s">
        <v>15</v>
      </c>
      <c r="O990" t="s">
        <v>42</v>
      </c>
      <c r="P990" t="str">
        <f>Table1[[#This Row],[Region]]&amp;"|"&amp;Table1[[#This Row],[Sales Rep]]</f>
        <v>North|Alice</v>
      </c>
    </row>
    <row r="991" spans="1:16" x14ac:dyDescent="0.35">
      <c r="A991">
        <v>1025</v>
      </c>
      <c r="B991" s="1">
        <v>45290</v>
      </c>
      <c r="C991" t="s">
        <v>24</v>
      </c>
      <c r="D991" t="s">
        <v>21</v>
      </c>
      <c r="E991">
        <v>9215.32</v>
      </c>
      <c r="F991">
        <v>28</v>
      </c>
      <c r="G991" t="s">
        <v>35</v>
      </c>
      <c r="H991">
        <v>2097.84</v>
      </c>
      <c r="I991">
        <v>2270.9899999999998</v>
      </c>
      <c r="J991" t="s">
        <v>30</v>
      </c>
      <c r="K991">
        <v>0.13</v>
      </c>
      <c r="L991" t="s">
        <v>31</v>
      </c>
      <c r="M991" t="s">
        <v>22</v>
      </c>
      <c r="N991" t="s">
        <v>21</v>
      </c>
      <c r="O991" t="s">
        <v>24</v>
      </c>
      <c r="P991" t="str">
        <f>Table1[[#This Row],[Region]]&amp;"|"&amp;Table1[[#This Row],[Sales Rep]]</f>
        <v>West|David</v>
      </c>
    </row>
    <row r="992" spans="1:16" x14ac:dyDescent="0.35">
      <c r="A992">
        <v>1017</v>
      </c>
      <c r="B992" s="1">
        <v>44946</v>
      </c>
      <c r="C992" t="s">
        <v>14</v>
      </c>
      <c r="D992" t="s">
        <v>34</v>
      </c>
      <c r="E992">
        <v>496.59</v>
      </c>
      <c r="F992">
        <v>29</v>
      </c>
      <c r="G992" t="s">
        <v>29</v>
      </c>
      <c r="H992">
        <v>3410.49</v>
      </c>
      <c r="I992">
        <v>3481.72</v>
      </c>
      <c r="J992" t="s">
        <v>30</v>
      </c>
      <c r="K992">
        <v>0.24</v>
      </c>
      <c r="L992" t="s">
        <v>27</v>
      </c>
      <c r="M992" t="s">
        <v>22</v>
      </c>
      <c r="N992" t="s">
        <v>34</v>
      </c>
      <c r="O992" t="s">
        <v>14</v>
      </c>
      <c r="P992" t="str">
        <f>Table1[[#This Row],[Region]]&amp;"|"&amp;Table1[[#This Row],[Sales Rep]]</f>
        <v>East|Bob</v>
      </c>
    </row>
    <row r="993" spans="1:16" x14ac:dyDescent="0.35">
      <c r="A993">
        <v>1013</v>
      </c>
      <c r="B993" s="1">
        <v>45078</v>
      </c>
      <c r="C993" t="s">
        <v>33</v>
      </c>
      <c r="D993" t="s">
        <v>34</v>
      </c>
      <c r="E993">
        <v>2985.46</v>
      </c>
      <c r="F993">
        <v>16</v>
      </c>
      <c r="G993" t="s">
        <v>16</v>
      </c>
      <c r="H993">
        <v>1222.1500000000001</v>
      </c>
      <c r="I993">
        <v>1284.3599999999999</v>
      </c>
      <c r="J993" t="s">
        <v>17</v>
      </c>
      <c r="K993">
        <v>0.03</v>
      </c>
      <c r="L993" t="s">
        <v>31</v>
      </c>
      <c r="M993" t="s">
        <v>22</v>
      </c>
      <c r="N993" t="s">
        <v>34</v>
      </c>
      <c r="O993" t="s">
        <v>33</v>
      </c>
      <c r="P993" t="str">
        <f>Table1[[#This Row],[Region]]&amp;"|"&amp;Table1[[#This Row],[Sales Rep]]</f>
        <v>East|Charlie</v>
      </c>
    </row>
    <row r="994" spans="1:16" x14ac:dyDescent="0.35">
      <c r="A994">
        <v>1084</v>
      </c>
      <c r="B994" s="1">
        <v>44976</v>
      </c>
      <c r="C994" t="s">
        <v>24</v>
      </c>
      <c r="D994" t="s">
        <v>21</v>
      </c>
      <c r="E994">
        <v>2154.66</v>
      </c>
      <c r="F994">
        <v>35</v>
      </c>
      <c r="G994" t="s">
        <v>26</v>
      </c>
      <c r="H994">
        <v>465.61</v>
      </c>
      <c r="I994">
        <v>812.91</v>
      </c>
      <c r="J994" t="s">
        <v>30</v>
      </c>
      <c r="K994">
        <v>0.16</v>
      </c>
      <c r="L994" t="s">
        <v>27</v>
      </c>
      <c r="M994" t="s">
        <v>19</v>
      </c>
      <c r="N994" t="s">
        <v>21</v>
      </c>
      <c r="O994" t="s">
        <v>24</v>
      </c>
      <c r="P994" t="str">
        <f>Table1[[#This Row],[Region]]&amp;"|"&amp;Table1[[#This Row],[Sales Rep]]</f>
        <v>West|David</v>
      </c>
    </row>
    <row r="995" spans="1:16" x14ac:dyDescent="0.35">
      <c r="A995">
        <v>1025</v>
      </c>
      <c r="B995" s="1">
        <v>45103</v>
      </c>
      <c r="C995" t="s">
        <v>24</v>
      </c>
      <c r="D995" t="s">
        <v>15</v>
      </c>
      <c r="E995">
        <v>2457.65</v>
      </c>
      <c r="F995">
        <v>47</v>
      </c>
      <c r="G995" t="s">
        <v>16</v>
      </c>
      <c r="H995">
        <v>3861.61</v>
      </c>
      <c r="I995">
        <v>3998.91</v>
      </c>
      <c r="J995" t="s">
        <v>30</v>
      </c>
      <c r="K995">
        <v>0.25</v>
      </c>
      <c r="L995" t="s">
        <v>31</v>
      </c>
      <c r="M995" t="s">
        <v>19</v>
      </c>
      <c r="N995" t="s">
        <v>15</v>
      </c>
      <c r="O995" t="s">
        <v>24</v>
      </c>
      <c r="P995" t="str">
        <f>Table1[[#This Row],[Region]]&amp;"|"&amp;Table1[[#This Row],[Sales Rep]]</f>
        <v>North|David</v>
      </c>
    </row>
    <row r="996" spans="1:16" x14ac:dyDescent="0.35">
      <c r="A996">
        <v>1068</v>
      </c>
      <c r="B996" s="1">
        <v>45022</v>
      </c>
      <c r="C996" t="s">
        <v>42</v>
      </c>
      <c r="D996" t="s">
        <v>25</v>
      </c>
      <c r="E996">
        <v>9093.5</v>
      </c>
      <c r="F996">
        <v>31</v>
      </c>
      <c r="G996" t="s">
        <v>29</v>
      </c>
      <c r="H996">
        <v>3169.37</v>
      </c>
      <c r="I996">
        <v>3304.15</v>
      </c>
      <c r="J996" t="s">
        <v>17</v>
      </c>
      <c r="K996">
        <v>0.25</v>
      </c>
      <c r="L996" t="s">
        <v>31</v>
      </c>
      <c r="M996" t="s">
        <v>22</v>
      </c>
      <c r="N996" t="s">
        <v>25</v>
      </c>
      <c r="O996" t="s">
        <v>42</v>
      </c>
      <c r="P996" t="str">
        <f>Table1[[#This Row],[Region]]&amp;"|"&amp;Table1[[#This Row],[Sales Rep]]</f>
        <v>South|Alice</v>
      </c>
    </row>
    <row r="997" spans="1:16" x14ac:dyDescent="0.35">
      <c r="A997">
        <v>1010</v>
      </c>
      <c r="B997" s="1">
        <v>45031</v>
      </c>
      <c r="C997" t="s">
        <v>33</v>
      </c>
      <c r="D997" t="s">
        <v>15</v>
      </c>
      <c r="E997">
        <v>4733.88</v>
      </c>
      <c r="F997">
        <v>4</v>
      </c>
      <c r="G997" t="s">
        <v>26</v>
      </c>
      <c r="H997">
        <v>4943.03</v>
      </c>
      <c r="I997">
        <v>5442.15</v>
      </c>
      <c r="J997" t="s">
        <v>17</v>
      </c>
      <c r="K997">
        <v>0.28999999999999998</v>
      </c>
      <c r="L997" t="s">
        <v>18</v>
      </c>
      <c r="M997" t="s">
        <v>19</v>
      </c>
      <c r="N997" t="s">
        <v>15</v>
      </c>
      <c r="O997" t="s">
        <v>33</v>
      </c>
      <c r="P997" t="str">
        <f>Table1[[#This Row],[Region]]&amp;"|"&amp;Table1[[#This Row],[Sales Rep]]</f>
        <v>North|Charlie</v>
      </c>
    </row>
    <row r="998" spans="1:16" x14ac:dyDescent="0.35">
      <c r="A998">
        <v>1067</v>
      </c>
      <c r="B998" s="1">
        <v>45176</v>
      </c>
      <c r="C998" t="s">
        <v>14</v>
      </c>
      <c r="D998" t="s">
        <v>15</v>
      </c>
      <c r="E998">
        <v>4716.3599999999997</v>
      </c>
      <c r="F998">
        <v>37</v>
      </c>
      <c r="G998" t="s">
        <v>29</v>
      </c>
      <c r="H998">
        <v>1754.32</v>
      </c>
      <c r="I998">
        <v>1856.3999999999901</v>
      </c>
      <c r="J998" t="s">
        <v>30</v>
      </c>
      <c r="K998">
        <v>0.21</v>
      </c>
      <c r="L998" t="s">
        <v>27</v>
      </c>
      <c r="M998" t="s">
        <v>22</v>
      </c>
      <c r="N998" t="s">
        <v>15</v>
      </c>
      <c r="O998" t="s">
        <v>14</v>
      </c>
      <c r="P998" t="str">
        <f>Table1[[#This Row],[Region]]&amp;"|"&amp;Table1[[#This Row],[Sales Rep]]</f>
        <v>North|Bob</v>
      </c>
    </row>
    <row r="999" spans="1:16" x14ac:dyDescent="0.35">
      <c r="A999">
        <v>1018</v>
      </c>
      <c r="B999" s="1">
        <v>45043</v>
      </c>
      <c r="C999" t="s">
        <v>24</v>
      </c>
      <c r="D999" t="s">
        <v>25</v>
      </c>
      <c r="E999">
        <v>7629.7</v>
      </c>
      <c r="F999">
        <v>17</v>
      </c>
      <c r="G999" t="s">
        <v>29</v>
      </c>
      <c r="H999">
        <v>355.72</v>
      </c>
      <c r="I999">
        <v>438.27</v>
      </c>
      <c r="J999" t="s">
        <v>17</v>
      </c>
      <c r="K999">
        <v>0.06</v>
      </c>
      <c r="L999" t="s">
        <v>27</v>
      </c>
      <c r="M999" t="s">
        <v>19</v>
      </c>
      <c r="N999" t="s">
        <v>25</v>
      </c>
      <c r="O999" t="s">
        <v>24</v>
      </c>
      <c r="P999" t="str">
        <f>Table1[[#This Row],[Region]]&amp;"|"&amp;Table1[[#This Row],[Sales Rep]]</f>
        <v>South|David</v>
      </c>
    </row>
    <row r="1000" spans="1:16" x14ac:dyDescent="0.35">
      <c r="A1000">
        <v>1100</v>
      </c>
      <c r="B1000" s="1">
        <v>45280</v>
      </c>
      <c r="C1000" t="s">
        <v>24</v>
      </c>
      <c r="D1000" t="s">
        <v>21</v>
      </c>
      <c r="E1000">
        <v>1629.47</v>
      </c>
      <c r="F1000">
        <v>39</v>
      </c>
      <c r="G1000" t="s">
        <v>35</v>
      </c>
      <c r="H1000">
        <v>3685.03</v>
      </c>
      <c r="I1000">
        <v>3743.39</v>
      </c>
      <c r="J1000" t="s">
        <v>30</v>
      </c>
      <c r="K1000">
        <v>0.01</v>
      </c>
      <c r="L1000" t="s">
        <v>27</v>
      </c>
      <c r="M1000" t="s">
        <v>19</v>
      </c>
      <c r="N1000" t="s">
        <v>21</v>
      </c>
      <c r="O1000" t="s">
        <v>24</v>
      </c>
      <c r="P1000" t="str">
        <f>Table1[[#This Row],[Region]]&amp;"|"&amp;Table1[[#This Row],[Sales Rep]]</f>
        <v>West|David</v>
      </c>
    </row>
    <row r="1001" spans="1:16" x14ac:dyDescent="0.35">
      <c r="A1001">
        <v>1086</v>
      </c>
      <c r="B1001" s="1">
        <v>45154</v>
      </c>
      <c r="C1001" t="s">
        <v>42</v>
      </c>
      <c r="D1001" t="s">
        <v>34</v>
      </c>
      <c r="E1001">
        <v>4923.93</v>
      </c>
      <c r="F1001">
        <v>48</v>
      </c>
      <c r="G1001" t="s">
        <v>26</v>
      </c>
      <c r="H1001">
        <v>2632.58</v>
      </c>
      <c r="I1001">
        <v>2926.68</v>
      </c>
      <c r="J1001" t="s">
        <v>17</v>
      </c>
      <c r="K1001">
        <v>0.14000000000000001</v>
      </c>
      <c r="L1001" t="s">
        <v>18</v>
      </c>
      <c r="M1001" t="s">
        <v>19</v>
      </c>
      <c r="N1001" t="s">
        <v>34</v>
      </c>
      <c r="O1001" t="s">
        <v>42</v>
      </c>
      <c r="P1001" t="str">
        <f>Table1[[#This Row],[Region]]&amp;"|"&amp;Table1[[#This Row],[Sales Rep]]</f>
        <v>East|Alice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8ECF0-EC0C-4109-85EA-5E17D57E576F}">
  <dimension ref="A1:E531"/>
  <sheetViews>
    <sheetView topLeftCell="A58" zoomScale="118" zoomScaleNormal="59" workbookViewId="0">
      <selection activeCell="D26" sqref="D26"/>
    </sheetView>
  </sheetViews>
  <sheetFormatPr defaultRowHeight="14.5" x14ac:dyDescent="0.35"/>
  <cols>
    <col min="1" max="1" width="17.7265625" bestFit="1" customWidth="1"/>
    <col min="2" max="2" width="13.6328125" bestFit="1" customWidth="1"/>
    <col min="3" max="3" width="14.81640625" bestFit="1" customWidth="1"/>
    <col min="4" max="4" width="13.6328125" bestFit="1" customWidth="1"/>
    <col min="5" max="5" width="18.54296875" bestFit="1" customWidth="1"/>
  </cols>
  <sheetData>
    <row r="1" spans="1:3" x14ac:dyDescent="0.35">
      <c r="A1" s="10" t="s">
        <v>121</v>
      </c>
      <c r="B1" s="10"/>
      <c r="C1" s="11"/>
    </row>
    <row r="2" spans="1:3" x14ac:dyDescent="0.35">
      <c r="A2" s="7" t="s">
        <v>3</v>
      </c>
      <c r="B2" t="s">
        <v>141</v>
      </c>
      <c r="C2" t="s">
        <v>142</v>
      </c>
    </row>
    <row r="3" spans="1:3" x14ac:dyDescent="0.35">
      <c r="A3" t="s">
        <v>34</v>
      </c>
      <c r="B3" s="4">
        <v>1259792.93</v>
      </c>
      <c r="C3" s="9">
        <v>0.25099150418875149</v>
      </c>
    </row>
    <row r="4" spans="1:3" x14ac:dyDescent="0.35">
      <c r="A4" t="s">
        <v>15</v>
      </c>
      <c r="B4" s="4">
        <v>1369612.5100000009</v>
      </c>
      <c r="C4" s="24">
        <v>0.27287111703399675</v>
      </c>
    </row>
    <row r="5" spans="1:3" x14ac:dyDescent="0.35">
      <c r="A5" t="s">
        <v>25</v>
      </c>
      <c r="B5" s="4">
        <v>1154250.8600000006</v>
      </c>
      <c r="C5" s="14">
        <v>0.22996410970695014</v>
      </c>
    </row>
    <row r="6" spans="1:3" x14ac:dyDescent="0.35">
      <c r="A6" t="s">
        <v>21</v>
      </c>
      <c r="B6" s="4">
        <v>1235608.9299999997</v>
      </c>
      <c r="C6" s="9">
        <v>0.24617326907030163</v>
      </c>
    </row>
    <row r="7" spans="1:3" x14ac:dyDescent="0.35">
      <c r="A7" t="s">
        <v>119</v>
      </c>
      <c r="B7" s="4">
        <v>5019265.2300000014</v>
      </c>
      <c r="C7" s="9">
        <v>1</v>
      </c>
    </row>
    <row r="10" spans="1:3" x14ac:dyDescent="0.35">
      <c r="A10" s="10" t="s">
        <v>122</v>
      </c>
      <c r="B10" s="10"/>
      <c r="C10" s="11"/>
    </row>
    <row r="11" spans="1:3" x14ac:dyDescent="0.35">
      <c r="A11" s="7" t="s">
        <v>98</v>
      </c>
      <c r="B11" t="s">
        <v>141</v>
      </c>
      <c r="C11" s="5" t="s">
        <v>142</v>
      </c>
    </row>
    <row r="12" spans="1:3" x14ac:dyDescent="0.35">
      <c r="A12" t="s">
        <v>29</v>
      </c>
      <c r="B12" s="4">
        <v>1313474.3599999999</v>
      </c>
      <c r="C12" s="9">
        <v>0.26168658156365243</v>
      </c>
    </row>
    <row r="13" spans="1:3" x14ac:dyDescent="0.35">
      <c r="A13" t="s">
        <v>35</v>
      </c>
      <c r="B13" s="4">
        <v>1243499.6400000006</v>
      </c>
      <c r="C13" s="9">
        <v>0.24774535375569315</v>
      </c>
    </row>
    <row r="14" spans="1:3" x14ac:dyDescent="0.35">
      <c r="A14" t="s">
        <v>26</v>
      </c>
      <c r="B14" s="4">
        <v>1201773.5399999998</v>
      </c>
      <c r="C14" s="9">
        <v>0.23943216485493429</v>
      </c>
    </row>
    <row r="15" spans="1:3" x14ac:dyDescent="0.35">
      <c r="A15" t="s">
        <v>16</v>
      </c>
      <c r="B15" s="4">
        <v>1260517.6900000002</v>
      </c>
      <c r="C15" s="9">
        <v>0.2511358998257201</v>
      </c>
    </row>
    <row r="16" spans="1:3" x14ac:dyDescent="0.35">
      <c r="A16" t="s">
        <v>119</v>
      </c>
      <c r="B16" s="4">
        <v>5019265.2300000004</v>
      </c>
      <c r="C16" s="9">
        <v>1</v>
      </c>
    </row>
    <row r="19" spans="1:3" x14ac:dyDescent="0.35">
      <c r="A19" s="10" t="s">
        <v>123</v>
      </c>
      <c r="B19" s="10"/>
    </row>
    <row r="20" spans="1:3" x14ac:dyDescent="0.35">
      <c r="A20" s="7" t="s">
        <v>95</v>
      </c>
      <c r="B20" t="s">
        <v>141</v>
      </c>
      <c r="C20" s="5" t="s">
        <v>142</v>
      </c>
    </row>
    <row r="21" spans="1:3" x14ac:dyDescent="0.35">
      <c r="A21" t="s">
        <v>42</v>
      </c>
      <c r="B21" s="4">
        <v>965541.77000000048</v>
      </c>
      <c r="C21" s="9">
        <v>0.19236715450480396</v>
      </c>
    </row>
    <row r="22" spans="1:3" x14ac:dyDescent="0.35">
      <c r="A22" t="s">
        <v>14</v>
      </c>
      <c r="B22" s="4">
        <v>1080990.6300000006</v>
      </c>
      <c r="C22" s="9">
        <v>0.21536830202535451</v>
      </c>
    </row>
    <row r="23" spans="1:3" x14ac:dyDescent="0.35">
      <c r="A23" t="s">
        <v>33</v>
      </c>
      <c r="B23" s="4">
        <v>860811.48</v>
      </c>
      <c r="C23" s="9">
        <v>0.17150149285894578</v>
      </c>
    </row>
    <row r="24" spans="1:3" x14ac:dyDescent="0.35">
      <c r="A24" t="s">
        <v>24</v>
      </c>
      <c r="B24" s="4">
        <v>1141737.3599999996</v>
      </c>
      <c r="C24" s="9">
        <v>0.2274710157127918</v>
      </c>
    </row>
    <row r="25" spans="1:3" x14ac:dyDescent="0.35">
      <c r="A25" t="s">
        <v>38</v>
      </c>
      <c r="B25" s="4">
        <v>970183.99000000022</v>
      </c>
      <c r="C25" s="9">
        <v>0.19329203489810404</v>
      </c>
    </row>
    <row r="26" spans="1:3" x14ac:dyDescent="0.35">
      <c r="A26" t="s">
        <v>119</v>
      </c>
      <c r="B26" s="4">
        <v>5019265.2300000004</v>
      </c>
      <c r="C26" s="9">
        <v>1</v>
      </c>
    </row>
    <row r="29" spans="1:3" x14ac:dyDescent="0.35">
      <c r="A29" s="12" t="s">
        <v>125</v>
      </c>
      <c r="B29" s="10"/>
      <c r="C29" s="11"/>
    </row>
    <row r="30" spans="1:3" x14ac:dyDescent="0.35">
      <c r="A30" s="7" t="s">
        <v>3</v>
      </c>
      <c r="B30" t="s">
        <v>141</v>
      </c>
      <c r="C30" s="5" t="s">
        <v>142</v>
      </c>
    </row>
    <row r="31" spans="1:3" x14ac:dyDescent="0.35">
      <c r="A31" t="s">
        <v>34</v>
      </c>
      <c r="B31" s="4">
        <v>1259792.93</v>
      </c>
      <c r="C31" s="9">
        <v>0.25099150418875149</v>
      </c>
    </row>
    <row r="32" spans="1:3" x14ac:dyDescent="0.35">
      <c r="A32" t="s">
        <v>15</v>
      </c>
      <c r="B32" s="4">
        <v>1369612.5100000009</v>
      </c>
      <c r="C32" s="9">
        <v>0.27287111703399675</v>
      </c>
    </row>
    <row r="33" spans="1:5" x14ac:dyDescent="0.35">
      <c r="A33" t="s">
        <v>25</v>
      </c>
      <c r="B33" s="4">
        <v>1154250.8600000006</v>
      </c>
      <c r="C33" s="9">
        <v>0.22996410970695014</v>
      </c>
    </row>
    <row r="34" spans="1:5" x14ac:dyDescent="0.35">
      <c r="A34" t="s">
        <v>21</v>
      </c>
      <c r="B34" s="4">
        <v>1235608.9299999997</v>
      </c>
      <c r="C34" s="9">
        <v>0.24617326907030163</v>
      </c>
    </row>
    <row r="35" spans="1:5" x14ac:dyDescent="0.35">
      <c r="A35" t="s">
        <v>119</v>
      </c>
      <c r="B35" s="4">
        <v>5019265.2300000014</v>
      </c>
      <c r="C35" s="9">
        <v>1</v>
      </c>
    </row>
    <row r="38" spans="1:5" ht="15.5" x14ac:dyDescent="0.35">
      <c r="A38" s="13" t="s">
        <v>133</v>
      </c>
      <c r="B38" s="13"/>
      <c r="C38" s="13"/>
      <c r="D38" s="13"/>
      <c r="E38" s="13"/>
    </row>
    <row r="39" spans="1:5" x14ac:dyDescent="0.35">
      <c r="A39" s="7" t="s">
        <v>3</v>
      </c>
      <c r="B39" s="7" t="s">
        <v>128</v>
      </c>
      <c r="C39" s="5" t="s">
        <v>134</v>
      </c>
      <c r="D39" t="s">
        <v>141</v>
      </c>
      <c r="E39" t="s">
        <v>143</v>
      </c>
    </row>
    <row r="40" spans="1:5" x14ac:dyDescent="0.35">
      <c r="A40" t="s">
        <v>34</v>
      </c>
      <c r="B40" t="s">
        <v>131</v>
      </c>
      <c r="C40" s="5">
        <v>125</v>
      </c>
      <c r="D40" s="4">
        <v>916663.85999999987</v>
      </c>
      <c r="E40" s="8">
        <v>0.7276305797334488</v>
      </c>
    </row>
    <row r="41" spans="1:5" x14ac:dyDescent="0.35">
      <c r="B41" t="s">
        <v>132</v>
      </c>
      <c r="C41" s="5">
        <v>138</v>
      </c>
      <c r="D41" s="4">
        <v>343129.07000000007</v>
      </c>
      <c r="E41" s="8">
        <v>0.27236942026655137</v>
      </c>
    </row>
    <row r="42" spans="1:5" x14ac:dyDescent="0.35">
      <c r="A42" t="s">
        <v>15</v>
      </c>
      <c r="B42" t="s">
        <v>131</v>
      </c>
      <c r="C42" s="5">
        <v>142</v>
      </c>
      <c r="D42" s="4">
        <v>1061845.3900000011</v>
      </c>
      <c r="E42" s="8">
        <v>0.77528890999980793</v>
      </c>
    </row>
    <row r="43" spans="1:5" x14ac:dyDescent="0.35">
      <c r="B43" t="s">
        <v>132</v>
      </c>
      <c r="C43" s="5">
        <v>125</v>
      </c>
      <c r="D43" s="4">
        <v>307767.12000000005</v>
      </c>
      <c r="E43" s="8">
        <v>0.22471109000019288</v>
      </c>
    </row>
    <row r="44" spans="1:5" x14ac:dyDescent="0.35">
      <c r="A44" t="s">
        <v>25</v>
      </c>
      <c r="B44" t="s">
        <v>131</v>
      </c>
      <c r="C44" s="5">
        <v>107</v>
      </c>
      <c r="D44" s="4">
        <v>829050.89000000013</v>
      </c>
      <c r="E44" s="8">
        <v>0.71825884539518603</v>
      </c>
    </row>
    <row r="45" spans="1:5" x14ac:dyDescent="0.35">
      <c r="B45" t="s">
        <v>132</v>
      </c>
      <c r="C45" s="5">
        <v>119</v>
      </c>
      <c r="D45" s="4">
        <v>325199.96999999986</v>
      </c>
      <c r="E45" s="8">
        <v>0.28174115460481441</v>
      </c>
    </row>
    <row r="46" spans="1:5" x14ac:dyDescent="0.35">
      <c r="A46" t="s">
        <v>21</v>
      </c>
      <c r="B46" t="s">
        <v>131</v>
      </c>
      <c r="C46" s="5">
        <v>127</v>
      </c>
      <c r="D46" s="4">
        <v>945606.0299999998</v>
      </c>
      <c r="E46" s="8">
        <v>0.76529556159811862</v>
      </c>
    </row>
    <row r="47" spans="1:5" x14ac:dyDescent="0.35">
      <c r="B47" t="s">
        <v>132</v>
      </c>
      <c r="C47" s="5">
        <v>117</v>
      </c>
      <c r="D47" s="4">
        <v>290002.89999999997</v>
      </c>
      <c r="E47" s="8">
        <v>0.23470443840188185</v>
      </c>
    </row>
    <row r="48" spans="1:5" x14ac:dyDescent="0.35">
      <c r="A48" t="s">
        <v>119</v>
      </c>
      <c r="C48" s="5">
        <v>1000</v>
      </c>
      <c r="D48" s="4">
        <v>5019265.2300000032</v>
      </c>
      <c r="E48" s="8">
        <v>1</v>
      </c>
    </row>
    <row r="52" spans="1:2" x14ac:dyDescent="0.35">
      <c r="A52" s="10" t="s">
        <v>133</v>
      </c>
      <c r="B52" s="10"/>
    </row>
    <row r="53" spans="1:2" x14ac:dyDescent="0.35">
      <c r="A53" s="22" t="s">
        <v>145</v>
      </c>
      <c r="B53" s="21" t="s">
        <v>153</v>
      </c>
    </row>
    <row r="54" spans="1:2" x14ac:dyDescent="0.35">
      <c r="A54" s="19" t="s">
        <v>141</v>
      </c>
      <c r="B54" s="20">
        <v>5019265.2300000023</v>
      </c>
    </row>
    <row r="55" spans="1:2" x14ac:dyDescent="0.35">
      <c r="A55" s="19" t="s">
        <v>150</v>
      </c>
      <c r="B55" s="20">
        <v>5019.2652300000027</v>
      </c>
    </row>
    <row r="56" spans="1:2" x14ac:dyDescent="0.35">
      <c r="A56" s="19" t="s">
        <v>134</v>
      </c>
      <c r="B56" s="19">
        <v>1000</v>
      </c>
    </row>
    <row r="57" spans="1:2" x14ac:dyDescent="0.35">
      <c r="A57" s="19" t="s">
        <v>152</v>
      </c>
      <c r="B57" s="20">
        <v>9989.0400000000009</v>
      </c>
    </row>
    <row r="58" spans="1:2" x14ac:dyDescent="0.35">
      <c r="A58" s="19" t="s">
        <v>151</v>
      </c>
      <c r="B58" s="20">
        <v>100.12</v>
      </c>
    </row>
    <row r="62" spans="1:2" x14ac:dyDescent="0.35">
      <c r="A62" s="10" t="s">
        <v>133</v>
      </c>
      <c r="B62" s="10"/>
    </row>
    <row r="63" spans="1:2" x14ac:dyDescent="0.35">
      <c r="A63" s="3" t="s">
        <v>145</v>
      </c>
      <c r="B63" s="23" t="s">
        <v>153</v>
      </c>
    </row>
    <row r="64" spans="1:2" x14ac:dyDescent="0.35">
      <c r="A64" t="s">
        <v>141</v>
      </c>
      <c r="B64" s="18">
        <f>SUM(Cleaned_Final!I:I)</f>
        <v>5019265.2300000023</v>
      </c>
    </row>
    <row r="65" spans="1:2" x14ac:dyDescent="0.35">
      <c r="A65" t="s">
        <v>150</v>
      </c>
      <c r="B65" s="18">
        <f>AVERAGE(Cleaned_Final!I:I)</f>
        <v>5019.2652300000027</v>
      </c>
    </row>
    <row r="66" spans="1:2" x14ac:dyDescent="0.35">
      <c r="A66" t="s">
        <v>134</v>
      </c>
      <c r="B66" s="16">
        <f>COUNT(Cleaned_Final!I:I)</f>
        <v>1000</v>
      </c>
    </row>
    <row r="67" spans="1:2" x14ac:dyDescent="0.35">
      <c r="A67" t="s">
        <v>152</v>
      </c>
      <c r="B67" s="18">
        <f>MAX(Cleaned_Final!I:I)</f>
        <v>9989.0400000000009</v>
      </c>
    </row>
    <row r="68" spans="1:2" x14ac:dyDescent="0.35">
      <c r="A68" t="s">
        <v>151</v>
      </c>
      <c r="B68" s="18">
        <f>MIN(Cleaned_Final!I:I)</f>
        <v>100.12</v>
      </c>
    </row>
    <row r="69" spans="1:2" x14ac:dyDescent="0.35">
      <c r="B69" s="18"/>
    </row>
    <row r="70" spans="1:2" x14ac:dyDescent="0.35">
      <c r="A70" t="s">
        <v>154</v>
      </c>
      <c r="B70" s="18">
        <f>MEDIAN(Cleaned_Final!I:I)</f>
        <v>5019.3</v>
      </c>
    </row>
    <row r="71" spans="1:2" x14ac:dyDescent="0.35">
      <c r="A71" t="s">
        <v>155</v>
      </c>
      <c r="B71" s="18">
        <f>MAX(Cleaned_Final!I:I)-MIN(Cleaned_Final!I:I)</f>
        <v>9888.92</v>
      </c>
    </row>
    <row r="531" spans="2:2" x14ac:dyDescent="0.35">
      <c r="B531" s="5"/>
    </row>
  </sheetData>
  <pageMargins left="0.7" right="0.7" top="0.75" bottom="0.75" header="0.3" footer="0.3"/>
  <pageSetup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8FE2-786E-439F-95BD-D0BF07AB7AD2}">
  <dimension ref="A1:F471"/>
  <sheetViews>
    <sheetView topLeftCell="A9" zoomScaleNormal="113" workbookViewId="0">
      <selection activeCell="E9" sqref="E9"/>
    </sheetView>
  </sheetViews>
  <sheetFormatPr defaultRowHeight="14.5" x14ac:dyDescent="0.35"/>
  <cols>
    <col min="1" max="1" width="18.7265625" bestFit="1" customWidth="1"/>
    <col min="2" max="2" width="22" bestFit="1" customWidth="1"/>
    <col min="3" max="3" width="15.08984375" bestFit="1" customWidth="1"/>
    <col min="4" max="4" width="18.81640625" bestFit="1" customWidth="1"/>
    <col min="5" max="5" width="18.36328125" bestFit="1" customWidth="1"/>
    <col min="6" max="6" width="18" bestFit="1" customWidth="1"/>
    <col min="13" max="13" width="18.7265625" bestFit="1" customWidth="1"/>
    <col min="14" max="14" width="22" bestFit="1" customWidth="1"/>
    <col min="15" max="15" width="15.08984375" bestFit="1" customWidth="1"/>
    <col min="16" max="16" width="18.7265625" bestFit="1" customWidth="1"/>
    <col min="17" max="17" width="18.36328125" bestFit="1" customWidth="1"/>
  </cols>
  <sheetData>
    <row r="1" spans="1:5" x14ac:dyDescent="0.35">
      <c r="A1" s="10" t="s">
        <v>156</v>
      </c>
      <c r="B1" s="10"/>
      <c r="C1" s="11"/>
      <c r="D1" s="11"/>
      <c r="E1" s="11"/>
    </row>
    <row r="2" spans="1:5" x14ac:dyDescent="0.35">
      <c r="A2" s="52" t="s">
        <v>144</v>
      </c>
      <c r="B2" s="52" t="s">
        <v>146</v>
      </c>
      <c r="C2" s="52" t="s">
        <v>147</v>
      </c>
      <c r="D2" s="52" t="s">
        <v>148</v>
      </c>
      <c r="E2" s="52" t="s">
        <v>149</v>
      </c>
    </row>
    <row r="3" spans="1:5" x14ac:dyDescent="0.35">
      <c r="A3" s="17">
        <v>5019265.2300000023</v>
      </c>
      <c r="B3" s="17">
        <v>5019.2652300000027</v>
      </c>
      <c r="C3" s="15">
        <v>1000</v>
      </c>
      <c r="D3" s="17">
        <v>9989.0400000000009</v>
      </c>
      <c r="E3" s="17">
        <v>100.12</v>
      </c>
    </row>
    <row r="7" spans="1:5" x14ac:dyDescent="0.35">
      <c r="A7" s="10" t="s">
        <v>133</v>
      </c>
      <c r="B7" s="10"/>
    </row>
    <row r="8" spans="1:5" x14ac:dyDescent="0.35">
      <c r="A8" s="45" t="s">
        <v>145</v>
      </c>
      <c r="B8" s="46" t="s">
        <v>153</v>
      </c>
    </row>
    <row r="9" spans="1:5" x14ac:dyDescent="0.35">
      <c r="A9" s="47" t="s">
        <v>141</v>
      </c>
      <c r="B9" s="48">
        <f>GETPIVOTDATA("Sum of Sales Amount",$A$2)</f>
        <v>5019265.2300000023</v>
      </c>
    </row>
    <row r="10" spans="1:5" x14ac:dyDescent="0.35">
      <c r="A10" s="47" t="s">
        <v>150</v>
      </c>
      <c r="B10" s="48">
        <f>GETPIVOTDATA("Average of Sales Amount",$A$2)</f>
        <v>5019.2652300000027</v>
      </c>
    </row>
    <row r="11" spans="1:5" x14ac:dyDescent="0.35">
      <c r="A11" s="47" t="s">
        <v>134</v>
      </c>
      <c r="B11" s="47">
        <f>GETPIVOTDATA("Count of Sales ID",$A$2)</f>
        <v>1000</v>
      </c>
    </row>
    <row r="12" spans="1:5" ht="15.5" x14ac:dyDescent="0.35">
      <c r="A12" s="47" t="s">
        <v>152</v>
      </c>
      <c r="B12" s="48">
        <f>GETPIVOTDATA("Max of Sales Amount",$A$2)</f>
        <v>9989.0400000000009</v>
      </c>
      <c r="D12" s="50"/>
      <c r="E12" s="13"/>
    </row>
    <row r="13" spans="1:5" x14ac:dyDescent="0.35">
      <c r="A13" s="47" t="s">
        <v>151</v>
      </c>
      <c r="B13" s="48">
        <f>GETPIVOTDATA("Min of Sales Amount",$A$2)</f>
        <v>100.12</v>
      </c>
    </row>
    <row r="14" spans="1:5" x14ac:dyDescent="0.35">
      <c r="D14" s="18"/>
    </row>
    <row r="17" spans="1:6" x14ac:dyDescent="0.35">
      <c r="A17" s="10" t="s">
        <v>121</v>
      </c>
      <c r="B17" s="10"/>
      <c r="D17" s="10" t="s">
        <v>276</v>
      </c>
      <c r="E17" s="10"/>
      <c r="F17" s="10"/>
    </row>
    <row r="18" spans="1:6" x14ac:dyDescent="0.35">
      <c r="A18" t="s">
        <v>3</v>
      </c>
      <c r="B18" s="26" t="s">
        <v>141</v>
      </c>
      <c r="D18" s="7" t="s">
        <v>274</v>
      </c>
      <c r="E18" s="7" t="s">
        <v>144</v>
      </c>
      <c r="F18" t="s">
        <v>275</v>
      </c>
    </row>
    <row r="19" spans="1:6" x14ac:dyDescent="0.35">
      <c r="A19" t="s">
        <v>34</v>
      </c>
      <c r="B19" s="4">
        <v>1259792.93</v>
      </c>
      <c r="D19" s="49" t="s">
        <v>19</v>
      </c>
      <c r="E19">
        <v>2458833.9300000034</v>
      </c>
      <c r="F19" s="8">
        <v>0.48987925868185339</v>
      </c>
    </row>
    <row r="20" spans="1:6" x14ac:dyDescent="0.35">
      <c r="A20" t="s">
        <v>15</v>
      </c>
      <c r="B20" s="4">
        <v>1369612.5100000009</v>
      </c>
      <c r="D20" s="49" t="s">
        <v>22</v>
      </c>
      <c r="E20">
        <v>2560431.2999999984</v>
      </c>
      <c r="F20" s="8">
        <v>0.51012074131814655</v>
      </c>
    </row>
    <row r="21" spans="1:6" x14ac:dyDescent="0.35">
      <c r="A21" t="s">
        <v>25</v>
      </c>
      <c r="B21" s="4">
        <v>1154250.8600000006</v>
      </c>
      <c r="D21" s="49" t="s">
        <v>119</v>
      </c>
      <c r="E21">
        <v>5019265.2300000023</v>
      </c>
      <c r="F21" s="8">
        <v>1</v>
      </c>
    </row>
    <row r="22" spans="1:6" x14ac:dyDescent="0.35">
      <c r="A22" t="s">
        <v>21</v>
      </c>
      <c r="B22" s="4">
        <v>1235608.9299999997</v>
      </c>
    </row>
    <row r="23" spans="1:6" x14ac:dyDescent="0.35">
      <c r="A23" t="s">
        <v>119</v>
      </c>
      <c r="B23" s="4">
        <v>5019265.2300000014</v>
      </c>
    </row>
    <row r="24" spans="1:6" x14ac:dyDescent="0.35">
      <c r="D24" s="10" t="s">
        <v>278</v>
      </c>
      <c r="E24" s="10"/>
    </row>
    <row r="25" spans="1:6" x14ac:dyDescent="0.35">
      <c r="D25" s="7" t="s">
        <v>274</v>
      </c>
      <c r="E25" t="s">
        <v>275</v>
      </c>
    </row>
    <row r="26" spans="1:6" x14ac:dyDescent="0.35">
      <c r="D26" s="49" t="s">
        <v>19</v>
      </c>
      <c r="E26" s="8">
        <v>0.48987925868185339</v>
      </c>
    </row>
    <row r="27" spans="1:6" x14ac:dyDescent="0.35">
      <c r="A27" s="10" t="s">
        <v>122</v>
      </c>
      <c r="B27" s="10"/>
      <c r="D27" s="49" t="s">
        <v>22</v>
      </c>
      <c r="E27" s="8">
        <v>0.51012074131814655</v>
      </c>
    </row>
    <row r="28" spans="1:6" x14ac:dyDescent="0.35">
      <c r="A28" t="s">
        <v>98</v>
      </c>
      <c r="B28" s="26" t="s">
        <v>141</v>
      </c>
      <c r="D28" s="49" t="s">
        <v>119</v>
      </c>
      <c r="E28" s="8">
        <v>1</v>
      </c>
    </row>
    <row r="29" spans="1:6" x14ac:dyDescent="0.35">
      <c r="A29" t="s">
        <v>29</v>
      </c>
      <c r="B29" s="4">
        <v>1313474.3599999999</v>
      </c>
    </row>
    <row r="30" spans="1:6" x14ac:dyDescent="0.35">
      <c r="A30" t="s">
        <v>16</v>
      </c>
      <c r="B30" s="4">
        <v>1260517.6900000002</v>
      </c>
    </row>
    <row r="31" spans="1:6" x14ac:dyDescent="0.35">
      <c r="A31" t="s">
        <v>35</v>
      </c>
      <c r="B31" s="4">
        <v>1243499.6400000006</v>
      </c>
    </row>
    <row r="32" spans="1:6" x14ac:dyDescent="0.35">
      <c r="A32" t="s">
        <v>26</v>
      </c>
      <c r="B32" s="4">
        <v>1201773.5399999998</v>
      </c>
    </row>
    <row r="33" spans="1:6" x14ac:dyDescent="0.35">
      <c r="A33" t="s">
        <v>119</v>
      </c>
      <c r="B33" s="4">
        <v>5019265.2300000004</v>
      </c>
    </row>
    <row r="37" spans="1:6" ht="15.5" x14ac:dyDescent="0.35">
      <c r="A37" s="13" t="s">
        <v>157</v>
      </c>
      <c r="B37" s="13"/>
      <c r="C37" s="13"/>
      <c r="D37" s="13"/>
      <c r="E37" s="13"/>
      <c r="F37" s="13"/>
    </row>
    <row r="38" spans="1:6" x14ac:dyDescent="0.35">
      <c r="A38" s="11" t="s">
        <v>144</v>
      </c>
      <c r="B38" s="11" t="s">
        <v>3</v>
      </c>
      <c r="C38" s="11"/>
      <c r="D38" s="11"/>
      <c r="E38" s="11"/>
      <c r="F38" s="11"/>
    </row>
    <row r="39" spans="1:6" x14ac:dyDescent="0.35">
      <c r="A39" t="s">
        <v>98</v>
      </c>
      <c r="B39" s="26" t="s">
        <v>34</v>
      </c>
      <c r="C39" s="26" t="s">
        <v>15</v>
      </c>
      <c r="D39" s="26" t="s">
        <v>25</v>
      </c>
      <c r="E39" s="26" t="s">
        <v>21</v>
      </c>
      <c r="F39" s="26" t="s">
        <v>119</v>
      </c>
    </row>
    <row r="40" spans="1:6" x14ac:dyDescent="0.35">
      <c r="A40" t="s">
        <v>29</v>
      </c>
      <c r="B40" s="4">
        <v>356670.40000000008</v>
      </c>
      <c r="C40" s="4">
        <v>372977.22</v>
      </c>
      <c r="D40" s="4">
        <v>269517.74</v>
      </c>
      <c r="E40" s="4">
        <v>314309.00000000006</v>
      </c>
      <c r="F40" s="4">
        <v>1313474.3600000001</v>
      </c>
    </row>
    <row r="41" spans="1:6" x14ac:dyDescent="0.35">
      <c r="A41" t="s">
        <v>35</v>
      </c>
      <c r="B41" s="4">
        <v>303101.42</v>
      </c>
      <c r="C41" s="4">
        <v>342666.29000000015</v>
      </c>
      <c r="D41" s="4">
        <v>293663.96000000002</v>
      </c>
      <c r="E41" s="4">
        <v>304067.97000000003</v>
      </c>
      <c r="F41" s="4">
        <v>1243499.6400000001</v>
      </c>
    </row>
    <row r="42" spans="1:6" x14ac:dyDescent="0.35">
      <c r="A42" t="s">
        <v>26</v>
      </c>
      <c r="B42" s="4">
        <v>325864.87</v>
      </c>
      <c r="C42" s="4">
        <v>258985.65</v>
      </c>
      <c r="D42" s="4">
        <v>301187.51</v>
      </c>
      <c r="E42" s="4">
        <v>315735.50999999995</v>
      </c>
      <c r="F42" s="4">
        <v>1201773.54</v>
      </c>
    </row>
    <row r="43" spans="1:6" x14ac:dyDescent="0.35">
      <c r="A43" t="s">
        <v>16</v>
      </c>
      <c r="B43" s="4">
        <v>274156.24</v>
      </c>
      <c r="C43" s="4">
        <v>394983.35</v>
      </c>
      <c r="D43" s="4">
        <v>289881.65000000008</v>
      </c>
      <c r="E43" s="4">
        <v>301496.45</v>
      </c>
      <c r="F43" s="4">
        <v>1260517.69</v>
      </c>
    </row>
    <row r="44" spans="1:6" x14ac:dyDescent="0.35">
      <c r="A44" t="s">
        <v>119</v>
      </c>
      <c r="B44" s="4">
        <v>1259792.9300000002</v>
      </c>
      <c r="C44" s="4">
        <v>1369612.5100000002</v>
      </c>
      <c r="D44" s="4">
        <v>1154250.8600000001</v>
      </c>
      <c r="E44" s="4">
        <v>1235608.93</v>
      </c>
      <c r="F44" s="4">
        <v>5019265.2300000004</v>
      </c>
    </row>
    <row r="48" spans="1:6" x14ac:dyDescent="0.35">
      <c r="A48" s="10" t="s">
        <v>163</v>
      </c>
      <c r="B48" s="11"/>
    </row>
    <row r="49" spans="1:2" x14ac:dyDescent="0.35">
      <c r="A49" t="s">
        <v>3</v>
      </c>
      <c r="B49" s="26" t="s">
        <v>162</v>
      </c>
    </row>
    <row r="50" spans="1:2" x14ac:dyDescent="0.35">
      <c r="A50" t="s">
        <v>34</v>
      </c>
      <c r="B50" s="4">
        <v>75587.575800000035</v>
      </c>
    </row>
    <row r="51" spans="1:2" x14ac:dyDescent="0.35">
      <c r="A51" t="s">
        <v>15</v>
      </c>
      <c r="B51" s="4">
        <v>102720.93824999999</v>
      </c>
    </row>
    <row r="52" spans="1:2" x14ac:dyDescent="0.35">
      <c r="A52" t="s">
        <v>25</v>
      </c>
      <c r="B52" s="4">
        <v>57712.543000000012</v>
      </c>
    </row>
    <row r="53" spans="1:2" x14ac:dyDescent="0.35">
      <c r="A53" t="s">
        <v>21</v>
      </c>
      <c r="B53" s="4">
        <v>98848.714400000026</v>
      </c>
    </row>
    <row r="54" spans="1:2" x14ac:dyDescent="0.35">
      <c r="A54" t="s">
        <v>119</v>
      </c>
      <c r="B54" s="4">
        <v>334869.77145000006</v>
      </c>
    </row>
    <row r="57" spans="1:2" x14ac:dyDescent="0.35">
      <c r="A57" s="10"/>
      <c r="B57" s="11"/>
    </row>
    <row r="471" spans="2:2" x14ac:dyDescent="0.35">
      <c r="B471" s="5"/>
    </row>
  </sheetData>
  <pageMargins left="0.7" right="0.7" top="0.75" bottom="0.75" header="0.3" footer="0.3"/>
  <pageSetup orientation="portrait" r:id="rId8"/>
  <drawing r:id="rId9"/>
  <legacyDrawing r:id="rId10"/>
  <oleObjects>
    <mc:AlternateContent xmlns:mc="http://schemas.openxmlformats.org/markup-compatibility/2006">
      <mc:Choice Requires="x14">
        <oleObject progId="Word.Document.12" shapeId="5121" r:id="rId11">
          <objectPr defaultSize="0" r:id="rId12">
            <anchor moveWithCells="1">
              <from>
                <xdr:col>0</xdr:col>
                <xdr:colOff>114300</xdr:colOff>
                <xdr:row>58</xdr:row>
                <xdr:rowOff>0</xdr:rowOff>
              </from>
              <to>
                <xdr:col>4</xdr:col>
                <xdr:colOff>844550</xdr:colOff>
                <xdr:row>74</xdr:row>
                <xdr:rowOff>31750</xdr:rowOff>
              </to>
            </anchor>
          </objectPr>
        </oleObject>
      </mc:Choice>
      <mc:Fallback>
        <oleObject progId="Word.Document.12" shapeId="5121" r:id="rId11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5AFAD-1235-425F-9AF8-5E09625525D2}">
  <dimension ref="AV61"/>
  <sheetViews>
    <sheetView showGridLines="0" topLeftCell="A19" zoomScale="32" zoomScaleNormal="96" workbookViewId="0">
      <selection activeCell="BB43" sqref="BB43"/>
    </sheetView>
  </sheetViews>
  <sheetFormatPr defaultRowHeight="14.5" x14ac:dyDescent="0.35"/>
  <sheetData>
    <row r="61" spans="48:48" x14ac:dyDescent="0.35">
      <c r="AV61" t="s">
        <v>277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C7D8-CFE9-4C19-83D3-D131F8B4755E}">
  <dimension ref="A1:R1001"/>
  <sheetViews>
    <sheetView topLeftCell="A2" zoomScale="134" zoomScaleNormal="84" workbookViewId="0">
      <selection activeCell="B6" sqref="B6"/>
    </sheetView>
  </sheetViews>
  <sheetFormatPr defaultRowHeight="14.5" x14ac:dyDescent="0.35"/>
  <cols>
    <col min="1" max="1" width="11.90625" style="5" customWidth="1"/>
    <col min="2" max="2" width="17.453125" style="5" bestFit="1" customWidth="1"/>
    <col min="3" max="3" width="10.81640625" style="42" customWidth="1"/>
    <col min="4" max="4" width="10.81640625" style="5" customWidth="1"/>
    <col min="5" max="5" width="12.81640625" style="5" bestFit="1" customWidth="1"/>
    <col min="6" max="6" width="12.54296875" style="5" bestFit="1" customWidth="1"/>
    <col min="7" max="7" width="15.54296875" style="5" bestFit="1" customWidth="1"/>
    <col min="8" max="8" width="13.26953125" style="5" bestFit="1" customWidth="1"/>
    <col min="9" max="9" width="15.54296875" style="43" customWidth="1"/>
    <col min="10" max="10" width="14.453125" style="5" customWidth="1"/>
    <col min="11" max="11" width="17.6328125" style="5" customWidth="1"/>
    <col min="12" max="12" width="11.81640625" style="43" customWidth="1"/>
    <col min="13" max="13" width="12.1796875" style="43" customWidth="1"/>
    <col min="14" max="14" width="15.6328125" style="5" customWidth="1"/>
    <col min="15" max="15" width="10.26953125" style="44" customWidth="1"/>
    <col min="16" max="16" width="17.7265625" style="5" customWidth="1"/>
    <col min="17" max="17" width="14.54296875" style="5" customWidth="1"/>
    <col min="18" max="18" width="18.36328125" style="5" customWidth="1"/>
    <col min="19" max="16384" width="8.7265625" style="5"/>
  </cols>
  <sheetData>
    <row r="1" spans="1:18" x14ac:dyDescent="0.35">
      <c r="A1" s="25" t="s">
        <v>69</v>
      </c>
      <c r="B1" s="25" t="s">
        <v>273</v>
      </c>
      <c r="C1" s="29" t="s">
        <v>94</v>
      </c>
      <c r="D1" s="25" t="s">
        <v>95</v>
      </c>
      <c r="E1" s="25" t="s">
        <v>164</v>
      </c>
      <c r="F1" s="25" t="s">
        <v>3</v>
      </c>
      <c r="G1" s="25" t="s">
        <v>160</v>
      </c>
      <c r="H1" s="25" t="s">
        <v>161</v>
      </c>
      <c r="I1" s="30" t="s">
        <v>96</v>
      </c>
      <c r="J1" s="25" t="s">
        <v>97</v>
      </c>
      <c r="K1" s="25" t="s">
        <v>98</v>
      </c>
      <c r="L1" s="30" t="s">
        <v>99</v>
      </c>
      <c r="M1" s="30" t="s">
        <v>100</v>
      </c>
      <c r="N1" s="25" t="s">
        <v>101</v>
      </c>
      <c r="O1" s="31" t="s">
        <v>10</v>
      </c>
      <c r="P1" s="25" t="s">
        <v>102</v>
      </c>
      <c r="Q1" s="25" t="s">
        <v>103</v>
      </c>
      <c r="R1" s="25" t="s">
        <v>128</v>
      </c>
    </row>
    <row r="2" spans="1:18" x14ac:dyDescent="0.35">
      <c r="A2" s="34">
        <v>1052</v>
      </c>
      <c r="B2" s="34" t="str">
        <f>_xlfn.XLOOKUP(Table2[[#This Row],[Product ID]],Sheet1!$A$32:$A$200,Sheet1!$B$32:$B$200,"Not Found")</f>
        <v>Wooden Chair</v>
      </c>
      <c r="C2" s="35">
        <v>44960</v>
      </c>
      <c r="D2" s="34" t="s">
        <v>14</v>
      </c>
      <c r="E2" s="34" t="str" cm="1">
        <f t="array" ref="E2">_xlfn.XLOOKUP(Table2[[#This Row],[Sales Rep]],Sheet1!$A$21:$A$25,Sheet1!$B$21:$B$25,Not Found)</f>
        <v>Michael Smith</v>
      </c>
      <c r="F2" s="34" t="s">
        <v>15</v>
      </c>
      <c r="G2" s="34">
        <f>_xlfn.XLOOKUP(Table2[[#This Row],[Region]],Sheet1!$A$12:$A$15,Sheet1!$B$12:$B$15,0)</f>
        <v>7.4999999999999997E-2</v>
      </c>
      <c r="H2" s="36">
        <f>Table2[[#This Row],[Tax Rate]]*Table2[[#This Row],[Sales Amount]]</f>
        <v>379.04775000000001</v>
      </c>
      <c r="I2" s="36">
        <v>5053.97</v>
      </c>
      <c r="J2" s="34">
        <v>18</v>
      </c>
      <c r="K2" s="34" t="s">
        <v>16</v>
      </c>
      <c r="L2" s="36">
        <v>152.75</v>
      </c>
      <c r="M2" s="36">
        <v>267.22000000000003</v>
      </c>
      <c r="N2" s="34" t="s">
        <v>17</v>
      </c>
      <c r="O2" s="37">
        <v>0.09</v>
      </c>
      <c r="P2" s="34" t="s">
        <v>18</v>
      </c>
      <c r="Q2" s="34" t="s">
        <v>19</v>
      </c>
      <c r="R2" s="34" t="str">
        <f>IF(Cleaned_Final!$I2&gt;=5000,"High","Low")</f>
        <v>High</v>
      </c>
    </row>
    <row r="3" spans="1:18" x14ac:dyDescent="0.35">
      <c r="A3" s="38">
        <v>1093</v>
      </c>
      <c r="B3" s="38" t="str">
        <f>_xlfn.XLOOKUP(Table2[[#This Row],[Product ID]],Sheet1!$A$32:$A$200,Sheet1!$B$32:$B$200,"Not Found")</f>
        <v>Dining Table</v>
      </c>
      <c r="C3" s="39">
        <v>45037</v>
      </c>
      <c r="D3" s="38" t="s">
        <v>14</v>
      </c>
      <c r="E3" s="38" t="str" cm="1">
        <f t="array" ref="E3">_xlfn.XLOOKUP(Table2[[#This Row],[Sales Rep]],Sheet1!$A$21:$A$25,Sheet1!$B$21:$B$25,Not Found)</f>
        <v>Michael Smith</v>
      </c>
      <c r="F3" s="38" t="s">
        <v>21</v>
      </c>
      <c r="G3" s="38">
        <f>_xlfn.XLOOKUP(Table2[[#This Row],[Region]],Sheet1!$A$12:$A$15,Sheet1!$B$12:$B$15,0)</f>
        <v>0.08</v>
      </c>
      <c r="H3" s="40">
        <f>Table2[[#This Row],[Tax Rate]]*Table2[[#This Row],[Sales Amount]]</f>
        <v>350.72160000000002</v>
      </c>
      <c r="I3" s="40">
        <v>4384.0200000000004</v>
      </c>
      <c r="J3" s="38">
        <v>17</v>
      </c>
      <c r="K3" s="38" t="s">
        <v>16</v>
      </c>
      <c r="L3" s="40">
        <v>3816.39</v>
      </c>
      <c r="M3" s="40">
        <v>4209.4399999999996</v>
      </c>
      <c r="N3" s="38" t="s">
        <v>17</v>
      </c>
      <c r="O3" s="41">
        <v>0.11</v>
      </c>
      <c r="P3" s="38" t="s">
        <v>18</v>
      </c>
      <c r="Q3" s="38" t="s">
        <v>22</v>
      </c>
      <c r="R3" s="38" t="str">
        <f>IF(Cleaned_Final!$I3&gt;=5000,"High","Low")</f>
        <v>Low</v>
      </c>
    </row>
    <row r="4" spans="1:18" x14ac:dyDescent="0.35">
      <c r="A4" s="34">
        <v>1015</v>
      </c>
      <c r="B4" s="34" t="str">
        <f>_xlfn.XLOOKUP(Table2[[#This Row],[Product ID]],Sheet1!$A$32:$A$200,Sheet1!$B$32:$B$200,"Not Found")</f>
        <v>Chocolate Bar</v>
      </c>
      <c r="C4" s="35">
        <v>45190</v>
      </c>
      <c r="D4" s="34" t="s">
        <v>24</v>
      </c>
      <c r="E4" s="34" t="str" cm="1">
        <f t="array" ref="E4">_xlfn.XLOOKUP(Table2[[#This Row],[Sales Rep]],Sheet1!$A$21:$A$25,Sheet1!$B$21:$B$25,Not Found)</f>
        <v>Hogan Rock</v>
      </c>
      <c r="F4" s="34" t="s">
        <v>25</v>
      </c>
      <c r="G4" s="34">
        <f>_xlfn.XLOOKUP(Table2[[#This Row],[Region]],Sheet1!$A$12:$A$15,Sheet1!$B$12:$B$15,0)</f>
        <v>0.05</v>
      </c>
      <c r="H4" s="36">
        <f>Table2[[#This Row],[Tax Rate]]*Table2[[#This Row],[Sales Amount]]</f>
        <v>231.5615</v>
      </c>
      <c r="I4" s="36">
        <v>4631.2299999999996</v>
      </c>
      <c r="J4" s="34">
        <v>30</v>
      </c>
      <c r="K4" s="34" t="s">
        <v>26</v>
      </c>
      <c r="L4" s="36">
        <v>261.56</v>
      </c>
      <c r="M4" s="36">
        <v>371.4</v>
      </c>
      <c r="N4" s="34" t="s">
        <v>17</v>
      </c>
      <c r="O4" s="37">
        <v>0.2</v>
      </c>
      <c r="P4" s="34" t="s">
        <v>27</v>
      </c>
      <c r="Q4" s="34" t="s">
        <v>22</v>
      </c>
      <c r="R4" s="34" t="str">
        <f>IF(Cleaned_Final!$I4&gt;=5000,"High","Low")</f>
        <v>Low</v>
      </c>
    </row>
    <row r="5" spans="1:18" x14ac:dyDescent="0.35">
      <c r="A5" s="38">
        <v>1072</v>
      </c>
      <c r="B5" s="38" t="str">
        <f>_xlfn.XLOOKUP(Table2[[#This Row],[Product ID]],Sheet1!$A$32:$A$200,Sheet1!$B$32:$B$200,"Not Found")</f>
        <v>T-Shirt</v>
      </c>
      <c r="C5" s="39">
        <v>45162</v>
      </c>
      <c r="D5" s="38" t="s">
        <v>14</v>
      </c>
      <c r="E5" s="38" t="str" cm="1">
        <f t="array" ref="E5">_xlfn.XLOOKUP(Table2[[#This Row],[Sales Rep]],Sheet1!$A$21:$A$25,Sheet1!$B$21:$B$25,Not Found)</f>
        <v>Michael Smith</v>
      </c>
      <c r="F5" s="38" t="s">
        <v>25</v>
      </c>
      <c r="G5" s="38">
        <f>_xlfn.XLOOKUP(Table2[[#This Row],[Region]],Sheet1!$A$12:$A$15,Sheet1!$B$12:$B$15,0)</f>
        <v>0.05</v>
      </c>
      <c r="H5" s="40">
        <f>Table2[[#This Row],[Tax Rate]]*Table2[[#This Row],[Sales Amount]]</f>
        <v>108.39700000000001</v>
      </c>
      <c r="I5" s="40">
        <v>2167.94</v>
      </c>
      <c r="J5" s="38">
        <v>39</v>
      </c>
      <c r="K5" s="38" t="s">
        <v>29</v>
      </c>
      <c r="L5" s="40">
        <v>4330.03</v>
      </c>
      <c r="M5" s="40">
        <v>4467.75</v>
      </c>
      <c r="N5" s="38" t="s">
        <v>30</v>
      </c>
      <c r="O5" s="41">
        <v>0.02</v>
      </c>
      <c r="P5" s="38" t="s">
        <v>31</v>
      </c>
      <c r="Q5" s="38" t="s">
        <v>22</v>
      </c>
      <c r="R5" s="38" t="str">
        <f>IF(Cleaned_Final!$I5&gt;=5000,"High","Low")</f>
        <v>Low</v>
      </c>
    </row>
    <row r="6" spans="1:18" x14ac:dyDescent="0.35">
      <c r="A6" s="34">
        <v>1061</v>
      </c>
      <c r="B6" s="34" t="str">
        <f>_xlfn.XLOOKUP(Table2[[#This Row],[Product ID]],Sheet1!$A$32:$A$200,Sheet1!$B$32:$B$200,"Not Found")</f>
        <v>Laptop</v>
      </c>
      <c r="C6" s="35">
        <v>45009</v>
      </c>
      <c r="D6" s="34" t="s">
        <v>33</v>
      </c>
      <c r="E6" s="34" t="str" cm="1">
        <f t="array" ref="E6">_xlfn.XLOOKUP(Table2[[#This Row],[Sales Rep]],Sheet1!$A$21:$A$25,Sheet1!$B$21:$B$25,Not Found)</f>
        <v>Susan Jerkins</v>
      </c>
      <c r="F6" s="34" t="s">
        <v>34</v>
      </c>
      <c r="G6" s="34">
        <f>_xlfn.XLOOKUP(Table2[[#This Row],[Region]],Sheet1!$A$12:$A$15,Sheet1!$B$12:$B$15,0)</f>
        <v>0.06</v>
      </c>
      <c r="H6" s="36">
        <f>Table2[[#This Row],[Tax Rate]]*Table2[[#This Row],[Sales Amount]]</f>
        <v>225.01199999999997</v>
      </c>
      <c r="I6" s="36">
        <v>3750.2</v>
      </c>
      <c r="J6" s="34">
        <v>13</v>
      </c>
      <c r="K6" s="34" t="s">
        <v>35</v>
      </c>
      <c r="L6" s="36">
        <v>637.37</v>
      </c>
      <c r="M6" s="36">
        <v>692.71</v>
      </c>
      <c r="N6" s="34" t="s">
        <v>30</v>
      </c>
      <c r="O6" s="37">
        <v>0.08</v>
      </c>
      <c r="P6" s="34" t="s">
        <v>31</v>
      </c>
      <c r="Q6" s="34" t="s">
        <v>19</v>
      </c>
      <c r="R6" s="34" t="str">
        <f>IF(Cleaned_Final!$I6&gt;=5000,"High","Low")</f>
        <v>Low</v>
      </c>
    </row>
    <row r="7" spans="1:18" x14ac:dyDescent="0.35">
      <c r="A7" s="38">
        <v>1021</v>
      </c>
      <c r="B7" s="38" t="str">
        <f>_xlfn.XLOOKUP(Table2[[#This Row],[Product ID]],Sheet1!$A$32:$A$200,Sheet1!$B$32:$B$200,"Not Found")</f>
        <v>Almond Milk</v>
      </c>
      <c r="C7" s="39">
        <v>44968</v>
      </c>
      <c r="D7" s="38" t="s">
        <v>33</v>
      </c>
      <c r="E7" s="38" t="str" cm="1">
        <f t="array" ref="E7">_xlfn.XLOOKUP(Table2[[#This Row],[Sales Rep]],Sheet1!$A$21:$A$25,Sheet1!$B$21:$B$25,Not Found)</f>
        <v>Susan Jerkins</v>
      </c>
      <c r="F7" s="38" t="s">
        <v>21</v>
      </c>
      <c r="G7" s="38">
        <f>_xlfn.XLOOKUP(Table2[[#This Row],[Region]],Sheet1!$A$12:$A$15,Sheet1!$B$12:$B$15,0)</f>
        <v>0.08</v>
      </c>
      <c r="H7" s="40">
        <f>Table2[[#This Row],[Tax Rate]]*Table2[[#This Row],[Sales Amount]]</f>
        <v>300.892</v>
      </c>
      <c r="I7" s="40">
        <v>3761.15</v>
      </c>
      <c r="J7" s="38">
        <v>32</v>
      </c>
      <c r="K7" s="38" t="s">
        <v>26</v>
      </c>
      <c r="L7" s="40">
        <v>900.79</v>
      </c>
      <c r="M7" s="40">
        <v>1106.51</v>
      </c>
      <c r="N7" s="38" t="s">
        <v>30</v>
      </c>
      <c r="O7" s="41">
        <v>0.21</v>
      </c>
      <c r="P7" s="38" t="s">
        <v>18</v>
      </c>
      <c r="Q7" s="38" t="s">
        <v>19</v>
      </c>
      <c r="R7" s="38" t="str">
        <f>IF(Cleaned_Final!$I7&gt;=5000,"High","Low")</f>
        <v>Low</v>
      </c>
    </row>
    <row r="8" spans="1:18" x14ac:dyDescent="0.35">
      <c r="A8" s="34">
        <v>1083</v>
      </c>
      <c r="B8" s="34" t="str">
        <f>_xlfn.XLOOKUP(Table2[[#This Row],[Product ID]],Sheet1!$A$32:$A$200,Sheet1!$B$32:$B$200,"Not Found")</f>
        <v>Nightstand</v>
      </c>
      <c r="C8" s="35">
        <v>45027</v>
      </c>
      <c r="D8" s="34" t="s">
        <v>14</v>
      </c>
      <c r="E8" s="34" t="str" cm="1">
        <f t="array" ref="E8">_xlfn.XLOOKUP(Table2[[#This Row],[Sales Rep]],Sheet1!$A$21:$A$25,Sheet1!$B$21:$B$25,Not Found)</f>
        <v>Michael Smith</v>
      </c>
      <c r="F8" s="34" t="s">
        <v>21</v>
      </c>
      <c r="G8" s="34">
        <f>_xlfn.XLOOKUP(Table2[[#This Row],[Region]],Sheet1!$A$12:$A$15,Sheet1!$B$12:$B$15,0)</f>
        <v>0.08</v>
      </c>
      <c r="H8" s="36">
        <f>Table2[[#This Row],[Tax Rate]]*Table2[[#This Row],[Sales Amount]]</f>
        <v>49.464799999999997</v>
      </c>
      <c r="I8" s="36">
        <v>618.30999999999995</v>
      </c>
      <c r="J8" s="34">
        <v>29</v>
      </c>
      <c r="K8" s="34" t="s">
        <v>16</v>
      </c>
      <c r="L8" s="36">
        <v>2408.81</v>
      </c>
      <c r="M8" s="36">
        <v>2624.09</v>
      </c>
      <c r="N8" s="34" t="s">
        <v>17</v>
      </c>
      <c r="O8" s="37">
        <v>0.14000000000000001</v>
      </c>
      <c r="P8" s="34" t="s">
        <v>18</v>
      </c>
      <c r="Q8" s="34" t="s">
        <v>19</v>
      </c>
      <c r="R8" s="34" t="str">
        <f>IF(Cleaned_Final!$I8&gt;=5000,"High","Low")</f>
        <v>Low</v>
      </c>
    </row>
    <row r="9" spans="1:18" x14ac:dyDescent="0.35">
      <c r="A9" s="38">
        <v>1087</v>
      </c>
      <c r="B9" s="38" t="str">
        <f>_xlfn.XLOOKUP(Table2[[#This Row],[Product ID]],Sheet1!$A$32:$A$200,Sheet1!$B$32:$B$200,"Not Found")</f>
        <v>Sofa Set</v>
      </c>
      <c r="C9" s="39">
        <v>44932</v>
      </c>
      <c r="D9" s="38" t="s">
        <v>38</v>
      </c>
      <c r="E9" s="38" t="str" cm="1">
        <f t="array" ref="E9">_xlfn.XLOOKUP(Table2[[#This Row],[Sales Rep]],Sheet1!$A$21:$A$25,Sheet1!$B$21:$B$25,Not Found)</f>
        <v>Tracy Moore</v>
      </c>
      <c r="F9" s="38" t="s">
        <v>25</v>
      </c>
      <c r="G9" s="38">
        <f>_xlfn.XLOOKUP(Table2[[#This Row],[Region]],Sheet1!$A$12:$A$15,Sheet1!$B$12:$B$15,0)</f>
        <v>0.05</v>
      </c>
      <c r="H9" s="40">
        <f>Table2[[#This Row],[Tax Rate]]*Table2[[#This Row],[Sales Amount]]</f>
        <v>384.94600000000003</v>
      </c>
      <c r="I9" s="40">
        <v>7698.92</v>
      </c>
      <c r="J9" s="38">
        <v>46</v>
      </c>
      <c r="K9" s="38" t="s">
        <v>16</v>
      </c>
      <c r="L9" s="40">
        <v>3702.51</v>
      </c>
      <c r="M9" s="40">
        <v>3964.65</v>
      </c>
      <c r="N9" s="38" t="s">
        <v>30</v>
      </c>
      <c r="O9" s="41">
        <v>0.12</v>
      </c>
      <c r="P9" s="38" t="s">
        <v>27</v>
      </c>
      <c r="Q9" s="38" t="s">
        <v>19</v>
      </c>
      <c r="R9" s="38" t="str">
        <f>IF(Cleaned_Final!$I9&gt;=5000,"High","Low")</f>
        <v>High</v>
      </c>
    </row>
    <row r="10" spans="1:18" x14ac:dyDescent="0.35">
      <c r="A10" s="34">
        <v>1075</v>
      </c>
      <c r="B10" s="34" t="str">
        <f>_xlfn.XLOOKUP(Table2[[#This Row],[Product ID]],Sheet1!$A$32:$A$200,Sheet1!$B$32:$B$200,"Not Found")</f>
        <v>Bookshelf</v>
      </c>
      <c r="C10" s="35">
        <v>45106</v>
      </c>
      <c r="D10" s="34" t="s">
        <v>24</v>
      </c>
      <c r="E10" s="34" t="str" cm="1">
        <f t="array" ref="E10">_xlfn.XLOOKUP(Table2[[#This Row],[Sales Rep]],Sheet1!$A$21:$A$25,Sheet1!$B$21:$B$25,Not Found)</f>
        <v>Hogan Rock</v>
      </c>
      <c r="F10" s="34" t="s">
        <v>25</v>
      </c>
      <c r="G10" s="34">
        <f>_xlfn.XLOOKUP(Table2[[#This Row],[Region]],Sheet1!$A$12:$A$15,Sheet1!$B$12:$B$15,0)</f>
        <v>0.05</v>
      </c>
      <c r="H10" s="36">
        <f>Table2[[#This Row],[Tax Rate]]*Table2[[#This Row],[Sales Amount]]</f>
        <v>211.16950000000003</v>
      </c>
      <c r="I10" s="36">
        <v>4223.3900000000003</v>
      </c>
      <c r="J10" s="34">
        <v>30</v>
      </c>
      <c r="K10" s="34" t="s">
        <v>16</v>
      </c>
      <c r="L10" s="36">
        <v>738.06</v>
      </c>
      <c r="M10" s="36">
        <v>1095.44999999999</v>
      </c>
      <c r="N10" s="34" t="s">
        <v>30</v>
      </c>
      <c r="O10" s="37">
        <v>0.05</v>
      </c>
      <c r="P10" s="34" t="s">
        <v>27</v>
      </c>
      <c r="Q10" s="34" t="s">
        <v>19</v>
      </c>
      <c r="R10" s="34" t="str">
        <f>IF(Cleaned_Final!$I10&gt;=5000,"High","Low")</f>
        <v>Low</v>
      </c>
    </row>
    <row r="11" spans="1:18" x14ac:dyDescent="0.35">
      <c r="A11" s="38">
        <v>1075</v>
      </c>
      <c r="B11" s="38" t="str">
        <f>_xlfn.XLOOKUP(Table2[[#This Row],[Product ID]],Sheet1!$A$32:$A$200,Sheet1!$B$32:$B$200,"Not Found")</f>
        <v>Bookshelf</v>
      </c>
      <c r="C11" s="39">
        <v>45208</v>
      </c>
      <c r="D11" s="38" t="s">
        <v>33</v>
      </c>
      <c r="E11" s="38" t="str" cm="1">
        <f t="array" ref="E11">_xlfn.XLOOKUP(Table2[[#This Row],[Sales Rep]],Sheet1!$A$21:$A$25,Sheet1!$B$21:$B$25,Not Found)</f>
        <v>Susan Jerkins</v>
      </c>
      <c r="F11" s="38" t="s">
        <v>21</v>
      </c>
      <c r="G11" s="38">
        <f>_xlfn.XLOOKUP(Table2[[#This Row],[Region]],Sheet1!$A$12:$A$15,Sheet1!$B$12:$B$15,0)</f>
        <v>0.08</v>
      </c>
      <c r="H11" s="40">
        <f>Table2[[#This Row],[Tax Rate]]*Table2[[#This Row],[Sales Amount]]</f>
        <v>659.16639999999995</v>
      </c>
      <c r="I11" s="40">
        <v>8239.58</v>
      </c>
      <c r="J11" s="38">
        <v>18</v>
      </c>
      <c r="K11" s="38" t="s">
        <v>29</v>
      </c>
      <c r="L11" s="40">
        <v>2228.35</v>
      </c>
      <c r="M11" s="40">
        <v>2682.34</v>
      </c>
      <c r="N11" s="38" t="s">
        <v>30</v>
      </c>
      <c r="O11" s="41">
        <v>0.13</v>
      </c>
      <c r="P11" s="38" t="s">
        <v>27</v>
      </c>
      <c r="Q11" s="38" t="s">
        <v>19</v>
      </c>
      <c r="R11" s="38" t="str">
        <f>IF(Cleaned_Final!$I11&gt;=5000,"High","Low")</f>
        <v>High</v>
      </c>
    </row>
    <row r="12" spans="1:18" x14ac:dyDescent="0.35">
      <c r="A12" s="34">
        <v>1088</v>
      </c>
      <c r="B12" s="34" t="str">
        <f>_xlfn.XLOOKUP(Table2[[#This Row],[Product ID]],Sheet1!$A$32:$A$200,Sheet1!$B$32:$B$200,"Not Found")</f>
        <v>Office Desk</v>
      </c>
      <c r="C12" s="35">
        <v>45246</v>
      </c>
      <c r="D12" s="34" t="s">
        <v>38</v>
      </c>
      <c r="E12" s="34" t="str" cm="1">
        <f t="array" ref="E12">_xlfn.XLOOKUP(Table2[[#This Row],[Sales Rep]],Sheet1!$A$21:$A$25,Sheet1!$B$21:$B$25,Not Found)</f>
        <v>Tracy Moore</v>
      </c>
      <c r="F12" s="34" t="s">
        <v>15</v>
      </c>
      <c r="G12" s="34">
        <f>_xlfn.XLOOKUP(Table2[[#This Row],[Region]],Sheet1!$A$12:$A$15,Sheet1!$B$12:$B$15,0)</f>
        <v>7.4999999999999997E-2</v>
      </c>
      <c r="H12" s="36">
        <f>Table2[[#This Row],[Tax Rate]]*Table2[[#This Row],[Sales Amount]]</f>
        <v>638.88375000000008</v>
      </c>
      <c r="I12" s="36">
        <v>8518.4500000000007</v>
      </c>
      <c r="J12" s="34">
        <v>13</v>
      </c>
      <c r="K12" s="34" t="s">
        <v>16</v>
      </c>
      <c r="L12" s="36">
        <v>2440.11</v>
      </c>
      <c r="M12" s="36">
        <v>2517.6</v>
      </c>
      <c r="N12" s="34" t="s">
        <v>30</v>
      </c>
      <c r="O12" s="37">
        <v>0.23</v>
      </c>
      <c r="P12" s="34" t="s">
        <v>27</v>
      </c>
      <c r="Q12" s="34" t="s">
        <v>22</v>
      </c>
      <c r="R12" s="34" t="str">
        <f>IF(Cleaned_Final!$I12&gt;=5000,"High","Low")</f>
        <v>High</v>
      </c>
    </row>
    <row r="13" spans="1:18" x14ac:dyDescent="0.35">
      <c r="A13" s="38">
        <v>1100</v>
      </c>
      <c r="B13" s="38" t="str">
        <f>_xlfn.XLOOKUP(Table2[[#This Row],[Product ID]],Sheet1!$A$32:$A$200,Sheet1!$B$32:$B$200,"Not Found")</f>
        <v>Protein Cookies</v>
      </c>
      <c r="C13" s="39">
        <v>45152</v>
      </c>
      <c r="D13" s="38" t="s">
        <v>14</v>
      </c>
      <c r="E13" s="38" t="str" cm="1">
        <f t="array" ref="E13">_xlfn.XLOOKUP(Table2[[#This Row],[Sales Rep]],Sheet1!$A$21:$A$25,Sheet1!$B$21:$B$25,Not Found)</f>
        <v>Michael Smith</v>
      </c>
      <c r="F13" s="38" t="s">
        <v>21</v>
      </c>
      <c r="G13" s="38">
        <f>_xlfn.XLOOKUP(Table2[[#This Row],[Region]],Sheet1!$A$12:$A$15,Sheet1!$B$12:$B$15,0)</f>
        <v>0.08</v>
      </c>
      <c r="H13" s="40">
        <f>Table2[[#This Row],[Tax Rate]]*Table2[[#This Row],[Sales Amount]]</f>
        <v>175.89919999999998</v>
      </c>
      <c r="I13" s="40">
        <v>2198.7399999999998</v>
      </c>
      <c r="J13" s="38">
        <v>43</v>
      </c>
      <c r="K13" s="38" t="s">
        <v>26</v>
      </c>
      <c r="L13" s="40">
        <v>1100.81</v>
      </c>
      <c r="M13" s="40">
        <v>1137.44</v>
      </c>
      <c r="N13" s="38" t="s">
        <v>17</v>
      </c>
      <c r="O13" s="41">
        <v>0.08</v>
      </c>
      <c r="P13" s="38" t="s">
        <v>27</v>
      </c>
      <c r="Q13" s="38" t="s">
        <v>19</v>
      </c>
      <c r="R13" s="38" t="str">
        <f>IF(Cleaned_Final!$I13&gt;=5000,"High","Low")</f>
        <v>Low</v>
      </c>
    </row>
    <row r="14" spans="1:18" x14ac:dyDescent="0.35">
      <c r="A14" s="34">
        <v>1024</v>
      </c>
      <c r="B14" s="34" t="str">
        <f>_xlfn.XLOOKUP(Table2[[#This Row],[Product ID]],Sheet1!$A$32:$A$200,Sheet1!$B$32:$B$200,"Not Found")</f>
        <v>Pasta Pack</v>
      </c>
      <c r="C14" s="35">
        <v>45241</v>
      </c>
      <c r="D14" s="34" t="s">
        <v>38</v>
      </c>
      <c r="E14" s="34" t="str" cm="1">
        <f t="array" ref="E14">_xlfn.XLOOKUP(Table2[[#This Row],[Sales Rep]],Sheet1!$A$21:$A$25,Sheet1!$B$21:$B$25,Not Found)</f>
        <v>Tracy Moore</v>
      </c>
      <c r="F14" s="34" t="s">
        <v>21</v>
      </c>
      <c r="G14" s="34">
        <f>_xlfn.XLOOKUP(Table2[[#This Row],[Region]],Sheet1!$A$12:$A$15,Sheet1!$B$12:$B$15,0)</f>
        <v>0.08</v>
      </c>
      <c r="H14" s="36">
        <f>Table2[[#This Row],[Tax Rate]]*Table2[[#This Row],[Sales Amount]]</f>
        <v>528.62400000000002</v>
      </c>
      <c r="I14" s="36">
        <v>6607.8</v>
      </c>
      <c r="J14" s="34">
        <v>21</v>
      </c>
      <c r="K14" s="34" t="s">
        <v>26</v>
      </c>
      <c r="L14" s="36">
        <v>622.01</v>
      </c>
      <c r="M14" s="36">
        <v>641.09</v>
      </c>
      <c r="N14" s="34" t="s">
        <v>17</v>
      </c>
      <c r="O14" s="37">
        <v>0</v>
      </c>
      <c r="P14" s="34" t="s">
        <v>27</v>
      </c>
      <c r="Q14" s="34" t="s">
        <v>22</v>
      </c>
      <c r="R14" s="34" t="str">
        <f>IF(Cleaned_Final!$I14&gt;=5000,"High","Low")</f>
        <v>High</v>
      </c>
    </row>
    <row r="15" spans="1:18" x14ac:dyDescent="0.35">
      <c r="A15" s="38">
        <v>1003</v>
      </c>
      <c r="B15" s="38" t="str">
        <f>_xlfn.XLOOKUP(Table2[[#This Row],[Product ID]],Sheet1!$A$32:$A$200,Sheet1!$B$32:$B$200,"Not Found")</f>
        <v>Stool</v>
      </c>
      <c r="C15" s="39">
        <v>45291</v>
      </c>
      <c r="D15" s="38" t="s">
        <v>42</v>
      </c>
      <c r="E15" s="38" t="str" cm="1">
        <f t="array" ref="E15">_xlfn.XLOOKUP(Table2[[#This Row],[Sales Rep]],Sheet1!$A$21:$A$25,Sheet1!$B$21:$B$25,Not Found)</f>
        <v>Scott Wayne</v>
      </c>
      <c r="F15" s="38" t="s">
        <v>25</v>
      </c>
      <c r="G15" s="38">
        <f>_xlfn.XLOOKUP(Table2[[#This Row],[Region]],Sheet1!$A$12:$A$15,Sheet1!$B$12:$B$15,0)</f>
        <v>0.05</v>
      </c>
      <c r="H15" s="40">
        <f>Table2[[#This Row],[Tax Rate]]*Table2[[#This Row],[Sales Amount]]</f>
        <v>238.77950000000001</v>
      </c>
      <c r="I15" s="40">
        <v>4775.59</v>
      </c>
      <c r="J15" s="38">
        <v>30</v>
      </c>
      <c r="K15" s="38" t="s">
        <v>16</v>
      </c>
      <c r="L15" s="40">
        <v>4190.28</v>
      </c>
      <c r="M15" s="40">
        <v>4270.6499999999996</v>
      </c>
      <c r="N15" s="38" t="s">
        <v>30</v>
      </c>
      <c r="O15" s="41">
        <v>0.2</v>
      </c>
      <c r="P15" s="38" t="s">
        <v>18</v>
      </c>
      <c r="Q15" s="38" t="s">
        <v>19</v>
      </c>
      <c r="R15" s="38" t="str">
        <f>IF(Cleaned_Final!$I15&gt;=5000,"High","Low")</f>
        <v>Low</v>
      </c>
    </row>
    <row r="16" spans="1:18" x14ac:dyDescent="0.35">
      <c r="A16" s="34">
        <v>1022</v>
      </c>
      <c r="B16" s="34" t="str">
        <f>_xlfn.XLOOKUP(Table2[[#This Row],[Product ID]],Sheet1!$A$32:$A$200,Sheet1!$B$32:$B$200,"Not Found")</f>
        <v>Organic Honey</v>
      </c>
      <c r="C16" s="35">
        <v>45155</v>
      </c>
      <c r="D16" s="34" t="s">
        <v>33</v>
      </c>
      <c r="E16" s="34" t="str" cm="1">
        <f t="array" ref="E16">_xlfn.XLOOKUP(Table2[[#This Row],[Sales Rep]],Sheet1!$A$21:$A$25,Sheet1!$B$21:$B$25,Not Found)</f>
        <v>Susan Jerkins</v>
      </c>
      <c r="F16" s="34" t="s">
        <v>25</v>
      </c>
      <c r="G16" s="34">
        <f>_xlfn.XLOOKUP(Table2[[#This Row],[Region]],Sheet1!$A$12:$A$15,Sheet1!$B$12:$B$15,0)</f>
        <v>0.05</v>
      </c>
      <c r="H16" s="36">
        <f>Table2[[#This Row],[Tax Rate]]*Table2[[#This Row],[Sales Amount]]</f>
        <v>440.67750000000001</v>
      </c>
      <c r="I16" s="36">
        <v>8813.5499999999993</v>
      </c>
      <c r="J16" s="34">
        <v>21</v>
      </c>
      <c r="K16" s="34" t="s">
        <v>26</v>
      </c>
      <c r="L16" s="36">
        <v>2537.1999999999998</v>
      </c>
      <c r="M16" s="36">
        <v>2869.6</v>
      </c>
      <c r="N16" s="34" t="s">
        <v>30</v>
      </c>
      <c r="O16" s="37">
        <v>0.28999999999999998</v>
      </c>
      <c r="P16" s="34" t="s">
        <v>27</v>
      </c>
      <c r="Q16" s="34" t="s">
        <v>22</v>
      </c>
      <c r="R16" s="34" t="str">
        <f>IF(Cleaned_Final!$I16&gt;=5000,"High","Low")</f>
        <v>High</v>
      </c>
    </row>
    <row r="17" spans="1:18" x14ac:dyDescent="0.35">
      <c r="A17" s="38">
        <v>1053</v>
      </c>
      <c r="B17" s="38" t="str">
        <f>_xlfn.XLOOKUP(Table2[[#This Row],[Product ID]],Sheet1!$A$32:$A$200,Sheet1!$B$32:$B$200,"Not Found")</f>
        <v>Bed</v>
      </c>
      <c r="C17" s="39">
        <v>45215</v>
      </c>
      <c r="D17" s="38" t="s">
        <v>14</v>
      </c>
      <c r="E17" s="38" t="str" cm="1">
        <f t="array" ref="E17">_xlfn.XLOOKUP(Table2[[#This Row],[Sales Rep]],Sheet1!$A$21:$A$25,Sheet1!$B$21:$B$25,Not Found)</f>
        <v>Michael Smith</v>
      </c>
      <c r="F17" s="38" t="s">
        <v>15</v>
      </c>
      <c r="G17" s="38">
        <f>_xlfn.XLOOKUP(Table2[[#This Row],[Region]],Sheet1!$A$12:$A$15,Sheet1!$B$12:$B$15,0)</f>
        <v>7.4999999999999997E-2</v>
      </c>
      <c r="H17" s="40">
        <f>Table2[[#This Row],[Tax Rate]]*Table2[[#This Row],[Sales Amount]]</f>
        <v>167.68724999999998</v>
      </c>
      <c r="I17" s="40">
        <v>2235.83</v>
      </c>
      <c r="J17" s="38">
        <v>48</v>
      </c>
      <c r="K17" s="38" t="s">
        <v>16</v>
      </c>
      <c r="L17" s="40">
        <v>121.19</v>
      </c>
      <c r="M17" s="40">
        <v>487.65</v>
      </c>
      <c r="N17" s="38" t="s">
        <v>30</v>
      </c>
      <c r="O17" s="41">
        <v>0.18</v>
      </c>
      <c r="P17" s="38" t="s">
        <v>18</v>
      </c>
      <c r="Q17" s="38" t="s">
        <v>22</v>
      </c>
      <c r="R17" s="38" t="str">
        <f>IF(Cleaned_Final!$I17&gt;=5000,"High","Low")</f>
        <v>Low</v>
      </c>
    </row>
    <row r="18" spans="1:18" x14ac:dyDescent="0.35">
      <c r="A18" s="34">
        <v>1002</v>
      </c>
      <c r="B18" s="34" t="str">
        <f>_xlfn.XLOOKUP(Table2[[#This Row],[Product ID]],Sheet1!$A$32:$A$200,Sheet1!$B$32:$B$200,"Not Found")</f>
        <v>Bench</v>
      </c>
      <c r="C18" s="35">
        <v>45076</v>
      </c>
      <c r="D18" s="34" t="s">
        <v>24</v>
      </c>
      <c r="E18" s="34" t="str" cm="1">
        <f t="array" ref="E18">_xlfn.XLOOKUP(Table2[[#This Row],[Sales Rep]],Sheet1!$A$21:$A$25,Sheet1!$B$21:$B$25,Not Found)</f>
        <v>Hogan Rock</v>
      </c>
      <c r="F18" s="34" t="s">
        <v>15</v>
      </c>
      <c r="G18" s="34">
        <f>_xlfn.XLOOKUP(Table2[[#This Row],[Region]],Sheet1!$A$12:$A$15,Sheet1!$B$12:$B$15,0)</f>
        <v>7.4999999999999997E-2</v>
      </c>
      <c r="H18" s="36">
        <f>Table2[[#This Row],[Tax Rate]]*Table2[[#This Row],[Sales Amount]]</f>
        <v>510.77625</v>
      </c>
      <c r="I18" s="36">
        <v>6810.35</v>
      </c>
      <c r="J18" s="34">
        <v>17</v>
      </c>
      <c r="K18" s="34" t="s">
        <v>16</v>
      </c>
      <c r="L18" s="36">
        <v>4024.76</v>
      </c>
      <c r="M18" s="36">
        <v>4420.1499999999996</v>
      </c>
      <c r="N18" s="34" t="s">
        <v>17</v>
      </c>
      <c r="O18" s="37">
        <v>0.04</v>
      </c>
      <c r="P18" s="34" t="s">
        <v>18</v>
      </c>
      <c r="Q18" s="34" t="s">
        <v>19</v>
      </c>
      <c r="R18" s="34" t="str">
        <f>IF(Cleaned_Final!$I18&gt;=5000,"High","Low")</f>
        <v>High</v>
      </c>
    </row>
    <row r="19" spans="1:18" x14ac:dyDescent="0.35">
      <c r="A19" s="38">
        <v>1088</v>
      </c>
      <c r="B19" s="38" t="str">
        <f>_xlfn.XLOOKUP(Table2[[#This Row],[Product ID]],Sheet1!$A$32:$A$200,Sheet1!$B$32:$B$200,"Not Found")</f>
        <v>Office Desk</v>
      </c>
      <c r="C19" s="39">
        <v>45203</v>
      </c>
      <c r="D19" s="38" t="s">
        <v>14</v>
      </c>
      <c r="E19" s="38" t="str" cm="1">
        <f t="array" ref="E19">_xlfn.XLOOKUP(Table2[[#This Row],[Sales Rep]],Sheet1!$A$21:$A$25,Sheet1!$B$21:$B$25,Not Found)</f>
        <v>Michael Smith</v>
      </c>
      <c r="F19" s="38" t="s">
        <v>34</v>
      </c>
      <c r="G19" s="38">
        <f>_xlfn.XLOOKUP(Table2[[#This Row],[Region]],Sheet1!$A$12:$A$15,Sheet1!$B$12:$B$15,0)</f>
        <v>0.06</v>
      </c>
      <c r="H19" s="40">
        <f>Table2[[#This Row],[Tax Rate]]*Table2[[#This Row],[Sales Amount]]</f>
        <v>367.005</v>
      </c>
      <c r="I19" s="40">
        <v>6116.75</v>
      </c>
      <c r="J19" s="38">
        <v>40</v>
      </c>
      <c r="K19" s="38" t="s">
        <v>35</v>
      </c>
      <c r="L19" s="40">
        <v>4904.93</v>
      </c>
      <c r="M19" s="40">
        <v>5034.3500000000004</v>
      </c>
      <c r="N19" s="38" t="s">
        <v>30</v>
      </c>
      <c r="O19" s="41">
        <v>0.1</v>
      </c>
      <c r="P19" s="38" t="s">
        <v>31</v>
      </c>
      <c r="Q19" s="38" t="s">
        <v>22</v>
      </c>
      <c r="R19" s="38" t="str">
        <f>IF(Cleaned_Final!$I19&gt;=5000,"High","Low")</f>
        <v>High</v>
      </c>
    </row>
    <row r="20" spans="1:18" x14ac:dyDescent="0.35">
      <c r="A20" s="34">
        <v>1030</v>
      </c>
      <c r="B20" s="34" t="str">
        <f>_xlfn.XLOOKUP(Table2[[#This Row],[Product ID]],Sheet1!$A$32:$A$200,Sheet1!$B$32:$B$200,"Not Found")</f>
        <v>Jeans</v>
      </c>
      <c r="C20" s="35">
        <v>45124</v>
      </c>
      <c r="D20" s="34" t="s">
        <v>24</v>
      </c>
      <c r="E20" s="34" t="str" cm="1">
        <f t="array" ref="E20">_xlfn.XLOOKUP(Table2[[#This Row],[Sales Rep]],Sheet1!$A$21:$A$25,Sheet1!$B$21:$B$25,Not Found)</f>
        <v>Hogan Rock</v>
      </c>
      <c r="F20" s="34" t="s">
        <v>21</v>
      </c>
      <c r="G20" s="34">
        <f>_xlfn.XLOOKUP(Table2[[#This Row],[Region]],Sheet1!$A$12:$A$15,Sheet1!$B$12:$B$15,0)</f>
        <v>0.08</v>
      </c>
      <c r="H20" s="36">
        <f>Table2[[#This Row],[Tax Rate]]*Table2[[#This Row],[Sales Amount]]</f>
        <v>241.8784</v>
      </c>
      <c r="I20" s="36">
        <v>3023.48</v>
      </c>
      <c r="J20" s="34">
        <v>19</v>
      </c>
      <c r="K20" s="34" t="s">
        <v>29</v>
      </c>
      <c r="L20" s="36">
        <v>3049.33</v>
      </c>
      <c r="M20" s="36">
        <v>3209.22</v>
      </c>
      <c r="N20" s="34" t="s">
        <v>17</v>
      </c>
      <c r="O20" s="37">
        <v>0.26</v>
      </c>
      <c r="P20" s="34" t="s">
        <v>18</v>
      </c>
      <c r="Q20" s="34" t="s">
        <v>19</v>
      </c>
      <c r="R20" s="34" t="str">
        <f>IF(Cleaned_Final!$I20&gt;=5000,"High","Low")</f>
        <v>Low</v>
      </c>
    </row>
    <row r="21" spans="1:18" x14ac:dyDescent="0.35">
      <c r="A21" s="38">
        <v>1038</v>
      </c>
      <c r="B21" s="38" t="str">
        <f>_xlfn.XLOOKUP(Table2[[#This Row],[Product ID]],Sheet1!$A$32:$A$200,Sheet1!$B$32:$B$200,"Not Found")</f>
        <v>Jean Pants</v>
      </c>
      <c r="C21" s="39">
        <v>44996</v>
      </c>
      <c r="D21" s="38" t="s">
        <v>14</v>
      </c>
      <c r="E21" s="38" t="str" cm="1">
        <f t="array" ref="E21">_xlfn.XLOOKUP(Table2[[#This Row],[Sales Rep]],Sheet1!$A$21:$A$25,Sheet1!$B$21:$B$25,Not Found)</f>
        <v>Michael Smith</v>
      </c>
      <c r="F21" s="38" t="s">
        <v>25</v>
      </c>
      <c r="G21" s="38">
        <f>_xlfn.XLOOKUP(Table2[[#This Row],[Region]],Sheet1!$A$12:$A$15,Sheet1!$B$12:$B$15,0)</f>
        <v>0.05</v>
      </c>
      <c r="H21" s="40">
        <f>Table2[[#This Row],[Tax Rate]]*Table2[[#This Row],[Sales Amount]]</f>
        <v>72.617499999999993</v>
      </c>
      <c r="I21" s="40">
        <v>1452.35</v>
      </c>
      <c r="J21" s="38">
        <v>15</v>
      </c>
      <c r="K21" s="38" t="s">
        <v>29</v>
      </c>
      <c r="L21" s="40">
        <v>2543.36</v>
      </c>
      <c r="M21" s="40">
        <v>2790.1</v>
      </c>
      <c r="N21" s="38" t="s">
        <v>17</v>
      </c>
      <c r="O21" s="41">
        <v>7.0000000000000007E-2</v>
      </c>
      <c r="P21" s="38" t="s">
        <v>18</v>
      </c>
      <c r="Q21" s="38" t="s">
        <v>19</v>
      </c>
      <c r="R21" s="38" t="str">
        <f>IF(Cleaned_Final!$I21&gt;=5000,"High","Low")</f>
        <v>Low</v>
      </c>
    </row>
    <row r="22" spans="1:18" x14ac:dyDescent="0.35">
      <c r="A22" s="34">
        <v>1002</v>
      </c>
      <c r="B22" s="34" t="str">
        <f>_xlfn.XLOOKUP(Table2[[#This Row],[Product ID]],Sheet1!$A$32:$A$200,Sheet1!$B$32:$B$200,"Not Found")</f>
        <v>Bench</v>
      </c>
      <c r="C22" s="35">
        <v>45038</v>
      </c>
      <c r="D22" s="34" t="s">
        <v>38</v>
      </c>
      <c r="E22" s="34" t="str" cm="1">
        <f t="array" ref="E22">_xlfn.XLOOKUP(Table2[[#This Row],[Sales Rep]],Sheet1!$A$21:$A$25,Sheet1!$B$21:$B$25,Not Found)</f>
        <v>Tracy Moore</v>
      </c>
      <c r="F22" s="34" t="s">
        <v>15</v>
      </c>
      <c r="G22" s="34">
        <f>_xlfn.XLOOKUP(Table2[[#This Row],[Region]],Sheet1!$A$12:$A$15,Sheet1!$B$12:$B$15,0)</f>
        <v>7.4999999999999997E-2</v>
      </c>
      <c r="H22" s="36">
        <f>Table2[[#This Row],[Tax Rate]]*Table2[[#This Row],[Sales Amount]]</f>
        <v>491.34224999999992</v>
      </c>
      <c r="I22" s="36">
        <v>6551.23</v>
      </c>
      <c r="J22" s="34">
        <v>9</v>
      </c>
      <c r="K22" s="34" t="s">
        <v>35</v>
      </c>
      <c r="L22" s="36">
        <v>4398.16</v>
      </c>
      <c r="M22" s="36">
        <v>4439.12</v>
      </c>
      <c r="N22" s="34" t="s">
        <v>30</v>
      </c>
      <c r="O22" s="37">
        <v>0.18</v>
      </c>
      <c r="P22" s="34" t="s">
        <v>27</v>
      </c>
      <c r="Q22" s="34" t="s">
        <v>19</v>
      </c>
      <c r="R22" s="34" t="str">
        <f>IF(Cleaned_Final!$I22&gt;=5000,"High","Low")</f>
        <v>High</v>
      </c>
    </row>
    <row r="23" spans="1:18" x14ac:dyDescent="0.35">
      <c r="A23" s="38">
        <v>1064</v>
      </c>
      <c r="B23" s="38" t="str">
        <f>_xlfn.XLOOKUP(Table2[[#This Row],[Product ID]],Sheet1!$A$32:$A$200,Sheet1!$B$32:$B$200,"Not Found")</f>
        <v>Smartphone</v>
      </c>
      <c r="C23" s="39">
        <v>44930</v>
      </c>
      <c r="D23" s="38" t="s">
        <v>38</v>
      </c>
      <c r="E23" s="38" t="str" cm="1">
        <f t="array" ref="E23">_xlfn.XLOOKUP(Table2[[#This Row],[Sales Rep]],Sheet1!$A$21:$A$25,Sheet1!$B$21:$B$25,Not Found)</f>
        <v>Tracy Moore</v>
      </c>
      <c r="F23" s="38" t="s">
        <v>34</v>
      </c>
      <c r="G23" s="38">
        <f>_xlfn.XLOOKUP(Table2[[#This Row],[Region]],Sheet1!$A$12:$A$15,Sheet1!$B$12:$B$15,0)</f>
        <v>0.06</v>
      </c>
      <c r="H23" s="40">
        <f>Table2[[#This Row],[Tax Rate]]*Table2[[#This Row],[Sales Amount]]</f>
        <v>444.72659999999996</v>
      </c>
      <c r="I23" s="40">
        <v>7412.11</v>
      </c>
      <c r="J23" s="38">
        <v>10</v>
      </c>
      <c r="K23" s="38" t="s">
        <v>35</v>
      </c>
      <c r="L23" s="40">
        <v>4764.96</v>
      </c>
      <c r="M23" s="40">
        <v>5074.42</v>
      </c>
      <c r="N23" s="38" t="s">
        <v>30</v>
      </c>
      <c r="O23" s="41">
        <v>0.12</v>
      </c>
      <c r="P23" s="38" t="s">
        <v>18</v>
      </c>
      <c r="Q23" s="38" t="s">
        <v>19</v>
      </c>
      <c r="R23" s="38" t="str">
        <f>IF(Cleaned_Final!$I23&gt;=5000,"High","Low")</f>
        <v>High</v>
      </c>
    </row>
    <row r="24" spans="1:18" x14ac:dyDescent="0.35">
      <c r="A24" s="34">
        <v>1060</v>
      </c>
      <c r="B24" s="34" t="str">
        <f>_xlfn.XLOOKUP(Table2[[#This Row],[Product ID]],Sheet1!$A$32:$A$200,Sheet1!$B$32:$B$200,"Not Found")</f>
        <v>Head Warmer</v>
      </c>
      <c r="C24" s="35">
        <v>45276</v>
      </c>
      <c r="D24" s="34" t="s">
        <v>38</v>
      </c>
      <c r="E24" s="34" t="str" cm="1">
        <f t="array" ref="E24">_xlfn.XLOOKUP(Table2[[#This Row],[Sales Rep]],Sheet1!$A$21:$A$25,Sheet1!$B$21:$B$25,Not Found)</f>
        <v>Tracy Moore</v>
      </c>
      <c r="F24" s="34" t="s">
        <v>34</v>
      </c>
      <c r="G24" s="34">
        <f>_xlfn.XLOOKUP(Table2[[#This Row],[Region]],Sheet1!$A$12:$A$15,Sheet1!$B$12:$B$15,0)</f>
        <v>0.06</v>
      </c>
      <c r="H24" s="36">
        <f>Table2[[#This Row],[Tax Rate]]*Table2[[#This Row],[Sales Amount]]</f>
        <v>193.48259999999999</v>
      </c>
      <c r="I24" s="36">
        <v>3224.71</v>
      </c>
      <c r="J24" s="34">
        <v>44</v>
      </c>
      <c r="K24" s="34" t="s">
        <v>29</v>
      </c>
      <c r="L24" s="36">
        <v>3784.96</v>
      </c>
      <c r="M24" s="36">
        <v>4276.99</v>
      </c>
      <c r="N24" s="34" t="s">
        <v>30</v>
      </c>
      <c r="O24" s="37">
        <v>0.06</v>
      </c>
      <c r="P24" s="34" t="s">
        <v>27</v>
      </c>
      <c r="Q24" s="34" t="s">
        <v>22</v>
      </c>
      <c r="R24" s="34" t="str">
        <f>IF(Cleaned_Final!$I24&gt;=5000,"High","Low")</f>
        <v>Low</v>
      </c>
    </row>
    <row r="25" spans="1:18" x14ac:dyDescent="0.35">
      <c r="A25" s="38">
        <v>1021</v>
      </c>
      <c r="B25" s="38" t="str">
        <f>_xlfn.XLOOKUP(Table2[[#This Row],[Product ID]],Sheet1!$A$32:$A$200,Sheet1!$B$32:$B$200,"Not Found")</f>
        <v>Almond Milk</v>
      </c>
      <c r="C25" s="39">
        <v>45257</v>
      </c>
      <c r="D25" s="38" t="s">
        <v>42</v>
      </c>
      <c r="E25" s="38" t="str" cm="1">
        <f t="array" ref="E25">_xlfn.XLOOKUP(Table2[[#This Row],[Sales Rep]],Sheet1!$A$21:$A$25,Sheet1!$B$21:$B$25,Not Found)</f>
        <v>Scott Wayne</v>
      </c>
      <c r="F25" s="38" t="s">
        <v>25</v>
      </c>
      <c r="G25" s="38">
        <f>_xlfn.XLOOKUP(Table2[[#This Row],[Region]],Sheet1!$A$12:$A$15,Sheet1!$B$12:$B$15,0)</f>
        <v>0.05</v>
      </c>
      <c r="H25" s="40">
        <f>Table2[[#This Row],[Tax Rate]]*Table2[[#This Row],[Sales Amount]]</f>
        <v>324.19200000000001</v>
      </c>
      <c r="I25" s="40">
        <v>6483.84</v>
      </c>
      <c r="J25" s="38">
        <v>31</v>
      </c>
      <c r="K25" s="38" t="s">
        <v>16</v>
      </c>
      <c r="L25" s="40">
        <v>2254.9899999999998</v>
      </c>
      <c r="M25" s="40">
        <v>2441.79</v>
      </c>
      <c r="N25" s="38" t="s">
        <v>17</v>
      </c>
      <c r="O25" s="41">
        <v>0.24</v>
      </c>
      <c r="P25" s="38" t="s">
        <v>27</v>
      </c>
      <c r="Q25" s="38" t="s">
        <v>19</v>
      </c>
      <c r="R25" s="38" t="str">
        <f>IF(Cleaned_Final!$I25&gt;=5000,"High","Low")</f>
        <v>High</v>
      </c>
    </row>
    <row r="26" spans="1:18" x14ac:dyDescent="0.35">
      <c r="A26" s="34">
        <v>1033</v>
      </c>
      <c r="B26" s="34" t="str">
        <f>_xlfn.XLOOKUP(Table2[[#This Row],[Product ID]],Sheet1!$A$32:$A$200,Sheet1!$B$32:$B$200,"Not Found")</f>
        <v>TV Stand</v>
      </c>
      <c r="C26" s="35">
        <v>45244</v>
      </c>
      <c r="D26" s="34" t="s">
        <v>24</v>
      </c>
      <c r="E26" s="34" t="str" cm="1">
        <f t="array" ref="E26">_xlfn.XLOOKUP(Table2[[#This Row],[Sales Rep]],Sheet1!$A$21:$A$25,Sheet1!$B$21:$B$25,Not Found)</f>
        <v>Hogan Rock</v>
      </c>
      <c r="F26" s="34" t="s">
        <v>25</v>
      </c>
      <c r="G26" s="34">
        <f>_xlfn.XLOOKUP(Table2[[#This Row],[Region]],Sheet1!$A$12:$A$15,Sheet1!$B$12:$B$15,0)</f>
        <v>0.05</v>
      </c>
      <c r="H26" s="36">
        <f>Table2[[#This Row],[Tax Rate]]*Table2[[#This Row],[Sales Amount]]</f>
        <v>200.59000000000003</v>
      </c>
      <c r="I26" s="36">
        <v>4011.8</v>
      </c>
      <c r="J26" s="34">
        <v>23</v>
      </c>
      <c r="K26" s="34" t="s">
        <v>16</v>
      </c>
      <c r="L26" s="36">
        <v>2981.5</v>
      </c>
      <c r="M26" s="36">
        <v>3360.4</v>
      </c>
      <c r="N26" s="34" t="s">
        <v>17</v>
      </c>
      <c r="O26" s="37">
        <v>0.22</v>
      </c>
      <c r="P26" s="34" t="s">
        <v>27</v>
      </c>
      <c r="Q26" s="34" t="s">
        <v>22</v>
      </c>
      <c r="R26" s="34" t="str">
        <f>IF(Cleaned_Final!$I26&gt;=5000,"High","Low")</f>
        <v>Low</v>
      </c>
    </row>
    <row r="27" spans="1:18" x14ac:dyDescent="0.35">
      <c r="A27" s="38">
        <v>1076</v>
      </c>
      <c r="B27" s="38" t="str">
        <f>_xlfn.XLOOKUP(Table2[[#This Row],[Product ID]],Sheet1!$A$32:$A$200,Sheet1!$B$32:$B$200,"Not Found")</f>
        <v>Polo Shirt</v>
      </c>
      <c r="C27" s="39">
        <v>45276</v>
      </c>
      <c r="D27" s="38" t="s">
        <v>38</v>
      </c>
      <c r="E27" s="38" t="str" cm="1">
        <f t="array" ref="E27">_xlfn.XLOOKUP(Table2[[#This Row],[Sales Rep]],Sheet1!$A$21:$A$25,Sheet1!$B$21:$B$25,Not Found)</f>
        <v>Tracy Moore</v>
      </c>
      <c r="F27" s="38" t="s">
        <v>34</v>
      </c>
      <c r="G27" s="38">
        <f>_xlfn.XLOOKUP(Table2[[#This Row],[Region]],Sheet1!$A$12:$A$15,Sheet1!$B$12:$B$15,0)</f>
        <v>0.06</v>
      </c>
      <c r="H27" s="40">
        <f>Table2[[#This Row],[Tax Rate]]*Table2[[#This Row],[Sales Amount]]</f>
        <v>429.64499999999998</v>
      </c>
      <c r="I27" s="40">
        <v>7160.75</v>
      </c>
      <c r="J27" s="38">
        <v>30</v>
      </c>
      <c r="K27" s="38" t="s">
        <v>29</v>
      </c>
      <c r="L27" s="40">
        <v>3519.63</v>
      </c>
      <c r="M27" s="40">
        <v>3774.65</v>
      </c>
      <c r="N27" s="38" t="s">
        <v>30</v>
      </c>
      <c r="O27" s="41">
        <v>0.2</v>
      </c>
      <c r="P27" s="38" t="s">
        <v>31</v>
      </c>
      <c r="Q27" s="38" t="s">
        <v>22</v>
      </c>
      <c r="R27" s="38" t="str">
        <f>IF(Cleaned_Final!$I27&gt;=5000,"High","Low")</f>
        <v>High</v>
      </c>
    </row>
    <row r="28" spans="1:18" x14ac:dyDescent="0.35">
      <c r="A28" s="34">
        <v>1058</v>
      </c>
      <c r="B28" s="34" t="str">
        <f>_xlfn.XLOOKUP(Table2[[#This Row],[Product ID]],Sheet1!$A$32:$A$200,Sheet1!$B$32:$B$200,"Not Found")</f>
        <v>Wardrobe</v>
      </c>
      <c r="C28" s="35">
        <v>45021</v>
      </c>
      <c r="D28" s="34" t="s">
        <v>42</v>
      </c>
      <c r="E28" s="34" t="str" cm="1">
        <f t="array" ref="E28">_xlfn.XLOOKUP(Table2[[#This Row],[Sales Rep]],Sheet1!$A$21:$A$25,Sheet1!$B$21:$B$25,Not Found)</f>
        <v>Scott Wayne</v>
      </c>
      <c r="F28" s="34" t="s">
        <v>15</v>
      </c>
      <c r="G28" s="34">
        <f>_xlfn.XLOOKUP(Table2[[#This Row],[Region]],Sheet1!$A$12:$A$15,Sheet1!$B$12:$B$15,0)</f>
        <v>7.4999999999999997E-2</v>
      </c>
      <c r="H28" s="36">
        <f>Table2[[#This Row],[Tax Rate]]*Table2[[#This Row],[Sales Amount]]</f>
        <v>155.41725</v>
      </c>
      <c r="I28" s="36">
        <v>2072.23</v>
      </c>
      <c r="J28" s="34">
        <v>33</v>
      </c>
      <c r="K28" s="34" t="s">
        <v>16</v>
      </c>
      <c r="L28" s="36">
        <v>1011.65</v>
      </c>
      <c r="M28" s="36">
        <v>1084.28</v>
      </c>
      <c r="N28" s="34" t="s">
        <v>17</v>
      </c>
      <c r="O28" s="37">
        <v>7.0000000000000007E-2</v>
      </c>
      <c r="P28" s="34" t="s">
        <v>27</v>
      </c>
      <c r="Q28" s="34" t="s">
        <v>22</v>
      </c>
      <c r="R28" s="34" t="str">
        <f>IF(Cleaned_Final!$I28&gt;=5000,"High","Low")</f>
        <v>Low</v>
      </c>
    </row>
    <row r="29" spans="1:18" x14ac:dyDescent="0.35">
      <c r="A29" s="38">
        <v>1022</v>
      </c>
      <c r="B29" s="38" t="str">
        <f>_xlfn.XLOOKUP(Table2[[#This Row],[Product ID]],Sheet1!$A$32:$A$200,Sheet1!$B$32:$B$200,"Not Found")</f>
        <v>Organic Honey</v>
      </c>
      <c r="C29" s="39">
        <v>45078</v>
      </c>
      <c r="D29" s="38" t="s">
        <v>24</v>
      </c>
      <c r="E29" s="38" t="str" cm="1">
        <f t="array" ref="E29">_xlfn.XLOOKUP(Table2[[#This Row],[Sales Rep]],Sheet1!$A$21:$A$25,Sheet1!$B$21:$B$25,Not Found)</f>
        <v>Hogan Rock</v>
      </c>
      <c r="F29" s="38" t="s">
        <v>34</v>
      </c>
      <c r="G29" s="38">
        <f>_xlfn.XLOOKUP(Table2[[#This Row],[Region]],Sheet1!$A$12:$A$15,Sheet1!$B$12:$B$15,0)</f>
        <v>0.06</v>
      </c>
      <c r="H29" s="40">
        <f>Table2[[#This Row],[Tax Rate]]*Table2[[#This Row],[Sales Amount]]</f>
        <v>534.78779999999995</v>
      </c>
      <c r="I29" s="40">
        <v>8913.1299999999992</v>
      </c>
      <c r="J29" s="38">
        <v>9</v>
      </c>
      <c r="K29" s="38" t="s">
        <v>35</v>
      </c>
      <c r="L29" s="40">
        <v>2263.65</v>
      </c>
      <c r="M29" s="40">
        <v>2558.9499999999998</v>
      </c>
      <c r="N29" s="38" t="s">
        <v>30</v>
      </c>
      <c r="O29" s="41">
        <v>0.03</v>
      </c>
      <c r="P29" s="38" t="s">
        <v>18</v>
      </c>
      <c r="Q29" s="38" t="s">
        <v>19</v>
      </c>
      <c r="R29" s="38" t="str">
        <f>IF(Cleaned_Final!$I29&gt;=5000,"High","Low")</f>
        <v>High</v>
      </c>
    </row>
    <row r="30" spans="1:18" x14ac:dyDescent="0.35">
      <c r="A30" s="34">
        <v>1089</v>
      </c>
      <c r="B30" s="34" t="str">
        <f>_xlfn.XLOOKUP(Table2[[#This Row],[Product ID]],Sheet1!$A$32:$A$200,Sheet1!$B$32:$B$200,"Not Found")</f>
        <v>Recliner</v>
      </c>
      <c r="C30" s="35">
        <v>45237</v>
      </c>
      <c r="D30" s="34" t="s">
        <v>14</v>
      </c>
      <c r="E30" s="34" t="str" cm="1">
        <f t="array" ref="E30">_xlfn.XLOOKUP(Table2[[#This Row],[Sales Rep]],Sheet1!$A$21:$A$25,Sheet1!$B$21:$B$25,Not Found)</f>
        <v>Michael Smith</v>
      </c>
      <c r="F30" s="34" t="s">
        <v>21</v>
      </c>
      <c r="G30" s="34">
        <f>_xlfn.XLOOKUP(Table2[[#This Row],[Region]],Sheet1!$A$12:$A$15,Sheet1!$B$12:$B$15,0)</f>
        <v>0.08</v>
      </c>
      <c r="H30" s="36">
        <f>Table2[[#This Row],[Tax Rate]]*Table2[[#This Row],[Sales Amount]]</f>
        <v>235.62880000000001</v>
      </c>
      <c r="I30" s="36">
        <v>2945.36</v>
      </c>
      <c r="J30" s="34">
        <v>47</v>
      </c>
      <c r="K30" s="34" t="s">
        <v>16</v>
      </c>
      <c r="L30" s="36">
        <v>4157.62</v>
      </c>
      <c r="M30" s="36">
        <v>4314.5599999999904</v>
      </c>
      <c r="N30" s="34" t="s">
        <v>30</v>
      </c>
      <c r="O30" s="37">
        <v>0.17</v>
      </c>
      <c r="P30" s="34" t="s">
        <v>27</v>
      </c>
      <c r="Q30" s="34" t="s">
        <v>22</v>
      </c>
      <c r="R30" s="34" t="str">
        <f>IF(Cleaned_Final!$I30&gt;=5000,"High","Low")</f>
        <v>Low</v>
      </c>
    </row>
    <row r="31" spans="1:18" x14ac:dyDescent="0.35">
      <c r="A31" s="38">
        <v>1049</v>
      </c>
      <c r="B31" s="38" t="str">
        <f>_xlfn.XLOOKUP(Table2[[#This Row],[Product ID]],Sheet1!$A$32:$A$200,Sheet1!$B$32:$B$200,"Not Found")</f>
        <v>Coffee Table</v>
      </c>
      <c r="C31" s="39">
        <v>45063</v>
      </c>
      <c r="D31" s="38" t="s">
        <v>42</v>
      </c>
      <c r="E31" s="38" t="str" cm="1">
        <f t="array" ref="E31">_xlfn.XLOOKUP(Table2[[#This Row],[Sales Rep]],Sheet1!$A$21:$A$25,Sheet1!$B$21:$B$25,Not Found)</f>
        <v>Scott Wayne</v>
      </c>
      <c r="F31" s="38" t="s">
        <v>21</v>
      </c>
      <c r="G31" s="38">
        <f>_xlfn.XLOOKUP(Table2[[#This Row],[Region]],Sheet1!$A$12:$A$15,Sheet1!$B$12:$B$15,0)</f>
        <v>0.08</v>
      </c>
      <c r="H31" s="40">
        <f>Table2[[#This Row],[Tax Rate]]*Table2[[#This Row],[Sales Amount]]</f>
        <v>299.28640000000001</v>
      </c>
      <c r="I31" s="40">
        <v>3741.08</v>
      </c>
      <c r="J31" s="38">
        <v>1</v>
      </c>
      <c r="K31" s="38" t="s">
        <v>16</v>
      </c>
      <c r="L31" s="40">
        <v>3290.89</v>
      </c>
      <c r="M31" s="40">
        <v>3317.75</v>
      </c>
      <c r="N31" s="38" t="s">
        <v>17</v>
      </c>
      <c r="O31" s="41">
        <v>0.17</v>
      </c>
      <c r="P31" s="38" t="s">
        <v>27</v>
      </c>
      <c r="Q31" s="38" t="s">
        <v>19</v>
      </c>
      <c r="R31" s="38" t="str">
        <f>IF(Cleaned_Final!$I31&gt;=5000,"High","Low")</f>
        <v>Low</v>
      </c>
    </row>
    <row r="32" spans="1:18" x14ac:dyDescent="0.35">
      <c r="A32" s="34">
        <v>1091</v>
      </c>
      <c r="B32" s="34" t="str">
        <f>_xlfn.XLOOKUP(Table2[[#This Row],[Product ID]],Sheet1!$A$32:$A$200,Sheet1!$B$32:$B$200,"Not Found")</f>
        <v>Granola Bar</v>
      </c>
      <c r="C32" s="35">
        <v>45173</v>
      </c>
      <c r="D32" s="34" t="s">
        <v>33</v>
      </c>
      <c r="E32" s="34" t="str" cm="1">
        <f t="array" ref="E32">_xlfn.XLOOKUP(Table2[[#This Row],[Sales Rep]],Sheet1!$A$21:$A$25,Sheet1!$B$21:$B$25,Not Found)</f>
        <v>Susan Jerkins</v>
      </c>
      <c r="F32" s="34" t="s">
        <v>25</v>
      </c>
      <c r="G32" s="34">
        <f>_xlfn.XLOOKUP(Table2[[#This Row],[Region]],Sheet1!$A$12:$A$15,Sheet1!$B$12:$B$15,0)</f>
        <v>0.05</v>
      </c>
      <c r="H32" s="36">
        <f>Table2[[#This Row],[Tax Rate]]*Table2[[#This Row],[Sales Amount]]</f>
        <v>33.755500000000005</v>
      </c>
      <c r="I32" s="36">
        <v>675.11</v>
      </c>
      <c r="J32" s="34">
        <v>44</v>
      </c>
      <c r="K32" s="34" t="s">
        <v>26</v>
      </c>
      <c r="L32" s="36">
        <v>2085.46</v>
      </c>
      <c r="M32" s="36">
        <v>2406.58</v>
      </c>
      <c r="N32" s="34" t="s">
        <v>17</v>
      </c>
      <c r="O32" s="37">
        <v>0.06</v>
      </c>
      <c r="P32" s="34" t="s">
        <v>27</v>
      </c>
      <c r="Q32" s="34" t="s">
        <v>22</v>
      </c>
      <c r="R32" s="34" t="str">
        <f>IF(Cleaned_Final!$I32&gt;=5000,"High","Low")</f>
        <v>Low</v>
      </c>
    </row>
    <row r="33" spans="1:18" x14ac:dyDescent="0.35">
      <c r="A33" s="38">
        <v>1059</v>
      </c>
      <c r="B33" s="38" t="str">
        <f>_xlfn.XLOOKUP(Table2[[#This Row],[Product ID]],Sheet1!$A$32:$A$200,Sheet1!$B$32:$B$200,"Not Found")</f>
        <v>Coffee Beans</v>
      </c>
      <c r="C33" s="39">
        <v>45169</v>
      </c>
      <c r="D33" s="38" t="s">
        <v>42</v>
      </c>
      <c r="E33" s="38" t="str" cm="1">
        <f t="array" ref="E33">_xlfn.XLOOKUP(Table2[[#This Row],[Sales Rep]],Sheet1!$A$21:$A$25,Sheet1!$B$21:$B$25,Not Found)</f>
        <v>Scott Wayne</v>
      </c>
      <c r="F33" s="38" t="s">
        <v>15</v>
      </c>
      <c r="G33" s="38">
        <f>_xlfn.XLOOKUP(Table2[[#This Row],[Region]],Sheet1!$A$12:$A$15,Sheet1!$B$12:$B$15,0)</f>
        <v>7.4999999999999997E-2</v>
      </c>
      <c r="H33" s="40">
        <f>Table2[[#This Row],[Tax Rate]]*Table2[[#This Row],[Sales Amount]]</f>
        <v>90.297749999999994</v>
      </c>
      <c r="I33" s="40">
        <v>1203.97</v>
      </c>
      <c r="J33" s="38">
        <v>35</v>
      </c>
      <c r="K33" s="38" t="s">
        <v>26</v>
      </c>
      <c r="L33" s="40">
        <v>3333.64</v>
      </c>
      <c r="M33" s="40">
        <v>3764.52</v>
      </c>
      <c r="N33" s="38" t="s">
        <v>17</v>
      </c>
      <c r="O33" s="41">
        <v>0.02</v>
      </c>
      <c r="P33" s="38" t="s">
        <v>31</v>
      </c>
      <c r="Q33" s="38" t="s">
        <v>19</v>
      </c>
      <c r="R33" s="38" t="str">
        <f>IF(Cleaned_Final!$I33&gt;=5000,"High","Low")</f>
        <v>Low</v>
      </c>
    </row>
    <row r="34" spans="1:18" x14ac:dyDescent="0.35">
      <c r="A34" s="34">
        <v>1042</v>
      </c>
      <c r="B34" s="34" t="str">
        <f>_xlfn.XLOOKUP(Table2[[#This Row],[Product ID]],Sheet1!$A$32:$A$200,Sheet1!$B$32:$B$200,"Not Found")</f>
        <v>Frozen Pizza</v>
      </c>
      <c r="C34" s="35">
        <v>44957</v>
      </c>
      <c r="D34" s="34" t="s">
        <v>42</v>
      </c>
      <c r="E34" s="34" t="str" cm="1">
        <f t="array" ref="E34">_xlfn.XLOOKUP(Table2[[#This Row],[Sales Rep]],Sheet1!$A$21:$A$25,Sheet1!$B$21:$B$25,Not Found)</f>
        <v>Scott Wayne</v>
      </c>
      <c r="F34" s="34" t="s">
        <v>15</v>
      </c>
      <c r="G34" s="34">
        <f>_xlfn.XLOOKUP(Table2[[#This Row],[Region]],Sheet1!$A$12:$A$15,Sheet1!$B$12:$B$15,0)</f>
        <v>7.4999999999999997E-2</v>
      </c>
      <c r="H34" s="36">
        <f>Table2[[#This Row],[Tax Rate]]*Table2[[#This Row],[Sales Amount]]</f>
        <v>390.52724999999998</v>
      </c>
      <c r="I34" s="36">
        <v>5207.03</v>
      </c>
      <c r="J34" s="34">
        <v>11</v>
      </c>
      <c r="K34" s="34" t="s">
        <v>26</v>
      </c>
      <c r="L34" s="36">
        <v>635.20000000000005</v>
      </c>
      <c r="M34" s="36">
        <v>814.14</v>
      </c>
      <c r="N34" s="34" t="s">
        <v>17</v>
      </c>
      <c r="O34" s="37">
        <v>0.02</v>
      </c>
      <c r="P34" s="34" t="s">
        <v>18</v>
      </c>
      <c r="Q34" s="34" t="s">
        <v>19</v>
      </c>
      <c r="R34" s="34" t="str">
        <f>IF(Cleaned_Final!$I34&gt;=5000,"High","Low")</f>
        <v>High</v>
      </c>
    </row>
    <row r="35" spans="1:18" x14ac:dyDescent="0.35">
      <c r="A35" s="38">
        <v>1092</v>
      </c>
      <c r="B35" s="38" t="str">
        <f>_xlfn.XLOOKUP(Table2[[#This Row],[Product ID]],Sheet1!$A$32:$A$200,Sheet1!$B$32:$B$200,"Not Found")</f>
        <v>Recliner</v>
      </c>
      <c r="C35" s="39">
        <v>44966</v>
      </c>
      <c r="D35" s="38" t="s">
        <v>24</v>
      </c>
      <c r="E35" s="38" t="str" cm="1">
        <f t="array" ref="E35">_xlfn.XLOOKUP(Table2[[#This Row],[Sales Rep]],Sheet1!$A$21:$A$25,Sheet1!$B$21:$B$25,Not Found)</f>
        <v>Hogan Rock</v>
      </c>
      <c r="F35" s="38" t="s">
        <v>21</v>
      </c>
      <c r="G35" s="38">
        <f>_xlfn.XLOOKUP(Table2[[#This Row],[Region]],Sheet1!$A$12:$A$15,Sheet1!$B$12:$B$15,0)</f>
        <v>0.08</v>
      </c>
      <c r="H35" s="40">
        <f>Table2[[#This Row],[Tax Rate]]*Table2[[#This Row],[Sales Amount]]</f>
        <v>219.93360000000001</v>
      </c>
      <c r="I35" s="40">
        <v>2749.17</v>
      </c>
      <c r="J35" s="38">
        <v>34</v>
      </c>
      <c r="K35" s="38" t="s">
        <v>16</v>
      </c>
      <c r="L35" s="40">
        <v>2037.41</v>
      </c>
      <c r="M35" s="40">
        <v>2238.65</v>
      </c>
      <c r="N35" s="38" t="s">
        <v>30</v>
      </c>
      <c r="O35" s="41">
        <v>0.3</v>
      </c>
      <c r="P35" s="38" t="s">
        <v>31</v>
      </c>
      <c r="Q35" s="38" t="s">
        <v>19</v>
      </c>
      <c r="R35" s="38" t="str">
        <f>IF(Cleaned_Final!$I35&gt;=5000,"High","Low")</f>
        <v>Low</v>
      </c>
    </row>
    <row r="36" spans="1:18" x14ac:dyDescent="0.35">
      <c r="A36" s="34">
        <v>1060</v>
      </c>
      <c r="B36" s="34" t="str">
        <f>_xlfn.XLOOKUP(Table2[[#This Row],[Product ID]],Sheet1!$A$32:$A$200,Sheet1!$B$32:$B$200,"Not Found")</f>
        <v>Head Warmer</v>
      </c>
      <c r="C36" s="35">
        <v>45155</v>
      </c>
      <c r="D36" s="34" t="s">
        <v>14</v>
      </c>
      <c r="E36" s="34" t="str" cm="1">
        <f t="array" ref="E36">_xlfn.XLOOKUP(Table2[[#This Row],[Sales Rep]],Sheet1!$A$21:$A$25,Sheet1!$B$21:$B$25,Not Found)</f>
        <v>Michael Smith</v>
      </c>
      <c r="F36" s="34" t="s">
        <v>34</v>
      </c>
      <c r="G36" s="34">
        <f>_xlfn.XLOOKUP(Table2[[#This Row],[Region]],Sheet1!$A$12:$A$15,Sheet1!$B$12:$B$15,0)</f>
        <v>0.06</v>
      </c>
      <c r="H36" s="36">
        <f>Table2[[#This Row],[Tax Rate]]*Table2[[#This Row],[Sales Amount]]</f>
        <v>502.27499999999998</v>
      </c>
      <c r="I36" s="36">
        <v>8371.25</v>
      </c>
      <c r="J36" s="34">
        <v>16</v>
      </c>
      <c r="K36" s="34" t="s">
        <v>29</v>
      </c>
      <c r="L36" s="36">
        <v>3975.99</v>
      </c>
      <c r="M36" s="36">
        <v>4422.59</v>
      </c>
      <c r="N36" s="34" t="s">
        <v>30</v>
      </c>
      <c r="O36" s="37">
        <v>0.24</v>
      </c>
      <c r="P36" s="34" t="s">
        <v>18</v>
      </c>
      <c r="Q36" s="34" t="s">
        <v>19</v>
      </c>
      <c r="R36" s="34" t="str">
        <f>IF(Cleaned_Final!$I36&gt;=5000,"High","Low")</f>
        <v>High</v>
      </c>
    </row>
    <row r="37" spans="1:18" x14ac:dyDescent="0.35">
      <c r="A37" s="38">
        <v>1080</v>
      </c>
      <c r="B37" s="38" t="str">
        <f>_xlfn.XLOOKUP(Table2[[#This Row],[Product ID]],Sheet1!$A$32:$A$200,Sheet1!$B$32:$B$200,"Not Found")</f>
        <v>Headphones</v>
      </c>
      <c r="C37" s="39">
        <v>44962</v>
      </c>
      <c r="D37" s="38" t="s">
        <v>33</v>
      </c>
      <c r="E37" s="38" t="str" cm="1">
        <f t="array" ref="E37">_xlfn.XLOOKUP(Table2[[#This Row],[Sales Rep]],Sheet1!$A$21:$A$25,Sheet1!$B$21:$B$25,Not Found)</f>
        <v>Susan Jerkins</v>
      </c>
      <c r="F37" s="38" t="s">
        <v>25</v>
      </c>
      <c r="G37" s="38">
        <f>_xlfn.XLOOKUP(Table2[[#This Row],[Region]],Sheet1!$A$12:$A$15,Sheet1!$B$12:$B$15,0)</f>
        <v>0.05</v>
      </c>
      <c r="H37" s="40">
        <f>Table2[[#This Row],[Tax Rate]]*Table2[[#This Row],[Sales Amount]]</f>
        <v>12.273000000000001</v>
      </c>
      <c r="I37" s="40">
        <v>245.46</v>
      </c>
      <c r="J37" s="38">
        <v>9</v>
      </c>
      <c r="K37" s="38" t="s">
        <v>35</v>
      </c>
      <c r="L37" s="40">
        <v>1141.52</v>
      </c>
      <c r="M37" s="40">
        <v>1550.19</v>
      </c>
      <c r="N37" s="38" t="s">
        <v>30</v>
      </c>
      <c r="O37" s="41">
        <v>0.28000000000000003</v>
      </c>
      <c r="P37" s="38" t="s">
        <v>31</v>
      </c>
      <c r="Q37" s="38" t="s">
        <v>22</v>
      </c>
      <c r="R37" s="38" t="str">
        <f>IF(Cleaned_Final!$I37&gt;=5000,"High","Low")</f>
        <v>Low</v>
      </c>
    </row>
    <row r="38" spans="1:18" x14ac:dyDescent="0.35">
      <c r="A38" s="34">
        <v>1015</v>
      </c>
      <c r="B38" s="34" t="str">
        <f>_xlfn.XLOOKUP(Table2[[#This Row],[Product ID]],Sheet1!$A$32:$A$200,Sheet1!$B$32:$B$200,"Not Found")</f>
        <v>Chocolate Bar</v>
      </c>
      <c r="C38" s="35">
        <v>45149</v>
      </c>
      <c r="D38" s="34" t="s">
        <v>38</v>
      </c>
      <c r="E38" s="34" t="str" cm="1">
        <f t="array" ref="E38">_xlfn.XLOOKUP(Table2[[#This Row],[Sales Rep]],Sheet1!$A$21:$A$25,Sheet1!$B$21:$B$25,Not Found)</f>
        <v>Tracy Moore</v>
      </c>
      <c r="F38" s="34" t="s">
        <v>34</v>
      </c>
      <c r="G38" s="34">
        <f>_xlfn.XLOOKUP(Table2[[#This Row],[Region]],Sheet1!$A$12:$A$15,Sheet1!$B$12:$B$15,0)</f>
        <v>0.06</v>
      </c>
      <c r="H38" s="36">
        <f>Table2[[#This Row],[Tax Rate]]*Table2[[#This Row],[Sales Amount]]</f>
        <v>231.18180000000001</v>
      </c>
      <c r="I38" s="36">
        <v>3853.03</v>
      </c>
      <c r="J38" s="34">
        <v>32</v>
      </c>
      <c r="K38" s="34" t="s">
        <v>16</v>
      </c>
      <c r="L38" s="36">
        <v>970.51</v>
      </c>
      <c r="M38" s="36">
        <v>1330.84</v>
      </c>
      <c r="N38" s="34" t="s">
        <v>17</v>
      </c>
      <c r="O38" s="37">
        <v>0.06</v>
      </c>
      <c r="P38" s="34" t="s">
        <v>18</v>
      </c>
      <c r="Q38" s="34" t="s">
        <v>22</v>
      </c>
      <c r="R38" s="34" t="str">
        <f>IF(Cleaned_Final!$I38&gt;=5000,"High","Low")</f>
        <v>Low</v>
      </c>
    </row>
    <row r="39" spans="1:18" x14ac:dyDescent="0.35">
      <c r="A39" s="38">
        <v>1062</v>
      </c>
      <c r="B39" s="38" t="str">
        <f>_xlfn.XLOOKUP(Table2[[#This Row],[Product ID]],Sheet1!$A$32:$A$200,Sheet1!$B$32:$B$200,"Not Found")</f>
        <v>Boxers</v>
      </c>
      <c r="C39" s="39">
        <v>44932</v>
      </c>
      <c r="D39" s="38" t="s">
        <v>38</v>
      </c>
      <c r="E39" s="38" t="str" cm="1">
        <f t="array" ref="E39">_xlfn.XLOOKUP(Table2[[#This Row],[Sales Rep]],Sheet1!$A$21:$A$25,Sheet1!$B$21:$B$25,Not Found)</f>
        <v>Tracy Moore</v>
      </c>
      <c r="F39" s="38" t="s">
        <v>34</v>
      </c>
      <c r="G39" s="38">
        <f>_xlfn.XLOOKUP(Table2[[#This Row],[Region]],Sheet1!$A$12:$A$15,Sheet1!$B$12:$B$15,0)</f>
        <v>0.06</v>
      </c>
      <c r="H39" s="40">
        <f>Table2[[#This Row],[Tax Rate]]*Table2[[#This Row],[Sales Amount]]</f>
        <v>206.38319999999999</v>
      </c>
      <c r="I39" s="40">
        <v>3439.72</v>
      </c>
      <c r="J39" s="38">
        <v>15</v>
      </c>
      <c r="K39" s="38" t="s">
        <v>29</v>
      </c>
      <c r="L39" s="40">
        <v>4756.55</v>
      </c>
      <c r="M39" s="40">
        <v>4888.46</v>
      </c>
      <c r="N39" s="38" t="s">
        <v>30</v>
      </c>
      <c r="O39" s="41">
        <v>0.28999999999999998</v>
      </c>
      <c r="P39" s="38" t="s">
        <v>31</v>
      </c>
      <c r="Q39" s="38" t="s">
        <v>19</v>
      </c>
      <c r="R39" s="38" t="str">
        <f>IF(Cleaned_Final!$I39&gt;=5000,"High","Low")</f>
        <v>Low</v>
      </c>
    </row>
    <row r="40" spans="1:18" x14ac:dyDescent="0.35">
      <c r="A40" s="34">
        <v>1062</v>
      </c>
      <c r="B40" s="34" t="str">
        <f>_xlfn.XLOOKUP(Table2[[#This Row],[Product ID]],Sheet1!$A$32:$A$200,Sheet1!$B$32:$B$200,"Not Found")</f>
        <v>Boxers</v>
      </c>
      <c r="C40" s="35">
        <v>45248</v>
      </c>
      <c r="D40" s="34" t="s">
        <v>42</v>
      </c>
      <c r="E40" s="34" t="str" cm="1">
        <f t="array" ref="E40">_xlfn.XLOOKUP(Table2[[#This Row],[Sales Rep]],Sheet1!$A$21:$A$25,Sheet1!$B$21:$B$25,Not Found)</f>
        <v>Scott Wayne</v>
      </c>
      <c r="F40" s="34" t="s">
        <v>34</v>
      </c>
      <c r="G40" s="34">
        <f>_xlfn.XLOOKUP(Table2[[#This Row],[Region]],Sheet1!$A$12:$A$15,Sheet1!$B$12:$B$15,0)</f>
        <v>0.06</v>
      </c>
      <c r="H40" s="36">
        <f>Table2[[#This Row],[Tax Rate]]*Table2[[#This Row],[Sales Amount]]</f>
        <v>17.480399999999999</v>
      </c>
      <c r="I40" s="36">
        <v>291.33999999999997</v>
      </c>
      <c r="J40" s="34">
        <v>12</v>
      </c>
      <c r="K40" s="34" t="s">
        <v>16</v>
      </c>
      <c r="L40" s="36">
        <v>1088.99</v>
      </c>
      <c r="M40" s="36">
        <v>1545</v>
      </c>
      <c r="N40" s="34" t="s">
        <v>17</v>
      </c>
      <c r="O40" s="37">
        <v>0.04</v>
      </c>
      <c r="P40" s="34" t="s">
        <v>27</v>
      </c>
      <c r="Q40" s="34" t="s">
        <v>22</v>
      </c>
      <c r="R40" s="34" t="str">
        <f>IF(Cleaned_Final!$I40&gt;=5000,"High","Low")</f>
        <v>Low</v>
      </c>
    </row>
    <row r="41" spans="1:18" x14ac:dyDescent="0.35">
      <c r="A41" s="38">
        <v>1047</v>
      </c>
      <c r="B41" s="38" t="str">
        <f>_xlfn.XLOOKUP(Table2[[#This Row],[Product ID]],Sheet1!$A$32:$A$200,Sheet1!$B$32:$B$200,"Not Found")</f>
        <v>Mouse</v>
      </c>
      <c r="C41" s="39">
        <v>45146</v>
      </c>
      <c r="D41" s="38" t="s">
        <v>24</v>
      </c>
      <c r="E41" s="38" t="str" cm="1">
        <f t="array" ref="E41">_xlfn.XLOOKUP(Table2[[#This Row],[Sales Rep]],Sheet1!$A$21:$A$25,Sheet1!$B$21:$B$25,Not Found)</f>
        <v>Hogan Rock</v>
      </c>
      <c r="F41" s="38" t="s">
        <v>15</v>
      </c>
      <c r="G41" s="38">
        <f>_xlfn.XLOOKUP(Table2[[#This Row],[Region]],Sheet1!$A$12:$A$15,Sheet1!$B$12:$B$15,0)</f>
        <v>7.4999999999999997E-2</v>
      </c>
      <c r="H41" s="40">
        <f>Table2[[#This Row],[Tax Rate]]*Table2[[#This Row],[Sales Amount]]</f>
        <v>99.84375</v>
      </c>
      <c r="I41" s="40">
        <v>1331.25</v>
      </c>
      <c r="J41" s="38">
        <v>33</v>
      </c>
      <c r="K41" s="38" t="s">
        <v>35</v>
      </c>
      <c r="L41" s="40">
        <v>1341.55</v>
      </c>
      <c r="M41" s="40">
        <v>1427.21</v>
      </c>
      <c r="N41" s="38" t="s">
        <v>17</v>
      </c>
      <c r="O41" s="41">
        <v>0.15</v>
      </c>
      <c r="P41" s="38" t="s">
        <v>31</v>
      </c>
      <c r="Q41" s="38" t="s">
        <v>19</v>
      </c>
      <c r="R41" s="38" t="str">
        <f>IF(Cleaned_Final!$I41&gt;=5000,"High","Low")</f>
        <v>Low</v>
      </c>
    </row>
    <row r="42" spans="1:18" x14ac:dyDescent="0.35">
      <c r="A42" s="34">
        <v>1062</v>
      </c>
      <c r="B42" s="34" t="str">
        <f>_xlfn.XLOOKUP(Table2[[#This Row],[Product ID]],Sheet1!$A$32:$A$200,Sheet1!$B$32:$B$200,"Not Found")</f>
        <v>Boxers</v>
      </c>
      <c r="C42" s="35">
        <v>45001</v>
      </c>
      <c r="D42" s="34" t="s">
        <v>24</v>
      </c>
      <c r="E42" s="34" t="str" cm="1">
        <f t="array" ref="E42">_xlfn.XLOOKUP(Table2[[#This Row],[Sales Rep]],Sheet1!$A$21:$A$25,Sheet1!$B$21:$B$25,Not Found)</f>
        <v>Hogan Rock</v>
      </c>
      <c r="F42" s="34" t="s">
        <v>21</v>
      </c>
      <c r="G42" s="34">
        <f>_xlfn.XLOOKUP(Table2[[#This Row],[Region]],Sheet1!$A$12:$A$15,Sheet1!$B$12:$B$15,0)</f>
        <v>0.08</v>
      </c>
      <c r="H42" s="36">
        <f>Table2[[#This Row],[Tax Rate]]*Table2[[#This Row],[Sales Amount]]</f>
        <v>335.60480000000001</v>
      </c>
      <c r="I42" s="36">
        <v>4195.0600000000004</v>
      </c>
      <c r="J42" s="34">
        <v>45</v>
      </c>
      <c r="K42" s="34" t="s">
        <v>16</v>
      </c>
      <c r="L42" s="36">
        <v>4849.6000000000004</v>
      </c>
      <c r="M42" s="36">
        <v>5166.72</v>
      </c>
      <c r="N42" s="34" t="s">
        <v>17</v>
      </c>
      <c r="O42" s="37">
        <v>0.25</v>
      </c>
      <c r="P42" s="34" t="s">
        <v>31</v>
      </c>
      <c r="Q42" s="34" t="s">
        <v>19</v>
      </c>
      <c r="R42" s="34" t="str">
        <f>IF(Cleaned_Final!$I42&gt;=5000,"High","Low")</f>
        <v>Low</v>
      </c>
    </row>
    <row r="43" spans="1:18" x14ac:dyDescent="0.35">
      <c r="A43" s="38">
        <v>1051</v>
      </c>
      <c r="B43" s="38" t="str">
        <f>_xlfn.XLOOKUP(Table2[[#This Row],[Product ID]],Sheet1!$A$32:$A$200,Sheet1!$B$32:$B$200,"Not Found")</f>
        <v>Tablet</v>
      </c>
      <c r="C43" s="39">
        <v>44930</v>
      </c>
      <c r="D43" s="38" t="s">
        <v>38</v>
      </c>
      <c r="E43" s="38" t="str" cm="1">
        <f t="array" ref="E43">_xlfn.XLOOKUP(Table2[[#This Row],[Sales Rep]],Sheet1!$A$21:$A$25,Sheet1!$B$21:$B$25,Not Found)</f>
        <v>Tracy Moore</v>
      </c>
      <c r="F43" s="38" t="s">
        <v>15</v>
      </c>
      <c r="G43" s="38">
        <f>_xlfn.XLOOKUP(Table2[[#This Row],[Region]],Sheet1!$A$12:$A$15,Sheet1!$B$12:$B$15,0)</f>
        <v>7.4999999999999997E-2</v>
      </c>
      <c r="H43" s="40">
        <f>Table2[[#This Row],[Tax Rate]]*Table2[[#This Row],[Sales Amount]]</f>
        <v>373.45199999999994</v>
      </c>
      <c r="I43" s="40">
        <v>4979.3599999999997</v>
      </c>
      <c r="J43" s="38">
        <v>14</v>
      </c>
      <c r="K43" s="38" t="s">
        <v>35</v>
      </c>
      <c r="L43" s="40">
        <v>3686.81</v>
      </c>
      <c r="M43" s="40">
        <v>3710.92</v>
      </c>
      <c r="N43" s="38" t="s">
        <v>30</v>
      </c>
      <c r="O43" s="41">
        <v>0.1</v>
      </c>
      <c r="P43" s="38" t="s">
        <v>27</v>
      </c>
      <c r="Q43" s="38" t="s">
        <v>22</v>
      </c>
      <c r="R43" s="38" t="str">
        <f>IF(Cleaned_Final!$I43&gt;=5000,"High","Low")</f>
        <v>Low</v>
      </c>
    </row>
    <row r="44" spans="1:18" x14ac:dyDescent="0.35">
      <c r="A44" s="34">
        <v>1055</v>
      </c>
      <c r="B44" s="34" t="str">
        <f>_xlfn.XLOOKUP(Table2[[#This Row],[Product ID]],Sheet1!$A$32:$A$200,Sheet1!$B$32:$B$200,"Not Found")</f>
        <v>Cupboard</v>
      </c>
      <c r="C44" s="35">
        <v>45261</v>
      </c>
      <c r="D44" s="34" t="s">
        <v>33</v>
      </c>
      <c r="E44" s="34" t="str" cm="1">
        <f t="array" ref="E44">_xlfn.XLOOKUP(Table2[[#This Row],[Sales Rep]],Sheet1!$A$21:$A$25,Sheet1!$B$21:$B$25,Not Found)</f>
        <v>Susan Jerkins</v>
      </c>
      <c r="F44" s="34" t="s">
        <v>21</v>
      </c>
      <c r="G44" s="34">
        <f>_xlfn.XLOOKUP(Table2[[#This Row],[Region]],Sheet1!$A$12:$A$15,Sheet1!$B$12:$B$15,0)</f>
        <v>0.08</v>
      </c>
      <c r="H44" s="36">
        <f>Table2[[#This Row],[Tax Rate]]*Table2[[#This Row],[Sales Amount]]</f>
        <v>328.19760000000002</v>
      </c>
      <c r="I44" s="36">
        <v>4102.47</v>
      </c>
      <c r="J44" s="34">
        <v>8</v>
      </c>
      <c r="K44" s="34" t="s">
        <v>16</v>
      </c>
      <c r="L44" s="36">
        <v>3513</v>
      </c>
      <c r="M44" s="36">
        <v>3838.42</v>
      </c>
      <c r="N44" s="34" t="s">
        <v>17</v>
      </c>
      <c r="O44" s="37">
        <v>0.13</v>
      </c>
      <c r="P44" s="34" t="s">
        <v>27</v>
      </c>
      <c r="Q44" s="34" t="s">
        <v>19</v>
      </c>
      <c r="R44" s="34" t="str">
        <f>IF(Cleaned_Final!$I44&gt;=5000,"High","Low")</f>
        <v>Low</v>
      </c>
    </row>
    <row r="45" spans="1:18" x14ac:dyDescent="0.35">
      <c r="A45" s="38">
        <v>1064</v>
      </c>
      <c r="B45" s="38" t="str">
        <f>_xlfn.XLOOKUP(Table2[[#This Row],[Product ID]],Sheet1!$A$32:$A$200,Sheet1!$B$32:$B$200,"Not Found")</f>
        <v>Smartphone</v>
      </c>
      <c r="C45" s="39">
        <v>45060</v>
      </c>
      <c r="D45" s="38" t="s">
        <v>14</v>
      </c>
      <c r="E45" s="38" t="str" cm="1">
        <f t="array" ref="E45">_xlfn.XLOOKUP(Table2[[#This Row],[Sales Rep]],Sheet1!$A$21:$A$25,Sheet1!$B$21:$B$25,Not Found)</f>
        <v>Michael Smith</v>
      </c>
      <c r="F45" s="38" t="s">
        <v>25</v>
      </c>
      <c r="G45" s="38">
        <f>_xlfn.XLOOKUP(Table2[[#This Row],[Region]],Sheet1!$A$12:$A$15,Sheet1!$B$12:$B$15,0)</f>
        <v>0.05</v>
      </c>
      <c r="H45" s="40">
        <f>Table2[[#This Row],[Tax Rate]]*Table2[[#This Row],[Sales Amount]]</f>
        <v>267.81400000000002</v>
      </c>
      <c r="I45" s="40">
        <v>5356.28</v>
      </c>
      <c r="J45" s="38">
        <v>8</v>
      </c>
      <c r="K45" s="38" t="s">
        <v>35</v>
      </c>
      <c r="L45" s="40">
        <v>4271.99</v>
      </c>
      <c r="M45" s="40">
        <v>4417.79</v>
      </c>
      <c r="N45" s="38" t="s">
        <v>17</v>
      </c>
      <c r="O45" s="41">
        <v>0.04</v>
      </c>
      <c r="P45" s="38" t="s">
        <v>18</v>
      </c>
      <c r="Q45" s="38" t="s">
        <v>19</v>
      </c>
      <c r="R45" s="38" t="str">
        <f>IF(Cleaned_Final!$I45&gt;=5000,"High","Low")</f>
        <v>High</v>
      </c>
    </row>
    <row r="46" spans="1:18" x14ac:dyDescent="0.35">
      <c r="A46" s="34">
        <v>1003</v>
      </c>
      <c r="B46" s="34" t="str">
        <f>_xlfn.XLOOKUP(Table2[[#This Row],[Product ID]],Sheet1!$A$32:$A$200,Sheet1!$B$32:$B$200,"Not Found")</f>
        <v>Stool</v>
      </c>
      <c r="C46" s="35">
        <v>45044</v>
      </c>
      <c r="D46" s="34" t="s">
        <v>33</v>
      </c>
      <c r="E46" s="34" t="str" cm="1">
        <f t="array" ref="E46">_xlfn.XLOOKUP(Table2[[#This Row],[Sales Rep]],Sheet1!$A$21:$A$25,Sheet1!$B$21:$B$25,Not Found)</f>
        <v>Susan Jerkins</v>
      </c>
      <c r="F46" s="34" t="s">
        <v>25</v>
      </c>
      <c r="G46" s="34">
        <f>_xlfn.XLOOKUP(Table2[[#This Row],[Region]],Sheet1!$A$12:$A$15,Sheet1!$B$12:$B$15,0)</f>
        <v>0.05</v>
      </c>
      <c r="H46" s="36">
        <f>Table2[[#This Row],[Tax Rate]]*Table2[[#This Row],[Sales Amount]]</f>
        <v>299.59000000000003</v>
      </c>
      <c r="I46" s="36">
        <v>5991.8</v>
      </c>
      <c r="J46" s="34">
        <v>27</v>
      </c>
      <c r="K46" s="34" t="s">
        <v>16</v>
      </c>
      <c r="L46" s="36">
        <v>623.32000000000005</v>
      </c>
      <c r="M46" s="36">
        <v>853.66</v>
      </c>
      <c r="N46" s="34" t="s">
        <v>17</v>
      </c>
      <c r="O46" s="37">
        <v>0.04</v>
      </c>
      <c r="P46" s="34" t="s">
        <v>18</v>
      </c>
      <c r="Q46" s="34" t="s">
        <v>19</v>
      </c>
      <c r="R46" s="34" t="str">
        <f>IF(Cleaned_Final!$I46&gt;=5000,"High","Low")</f>
        <v>High</v>
      </c>
    </row>
    <row r="47" spans="1:18" x14ac:dyDescent="0.35">
      <c r="A47" s="38">
        <v>1051</v>
      </c>
      <c r="B47" s="38" t="str">
        <f>_xlfn.XLOOKUP(Table2[[#This Row],[Product ID]],Sheet1!$A$32:$A$200,Sheet1!$B$32:$B$200,"Not Found")</f>
        <v>Tablet</v>
      </c>
      <c r="C47" s="39">
        <v>45020</v>
      </c>
      <c r="D47" s="38" t="s">
        <v>14</v>
      </c>
      <c r="E47" s="38" t="str" cm="1">
        <f t="array" ref="E47">_xlfn.XLOOKUP(Table2[[#This Row],[Sales Rep]],Sheet1!$A$21:$A$25,Sheet1!$B$21:$B$25,Not Found)</f>
        <v>Michael Smith</v>
      </c>
      <c r="F47" s="38" t="s">
        <v>34</v>
      </c>
      <c r="G47" s="38">
        <f>_xlfn.XLOOKUP(Table2[[#This Row],[Region]],Sheet1!$A$12:$A$15,Sheet1!$B$12:$B$15,0)</f>
        <v>0.06</v>
      </c>
      <c r="H47" s="40">
        <f>Table2[[#This Row],[Tax Rate]]*Table2[[#This Row],[Sales Amount]]</f>
        <v>11.895</v>
      </c>
      <c r="I47" s="40">
        <v>198.25</v>
      </c>
      <c r="J47" s="38">
        <v>12</v>
      </c>
      <c r="K47" s="38" t="s">
        <v>35</v>
      </c>
      <c r="L47" s="40">
        <v>3544.48</v>
      </c>
      <c r="M47" s="40">
        <v>3723.66</v>
      </c>
      <c r="N47" s="38" t="s">
        <v>17</v>
      </c>
      <c r="O47" s="41">
        <v>0.19</v>
      </c>
      <c r="P47" s="38" t="s">
        <v>18</v>
      </c>
      <c r="Q47" s="38" t="s">
        <v>19</v>
      </c>
      <c r="R47" s="38" t="str">
        <f>IF(Cleaned_Final!$I47&gt;=5000,"High","Low")</f>
        <v>Low</v>
      </c>
    </row>
    <row r="48" spans="1:18" x14ac:dyDescent="0.35">
      <c r="A48" s="34">
        <v>1007</v>
      </c>
      <c r="B48" s="34" t="str">
        <f>_xlfn.XLOOKUP(Table2[[#This Row],[Product ID]],Sheet1!$A$32:$A$200,Sheet1!$B$32:$B$200,"Not Found")</f>
        <v>Fruit Jam</v>
      </c>
      <c r="C48" s="35">
        <v>44988</v>
      </c>
      <c r="D48" s="34" t="s">
        <v>38</v>
      </c>
      <c r="E48" s="34" t="str" cm="1">
        <f t="array" ref="E48">_xlfn.XLOOKUP(Table2[[#This Row],[Sales Rep]],Sheet1!$A$21:$A$25,Sheet1!$B$21:$B$25,Not Found)</f>
        <v>Tracy Moore</v>
      </c>
      <c r="F48" s="34" t="s">
        <v>21</v>
      </c>
      <c r="G48" s="34">
        <f>_xlfn.XLOOKUP(Table2[[#This Row],[Region]],Sheet1!$A$12:$A$15,Sheet1!$B$12:$B$15,0)</f>
        <v>0.08</v>
      </c>
      <c r="H48" s="36">
        <f>Table2[[#This Row],[Tax Rate]]*Table2[[#This Row],[Sales Amount]]</f>
        <v>375.56319999999999</v>
      </c>
      <c r="I48" s="36">
        <v>4694.54</v>
      </c>
      <c r="J48" s="34">
        <v>1</v>
      </c>
      <c r="K48" s="34" t="s">
        <v>26</v>
      </c>
      <c r="L48" s="36">
        <v>2543.2600000000002</v>
      </c>
      <c r="M48" s="36">
        <v>2637.91</v>
      </c>
      <c r="N48" s="34" t="s">
        <v>17</v>
      </c>
      <c r="O48" s="37">
        <v>0.2</v>
      </c>
      <c r="P48" s="34" t="s">
        <v>31</v>
      </c>
      <c r="Q48" s="34" t="s">
        <v>19</v>
      </c>
      <c r="R48" s="34" t="str">
        <f>IF(Cleaned_Final!$I48&gt;=5000,"High","Low")</f>
        <v>Low</v>
      </c>
    </row>
    <row r="49" spans="1:18" x14ac:dyDescent="0.35">
      <c r="A49" s="38">
        <v>1021</v>
      </c>
      <c r="B49" s="38" t="str">
        <f>_xlfn.XLOOKUP(Table2[[#This Row],[Product ID]],Sheet1!$A$32:$A$200,Sheet1!$B$32:$B$200,"Not Found")</f>
        <v>Almond Milk</v>
      </c>
      <c r="C49" s="39">
        <v>45120</v>
      </c>
      <c r="D49" s="38" t="s">
        <v>14</v>
      </c>
      <c r="E49" s="38" t="str" cm="1">
        <f t="array" ref="E49">_xlfn.XLOOKUP(Table2[[#This Row],[Sales Rep]],Sheet1!$A$21:$A$25,Sheet1!$B$21:$B$25,Not Found)</f>
        <v>Michael Smith</v>
      </c>
      <c r="F49" s="38" t="s">
        <v>21</v>
      </c>
      <c r="G49" s="38">
        <f>_xlfn.XLOOKUP(Table2[[#This Row],[Region]],Sheet1!$A$12:$A$15,Sheet1!$B$12:$B$15,0)</f>
        <v>0.08</v>
      </c>
      <c r="H49" s="40">
        <f>Table2[[#This Row],[Tax Rate]]*Table2[[#This Row],[Sales Amount]]</f>
        <v>771.09119999999996</v>
      </c>
      <c r="I49" s="40">
        <v>9638.64</v>
      </c>
      <c r="J49" s="38">
        <v>43</v>
      </c>
      <c r="K49" s="38" t="s">
        <v>16</v>
      </c>
      <c r="L49" s="40">
        <v>4154.3</v>
      </c>
      <c r="M49" s="40">
        <v>4469.07</v>
      </c>
      <c r="N49" s="38" t="s">
        <v>17</v>
      </c>
      <c r="O49" s="41">
        <v>0.23</v>
      </c>
      <c r="P49" s="38" t="s">
        <v>18</v>
      </c>
      <c r="Q49" s="38" t="s">
        <v>22</v>
      </c>
      <c r="R49" s="38" t="str">
        <f>IF(Cleaned_Final!$I49&gt;=5000,"High","Low")</f>
        <v>High</v>
      </c>
    </row>
    <row r="50" spans="1:18" x14ac:dyDescent="0.35">
      <c r="A50" s="34">
        <v>1073</v>
      </c>
      <c r="B50" s="34" t="str">
        <f>_xlfn.XLOOKUP(Table2[[#This Row],[Product ID]],Sheet1!$A$32:$A$200,Sheet1!$B$32:$B$200,"Not Found")</f>
        <v>Console Table</v>
      </c>
      <c r="C50" s="35">
        <v>45261</v>
      </c>
      <c r="D50" s="34" t="s">
        <v>24</v>
      </c>
      <c r="E50" s="34" t="str" cm="1">
        <f t="array" ref="E50">_xlfn.XLOOKUP(Table2[[#This Row],[Sales Rep]],Sheet1!$A$21:$A$25,Sheet1!$B$21:$B$25,Not Found)</f>
        <v>Hogan Rock</v>
      </c>
      <c r="F50" s="34" t="s">
        <v>21</v>
      </c>
      <c r="G50" s="34">
        <f>_xlfn.XLOOKUP(Table2[[#This Row],[Region]],Sheet1!$A$12:$A$15,Sheet1!$B$12:$B$15,0)</f>
        <v>0.08</v>
      </c>
      <c r="H50" s="36">
        <f>Table2[[#This Row],[Tax Rate]]*Table2[[#This Row],[Sales Amount]]</f>
        <v>419.0736</v>
      </c>
      <c r="I50" s="36">
        <v>5238.42</v>
      </c>
      <c r="J50" s="34">
        <v>40</v>
      </c>
      <c r="K50" s="34" t="s">
        <v>16</v>
      </c>
      <c r="L50" s="36">
        <v>2565.3000000000002</v>
      </c>
      <c r="M50" s="36">
        <v>3007.47</v>
      </c>
      <c r="N50" s="34" t="s">
        <v>17</v>
      </c>
      <c r="O50" s="37">
        <v>0.17</v>
      </c>
      <c r="P50" s="34" t="s">
        <v>31</v>
      </c>
      <c r="Q50" s="34" t="s">
        <v>22</v>
      </c>
      <c r="R50" s="34" t="str">
        <f>IF(Cleaned_Final!$I50&gt;=5000,"High","Low")</f>
        <v>High</v>
      </c>
    </row>
    <row r="51" spans="1:18" x14ac:dyDescent="0.35">
      <c r="A51" s="38">
        <v>1039</v>
      </c>
      <c r="B51" s="38" t="str">
        <f>_xlfn.XLOOKUP(Table2[[#This Row],[Product ID]],Sheet1!$A$32:$A$200,Sheet1!$B$32:$B$200,"Not Found")</f>
        <v>Hoodie</v>
      </c>
      <c r="C51" s="39">
        <v>45129</v>
      </c>
      <c r="D51" s="38" t="s">
        <v>42</v>
      </c>
      <c r="E51" s="38" t="str" cm="1">
        <f t="array" ref="E51">_xlfn.XLOOKUP(Table2[[#This Row],[Sales Rep]],Sheet1!$A$21:$A$25,Sheet1!$B$21:$B$25,Not Found)</f>
        <v>Scott Wayne</v>
      </c>
      <c r="F51" s="38" t="s">
        <v>34</v>
      </c>
      <c r="G51" s="38">
        <f>_xlfn.XLOOKUP(Table2[[#This Row],[Region]],Sheet1!$A$12:$A$15,Sheet1!$B$12:$B$15,0)</f>
        <v>0.06</v>
      </c>
      <c r="H51" s="40">
        <f>Table2[[#This Row],[Tax Rate]]*Table2[[#This Row],[Sales Amount]]</f>
        <v>408.46019999999999</v>
      </c>
      <c r="I51" s="40">
        <v>6807.67</v>
      </c>
      <c r="J51" s="38">
        <v>42</v>
      </c>
      <c r="K51" s="38" t="s">
        <v>29</v>
      </c>
      <c r="L51" s="40">
        <v>3120.19</v>
      </c>
      <c r="M51" s="40">
        <v>3600.14</v>
      </c>
      <c r="N51" s="38" t="s">
        <v>17</v>
      </c>
      <c r="O51" s="41">
        <v>0.19</v>
      </c>
      <c r="P51" s="38" t="s">
        <v>31</v>
      </c>
      <c r="Q51" s="38" t="s">
        <v>22</v>
      </c>
      <c r="R51" s="38" t="str">
        <f>IF(Cleaned_Final!$I51&gt;=5000,"High","Low")</f>
        <v>High</v>
      </c>
    </row>
    <row r="52" spans="1:18" x14ac:dyDescent="0.35">
      <c r="A52" s="34">
        <v>1018</v>
      </c>
      <c r="B52" s="34" t="str">
        <f>_xlfn.XLOOKUP(Table2[[#This Row],[Product ID]],Sheet1!$A$32:$A$200,Sheet1!$B$32:$B$200,"Not Found")</f>
        <v>Dress Shirt</v>
      </c>
      <c r="C52" s="35">
        <v>44952</v>
      </c>
      <c r="D52" s="34" t="s">
        <v>42</v>
      </c>
      <c r="E52" s="34" t="str" cm="1">
        <f t="array" ref="E52">_xlfn.XLOOKUP(Table2[[#This Row],[Sales Rep]],Sheet1!$A$21:$A$25,Sheet1!$B$21:$B$25,Not Found)</f>
        <v>Scott Wayne</v>
      </c>
      <c r="F52" s="34" t="s">
        <v>34</v>
      </c>
      <c r="G52" s="34">
        <f>_xlfn.XLOOKUP(Table2[[#This Row],[Region]],Sheet1!$A$12:$A$15,Sheet1!$B$12:$B$15,0)</f>
        <v>0.06</v>
      </c>
      <c r="H52" s="36">
        <f>Table2[[#This Row],[Tax Rate]]*Table2[[#This Row],[Sales Amount]]</f>
        <v>191.24699999999999</v>
      </c>
      <c r="I52" s="36">
        <v>3187.45</v>
      </c>
      <c r="J52" s="34">
        <v>11</v>
      </c>
      <c r="K52" s="34" t="s">
        <v>29</v>
      </c>
      <c r="L52" s="36">
        <v>2414.8200000000002</v>
      </c>
      <c r="M52" s="36">
        <v>2519.0700000000002</v>
      </c>
      <c r="N52" s="34" t="s">
        <v>17</v>
      </c>
      <c r="O52" s="37">
        <v>0</v>
      </c>
      <c r="P52" s="34" t="s">
        <v>18</v>
      </c>
      <c r="Q52" s="34" t="s">
        <v>19</v>
      </c>
      <c r="R52" s="34" t="str">
        <f>IF(Cleaned_Final!$I52&gt;=5000,"High","Low")</f>
        <v>Low</v>
      </c>
    </row>
    <row r="53" spans="1:18" x14ac:dyDescent="0.35">
      <c r="A53" s="38">
        <v>1004</v>
      </c>
      <c r="B53" s="38" t="str">
        <f>_xlfn.XLOOKUP(Table2[[#This Row],[Product ID]],Sheet1!$A$32:$A$200,Sheet1!$B$32:$B$200,"Not Found")</f>
        <v>Smartwatch</v>
      </c>
      <c r="C53" s="39">
        <v>45099</v>
      </c>
      <c r="D53" s="38" t="s">
        <v>38</v>
      </c>
      <c r="E53" s="38" t="str" cm="1">
        <f t="array" ref="E53">_xlfn.XLOOKUP(Table2[[#This Row],[Sales Rep]],Sheet1!$A$21:$A$25,Sheet1!$B$21:$B$25,Not Found)</f>
        <v>Tracy Moore</v>
      </c>
      <c r="F53" s="38" t="s">
        <v>25</v>
      </c>
      <c r="G53" s="38">
        <f>_xlfn.XLOOKUP(Table2[[#This Row],[Region]],Sheet1!$A$12:$A$15,Sheet1!$B$12:$B$15,0)</f>
        <v>0.05</v>
      </c>
      <c r="H53" s="40">
        <f>Table2[[#This Row],[Tax Rate]]*Table2[[#This Row],[Sales Amount]]</f>
        <v>388.12550000000005</v>
      </c>
      <c r="I53" s="40">
        <v>7762.51</v>
      </c>
      <c r="J53" s="38">
        <v>39</v>
      </c>
      <c r="K53" s="38" t="s">
        <v>35</v>
      </c>
      <c r="L53" s="40">
        <v>2416.89</v>
      </c>
      <c r="M53" s="40">
        <v>2778.3999999999901</v>
      </c>
      <c r="N53" s="38" t="s">
        <v>17</v>
      </c>
      <c r="O53" s="41">
        <v>0.05</v>
      </c>
      <c r="P53" s="38" t="s">
        <v>18</v>
      </c>
      <c r="Q53" s="38" t="s">
        <v>19</v>
      </c>
      <c r="R53" s="38" t="str">
        <f>IF(Cleaned_Final!$I53&gt;=5000,"High","Low")</f>
        <v>High</v>
      </c>
    </row>
    <row r="54" spans="1:18" x14ac:dyDescent="0.35">
      <c r="A54" s="34">
        <v>1089</v>
      </c>
      <c r="B54" s="34" t="str">
        <f>_xlfn.XLOOKUP(Table2[[#This Row],[Product ID]],Sheet1!$A$32:$A$200,Sheet1!$B$32:$B$200,"Not Found")</f>
        <v>Recliner</v>
      </c>
      <c r="C54" s="35">
        <v>45226</v>
      </c>
      <c r="D54" s="34" t="s">
        <v>24</v>
      </c>
      <c r="E54" s="34" t="str" cm="1">
        <f t="array" ref="E54">_xlfn.XLOOKUP(Table2[[#This Row],[Sales Rep]],Sheet1!$A$21:$A$25,Sheet1!$B$21:$B$25,Not Found)</f>
        <v>Hogan Rock</v>
      </c>
      <c r="F54" s="34" t="s">
        <v>15</v>
      </c>
      <c r="G54" s="34">
        <f>_xlfn.XLOOKUP(Table2[[#This Row],[Region]],Sheet1!$A$12:$A$15,Sheet1!$B$12:$B$15,0)</f>
        <v>7.4999999999999997E-2</v>
      </c>
      <c r="H54" s="36">
        <f>Table2[[#This Row],[Tax Rate]]*Table2[[#This Row],[Sales Amount]]</f>
        <v>581.39400000000001</v>
      </c>
      <c r="I54" s="36">
        <v>7751.92</v>
      </c>
      <c r="J54" s="34">
        <v>43</v>
      </c>
      <c r="K54" s="34" t="s">
        <v>16</v>
      </c>
      <c r="L54" s="36">
        <v>3851.45</v>
      </c>
      <c r="M54" s="36">
        <v>4186.9799999999996</v>
      </c>
      <c r="N54" s="34" t="s">
        <v>17</v>
      </c>
      <c r="O54" s="37">
        <v>0.3</v>
      </c>
      <c r="P54" s="34" t="s">
        <v>31</v>
      </c>
      <c r="Q54" s="34" t="s">
        <v>19</v>
      </c>
      <c r="R54" s="34" t="str">
        <f>IF(Cleaned_Final!$I54&gt;=5000,"High","Low")</f>
        <v>High</v>
      </c>
    </row>
    <row r="55" spans="1:18" x14ac:dyDescent="0.35">
      <c r="A55" s="38">
        <v>1060</v>
      </c>
      <c r="B55" s="38" t="str">
        <f>_xlfn.XLOOKUP(Table2[[#This Row],[Product ID]],Sheet1!$A$32:$A$200,Sheet1!$B$32:$B$200,"Not Found")</f>
        <v>Head Warmer</v>
      </c>
      <c r="C55" s="39">
        <v>45059</v>
      </c>
      <c r="D55" s="38" t="s">
        <v>33</v>
      </c>
      <c r="E55" s="38" t="str" cm="1">
        <f t="array" ref="E55">_xlfn.XLOOKUP(Table2[[#This Row],[Sales Rep]],Sheet1!$A$21:$A$25,Sheet1!$B$21:$B$25,Not Found)</f>
        <v>Susan Jerkins</v>
      </c>
      <c r="F55" s="38" t="s">
        <v>21</v>
      </c>
      <c r="G55" s="38">
        <f>_xlfn.XLOOKUP(Table2[[#This Row],[Region]],Sheet1!$A$12:$A$15,Sheet1!$B$12:$B$15,0)</f>
        <v>0.08</v>
      </c>
      <c r="H55" s="40">
        <f>Table2[[#This Row],[Tax Rate]]*Table2[[#This Row],[Sales Amount]]</f>
        <v>420.8664</v>
      </c>
      <c r="I55" s="40">
        <v>5260.83</v>
      </c>
      <c r="J55" s="38">
        <v>31</v>
      </c>
      <c r="K55" s="38" t="s">
        <v>35</v>
      </c>
      <c r="L55" s="40">
        <v>3161.4</v>
      </c>
      <c r="M55" s="40">
        <v>3339.66</v>
      </c>
      <c r="N55" s="38" t="s">
        <v>17</v>
      </c>
      <c r="O55" s="41">
        <v>0.02</v>
      </c>
      <c r="P55" s="38" t="s">
        <v>27</v>
      </c>
      <c r="Q55" s="38" t="s">
        <v>19</v>
      </c>
      <c r="R55" s="38" t="str">
        <f>IF(Cleaned_Final!$I55&gt;=5000,"High","Low")</f>
        <v>High</v>
      </c>
    </row>
    <row r="56" spans="1:18" x14ac:dyDescent="0.35">
      <c r="A56" s="34">
        <v>1014</v>
      </c>
      <c r="B56" s="34" t="str">
        <f>_xlfn.XLOOKUP(Table2[[#This Row],[Product ID]],Sheet1!$A$32:$A$200,Sheet1!$B$32:$B$200,"Not Found")</f>
        <v>Cheese Block</v>
      </c>
      <c r="C56" s="35">
        <v>45252</v>
      </c>
      <c r="D56" s="34" t="s">
        <v>24</v>
      </c>
      <c r="E56" s="34" t="str" cm="1">
        <f t="array" ref="E56">_xlfn.XLOOKUP(Table2[[#This Row],[Sales Rep]],Sheet1!$A$21:$A$25,Sheet1!$B$21:$B$25,Not Found)</f>
        <v>Hogan Rock</v>
      </c>
      <c r="F56" s="34" t="s">
        <v>21</v>
      </c>
      <c r="G56" s="34">
        <f>_xlfn.XLOOKUP(Table2[[#This Row],[Region]],Sheet1!$A$12:$A$15,Sheet1!$B$12:$B$15,0)</f>
        <v>0.08</v>
      </c>
      <c r="H56" s="36">
        <f>Table2[[#This Row],[Tax Rate]]*Table2[[#This Row],[Sales Amount]]</f>
        <v>781.00320000000011</v>
      </c>
      <c r="I56" s="36">
        <v>9762.5400000000009</v>
      </c>
      <c r="J56" s="34">
        <v>17</v>
      </c>
      <c r="K56" s="34" t="s">
        <v>26</v>
      </c>
      <c r="L56" s="36">
        <v>3184.65</v>
      </c>
      <c r="M56" s="36">
        <v>3204.01</v>
      </c>
      <c r="N56" s="34" t="s">
        <v>30</v>
      </c>
      <c r="O56" s="37">
        <v>0.2</v>
      </c>
      <c r="P56" s="34" t="s">
        <v>27</v>
      </c>
      <c r="Q56" s="34" t="s">
        <v>19</v>
      </c>
      <c r="R56" s="34" t="str">
        <f>IF(Cleaned_Final!$I56&gt;=5000,"High","Low")</f>
        <v>High</v>
      </c>
    </row>
    <row r="57" spans="1:18" x14ac:dyDescent="0.35">
      <c r="A57" s="38">
        <v>1009</v>
      </c>
      <c r="B57" s="38" t="str">
        <f>_xlfn.XLOOKUP(Table2[[#This Row],[Product ID]],Sheet1!$A$32:$A$200,Sheet1!$B$32:$B$200,"Not Found")</f>
        <v>Jacket</v>
      </c>
      <c r="C57" s="39">
        <v>45044</v>
      </c>
      <c r="D57" s="38" t="s">
        <v>42</v>
      </c>
      <c r="E57" s="38" t="str" cm="1">
        <f t="array" ref="E57">_xlfn.XLOOKUP(Table2[[#This Row],[Sales Rep]],Sheet1!$A$21:$A$25,Sheet1!$B$21:$B$25,Not Found)</f>
        <v>Scott Wayne</v>
      </c>
      <c r="F57" s="38" t="s">
        <v>15</v>
      </c>
      <c r="G57" s="38">
        <f>_xlfn.XLOOKUP(Table2[[#This Row],[Region]],Sheet1!$A$12:$A$15,Sheet1!$B$12:$B$15,0)</f>
        <v>7.4999999999999997E-2</v>
      </c>
      <c r="H57" s="40">
        <f>Table2[[#This Row],[Tax Rate]]*Table2[[#This Row],[Sales Amount]]</f>
        <v>100.72125</v>
      </c>
      <c r="I57" s="40">
        <v>1342.95</v>
      </c>
      <c r="J57" s="38">
        <v>33</v>
      </c>
      <c r="K57" s="38" t="s">
        <v>29</v>
      </c>
      <c r="L57" s="40">
        <v>2278.9</v>
      </c>
      <c r="M57" s="40">
        <v>2626.9</v>
      </c>
      <c r="N57" s="38" t="s">
        <v>30</v>
      </c>
      <c r="O57" s="41">
        <v>0.05</v>
      </c>
      <c r="P57" s="38" t="s">
        <v>31</v>
      </c>
      <c r="Q57" s="38" t="s">
        <v>19</v>
      </c>
      <c r="R57" s="38" t="str">
        <f>IF(Cleaned_Final!$I57&gt;=5000,"High","Low")</f>
        <v>Low</v>
      </c>
    </row>
    <row r="58" spans="1:18" x14ac:dyDescent="0.35">
      <c r="A58" s="34">
        <v>1090</v>
      </c>
      <c r="B58" s="34" t="str">
        <f>_xlfn.XLOOKUP(Table2[[#This Row],[Product ID]],Sheet1!$A$32:$A$200,Sheet1!$B$32:$B$200,"Not Found")</f>
        <v>Keyboard</v>
      </c>
      <c r="C58" s="35">
        <v>45250</v>
      </c>
      <c r="D58" s="34" t="s">
        <v>42</v>
      </c>
      <c r="E58" s="34" t="str" cm="1">
        <f t="array" ref="E58">_xlfn.XLOOKUP(Table2[[#This Row],[Sales Rep]],Sheet1!$A$21:$A$25,Sheet1!$B$21:$B$25,Not Found)</f>
        <v>Scott Wayne</v>
      </c>
      <c r="F58" s="34" t="s">
        <v>21</v>
      </c>
      <c r="G58" s="34">
        <f>_xlfn.XLOOKUP(Table2[[#This Row],[Region]],Sheet1!$A$12:$A$15,Sheet1!$B$12:$B$15,0)</f>
        <v>0.08</v>
      </c>
      <c r="H58" s="36">
        <f>Table2[[#This Row],[Tax Rate]]*Table2[[#This Row],[Sales Amount]]</f>
        <v>21.4224</v>
      </c>
      <c r="I58" s="36">
        <v>267.77999999999997</v>
      </c>
      <c r="J58" s="34">
        <v>32</v>
      </c>
      <c r="K58" s="34" t="s">
        <v>35</v>
      </c>
      <c r="L58" s="36">
        <v>2678.99</v>
      </c>
      <c r="M58" s="36">
        <v>3152.2799999999902</v>
      </c>
      <c r="N58" s="34" t="s">
        <v>17</v>
      </c>
      <c r="O58" s="37">
        <v>0.22</v>
      </c>
      <c r="P58" s="34" t="s">
        <v>18</v>
      </c>
      <c r="Q58" s="34" t="s">
        <v>22</v>
      </c>
      <c r="R58" s="34" t="str">
        <f>IF(Cleaned_Final!$I58&gt;=5000,"High","Low")</f>
        <v>Low</v>
      </c>
    </row>
    <row r="59" spans="1:18" x14ac:dyDescent="0.35">
      <c r="A59" s="38">
        <v>1053</v>
      </c>
      <c r="B59" s="38" t="str">
        <f>_xlfn.XLOOKUP(Table2[[#This Row],[Product ID]],Sheet1!$A$32:$A$200,Sheet1!$B$32:$B$200,"Not Found")</f>
        <v>Bed</v>
      </c>
      <c r="C59" s="39">
        <v>45201</v>
      </c>
      <c r="D59" s="38" t="s">
        <v>24</v>
      </c>
      <c r="E59" s="38" t="str" cm="1">
        <f t="array" ref="E59">_xlfn.XLOOKUP(Table2[[#This Row],[Sales Rep]],Sheet1!$A$21:$A$25,Sheet1!$B$21:$B$25,Not Found)</f>
        <v>Hogan Rock</v>
      </c>
      <c r="F59" s="38" t="s">
        <v>34</v>
      </c>
      <c r="G59" s="38">
        <f>_xlfn.XLOOKUP(Table2[[#This Row],[Region]],Sheet1!$A$12:$A$15,Sheet1!$B$12:$B$15,0)</f>
        <v>0.06</v>
      </c>
      <c r="H59" s="40">
        <f>Table2[[#This Row],[Tax Rate]]*Table2[[#This Row],[Sales Amount]]</f>
        <v>463.47419999999994</v>
      </c>
      <c r="I59" s="40">
        <v>7724.57</v>
      </c>
      <c r="J59" s="38">
        <v>29</v>
      </c>
      <c r="K59" s="38" t="s">
        <v>35</v>
      </c>
      <c r="L59" s="40">
        <v>3741.3</v>
      </c>
      <c r="M59" s="40">
        <v>4061.04</v>
      </c>
      <c r="N59" s="38" t="s">
        <v>17</v>
      </c>
      <c r="O59" s="41">
        <v>0.21</v>
      </c>
      <c r="P59" s="38" t="s">
        <v>31</v>
      </c>
      <c r="Q59" s="38" t="s">
        <v>19</v>
      </c>
      <c r="R59" s="38" t="str">
        <f>IF(Cleaned_Final!$I59&gt;=5000,"High","Low")</f>
        <v>High</v>
      </c>
    </row>
    <row r="60" spans="1:18" x14ac:dyDescent="0.35">
      <c r="A60" s="34">
        <v>1002</v>
      </c>
      <c r="B60" s="34" t="str">
        <f>_xlfn.XLOOKUP(Table2[[#This Row],[Product ID]],Sheet1!$A$32:$A$200,Sheet1!$B$32:$B$200,"Not Found")</f>
        <v>Bench</v>
      </c>
      <c r="C60" s="35">
        <v>45138</v>
      </c>
      <c r="D60" s="34" t="s">
        <v>24</v>
      </c>
      <c r="E60" s="34" t="str" cm="1">
        <f t="array" ref="E60">_xlfn.XLOOKUP(Table2[[#This Row],[Sales Rep]],Sheet1!$A$21:$A$25,Sheet1!$B$21:$B$25,Not Found)</f>
        <v>Hogan Rock</v>
      </c>
      <c r="F60" s="34" t="s">
        <v>34</v>
      </c>
      <c r="G60" s="34">
        <f>_xlfn.XLOOKUP(Table2[[#This Row],[Region]],Sheet1!$A$12:$A$15,Sheet1!$B$12:$B$15,0)</f>
        <v>0.06</v>
      </c>
      <c r="H60" s="36">
        <f>Table2[[#This Row],[Tax Rate]]*Table2[[#This Row],[Sales Amount]]</f>
        <v>485.4504</v>
      </c>
      <c r="I60" s="36">
        <v>8090.84</v>
      </c>
      <c r="J60" s="34">
        <v>21</v>
      </c>
      <c r="K60" s="34" t="s">
        <v>29</v>
      </c>
      <c r="L60" s="36">
        <v>4138.41</v>
      </c>
      <c r="M60" s="36">
        <v>4361.7</v>
      </c>
      <c r="N60" s="34" t="s">
        <v>17</v>
      </c>
      <c r="O60" s="37">
        <v>7.0000000000000007E-2</v>
      </c>
      <c r="P60" s="34" t="s">
        <v>31</v>
      </c>
      <c r="Q60" s="34" t="s">
        <v>22</v>
      </c>
      <c r="R60" s="34" t="str">
        <f>IF(Cleaned_Final!$I60&gt;=5000,"High","Low")</f>
        <v>High</v>
      </c>
    </row>
    <row r="61" spans="1:18" x14ac:dyDescent="0.35">
      <c r="A61" s="38">
        <v>1084</v>
      </c>
      <c r="B61" s="38" t="str">
        <f>_xlfn.XLOOKUP(Table2[[#This Row],[Product ID]],Sheet1!$A$32:$A$200,Sheet1!$B$32:$B$200,"Not Found")</f>
        <v>Card Table</v>
      </c>
      <c r="C61" s="39">
        <v>45151</v>
      </c>
      <c r="D61" s="38" t="s">
        <v>42</v>
      </c>
      <c r="E61" s="38" t="str" cm="1">
        <f t="array" ref="E61">_xlfn.XLOOKUP(Table2[[#This Row],[Sales Rep]],Sheet1!$A$21:$A$25,Sheet1!$B$21:$B$25,Not Found)</f>
        <v>Scott Wayne</v>
      </c>
      <c r="F61" s="38" t="s">
        <v>21</v>
      </c>
      <c r="G61" s="38">
        <f>_xlfn.XLOOKUP(Table2[[#This Row],[Region]],Sheet1!$A$12:$A$15,Sheet1!$B$12:$B$15,0)</f>
        <v>0.08</v>
      </c>
      <c r="H61" s="40">
        <f>Table2[[#This Row],[Tax Rate]]*Table2[[#This Row],[Sales Amount]]</f>
        <v>103.20399999999999</v>
      </c>
      <c r="I61" s="40">
        <v>1290.05</v>
      </c>
      <c r="J61" s="38">
        <v>21</v>
      </c>
      <c r="K61" s="38" t="s">
        <v>16</v>
      </c>
      <c r="L61" s="40">
        <v>3497.98</v>
      </c>
      <c r="M61" s="40">
        <v>3765.31</v>
      </c>
      <c r="N61" s="38" t="s">
        <v>30</v>
      </c>
      <c r="O61" s="41">
        <v>0.08</v>
      </c>
      <c r="P61" s="38" t="s">
        <v>18</v>
      </c>
      <c r="Q61" s="38" t="s">
        <v>19</v>
      </c>
      <c r="R61" s="38" t="str">
        <f>IF(Cleaned_Final!$I61&gt;=5000,"High","Low")</f>
        <v>Low</v>
      </c>
    </row>
    <row r="62" spans="1:18" x14ac:dyDescent="0.35">
      <c r="A62" s="34">
        <v>1092</v>
      </c>
      <c r="B62" s="34" t="str">
        <f>_xlfn.XLOOKUP(Table2[[#This Row],[Product ID]],Sheet1!$A$32:$A$200,Sheet1!$B$32:$B$200,"Not Found")</f>
        <v>Recliner</v>
      </c>
      <c r="C62" s="35">
        <v>44946</v>
      </c>
      <c r="D62" s="34" t="s">
        <v>33</v>
      </c>
      <c r="E62" s="34" t="str" cm="1">
        <f t="array" ref="E62">_xlfn.XLOOKUP(Table2[[#This Row],[Sales Rep]],Sheet1!$A$21:$A$25,Sheet1!$B$21:$B$25,Not Found)</f>
        <v>Susan Jerkins</v>
      </c>
      <c r="F62" s="34" t="s">
        <v>34</v>
      </c>
      <c r="G62" s="34">
        <f>_xlfn.XLOOKUP(Table2[[#This Row],[Region]],Sheet1!$A$12:$A$15,Sheet1!$B$12:$B$15,0)</f>
        <v>0.06</v>
      </c>
      <c r="H62" s="36">
        <f>Table2[[#This Row],[Tax Rate]]*Table2[[#This Row],[Sales Amount]]</f>
        <v>163.75620000000001</v>
      </c>
      <c r="I62" s="36">
        <v>2729.27</v>
      </c>
      <c r="J62" s="34">
        <v>40</v>
      </c>
      <c r="K62" s="34" t="s">
        <v>35</v>
      </c>
      <c r="L62" s="36">
        <v>4624.16</v>
      </c>
      <c r="M62" s="36">
        <v>4731.9799999999996</v>
      </c>
      <c r="N62" s="34" t="s">
        <v>30</v>
      </c>
      <c r="O62" s="37">
        <v>0.2</v>
      </c>
      <c r="P62" s="34" t="s">
        <v>27</v>
      </c>
      <c r="Q62" s="34" t="s">
        <v>22</v>
      </c>
      <c r="R62" s="34" t="str">
        <f>IF(Cleaned_Final!$I62&gt;=5000,"High","Low")</f>
        <v>Low</v>
      </c>
    </row>
    <row r="63" spans="1:18" x14ac:dyDescent="0.35">
      <c r="A63" s="38">
        <v>1060</v>
      </c>
      <c r="B63" s="38" t="str">
        <f>_xlfn.XLOOKUP(Table2[[#This Row],[Product ID]],Sheet1!$A$32:$A$200,Sheet1!$B$32:$B$200,"Not Found")</f>
        <v>Head Warmer</v>
      </c>
      <c r="C63" s="39">
        <v>45039</v>
      </c>
      <c r="D63" s="38" t="s">
        <v>38</v>
      </c>
      <c r="E63" s="38" t="str" cm="1">
        <f t="array" ref="E63">_xlfn.XLOOKUP(Table2[[#This Row],[Sales Rep]],Sheet1!$A$21:$A$25,Sheet1!$B$21:$B$25,Not Found)</f>
        <v>Tracy Moore</v>
      </c>
      <c r="F63" s="38" t="s">
        <v>34</v>
      </c>
      <c r="G63" s="38">
        <f>_xlfn.XLOOKUP(Table2[[#This Row],[Region]],Sheet1!$A$12:$A$15,Sheet1!$B$12:$B$15,0)</f>
        <v>0.06</v>
      </c>
      <c r="H63" s="40">
        <f>Table2[[#This Row],[Tax Rate]]*Table2[[#This Row],[Sales Amount]]</f>
        <v>16.426199999999998</v>
      </c>
      <c r="I63" s="40">
        <v>273.77</v>
      </c>
      <c r="J63" s="38">
        <v>23</v>
      </c>
      <c r="K63" s="38" t="s">
        <v>29</v>
      </c>
      <c r="L63" s="40">
        <v>4110.6000000000004</v>
      </c>
      <c r="M63" s="40">
        <v>4488.37</v>
      </c>
      <c r="N63" s="38" t="s">
        <v>30</v>
      </c>
      <c r="O63" s="41">
        <v>0.12</v>
      </c>
      <c r="P63" s="38" t="s">
        <v>31</v>
      </c>
      <c r="Q63" s="38" t="s">
        <v>19</v>
      </c>
      <c r="R63" s="38" t="str">
        <f>IF(Cleaned_Final!$I63&gt;=5000,"High","Low")</f>
        <v>Low</v>
      </c>
    </row>
    <row r="64" spans="1:18" x14ac:dyDescent="0.35">
      <c r="A64" s="34">
        <v>1071</v>
      </c>
      <c r="B64" s="34" t="str">
        <f>_xlfn.XLOOKUP(Table2[[#This Row],[Product ID]],Sheet1!$A$32:$A$200,Sheet1!$B$32:$B$200,"Not Found")</f>
        <v>Game Table</v>
      </c>
      <c r="C64" s="35">
        <v>45066</v>
      </c>
      <c r="D64" s="34" t="s">
        <v>38</v>
      </c>
      <c r="E64" s="34" t="str" cm="1">
        <f t="array" ref="E64">_xlfn.XLOOKUP(Table2[[#This Row],[Sales Rep]],Sheet1!$A$21:$A$25,Sheet1!$B$21:$B$25,Not Found)</f>
        <v>Tracy Moore</v>
      </c>
      <c r="F64" s="34" t="s">
        <v>21</v>
      </c>
      <c r="G64" s="34">
        <f>_xlfn.XLOOKUP(Table2[[#This Row],[Region]],Sheet1!$A$12:$A$15,Sheet1!$B$12:$B$15,0)</f>
        <v>0.08</v>
      </c>
      <c r="H64" s="36">
        <f>Table2[[#This Row],[Tax Rate]]*Table2[[#This Row],[Sales Amount]]</f>
        <v>240.30080000000001</v>
      </c>
      <c r="I64" s="36">
        <v>3003.76</v>
      </c>
      <c r="J64" s="34">
        <v>6</v>
      </c>
      <c r="K64" s="34" t="s">
        <v>16</v>
      </c>
      <c r="L64" s="36">
        <v>2831.23</v>
      </c>
      <c r="M64" s="36">
        <v>3206.98</v>
      </c>
      <c r="N64" s="34" t="s">
        <v>17</v>
      </c>
      <c r="O64" s="37">
        <v>0.06</v>
      </c>
      <c r="P64" s="34" t="s">
        <v>27</v>
      </c>
      <c r="Q64" s="34" t="s">
        <v>22</v>
      </c>
      <c r="R64" s="34" t="str">
        <f>IF(Cleaned_Final!$I64&gt;=5000,"High","Low")</f>
        <v>Low</v>
      </c>
    </row>
    <row r="65" spans="1:18" x14ac:dyDescent="0.35">
      <c r="A65" s="38">
        <v>1044</v>
      </c>
      <c r="B65" s="38" t="str">
        <f>_xlfn.XLOOKUP(Table2[[#This Row],[Product ID]],Sheet1!$A$32:$A$200,Sheet1!$B$32:$B$200,"Not Found")</f>
        <v>Burger</v>
      </c>
      <c r="C65" s="39">
        <v>44973</v>
      </c>
      <c r="D65" s="38" t="s">
        <v>24</v>
      </c>
      <c r="E65" s="38" t="str" cm="1">
        <f t="array" ref="E65">_xlfn.XLOOKUP(Table2[[#This Row],[Sales Rep]],Sheet1!$A$21:$A$25,Sheet1!$B$21:$B$25,Not Found)</f>
        <v>Hogan Rock</v>
      </c>
      <c r="F65" s="38" t="s">
        <v>25</v>
      </c>
      <c r="G65" s="38">
        <f>_xlfn.XLOOKUP(Table2[[#This Row],[Region]],Sheet1!$A$12:$A$15,Sheet1!$B$12:$B$15,0)</f>
        <v>0.05</v>
      </c>
      <c r="H65" s="40">
        <f>Table2[[#This Row],[Tax Rate]]*Table2[[#This Row],[Sales Amount]]</f>
        <v>387.70500000000004</v>
      </c>
      <c r="I65" s="40">
        <v>7754.1</v>
      </c>
      <c r="J65" s="38">
        <v>22</v>
      </c>
      <c r="K65" s="38" t="s">
        <v>26</v>
      </c>
      <c r="L65" s="40">
        <v>3373.46</v>
      </c>
      <c r="M65" s="40">
        <v>3454.76</v>
      </c>
      <c r="N65" s="38" t="s">
        <v>17</v>
      </c>
      <c r="O65" s="41">
        <v>0.22</v>
      </c>
      <c r="P65" s="38" t="s">
        <v>27</v>
      </c>
      <c r="Q65" s="38" t="s">
        <v>22</v>
      </c>
      <c r="R65" s="38" t="str">
        <f>IF(Cleaned_Final!$I65&gt;=5000,"High","Low")</f>
        <v>High</v>
      </c>
    </row>
    <row r="66" spans="1:18" x14ac:dyDescent="0.35">
      <c r="A66" s="34">
        <v>1008</v>
      </c>
      <c r="B66" s="34" t="str">
        <f>_xlfn.XLOOKUP(Table2[[#This Row],[Product ID]],Sheet1!$A$32:$A$200,Sheet1!$B$32:$B$200,"Not Found")</f>
        <v>Skirt</v>
      </c>
      <c r="C66" s="35">
        <v>44927</v>
      </c>
      <c r="D66" s="34" t="s">
        <v>38</v>
      </c>
      <c r="E66" s="34" t="str" cm="1">
        <f t="array" ref="E66">_xlfn.XLOOKUP(Table2[[#This Row],[Sales Rep]],Sheet1!$A$21:$A$25,Sheet1!$B$21:$B$25,Not Found)</f>
        <v>Tracy Moore</v>
      </c>
      <c r="F66" s="34" t="s">
        <v>15</v>
      </c>
      <c r="G66" s="34">
        <f>_xlfn.XLOOKUP(Table2[[#This Row],[Region]],Sheet1!$A$12:$A$15,Sheet1!$B$12:$B$15,0)</f>
        <v>7.4999999999999997E-2</v>
      </c>
      <c r="H66" s="36">
        <f>Table2[[#This Row],[Tax Rate]]*Table2[[#This Row],[Sales Amount]]</f>
        <v>392.08575000000002</v>
      </c>
      <c r="I66" s="36">
        <v>5227.8100000000004</v>
      </c>
      <c r="J66" s="34">
        <v>38</v>
      </c>
      <c r="K66" s="34" t="s">
        <v>29</v>
      </c>
      <c r="L66" s="36">
        <v>4635.2299999999996</v>
      </c>
      <c r="M66" s="36">
        <v>5075.4399999999996</v>
      </c>
      <c r="N66" s="34" t="s">
        <v>17</v>
      </c>
      <c r="O66" s="37">
        <v>0.05</v>
      </c>
      <c r="P66" s="34" t="s">
        <v>18</v>
      </c>
      <c r="Q66" s="34" t="s">
        <v>19</v>
      </c>
      <c r="R66" s="34" t="str">
        <f>IF(Cleaned_Final!$I66&gt;=5000,"High","Low")</f>
        <v>High</v>
      </c>
    </row>
    <row r="67" spans="1:18" x14ac:dyDescent="0.35">
      <c r="A67" s="38">
        <v>1047</v>
      </c>
      <c r="B67" s="38" t="str">
        <f>_xlfn.XLOOKUP(Table2[[#This Row],[Product ID]],Sheet1!$A$32:$A$200,Sheet1!$B$32:$B$200,"Not Found")</f>
        <v>Mouse</v>
      </c>
      <c r="C67" s="39">
        <v>45016</v>
      </c>
      <c r="D67" s="38" t="s">
        <v>42</v>
      </c>
      <c r="E67" s="38" t="str" cm="1">
        <f t="array" ref="E67">_xlfn.XLOOKUP(Table2[[#This Row],[Sales Rep]],Sheet1!$A$21:$A$25,Sheet1!$B$21:$B$25,Not Found)</f>
        <v>Scott Wayne</v>
      </c>
      <c r="F67" s="38" t="s">
        <v>34</v>
      </c>
      <c r="G67" s="38">
        <f>_xlfn.XLOOKUP(Table2[[#This Row],[Region]],Sheet1!$A$12:$A$15,Sheet1!$B$12:$B$15,0)</f>
        <v>0.06</v>
      </c>
      <c r="H67" s="40">
        <f>Table2[[#This Row],[Tax Rate]]*Table2[[#This Row],[Sales Amount]]</f>
        <v>212.76900000000001</v>
      </c>
      <c r="I67" s="40">
        <v>3546.15</v>
      </c>
      <c r="J67" s="38">
        <v>37</v>
      </c>
      <c r="K67" s="38" t="s">
        <v>35</v>
      </c>
      <c r="L67" s="40">
        <v>3114.88</v>
      </c>
      <c r="M67" s="40">
        <v>3256.78</v>
      </c>
      <c r="N67" s="38" t="s">
        <v>17</v>
      </c>
      <c r="O67" s="41">
        <v>0.26</v>
      </c>
      <c r="P67" s="38" t="s">
        <v>31</v>
      </c>
      <c r="Q67" s="38" t="s">
        <v>19</v>
      </c>
      <c r="R67" s="38" t="str">
        <f>IF(Cleaned_Final!$I67&gt;=5000,"High","Low")</f>
        <v>Low</v>
      </c>
    </row>
    <row r="68" spans="1:18" x14ac:dyDescent="0.35">
      <c r="A68" s="34">
        <v>1035</v>
      </c>
      <c r="B68" s="34" t="str">
        <f>_xlfn.XLOOKUP(Table2[[#This Row],[Product ID]],Sheet1!$A$32:$A$200,Sheet1!$B$32:$B$200,"Not Found")</f>
        <v>Doughnut</v>
      </c>
      <c r="C68" s="35">
        <v>45068</v>
      </c>
      <c r="D68" s="34" t="s">
        <v>42</v>
      </c>
      <c r="E68" s="34" t="str" cm="1">
        <f t="array" ref="E68">_xlfn.XLOOKUP(Table2[[#This Row],[Sales Rep]],Sheet1!$A$21:$A$25,Sheet1!$B$21:$B$25,Not Found)</f>
        <v>Scott Wayne</v>
      </c>
      <c r="F68" s="34" t="s">
        <v>25</v>
      </c>
      <c r="G68" s="34">
        <f>_xlfn.XLOOKUP(Table2[[#This Row],[Region]],Sheet1!$A$12:$A$15,Sheet1!$B$12:$B$15,0)</f>
        <v>0.05</v>
      </c>
      <c r="H68" s="36">
        <f>Table2[[#This Row],[Tax Rate]]*Table2[[#This Row],[Sales Amount]]</f>
        <v>189.011</v>
      </c>
      <c r="I68" s="36">
        <v>3780.22</v>
      </c>
      <c r="J68" s="34">
        <v>45</v>
      </c>
      <c r="K68" s="34" t="s">
        <v>26</v>
      </c>
      <c r="L68" s="36">
        <v>4132.79</v>
      </c>
      <c r="M68" s="36">
        <v>4624.1000000000004</v>
      </c>
      <c r="N68" s="34" t="s">
        <v>30</v>
      </c>
      <c r="O68" s="37">
        <v>0.15</v>
      </c>
      <c r="P68" s="34" t="s">
        <v>31</v>
      </c>
      <c r="Q68" s="34" t="s">
        <v>22</v>
      </c>
      <c r="R68" s="34" t="str">
        <f>IF(Cleaned_Final!$I68&gt;=5000,"High","Low")</f>
        <v>Low</v>
      </c>
    </row>
    <row r="69" spans="1:18" x14ac:dyDescent="0.35">
      <c r="A69" s="38">
        <v>1078</v>
      </c>
      <c r="B69" s="38" t="str">
        <f>_xlfn.XLOOKUP(Table2[[#This Row],[Product ID]],Sheet1!$A$32:$A$200,Sheet1!$B$32:$B$200,"Not Found")</f>
        <v>Kitchen Island</v>
      </c>
      <c r="C69" s="39">
        <v>45246</v>
      </c>
      <c r="D69" s="38" t="s">
        <v>24</v>
      </c>
      <c r="E69" s="38" t="str" cm="1">
        <f t="array" ref="E69">_xlfn.XLOOKUP(Table2[[#This Row],[Sales Rep]],Sheet1!$A$21:$A$25,Sheet1!$B$21:$B$25,Not Found)</f>
        <v>Hogan Rock</v>
      </c>
      <c r="F69" s="38" t="s">
        <v>34</v>
      </c>
      <c r="G69" s="38">
        <f>_xlfn.XLOOKUP(Table2[[#This Row],[Region]],Sheet1!$A$12:$A$15,Sheet1!$B$12:$B$15,0)</f>
        <v>0.06</v>
      </c>
      <c r="H69" s="40">
        <f>Table2[[#This Row],[Tax Rate]]*Table2[[#This Row],[Sales Amount]]</f>
        <v>6.8040000000000003</v>
      </c>
      <c r="I69" s="40">
        <v>113.4</v>
      </c>
      <c r="J69" s="38">
        <v>8</v>
      </c>
      <c r="K69" s="38" t="s">
        <v>16</v>
      </c>
      <c r="L69" s="40">
        <v>3459.61</v>
      </c>
      <c r="M69" s="40">
        <v>3657.23</v>
      </c>
      <c r="N69" s="38" t="s">
        <v>17</v>
      </c>
      <c r="O69" s="41">
        <v>0.03</v>
      </c>
      <c r="P69" s="38" t="s">
        <v>27</v>
      </c>
      <c r="Q69" s="38" t="s">
        <v>19</v>
      </c>
      <c r="R69" s="38" t="str">
        <f>IF(Cleaned_Final!$I69&gt;=5000,"High","Low")</f>
        <v>Low</v>
      </c>
    </row>
    <row r="70" spans="1:18" x14ac:dyDescent="0.35">
      <c r="A70" s="34">
        <v>1081</v>
      </c>
      <c r="B70" s="34" t="str">
        <f>_xlfn.XLOOKUP(Table2[[#This Row],[Product ID]],Sheet1!$A$32:$A$200,Sheet1!$B$32:$B$200,"Not Found")</f>
        <v>Rocking Chair</v>
      </c>
      <c r="C70" s="35">
        <v>44964</v>
      </c>
      <c r="D70" s="34" t="s">
        <v>24</v>
      </c>
      <c r="E70" s="34" t="str" cm="1">
        <f t="array" ref="E70">_xlfn.XLOOKUP(Table2[[#This Row],[Sales Rep]],Sheet1!$A$21:$A$25,Sheet1!$B$21:$B$25,Not Found)</f>
        <v>Hogan Rock</v>
      </c>
      <c r="F70" s="34" t="s">
        <v>34</v>
      </c>
      <c r="G70" s="34">
        <f>_xlfn.XLOOKUP(Table2[[#This Row],[Region]],Sheet1!$A$12:$A$15,Sheet1!$B$12:$B$15,0)</f>
        <v>0.06</v>
      </c>
      <c r="H70" s="36">
        <f>Table2[[#This Row],[Tax Rate]]*Table2[[#This Row],[Sales Amount]]</f>
        <v>184.08180000000002</v>
      </c>
      <c r="I70" s="36">
        <v>3068.03</v>
      </c>
      <c r="J70" s="34">
        <v>41</v>
      </c>
      <c r="K70" s="34" t="s">
        <v>16</v>
      </c>
      <c r="L70" s="36">
        <v>2782.08</v>
      </c>
      <c r="M70" s="36">
        <v>2879.24</v>
      </c>
      <c r="N70" s="34" t="s">
        <v>30</v>
      </c>
      <c r="O70" s="37">
        <v>0.21</v>
      </c>
      <c r="P70" s="34" t="s">
        <v>27</v>
      </c>
      <c r="Q70" s="34" t="s">
        <v>19</v>
      </c>
      <c r="R70" s="34" t="str">
        <f>IF(Cleaned_Final!$I70&gt;=5000,"High","Low")</f>
        <v>Low</v>
      </c>
    </row>
    <row r="71" spans="1:18" x14ac:dyDescent="0.35">
      <c r="A71" s="38">
        <v>1036</v>
      </c>
      <c r="B71" s="38" t="str">
        <f>_xlfn.XLOOKUP(Table2[[#This Row],[Product ID]],Sheet1!$A$32:$A$200,Sheet1!$B$32:$B$200,"Not Found")</f>
        <v>Shorts</v>
      </c>
      <c r="C71" s="39">
        <v>45219</v>
      </c>
      <c r="D71" s="38" t="s">
        <v>24</v>
      </c>
      <c r="E71" s="38" t="str" cm="1">
        <f t="array" ref="E71">_xlfn.XLOOKUP(Table2[[#This Row],[Sales Rep]],Sheet1!$A$21:$A$25,Sheet1!$B$21:$B$25,Not Found)</f>
        <v>Hogan Rock</v>
      </c>
      <c r="F71" s="38" t="s">
        <v>15</v>
      </c>
      <c r="G71" s="38">
        <f>_xlfn.XLOOKUP(Table2[[#This Row],[Region]],Sheet1!$A$12:$A$15,Sheet1!$B$12:$B$15,0)</f>
        <v>7.4999999999999997E-2</v>
      </c>
      <c r="H71" s="40">
        <f>Table2[[#This Row],[Tax Rate]]*Table2[[#This Row],[Sales Amount]]</f>
        <v>487.49549999999994</v>
      </c>
      <c r="I71" s="40">
        <v>6499.94</v>
      </c>
      <c r="J71" s="38">
        <v>49</v>
      </c>
      <c r="K71" s="38" t="s">
        <v>29</v>
      </c>
      <c r="L71" s="40">
        <v>1247.0999999999999</v>
      </c>
      <c r="M71" s="40">
        <v>1429.4399999999901</v>
      </c>
      <c r="N71" s="38" t="s">
        <v>30</v>
      </c>
      <c r="O71" s="41">
        <v>0.16</v>
      </c>
      <c r="P71" s="38" t="s">
        <v>18</v>
      </c>
      <c r="Q71" s="38" t="s">
        <v>19</v>
      </c>
      <c r="R71" s="38" t="str">
        <f>IF(Cleaned_Final!$I71&gt;=5000,"High","Low")</f>
        <v>High</v>
      </c>
    </row>
    <row r="72" spans="1:18" x14ac:dyDescent="0.35">
      <c r="A72" s="34">
        <v>1050</v>
      </c>
      <c r="B72" s="34" t="str">
        <f>_xlfn.XLOOKUP(Table2[[#This Row],[Product ID]],Sheet1!$A$32:$A$200,Sheet1!$B$32:$B$200,"Not Found")</f>
        <v>Sneakers</v>
      </c>
      <c r="C72" s="35">
        <v>45065</v>
      </c>
      <c r="D72" s="34" t="s">
        <v>33</v>
      </c>
      <c r="E72" s="34" t="str" cm="1">
        <f t="array" ref="E72">_xlfn.XLOOKUP(Table2[[#This Row],[Sales Rep]],Sheet1!$A$21:$A$25,Sheet1!$B$21:$B$25,Not Found)</f>
        <v>Susan Jerkins</v>
      </c>
      <c r="F72" s="34" t="s">
        <v>34</v>
      </c>
      <c r="G72" s="34">
        <f>_xlfn.XLOOKUP(Table2[[#This Row],[Region]],Sheet1!$A$12:$A$15,Sheet1!$B$12:$B$15,0)</f>
        <v>0.06</v>
      </c>
      <c r="H72" s="36">
        <f>Table2[[#This Row],[Tax Rate]]*Table2[[#This Row],[Sales Amount]]</f>
        <v>584.6712</v>
      </c>
      <c r="I72" s="36">
        <v>9744.52</v>
      </c>
      <c r="J72" s="34">
        <v>35</v>
      </c>
      <c r="K72" s="34" t="s">
        <v>29</v>
      </c>
      <c r="L72" s="36">
        <v>2158.69</v>
      </c>
      <c r="M72" s="36">
        <v>2384.38</v>
      </c>
      <c r="N72" s="34" t="s">
        <v>17</v>
      </c>
      <c r="O72" s="37">
        <v>0.09</v>
      </c>
      <c r="P72" s="34" t="s">
        <v>27</v>
      </c>
      <c r="Q72" s="34" t="s">
        <v>22</v>
      </c>
      <c r="R72" s="34" t="str">
        <f>IF(Cleaned_Final!$I72&gt;=5000,"High","Low")</f>
        <v>High</v>
      </c>
    </row>
    <row r="73" spans="1:18" x14ac:dyDescent="0.35">
      <c r="A73" s="38">
        <v>1004</v>
      </c>
      <c r="B73" s="38" t="str">
        <f>_xlfn.XLOOKUP(Table2[[#This Row],[Product ID]],Sheet1!$A$32:$A$200,Sheet1!$B$32:$B$200,"Not Found")</f>
        <v>Smartwatch</v>
      </c>
      <c r="C73" s="39">
        <v>45282</v>
      </c>
      <c r="D73" s="38" t="s">
        <v>38</v>
      </c>
      <c r="E73" s="38" t="str" cm="1">
        <f t="array" ref="E73">_xlfn.XLOOKUP(Table2[[#This Row],[Sales Rep]],Sheet1!$A$21:$A$25,Sheet1!$B$21:$B$25,Not Found)</f>
        <v>Tracy Moore</v>
      </c>
      <c r="F73" s="38" t="s">
        <v>15</v>
      </c>
      <c r="G73" s="38">
        <f>_xlfn.XLOOKUP(Table2[[#This Row],[Region]],Sheet1!$A$12:$A$15,Sheet1!$B$12:$B$15,0)</f>
        <v>7.4999999999999997E-2</v>
      </c>
      <c r="H73" s="40">
        <f>Table2[[#This Row],[Tax Rate]]*Table2[[#This Row],[Sales Amount]]</f>
        <v>636.4425</v>
      </c>
      <c r="I73" s="40">
        <v>8485.9</v>
      </c>
      <c r="J73" s="38">
        <v>11</v>
      </c>
      <c r="K73" s="38" t="s">
        <v>29</v>
      </c>
      <c r="L73" s="40">
        <v>4840.33</v>
      </c>
      <c r="M73" s="40">
        <v>4884.29</v>
      </c>
      <c r="N73" s="38" t="s">
        <v>30</v>
      </c>
      <c r="O73" s="41">
        <v>0.13</v>
      </c>
      <c r="P73" s="38" t="s">
        <v>18</v>
      </c>
      <c r="Q73" s="38" t="s">
        <v>19</v>
      </c>
      <c r="R73" s="38" t="str">
        <f>IF(Cleaned_Final!$I73&gt;=5000,"High","Low")</f>
        <v>High</v>
      </c>
    </row>
    <row r="74" spans="1:18" x14ac:dyDescent="0.35">
      <c r="A74" s="34">
        <v>1002</v>
      </c>
      <c r="B74" s="34" t="str">
        <f>_xlfn.XLOOKUP(Table2[[#This Row],[Product ID]],Sheet1!$A$32:$A$200,Sheet1!$B$32:$B$200,"Not Found")</f>
        <v>Bench</v>
      </c>
      <c r="C74" s="35">
        <v>45259</v>
      </c>
      <c r="D74" s="34" t="s">
        <v>24</v>
      </c>
      <c r="E74" s="34" t="str" cm="1">
        <f t="array" ref="E74">_xlfn.XLOOKUP(Table2[[#This Row],[Sales Rep]],Sheet1!$A$21:$A$25,Sheet1!$B$21:$B$25,Not Found)</f>
        <v>Hogan Rock</v>
      </c>
      <c r="F74" s="34" t="s">
        <v>15</v>
      </c>
      <c r="G74" s="34">
        <f>_xlfn.XLOOKUP(Table2[[#This Row],[Region]],Sheet1!$A$12:$A$15,Sheet1!$B$12:$B$15,0)</f>
        <v>7.4999999999999997E-2</v>
      </c>
      <c r="H74" s="36">
        <f>Table2[[#This Row],[Tax Rate]]*Table2[[#This Row],[Sales Amount]]</f>
        <v>25.019249999999996</v>
      </c>
      <c r="I74" s="36">
        <v>333.59</v>
      </c>
      <c r="J74" s="34">
        <v>24</v>
      </c>
      <c r="K74" s="34" t="s">
        <v>16</v>
      </c>
      <c r="L74" s="36">
        <v>3305.94</v>
      </c>
      <c r="M74" s="36">
        <v>3599.27</v>
      </c>
      <c r="N74" s="34" t="s">
        <v>30</v>
      </c>
      <c r="O74" s="37">
        <v>0.09</v>
      </c>
      <c r="P74" s="34" t="s">
        <v>31</v>
      </c>
      <c r="Q74" s="34" t="s">
        <v>22</v>
      </c>
      <c r="R74" s="34" t="str">
        <f>IF(Cleaned_Final!$I74&gt;=5000,"High","Low")</f>
        <v>Low</v>
      </c>
    </row>
    <row r="75" spans="1:18" x14ac:dyDescent="0.35">
      <c r="A75" s="38">
        <v>1006</v>
      </c>
      <c r="B75" s="38" t="str">
        <f>_xlfn.XLOOKUP(Table2[[#This Row],[Product ID]],Sheet1!$A$32:$A$200,Sheet1!$B$32:$B$200,"Not Found")</f>
        <v>Monitor</v>
      </c>
      <c r="C75" s="39">
        <v>45185</v>
      </c>
      <c r="D75" s="38" t="s">
        <v>14</v>
      </c>
      <c r="E75" s="38" t="str" cm="1">
        <f t="array" ref="E75">_xlfn.XLOOKUP(Table2[[#This Row],[Sales Rep]],Sheet1!$A$21:$A$25,Sheet1!$B$21:$B$25,Not Found)</f>
        <v>Michael Smith</v>
      </c>
      <c r="F75" s="38" t="s">
        <v>15</v>
      </c>
      <c r="G75" s="38">
        <f>_xlfn.XLOOKUP(Table2[[#This Row],[Region]],Sheet1!$A$12:$A$15,Sheet1!$B$12:$B$15,0)</f>
        <v>7.4999999999999997E-2</v>
      </c>
      <c r="H75" s="40">
        <f>Table2[[#This Row],[Tax Rate]]*Table2[[#This Row],[Sales Amount]]</f>
        <v>674.68124999999998</v>
      </c>
      <c r="I75" s="40">
        <v>8995.75</v>
      </c>
      <c r="J75" s="38">
        <v>49</v>
      </c>
      <c r="K75" s="38" t="s">
        <v>26</v>
      </c>
      <c r="L75" s="40">
        <v>2843.76</v>
      </c>
      <c r="M75" s="40">
        <v>3146.6</v>
      </c>
      <c r="N75" s="38" t="s">
        <v>30</v>
      </c>
      <c r="O75" s="41">
        <v>0.08</v>
      </c>
      <c r="P75" s="38" t="s">
        <v>18</v>
      </c>
      <c r="Q75" s="38" t="s">
        <v>22</v>
      </c>
      <c r="R75" s="38" t="str">
        <f>IF(Cleaned_Final!$I75&gt;=5000,"High","Low")</f>
        <v>High</v>
      </c>
    </row>
    <row r="76" spans="1:18" x14ac:dyDescent="0.35">
      <c r="A76" s="34">
        <v>1054</v>
      </c>
      <c r="B76" s="34" t="str">
        <f>_xlfn.XLOOKUP(Table2[[#This Row],[Product ID]],Sheet1!$A$32:$A$200,Sheet1!$B$32:$B$200,"Not Found")</f>
        <v>Glider</v>
      </c>
      <c r="C76" s="35">
        <v>45087</v>
      </c>
      <c r="D76" s="34" t="s">
        <v>14</v>
      </c>
      <c r="E76" s="34" t="str" cm="1">
        <f t="array" ref="E76">_xlfn.XLOOKUP(Table2[[#This Row],[Sales Rep]],Sheet1!$A$21:$A$25,Sheet1!$B$21:$B$25,Not Found)</f>
        <v>Michael Smith</v>
      </c>
      <c r="F76" s="34" t="s">
        <v>25</v>
      </c>
      <c r="G76" s="34">
        <f>_xlfn.XLOOKUP(Table2[[#This Row],[Region]],Sheet1!$A$12:$A$15,Sheet1!$B$12:$B$15,0)</f>
        <v>0.05</v>
      </c>
      <c r="H76" s="36">
        <f>Table2[[#This Row],[Tax Rate]]*Table2[[#This Row],[Sales Amount]]</f>
        <v>392.68299999999999</v>
      </c>
      <c r="I76" s="36">
        <v>7853.66</v>
      </c>
      <c r="J76" s="34">
        <v>21</v>
      </c>
      <c r="K76" s="34" t="s">
        <v>16</v>
      </c>
      <c r="L76" s="36">
        <v>4668.1400000000003</v>
      </c>
      <c r="M76" s="36">
        <v>5040.22</v>
      </c>
      <c r="N76" s="34" t="s">
        <v>30</v>
      </c>
      <c r="O76" s="37">
        <v>0.05</v>
      </c>
      <c r="P76" s="34" t="s">
        <v>27</v>
      </c>
      <c r="Q76" s="34" t="s">
        <v>19</v>
      </c>
      <c r="R76" s="34" t="str">
        <f>IF(Cleaned_Final!$I76&gt;=5000,"High","Low")</f>
        <v>High</v>
      </c>
    </row>
    <row r="77" spans="1:18" x14ac:dyDescent="0.35">
      <c r="A77" s="38">
        <v>1004</v>
      </c>
      <c r="B77" s="38" t="str">
        <f>_xlfn.XLOOKUP(Table2[[#This Row],[Product ID]],Sheet1!$A$32:$A$200,Sheet1!$B$32:$B$200,"Not Found")</f>
        <v>Smartwatch</v>
      </c>
      <c r="C77" s="39">
        <v>45104</v>
      </c>
      <c r="D77" s="38" t="s">
        <v>42</v>
      </c>
      <c r="E77" s="38" t="str" cm="1">
        <f t="array" ref="E77">_xlfn.XLOOKUP(Table2[[#This Row],[Sales Rep]],Sheet1!$A$21:$A$25,Sheet1!$B$21:$B$25,Not Found)</f>
        <v>Scott Wayne</v>
      </c>
      <c r="F77" s="38" t="s">
        <v>21</v>
      </c>
      <c r="G77" s="38">
        <f>_xlfn.XLOOKUP(Table2[[#This Row],[Region]],Sheet1!$A$12:$A$15,Sheet1!$B$12:$B$15,0)</f>
        <v>0.08</v>
      </c>
      <c r="H77" s="40">
        <f>Table2[[#This Row],[Tax Rate]]*Table2[[#This Row],[Sales Amount]]</f>
        <v>626.05759999999998</v>
      </c>
      <c r="I77" s="40">
        <v>7825.72</v>
      </c>
      <c r="J77" s="38">
        <v>2</v>
      </c>
      <c r="K77" s="38" t="s">
        <v>35</v>
      </c>
      <c r="L77" s="40">
        <v>2953.23</v>
      </c>
      <c r="M77" s="40">
        <v>2977.52</v>
      </c>
      <c r="N77" s="38" t="s">
        <v>17</v>
      </c>
      <c r="O77" s="41">
        <v>0.11</v>
      </c>
      <c r="P77" s="38" t="s">
        <v>31</v>
      </c>
      <c r="Q77" s="38" t="s">
        <v>22</v>
      </c>
      <c r="R77" s="38" t="str">
        <f>IF(Cleaned_Final!$I77&gt;=5000,"High","Low")</f>
        <v>High</v>
      </c>
    </row>
    <row r="78" spans="1:18" x14ac:dyDescent="0.35">
      <c r="A78" s="34">
        <v>1054</v>
      </c>
      <c r="B78" s="34" t="str">
        <f>_xlfn.XLOOKUP(Table2[[#This Row],[Product ID]],Sheet1!$A$32:$A$200,Sheet1!$B$32:$B$200,"Not Found")</f>
        <v>Glider</v>
      </c>
      <c r="C78" s="35">
        <v>44936</v>
      </c>
      <c r="D78" s="34" t="s">
        <v>38</v>
      </c>
      <c r="E78" s="34" t="str" cm="1">
        <f t="array" ref="E78">_xlfn.XLOOKUP(Table2[[#This Row],[Sales Rep]],Sheet1!$A$21:$A$25,Sheet1!$B$21:$B$25,Not Found)</f>
        <v>Tracy Moore</v>
      </c>
      <c r="F78" s="34" t="s">
        <v>25</v>
      </c>
      <c r="G78" s="34">
        <f>_xlfn.XLOOKUP(Table2[[#This Row],[Region]],Sheet1!$A$12:$A$15,Sheet1!$B$12:$B$15,0)</f>
        <v>0.05</v>
      </c>
      <c r="H78" s="36">
        <f>Table2[[#This Row],[Tax Rate]]*Table2[[#This Row],[Sales Amount]]</f>
        <v>231.708</v>
      </c>
      <c r="I78" s="36">
        <v>4634.16</v>
      </c>
      <c r="J78" s="34">
        <v>40</v>
      </c>
      <c r="K78" s="34" t="s">
        <v>16</v>
      </c>
      <c r="L78" s="36">
        <v>2654.11</v>
      </c>
      <c r="M78" s="36">
        <v>2929.32</v>
      </c>
      <c r="N78" s="34" t="s">
        <v>17</v>
      </c>
      <c r="O78" s="37">
        <v>0.08</v>
      </c>
      <c r="P78" s="34" t="s">
        <v>18</v>
      </c>
      <c r="Q78" s="34" t="s">
        <v>19</v>
      </c>
      <c r="R78" s="34" t="str">
        <f>IF(Cleaned_Final!$I78&gt;=5000,"High","Low")</f>
        <v>Low</v>
      </c>
    </row>
    <row r="79" spans="1:18" x14ac:dyDescent="0.35">
      <c r="A79" s="38">
        <v>1093</v>
      </c>
      <c r="B79" s="38" t="str">
        <f>_xlfn.XLOOKUP(Table2[[#This Row],[Product ID]],Sheet1!$A$32:$A$200,Sheet1!$B$32:$B$200,"Not Found")</f>
        <v>Dining Table</v>
      </c>
      <c r="C79" s="39">
        <v>45187</v>
      </c>
      <c r="D79" s="38" t="s">
        <v>24</v>
      </c>
      <c r="E79" s="38" t="str" cm="1">
        <f t="array" ref="E79">_xlfn.XLOOKUP(Table2[[#This Row],[Sales Rep]],Sheet1!$A$21:$A$25,Sheet1!$B$21:$B$25,Not Found)</f>
        <v>Hogan Rock</v>
      </c>
      <c r="F79" s="38" t="s">
        <v>21</v>
      </c>
      <c r="G79" s="38">
        <f>_xlfn.XLOOKUP(Table2[[#This Row],[Region]],Sheet1!$A$12:$A$15,Sheet1!$B$12:$B$15,0)</f>
        <v>0.08</v>
      </c>
      <c r="H79" s="40">
        <f>Table2[[#This Row],[Tax Rate]]*Table2[[#This Row],[Sales Amount]]</f>
        <v>323.22000000000003</v>
      </c>
      <c r="I79" s="40">
        <v>4040.25</v>
      </c>
      <c r="J79" s="38">
        <v>19</v>
      </c>
      <c r="K79" s="38" t="s">
        <v>35</v>
      </c>
      <c r="L79" s="40">
        <v>3808.59</v>
      </c>
      <c r="M79" s="40">
        <v>3844.51</v>
      </c>
      <c r="N79" s="38" t="s">
        <v>30</v>
      </c>
      <c r="O79" s="41">
        <v>0.21</v>
      </c>
      <c r="P79" s="38" t="s">
        <v>31</v>
      </c>
      <c r="Q79" s="38" t="s">
        <v>19</v>
      </c>
      <c r="R79" s="38" t="str">
        <f>IF(Cleaned_Final!$I79&gt;=5000,"High","Low")</f>
        <v>Low</v>
      </c>
    </row>
    <row r="80" spans="1:18" x14ac:dyDescent="0.35">
      <c r="A80" s="34">
        <v>1063</v>
      </c>
      <c r="B80" s="34" t="str">
        <f>_xlfn.XLOOKUP(Table2[[#This Row],[Product ID]],Sheet1!$A$32:$A$200,Sheet1!$B$32:$B$200,"Not Found")</f>
        <v>Noodles</v>
      </c>
      <c r="C80" s="35">
        <v>45064</v>
      </c>
      <c r="D80" s="34" t="s">
        <v>14</v>
      </c>
      <c r="E80" s="34" t="str" cm="1">
        <f t="array" ref="E80">_xlfn.XLOOKUP(Table2[[#This Row],[Sales Rep]],Sheet1!$A$21:$A$25,Sheet1!$B$21:$B$25,Not Found)</f>
        <v>Michael Smith</v>
      </c>
      <c r="F80" s="34" t="s">
        <v>21</v>
      </c>
      <c r="G80" s="34">
        <f>_xlfn.XLOOKUP(Table2[[#This Row],[Region]],Sheet1!$A$12:$A$15,Sheet1!$B$12:$B$15,0)</f>
        <v>0.08</v>
      </c>
      <c r="H80" s="36">
        <f>Table2[[#This Row],[Tax Rate]]*Table2[[#This Row],[Sales Amount]]</f>
        <v>247.90959999999998</v>
      </c>
      <c r="I80" s="36">
        <v>3098.87</v>
      </c>
      <c r="J80" s="34">
        <v>39</v>
      </c>
      <c r="K80" s="34" t="s">
        <v>26</v>
      </c>
      <c r="L80" s="36">
        <v>3577.69</v>
      </c>
      <c r="M80" s="36">
        <v>3931.25</v>
      </c>
      <c r="N80" s="34" t="s">
        <v>17</v>
      </c>
      <c r="O80" s="37">
        <v>0.21</v>
      </c>
      <c r="P80" s="34" t="s">
        <v>18</v>
      </c>
      <c r="Q80" s="34" t="s">
        <v>22</v>
      </c>
      <c r="R80" s="34" t="str">
        <f>IF(Cleaned_Final!$I80&gt;=5000,"High","Low")</f>
        <v>Low</v>
      </c>
    </row>
    <row r="81" spans="1:18" x14ac:dyDescent="0.35">
      <c r="A81" s="38">
        <v>1018</v>
      </c>
      <c r="B81" s="38" t="str">
        <f>_xlfn.XLOOKUP(Table2[[#This Row],[Product ID]],Sheet1!$A$32:$A$200,Sheet1!$B$32:$B$200,"Not Found")</f>
        <v>Dress Shirt</v>
      </c>
      <c r="C81" s="39">
        <v>45098</v>
      </c>
      <c r="D81" s="38" t="s">
        <v>38</v>
      </c>
      <c r="E81" s="38" t="str" cm="1">
        <f t="array" ref="E81">_xlfn.XLOOKUP(Table2[[#This Row],[Sales Rep]],Sheet1!$A$21:$A$25,Sheet1!$B$21:$B$25,Not Found)</f>
        <v>Tracy Moore</v>
      </c>
      <c r="F81" s="38" t="s">
        <v>15</v>
      </c>
      <c r="G81" s="38">
        <f>_xlfn.XLOOKUP(Table2[[#This Row],[Region]],Sheet1!$A$12:$A$15,Sheet1!$B$12:$B$15,0)</f>
        <v>7.4999999999999997E-2</v>
      </c>
      <c r="H81" s="40">
        <f>Table2[[#This Row],[Tax Rate]]*Table2[[#This Row],[Sales Amount]]</f>
        <v>56.278500000000001</v>
      </c>
      <c r="I81" s="40">
        <v>750.38</v>
      </c>
      <c r="J81" s="38">
        <v>28</v>
      </c>
      <c r="K81" s="38" t="s">
        <v>29</v>
      </c>
      <c r="L81" s="40">
        <v>1006.14</v>
      </c>
      <c r="M81" s="40">
        <v>1043.45</v>
      </c>
      <c r="N81" s="38" t="s">
        <v>30</v>
      </c>
      <c r="O81" s="41">
        <v>0.15</v>
      </c>
      <c r="P81" s="38" t="s">
        <v>27</v>
      </c>
      <c r="Q81" s="38" t="s">
        <v>22</v>
      </c>
      <c r="R81" s="38" t="str">
        <f>IF(Cleaned_Final!$I81&gt;=5000,"High","Low")</f>
        <v>Low</v>
      </c>
    </row>
    <row r="82" spans="1:18" x14ac:dyDescent="0.35">
      <c r="A82" s="34">
        <v>1090</v>
      </c>
      <c r="B82" s="34" t="str">
        <f>_xlfn.XLOOKUP(Table2[[#This Row],[Product ID]],Sheet1!$A$32:$A$200,Sheet1!$B$32:$B$200,"Not Found")</f>
        <v>Keyboard</v>
      </c>
      <c r="C82" s="35">
        <v>44939</v>
      </c>
      <c r="D82" s="34" t="s">
        <v>42</v>
      </c>
      <c r="E82" s="34" t="str" cm="1">
        <f t="array" ref="E82">_xlfn.XLOOKUP(Table2[[#This Row],[Sales Rep]],Sheet1!$A$21:$A$25,Sheet1!$B$21:$B$25,Not Found)</f>
        <v>Scott Wayne</v>
      </c>
      <c r="F82" s="34" t="s">
        <v>34</v>
      </c>
      <c r="G82" s="34">
        <f>_xlfn.XLOOKUP(Table2[[#This Row],[Region]],Sheet1!$A$12:$A$15,Sheet1!$B$12:$B$15,0)</f>
        <v>0.06</v>
      </c>
      <c r="H82" s="36">
        <f>Table2[[#This Row],[Tax Rate]]*Table2[[#This Row],[Sales Amount]]</f>
        <v>141.5718</v>
      </c>
      <c r="I82" s="36">
        <v>2359.5300000000002</v>
      </c>
      <c r="J82" s="34">
        <v>17</v>
      </c>
      <c r="K82" s="34" t="s">
        <v>29</v>
      </c>
      <c r="L82" s="36">
        <v>2382.98</v>
      </c>
      <c r="M82" s="36">
        <v>2839.73</v>
      </c>
      <c r="N82" s="34" t="s">
        <v>17</v>
      </c>
      <c r="O82" s="37">
        <v>0.23</v>
      </c>
      <c r="P82" s="34" t="s">
        <v>27</v>
      </c>
      <c r="Q82" s="34" t="s">
        <v>22</v>
      </c>
      <c r="R82" s="34" t="str">
        <f>IF(Cleaned_Final!$I82&gt;=5000,"High","Low")</f>
        <v>Low</v>
      </c>
    </row>
    <row r="83" spans="1:18" x14ac:dyDescent="0.35">
      <c r="A83" s="38">
        <v>1044</v>
      </c>
      <c r="B83" s="38" t="str">
        <f>_xlfn.XLOOKUP(Table2[[#This Row],[Product ID]],Sheet1!$A$32:$A$200,Sheet1!$B$32:$B$200,"Not Found")</f>
        <v>Burger</v>
      </c>
      <c r="C83" s="39">
        <v>45094</v>
      </c>
      <c r="D83" s="38" t="s">
        <v>33</v>
      </c>
      <c r="E83" s="38" t="str" cm="1">
        <f t="array" ref="E83">_xlfn.XLOOKUP(Table2[[#This Row],[Sales Rep]],Sheet1!$A$21:$A$25,Sheet1!$B$21:$B$25,Not Found)</f>
        <v>Susan Jerkins</v>
      </c>
      <c r="F83" s="38" t="s">
        <v>15</v>
      </c>
      <c r="G83" s="38">
        <f>_xlfn.XLOOKUP(Table2[[#This Row],[Region]],Sheet1!$A$12:$A$15,Sheet1!$B$12:$B$15,0)</f>
        <v>7.4999999999999997E-2</v>
      </c>
      <c r="H83" s="40">
        <f>Table2[[#This Row],[Tax Rate]]*Table2[[#This Row],[Sales Amount]]</f>
        <v>190.6035</v>
      </c>
      <c r="I83" s="40">
        <v>2541.38</v>
      </c>
      <c r="J83" s="38">
        <v>6</v>
      </c>
      <c r="K83" s="38" t="s">
        <v>16</v>
      </c>
      <c r="L83" s="40">
        <v>2388.9499999999998</v>
      </c>
      <c r="M83" s="40">
        <v>2742.97</v>
      </c>
      <c r="N83" s="38" t="s">
        <v>17</v>
      </c>
      <c r="O83" s="41">
        <v>0.25</v>
      </c>
      <c r="P83" s="38" t="s">
        <v>31</v>
      </c>
      <c r="Q83" s="38" t="s">
        <v>22</v>
      </c>
      <c r="R83" s="38" t="str">
        <f>IF(Cleaned_Final!$I83&gt;=5000,"High","Low")</f>
        <v>Low</v>
      </c>
    </row>
    <row r="84" spans="1:18" x14ac:dyDescent="0.35">
      <c r="A84" s="34">
        <v>1034</v>
      </c>
      <c r="B84" s="34" t="str">
        <f>_xlfn.XLOOKUP(Table2[[#This Row],[Product ID]],Sheet1!$A$32:$A$200,Sheet1!$B$32:$B$200,"Not Found")</f>
        <v>Socks Pack</v>
      </c>
      <c r="C84" s="35">
        <v>45056</v>
      </c>
      <c r="D84" s="34" t="s">
        <v>38</v>
      </c>
      <c r="E84" s="34" t="str" cm="1">
        <f t="array" ref="E84">_xlfn.XLOOKUP(Table2[[#This Row],[Sales Rep]],Sheet1!$A$21:$A$25,Sheet1!$B$21:$B$25,Not Found)</f>
        <v>Tracy Moore</v>
      </c>
      <c r="F84" s="34" t="s">
        <v>34</v>
      </c>
      <c r="G84" s="34">
        <f>_xlfn.XLOOKUP(Table2[[#This Row],[Region]],Sheet1!$A$12:$A$15,Sheet1!$B$12:$B$15,0)</f>
        <v>0.06</v>
      </c>
      <c r="H84" s="36">
        <f>Table2[[#This Row],[Tax Rate]]*Table2[[#This Row],[Sales Amount]]</f>
        <v>293.54159999999996</v>
      </c>
      <c r="I84" s="36">
        <v>4892.3599999999997</v>
      </c>
      <c r="J84" s="34">
        <v>19</v>
      </c>
      <c r="K84" s="34" t="s">
        <v>29</v>
      </c>
      <c r="L84" s="36">
        <v>1922.21</v>
      </c>
      <c r="M84" s="36">
        <v>2180.83</v>
      </c>
      <c r="N84" s="34" t="s">
        <v>17</v>
      </c>
      <c r="O84" s="37">
        <v>0.17</v>
      </c>
      <c r="P84" s="34" t="s">
        <v>31</v>
      </c>
      <c r="Q84" s="34" t="s">
        <v>22</v>
      </c>
      <c r="R84" s="34" t="str">
        <f>IF(Cleaned_Final!$I84&gt;=5000,"High","Low")</f>
        <v>Low</v>
      </c>
    </row>
    <row r="85" spans="1:18" x14ac:dyDescent="0.35">
      <c r="A85" s="38">
        <v>1074</v>
      </c>
      <c r="B85" s="38" t="str">
        <f>_xlfn.XLOOKUP(Table2[[#This Row],[Product ID]],Sheet1!$A$32:$A$200,Sheet1!$B$32:$B$200,"Not Found")</f>
        <v>French Fries</v>
      </c>
      <c r="C85" s="39">
        <v>45010</v>
      </c>
      <c r="D85" s="38" t="s">
        <v>38</v>
      </c>
      <c r="E85" s="38" t="str" cm="1">
        <f t="array" ref="E85">_xlfn.XLOOKUP(Table2[[#This Row],[Sales Rep]],Sheet1!$A$21:$A$25,Sheet1!$B$21:$B$25,Not Found)</f>
        <v>Tracy Moore</v>
      </c>
      <c r="F85" s="38" t="s">
        <v>21</v>
      </c>
      <c r="G85" s="38">
        <f>_xlfn.XLOOKUP(Table2[[#This Row],[Region]],Sheet1!$A$12:$A$15,Sheet1!$B$12:$B$15,0)</f>
        <v>0.08</v>
      </c>
      <c r="H85" s="40">
        <f>Table2[[#This Row],[Tax Rate]]*Table2[[#This Row],[Sales Amount]]</f>
        <v>599.976</v>
      </c>
      <c r="I85" s="40">
        <v>7499.7</v>
      </c>
      <c r="J85" s="38">
        <v>38</v>
      </c>
      <c r="K85" s="38" t="s">
        <v>26</v>
      </c>
      <c r="L85" s="40">
        <v>2610.6</v>
      </c>
      <c r="M85" s="40">
        <v>2836.94</v>
      </c>
      <c r="N85" s="38" t="s">
        <v>17</v>
      </c>
      <c r="O85" s="41">
        <v>0.19</v>
      </c>
      <c r="P85" s="38" t="s">
        <v>31</v>
      </c>
      <c r="Q85" s="38" t="s">
        <v>19</v>
      </c>
      <c r="R85" s="38" t="str">
        <f>IF(Cleaned_Final!$I85&gt;=5000,"High","Low")</f>
        <v>High</v>
      </c>
    </row>
    <row r="86" spans="1:18" x14ac:dyDescent="0.35">
      <c r="A86" s="34">
        <v>1062</v>
      </c>
      <c r="B86" s="34" t="str">
        <f>_xlfn.XLOOKUP(Table2[[#This Row],[Product ID]],Sheet1!$A$32:$A$200,Sheet1!$B$32:$B$200,"Not Found")</f>
        <v>Boxers</v>
      </c>
      <c r="C86" s="35">
        <v>45247</v>
      </c>
      <c r="D86" s="34" t="s">
        <v>33</v>
      </c>
      <c r="E86" s="34" t="str" cm="1">
        <f t="array" ref="E86">_xlfn.XLOOKUP(Table2[[#This Row],[Sales Rep]],Sheet1!$A$21:$A$25,Sheet1!$B$21:$B$25,Not Found)</f>
        <v>Susan Jerkins</v>
      </c>
      <c r="F86" s="34" t="s">
        <v>15</v>
      </c>
      <c r="G86" s="34">
        <f>_xlfn.XLOOKUP(Table2[[#This Row],[Region]],Sheet1!$A$12:$A$15,Sheet1!$B$12:$B$15,0)</f>
        <v>7.4999999999999997E-2</v>
      </c>
      <c r="H86" s="36">
        <f>Table2[[#This Row],[Tax Rate]]*Table2[[#This Row],[Sales Amount]]</f>
        <v>359.30400000000003</v>
      </c>
      <c r="I86" s="36">
        <v>4790.72</v>
      </c>
      <c r="J86" s="34">
        <v>28</v>
      </c>
      <c r="K86" s="34" t="s">
        <v>29</v>
      </c>
      <c r="L86" s="36">
        <v>2094.88</v>
      </c>
      <c r="M86" s="36">
        <v>2168.91</v>
      </c>
      <c r="N86" s="34" t="s">
        <v>17</v>
      </c>
      <c r="O86" s="37">
        <v>0.08</v>
      </c>
      <c r="P86" s="34" t="s">
        <v>18</v>
      </c>
      <c r="Q86" s="34" t="s">
        <v>22</v>
      </c>
      <c r="R86" s="34" t="str">
        <f>IF(Cleaned_Final!$I86&gt;=5000,"High","Low")</f>
        <v>Low</v>
      </c>
    </row>
    <row r="87" spans="1:18" x14ac:dyDescent="0.35">
      <c r="A87" s="38">
        <v>1100</v>
      </c>
      <c r="B87" s="38" t="str">
        <f>_xlfn.XLOOKUP(Table2[[#This Row],[Product ID]],Sheet1!$A$32:$A$200,Sheet1!$B$32:$B$200,"Not Found")</f>
        <v>Protein Cookies</v>
      </c>
      <c r="C87" s="39">
        <v>45245</v>
      </c>
      <c r="D87" s="38" t="s">
        <v>38</v>
      </c>
      <c r="E87" s="38" t="str" cm="1">
        <f t="array" ref="E87">_xlfn.XLOOKUP(Table2[[#This Row],[Sales Rep]],Sheet1!$A$21:$A$25,Sheet1!$B$21:$B$25,Not Found)</f>
        <v>Tracy Moore</v>
      </c>
      <c r="F87" s="38" t="s">
        <v>34</v>
      </c>
      <c r="G87" s="38">
        <f>_xlfn.XLOOKUP(Table2[[#This Row],[Region]],Sheet1!$A$12:$A$15,Sheet1!$B$12:$B$15,0)</f>
        <v>0.06</v>
      </c>
      <c r="H87" s="40">
        <f>Table2[[#This Row],[Tax Rate]]*Table2[[#This Row],[Sales Amount]]</f>
        <v>40.359599999999993</v>
      </c>
      <c r="I87" s="40">
        <v>672.66</v>
      </c>
      <c r="J87" s="38">
        <v>2</v>
      </c>
      <c r="K87" s="38" t="s">
        <v>16</v>
      </c>
      <c r="L87" s="40">
        <v>1036.76</v>
      </c>
      <c r="M87" s="40">
        <v>1189.3499999999999</v>
      </c>
      <c r="N87" s="38" t="s">
        <v>30</v>
      </c>
      <c r="O87" s="41">
        <v>0.27</v>
      </c>
      <c r="P87" s="38" t="s">
        <v>27</v>
      </c>
      <c r="Q87" s="38" t="s">
        <v>19</v>
      </c>
      <c r="R87" s="38" t="str">
        <f>IF(Cleaned_Final!$I87&gt;=5000,"High","Low")</f>
        <v>Low</v>
      </c>
    </row>
    <row r="88" spans="1:18" x14ac:dyDescent="0.35">
      <c r="A88" s="34">
        <v>1014</v>
      </c>
      <c r="B88" s="34" t="str">
        <f>_xlfn.XLOOKUP(Table2[[#This Row],[Product ID]],Sheet1!$A$32:$A$200,Sheet1!$B$32:$B$200,"Not Found")</f>
        <v>Cheese Block</v>
      </c>
      <c r="C88" s="35">
        <v>45027</v>
      </c>
      <c r="D88" s="34" t="s">
        <v>42</v>
      </c>
      <c r="E88" s="34" t="str" cm="1">
        <f t="array" ref="E88">_xlfn.XLOOKUP(Table2[[#This Row],[Sales Rep]],Sheet1!$A$21:$A$25,Sheet1!$B$21:$B$25,Not Found)</f>
        <v>Scott Wayne</v>
      </c>
      <c r="F88" s="34" t="s">
        <v>25</v>
      </c>
      <c r="G88" s="34">
        <f>_xlfn.XLOOKUP(Table2[[#This Row],[Region]],Sheet1!$A$12:$A$15,Sheet1!$B$12:$B$15,0)</f>
        <v>0.05</v>
      </c>
      <c r="H88" s="36">
        <f>Table2[[#This Row],[Tax Rate]]*Table2[[#This Row],[Sales Amount]]</f>
        <v>479.10600000000005</v>
      </c>
      <c r="I88" s="36">
        <v>9582.1200000000008</v>
      </c>
      <c r="J88" s="34">
        <v>38</v>
      </c>
      <c r="K88" s="34" t="s">
        <v>26</v>
      </c>
      <c r="L88" s="36">
        <v>2091.21</v>
      </c>
      <c r="M88" s="36">
        <v>2527</v>
      </c>
      <c r="N88" s="34" t="s">
        <v>17</v>
      </c>
      <c r="O88" s="37">
        <v>0.01</v>
      </c>
      <c r="P88" s="34" t="s">
        <v>31</v>
      </c>
      <c r="Q88" s="34" t="s">
        <v>19</v>
      </c>
      <c r="R88" s="34" t="str">
        <f>IF(Cleaned_Final!$I88&gt;=5000,"High","Low")</f>
        <v>High</v>
      </c>
    </row>
    <row r="89" spans="1:18" x14ac:dyDescent="0.35">
      <c r="A89" s="38">
        <v>1095</v>
      </c>
      <c r="B89" s="38" t="str">
        <f>_xlfn.XLOOKUP(Table2[[#This Row],[Product ID]],Sheet1!$A$32:$A$200,Sheet1!$B$32:$B$200,"Not Found")</f>
        <v>Bluetooth Speaker</v>
      </c>
      <c r="C89" s="39">
        <v>45255</v>
      </c>
      <c r="D89" s="38" t="s">
        <v>42</v>
      </c>
      <c r="E89" s="38" t="str" cm="1">
        <f t="array" ref="E89">_xlfn.XLOOKUP(Table2[[#This Row],[Sales Rep]],Sheet1!$A$21:$A$25,Sheet1!$B$21:$B$25,Not Found)</f>
        <v>Scott Wayne</v>
      </c>
      <c r="F89" s="38" t="s">
        <v>34</v>
      </c>
      <c r="G89" s="38">
        <f>_xlfn.XLOOKUP(Table2[[#This Row],[Region]],Sheet1!$A$12:$A$15,Sheet1!$B$12:$B$15,0)</f>
        <v>0.06</v>
      </c>
      <c r="H89" s="40">
        <f>Table2[[#This Row],[Tax Rate]]*Table2[[#This Row],[Sales Amount]]</f>
        <v>565.9781999999999</v>
      </c>
      <c r="I89" s="40">
        <v>9432.9699999999993</v>
      </c>
      <c r="J89" s="38">
        <v>37</v>
      </c>
      <c r="K89" s="38" t="s">
        <v>35</v>
      </c>
      <c r="L89" s="40">
        <v>407.77</v>
      </c>
      <c r="M89" s="40">
        <v>860.95</v>
      </c>
      <c r="N89" s="38" t="s">
        <v>30</v>
      </c>
      <c r="O89" s="41">
        <v>0.1</v>
      </c>
      <c r="P89" s="38" t="s">
        <v>31</v>
      </c>
      <c r="Q89" s="38" t="s">
        <v>22</v>
      </c>
      <c r="R89" s="38" t="str">
        <f>IF(Cleaned_Final!$I89&gt;=5000,"High","Low")</f>
        <v>High</v>
      </c>
    </row>
    <row r="90" spans="1:18" x14ac:dyDescent="0.35">
      <c r="A90" s="34">
        <v>1048</v>
      </c>
      <c r="B90" s="34" t="str">
        <f>_xlfn.XLOOKUP(Table2[[#This Row],[Product ID]],Sheet1!$A$32:$A$200,Sheet1!$B$32:$B$200,"Not Found")</f>
        <v>Chaise Lounge</v>
      </c>
      <c r="C90" s="35">
        <v>45199</v>
      </c>
      <c r="D90" s="34" t="s">
        <v>33</v>
      </c>
      <c r="E90" s="34" t="str" cm="1">
        <f t="array" ref="E90">_xlfn.XLOOKUP(Table2[[#This Row],[Sales Rep]],Sheet1!$A$21:$A$25,Sheet1!$B$21:$B$25,Not Found)</f>
        <v>Susan Jerkins</v>
      </c>
      <c r="F90" s="34" t="s">
        <v>15</v>
      </c>
      <c r="G90" s="34">
        <f>_xlfn.XLOOKUP(Table2[[#This Row],[Region]],Sheet1!$A$12:$A$15,Sheet1!$B$12:$B$15,0)</f>
        <v>7.4999999999999997E-2</v>
      </c>
      <c r="H90" s="36">
        <f>Table2[[#This Row],[Tax Rate]]*Table2[[#This Row],[Sales Amount]]</f>
        <v>590.50350000000003</v>
      </c>
      <c r="I90" s="36">
        <v>7873.38</v>
      </c>
      <c r="J90" s="34">
        <v>4</v>
      </c>
      <c r="K90" s="34" t="s">
        <v>16</v>
      </c>
      <c r="L90" s="36">
        <v>2900.14</v>
      </c>
      <c r="M90" s="36">
        <v>2910.5099999999902</v>
      </c>
      <c r="N90" s="34" t="s">
        <v>30</v>
      </c>
      <c r="O90" s="37">
        <v>0.22</v>
      </c>
      <c r="P90" s="34" t="s">
        <v>31</v>
      </c>
      <c r="Q90" s="34" t="s">
        <v>22</v>
      </c>
      <c r="R90" s="34" t="str">
        <f>IF(Cleaned_Final!$I90&gt;=5000,"High","Low")</f>
        <v>High</v>
      </c>
    </row>
    <row r="91" spans="1:18" x14ac:dyDescent="0.35">
      <c r="A91" s="38">
        <v>1015</v>
      </c>
      <c r="B91" s="38" t="str">
        <f>_xlfn.XLOOKUP(Table2[[#This Row],[Product ID]],Sheet1!$A$32:$A$200,Sheet1!$B$32:$B$200,"Not Found")</f>
        <v>Chocolate Bar</v>
      </c>
      <c r="C91" s="39">
        <v>45191</v>
      </c>
      <c r="D91" s="38" t="s">
        <v>24</v>
      </c>
      <c r="E91" s="38" t="str" cm="1">
        <f t="array" ref="E91">_xlfn.XLOOKUP(Table2[[#This Row],[Sales Rep]],Sheet1!$A$21:$A$25,Sheet1!$B$21:$B$25,Not Found)</f>
        <v>Hogan Rock</v>
      </c>
      <c r="F91" s="38" t="s">
        <v>25</v>
      </c>
      <c r="G91" s="38">
        <f>_xlfn.XLOOKUP(Table2[[#This Row],[Region]],Sheet1!$A$12:$A$15,Sheet1!$B$12:$B$15,0)</f>
        <v>0.05</v>
      </c>
      <c r="H91" s="40">
        <f>Table2[[#This Row],[Tax Rate]]*Table2[[#This Row],[Sales Amount]]</f>
        <v>495.70749999999998</v>
      </c>
      <c r="I91" s="40">
        <v>9914.15</v>
      </c>
      <c r="J91" s="38">
        <v>22</v>
      </c>
      <c r="K91" s="38" t="s">
        <v>35</v>
      </c>
      <c r="L91" s="40">
        <v>4275.59</v>
      </c>
      <c r="M91" s="40">
        <v>4576.72</v>
      </c>
      <c r="N91" s="38" t="s">
        <v>17</v>
      </c>
      <c r="O91" s="41">
        <v>0.02</v>
      </c>
      <c r="P91" s="38" t="s">
        <v>18</v>
      </c>
      <c r="Q91" s="38" t="s">
        <v>22</v>
      </c>
      <c r="R91" s="38" t="str">
        <f>IF(Cleaned_Final!$I91&gt;=5000,"High","Low")</f>
        <v>High</v>
      </c>
    </row>
    <row r="92" spans="1:18" x14ac:dyDescent="0.35">
      <c r="A92" s="34">
        <v>1072</v>
      </c>
      <c r="B92" s="34" t="str">
        <f>_xlfn.XLOOKUP(Table2[[#This Row],[Product ID]],Sheet1!$A$32:$A$200,Sheet1!$B$32:$B$200,"Not Found")</f>
        <v>T-Shirt</v>
      </c>
      <c r="C92" s="35">
        <v>44964</v>
      </c>
      <c r="D92" s="34" t="s">
        <v>14</v>
      </c>
      <c r="E92" s="34" t="str" cm="1">
        <f t="array" ref="E92">_xlfn.XLOOKUP(Table2[[#This Row],[Sales Rep]],Sheet1!$A$21:$A$25,Sheet1!$B$21:$B$25,Not Found)</f>
        <v>Michael Smith</v>
      </c>
      <c r="F92" s="34" t="s">
        <v>34</v>
      </c>
      <c r="G92" s="34">
        <f>_xlfn.XLOOKUP(Table2[[#This Row],[Region]],Sheet1!$A$12:$A$15,Sheet1!$B$12:$B$15,0)</f>
        <v>0.06</v>
      </c>
      <c r="H92" s="36">
        <f>Table2[[#This Row],[Tax Rate]]*Table2[[#This Row],[Sales Amount]]</f>
        <v>329.4228</v>
      </c>
      <c r="I92" s="36">
        <v>5490.38</v>
      </c>
      <c r="J92" s="34">
        <v>26</v>
      </c>
      <c r="K92" s="34" t="s">
        <v>26</v>
      </c>
      <c r="L92" s="36">
        <v>3640.17</v>
      </c>
      <c r="M92" s="36">
        <v>4002.63</v>
      </c>
      <c r="N92" s="34" t="s">
        <v>30</v>
      </c>
      <c r="O92" s="37">
        <v>0.05</v>
      </c>
      <c r="P92" s="34" t="s">
        <v>31</v>
      </c>
      <c r="Q92" s="34" t="s">
        <v>22</v>
      </c>
      <c r="R92" s="34" t="str">
        <f>IF(Cleaned_Final!$I92&gt;=5000,"High","Low")</f>
        <v>High</v>
      </c>
    </row>
    <row r="93" spans="1:18" x14ac:dyDescent="0.35">
      <c r="A93" s="38">
        <v>1078</v>
      </c>
      <c r="B93" s="38" t="str">
        <f>_xlfn.XLOOKUP(Table2[[#This Row],[Product ID]],Sheet1!$A$32:$A$200,Sheet1!$B$32:$B$200,"Not Found")</f>
        <v>Kitchen Island</v>
      </c>
      <c r="C93" s="39">
        <v>45020</v>
      </c>
      <c r="D93" s="38" t="s">
        <v>24</v>
      </c>
      <c r="E93" s="38" t="str" cm="1">
        <f t="array" ref="E93">_xlfn.XLOOKUP(Table2[[#This Row],[Sales Rep]],Sheet1!$A$21:$A$25,Sheet1!$B$21:$B$25,Not Found)</f>
        <v>Hogan Rock</v>
      </c>
      <c r="F93" s="38" t="s">
        <v>34</v>
      </c>
      <c r="G93" s="38">
        <f>_xlfn.XLOOKUP(Table2[[#This Row],[Region]],Sheet1!$A$12:$A$15,Sheet1!$B$12:$B$15,0)</f>
        <v>0.06</v>
      </c>
      <c r="H93" s="40">
        <f>Table2[[#This Row],[Tax Rate]]*Table2[[#This Row],[Sales Amount]]</f>
        <v>577.88459999999998</v>
      </c>
      <c r="I93" s="40">
        <v>9631.41</v>
      </c>
      <c r="J93" s="38">
        <v>49</v>
      </c>
      <c r="K93" s="38" t="s">
        <v>16</v>
      </c>
      <c r="L93" s="40">
        <v>1833.95</v>
      </c>
      <c r="M93" s="40">
        <v>2147.14</v>
      </c>
      <c r="N93" s="38" t="s">
        <v>17</v>
      </c>
      <c r="O93" s="41">
        <v>0.18</v>
      </c>
      <c r="P93" s="38" t="s">
        <v>31</v>
      </c>
      <c r="Q93" s="38" t="s">
        <v>22</v>
      </c>
      <c r="R93" s="38" t="str">
        <f>IF(Cleaned_Final!$I93&gt;=5000,"High","Low")</f>
        <v>High</v>
      </c>
    </row>
    <row r="94" spans="1:18" x14ac:dyDescent="0.35">
      <c r="A94" s="34">
        <v>1087</v>
      </c>
      <c r="B94" s="34" t="str">
        <f>_xlfn.XLOOKUP(Table2[[#This Row],[Product ID]],Sheet1!$A$32:$A$200,Sheet1!$B$32:$B$200,"Not Found")</f>
        <v>Sofa Set</v>
      </c>
      <c r="C94" s="35">
        <v>45021</v>
      </c>
      <c r="D94" s="34" t="s">
        <v>38</v>
      </c>
      <c r="E94" s="34" t="str" cm="1">
        <f t="array" ref="E94">_xlfn.XLOOKUP(Table2[[#This Row],[Sales Rep]],Sheet1!$A$21:$A$25,Sheet1!$B$21:$B$25,Not Found)</f>
        <v>Tracy Moore</v>
      </c>
      <c r="F94" s="34" t="s">
        <v>34</v>
      </c>
      <c r="G94" s="34">
        <f>_xlfn.XLOOKUP(Table2[[#This Row],[Region]],Sheet1!$A$12:$A$15,Sheet1!$B$12:$B$15,0)</f>
        <v>0.06</v>
      </c>
      <c r="H94" s="36">
        <f>Table2[[#This Row],[Tax Rate]]*Table2[[#This Row],[Sales Amount]]</f>
        <v>50.909399999999998</v>
      </c>
      <c r="I94" s="36">
        <v>848.49</v>
      </c>
      <c r="J94" s="34">
        <v>43</v>
      </c>
      <c r="K94" s="34" t="s">
        <v>16</v>
      </c>
      <c r="L94" s="36">
        <v>481</v>
      </c>
      <c r="M94" s="36">
        <v>531.02</v>
      </c>
      <c r="N94" s="34" t="s">
        <v>30</v>
      </c>
      <c r="O94" s="37">
        <v>0.17</v>
      </c>
      <c r="P94" s="34" t="s">
        <v>18</v>
      </c>
      <c r="Q94" s="34" t="s">
        <v>19</v>
      </c>
      <c r="R94" s="34" t="str">
        <f>IF(Cleaned_Final!$I94&gt;=5000,"High","Low")</f>
        <v>Low</v>
      </c>
    </row>
    <row r="95" spans="1:18" x14ac:dyDescent="0.35">
      <c r="A95" s="38">
        <v>1062</v>
      </c>
      <c r="B95" s="38" t="str">
        <f>_xlfn.XLOOKUP(Table2[[#This Row],[Product ID]],Sheet1!$A$32:$A$200,Sheet1!$B$32:$B$200,"Not Found")</f>
        <v>Boxers</v>
      </c>
      <c r="C95" s="39">
        <v>45231</v>
      </c>
      <c r="D95" s="38" t="s">
        <v>14</v>
      </c>
      <c r="E95" s="38" t="str" cm="1">
        <f t="array" ref="E95">_xlfn.XLOOKUP(Table2[[#This Row],[Sales Rep]],Sheet1!$A$21:$A$25,Sheet1!$B$21:$B$25,Not Found)</f>
        <v>Michael Smith</v>
      </c>
      <c r="F95" s="38" t="s">
        <v>34</v>
      </c>
      <c r="G95" s="38">
        <f>_xlfn.XLOOKUP(Table2[[#This Row],[Region]],Sheet1!$A$12:$A$15,Sheet1!$B$12:$B$15,0)</f>
        <v>0.06</v>
      </c>
      <c r="H95" s="40">
        <f>Table2[[#This Row],[Tax Rate]]*Table2[[#This Row],[Sales Amount]]</f>
        <v>223.21439999999998</v>
      </c>
      <c r="I95" s="40">
        <v>3720.24</v>
      </c>
      <c r="J95" s="38">
        <v>36</v>
      </c>
      <c r="K95" s="38" t="s">
        <v>26</v>
      </c>
      <c r="L95" s="40">
        <v>1050.6400000000001</v>
      </c>
      <c r="M95" s="40">
        <v>1167.33</v>
      </c>
      <c r="N95" s="38" t="s">
        <v>30</v>
      </c>
      <c r="O95" s="41">
        <v>0.22</v>
      </c>
      <c r="P95" s="38" t="s">
        <v>18</v>
      </c>
      <c r="Q95" s="38" t="s">
        <v>19</v>
      </c>
      <c r="R95" s="38" t="str">
        <f>IF(Cleaned_Final!$I95&gt;=5000,"High","Low")</f>
        <v>Low</v>
      </c>
    </row>
    <row r="96" spans="1:18" x14ac:dyDescent="0.35">
      <c r="A96" s="34">
        <v>1040</v>
      </c>
      <c r="B96" s="34" t="str">
        <f>_xlfn.XLOOKUP(Table2[[#This Row],[Product ID]],Sheet1!$A$32:$A$200,Sheet1!$B$32:$B$200,"Not Found")</f>
        <v>Cap</v>
      </c>
      <c r="C96" s="35">
        <v>44995</v>
      </c>
      <c r="D96" s="34" t="s">
        <v>33</v>
      </c>
      <c r="E96" s="34" t="str" cm="1">
        <f t="array" ref="E96">_xlfn.XLOOKUP(Table2[[#This Row],[Sales Rep]],Sheet1!$A$21:$A$25,Sheet1!$B$21:$B$25,Not Found)</f>
        <v>Susan Jerkins</v>
      </c>
      <c r="F96" s="34" t="s">
        <v>34</v>
      </c>
      <c r="G96" s="34">
        <f>_xlfn.XLOOKUP(Table2[[#This Row],[Region]],Sheet1!$A$12:$A$15,Sheet1!$B$12:$B$15,0)</f>
        <v>0.06</v>
      </c>
      <c r="H96" s="36">
        <f>Table2[[#This Row],[Tax Rate]]*Table2[[#This Row],[Sales Amount]]</f>
        <v>139.87619999999998</v>
      </c>
      <c r="I96" s="36">
        <v>2331.27</v>
      </c>
      <c r="J96" s="34">
        <v>13</v>
      </c>
      <c r="K96" s="34" t="s">
        <v>29</v>
      </c>
      <c r="L96" s="36">
        <v>2750.18</v>
      </c>
      <c r="M96" s="36">
        <v>2882.85</v>
      </c>
      <c r="N96" s="34" t="s">
        <v>17</v>
      </c>
      <c r="O96" s="37">
        <v>0.24</v>
      </c>
      <c r="P96" s="34" t="s">
        <v>31</v>
      </c>
      <c r="Q96" s="34" t="s">
        <v>19</v>
      </c>
      <c r="R96" s="34" t="str">
        <f>IF(Cleaned_Final!$I96&gt;=5000,"High","Low")</f>
        <v>Low</v>
      </c>
    </row>
    <row r="97" spans="1:18" x14ac:dyDescent="0.35">
      <c r="A97" s="38">
        <v>1085</v>
      </c>
      <c r="B97" s="38" t="str">
        <f>_xlfn.XLOOKUP(Table2[[#This Row],[Product ID]],Sheet1!$A$32:$A$200,Sheet1!$B$32:$B$200,"Not Found")</f>
        <v>Settee</v>
      </c>
      <c r="C97" s="39">
        <v>45244</v>
      </c>
      <c r="D97" s="38" t="s">
        <v>33</v>
      </c>
      <c r="E97" s="38" t="str" cm="1">
        <f t="array" ref="E97">_xlfn.XLOOKUP(Table2[[#This Row],[Sales Rep]],Sheet1!$A$21:$A$25,Sheet1!$B$21:$B$25,Not Found)</f>
        <v>Susan Jerkins</v>
      </c>
      <c r="F97" s="38" t="s">
        <v>25</v>
      </c>
      <c r="G97" s="38">
        <f>_xlfn.XLOOKUP(Table2[[#This Row],[Region]],Sheet1!$A$12:$A$15,Sheet1!$B$12:$B$15,0)</f>
        <v>0.05</v>
      </c>
      <c r="H97" s="40">
        <f>Table2[[#This Row],[Tax Rate]]*Table2[[#This Row],[Sales Amount]]</f>
        <v>101.9375</v>
      </c>
      <c r="I97" s="40">
        <v>2038.75</v>
      </c>
      <c r="J97" s="38">
        <v>32</v>
      </c>
      <c r="K97" s="38" t="s">
        <v>16</v>
      </c>
      <c r="L97" s="40">
        <v>1074.93</v>
      </c>
      <c r="M97" s="40">
        <v>1492.48</v>
      </c>
      <c r="N97" s="38" t="s">
        <v>17</v>
      </c>
      <c r="O97" s="41">
        <v>0.04</v>
      </c>
      <c r="P97" s="38" t="s">
        <v>31</v>
      </c>
      <c r="Q97" s="38" t="s">
        <v>22</v>
      </c>
      <c r="R97" s="38" t="str">
        <f>IF(Cleaned_Final!$I97&gt;=5000,"High","Low")</f>
        <v>Low</v>
      </c>
    </row>
    <row r="98" spans="1:18" x14ac:dyDescent="0.35">
      <c r="A98" s="34">
        <v>1080</v>
      </c>
      <c r="B98" s="34" t="str">
        <f>_xlfn.XLOOKUP(Table2[[#This Row],[Product ID]],Sheet1!$A$32:$A$200,Sheet1!$B$32:$B$200,"Not Found")</f>
        <v>Headphones</v>
      </c>
      <c r="C98" s="35">
        <v>45162</v>
      </c>
      <c r="D98" s="34" t="s">
        <v>14</v>
      </c>
      <c r="E98" s="34" t="str" cm="1">
        <f t="array" ref="E98">_xlfn.XLOOKUP(Table2[[#This Row],[Sales Rep]],Sheet1!$A$21:$A$25,Sheet1!$B$21:$B$25,Not Found)</f>
        <v>Michael Smith</v>
      </c>
      <c r="F98" s="34" t="s">
        <v>21</v>
      </c>
      <c r="G98" s="34">
        <f>_xlfn.XLOOKUP(Table2[[#This Row],[Region]],Sheet1!$A$12:$A$15,Sheet1!$B$12:$B$15,0)</f>
        <v>0.08</v>
      </c>
      <c r="H98" s="36">
        <f>Table2[[#This Row],[Tax Rate]]*Table2[[#This Row],[Sales Amount]]</f>
        <v>119.51600000000001</v>
      </c>
      <c r="I98" s="36">
        <v>1493.95</v>
      </c>
      <c r="J98" s="34">
        <v>17</v>
      </c>
      <c r="K98" s="34" t="s">
        <v>16</v>
      </c>
      <c r="L98" s="36">
        <v>2742.67</v>
      </c>
      <c r="M98" s="36">
        <v>2979.64</v>
      </c>
      <c r="N98" s="34" t="s">
        <v>17</v>
      </c>
      <c r="O98" s="37">
        <v>0.01</v>
      </c>
      <c r="P98" s="34" t="s">
        <v>18</v>
      </c>
      <c r="Q98" s="34" t="s">
        <v>22</v>
      </c>
      <c r="R98" s="34" t="str">
        <f>IF(Cleaned_Final!$I98&gt;=5000,"High","Low")</f>
        <v>Low</v>
      </c>
    </row>
    <row r="99" spans="1:18" x14ac:dyDescent="0.35">
      <c r="A99" s="38">
        <v>1082</v>
      </c>
      <c r="B99" s="38" t="str">
        <f>_xlfn.XLOOKUP(Table2[[#This Row],[Product ID]],Sheet1!$A$32:$A$200,Sheet1!$B$32:$B$200,"Not Found")</f>
        <v>USB Drive</v>
      </c>
      <c r="C99" s="39">
        <v>45260</v>
      </c>
      <c r="D99" s="38" t="s">
        <v>42</v>
      </c>
      <c r="E99" s="38" t="str" cm="1">
        <f t="array" ref="E99">_xlfn.XLOOKUP(Table2[[#This Row],[Sales Rep]],Sheet1!$A$21:$A$25,Sheet1!$B$21:$B$25,Not Found)</f>
        <v>Scott Wayne</v>
      </c>
      <c r="F99" s="38" t="s">
        <v>25</v>
      </c>
      <c r="G99" s="38">
        <f>_xlfn.XLOOKUP(Table2[[#This Row],[Region]],Sheet1!$A$12:$A$15,Sheet1!$B$12:$B$15,0)</f>
        <v>0.05</v>
      </c>
      <c r="H99" s="40">
        <f>Table2[[#This Row],[Tax Rate]]*Table2[[#This Row],[Sales Amount]]</f>
        <v>313.09500000000003</v>
      </c>
      <c r="I99" s="40">
        <v>6261.9</v>
      </c>
      <c r="J99" s="38">
        <v>41</v>
      </c>
      <c r="K99" s="38" t="s">
        <v>35</v>
      </c>
      <c r="L99" s="40">
        <v>1196.42</v>
      </c>
      <c r="M99" s="40">
        <v>1444.97</v>
      </c>
      <c r="N99" s="38" t="s">
        <v>17</v>
      </c>
      <c r="O99" s="41">
        <v>0.21</v>
      </c>
      <c r="P99" s="38" t="s">
        <v>27</v>
      </c>
      <c r="Q99" s="38" t="s">
        <v>19</v>
      </c>
      <c r="R99" s="38" t="str">
        <f>IF(Cleaned_Final!$I99&gt;=5000,"High","Low")</f>
        <v>High</v>
      </c>
    </row>
    <row r="100" spans="1:18" x14ac:dyDescent="0.35">
      <c r="A100" s="34">
        <v>1053</v>
      </c>
      <c r="B100" s="34" t="str">
        <f>_xlfn.XLOOKUP(Table2[[#This Row],[Product ID]],Sheet1!$A$32:$A$200,Sheet1!$B$32:$B$200,"Not Found")</f>
        <v>Bed</v>
      </c>
      <c r="C100" s="35">
        <v>45063</v>
      </c>
      <c r="D100" s="34" t="s">
        <v>14</v>
      </c>
      <c r="E100" s="34" t="str" cm="1">
        <f t="array" ref="E100">_xlfn.XLOOKUP(Table2[[#This Row],[Sales Rep]],Sheet1!$A$21:$A$25,Sheet1!$B$21:$B$25,Not Found)</f>
        <v>Michael Smith</v>
      </c>
      <c r="F100" s="34" t="s">
        <v>25</v>
      </c>
      <c r="G100" s="34">
        <f>_xlfn.XLOOKUP(Table2[[#This Row],[Region]],Sheet1!$A$12:$A$15,Sheet1!$B$12:$B$15,0)</f>
        <v>0.05</v>
      </c>
      <c r="H100" s="36">
        <f>Table2[[#This Row],[Tax Rate]]*Table2[[#This Row],[Sales Amount]]</f>
        <v>391.75450000000001</v>
      </c>
      <c r="I100" s="36">
        <v>7835.09</v>
      </c>
      <c r="J100" s="34">
        <v>36</v>
      </c>
      <c r="K100" s="34" t="s">
        <v>29</v>
      </c>
      <c r="L100" s="36">
        <v>4252.17</v>
      </c>
      <c r="M100" s="36">
        <v>4720.2700000000004</v>
      </c>
      <c r="N100" s="34" t="s">
        <v>30</v>
      </c>
      <c r="O100" s="37">
        <v>0.09</v>
      </c>
      <c r="P100" s="34" t="s">
        <v>18</v>
      </c>
      <c r="Q100" s="34" t="s">
        <v>22</v>
      </c>
      <c r="R100" s="34" t="str">
        <f>IF(Cleaned_Final!$I100&gt;=5000,"High","Low")</f>
        <v>High</v>
      </c>
    </row>
    <row r="101" spans="1:18" x14ac:dyDescent="0.35">
      <c r="A101" s="38">
        <v>1024</v>
      </c>
      <c r="B101" s="38" t="str">
        <f>_xlfn.XLOOKUP(Table2[[#This Row],[Product ID]],Sheet1!$A$32:$A$200,Sheet1!$B$32:$B$200,"Not Found")</f>
        <v>Pasta Pack</v>
      </c>
      <c r="C101" s="39">
        <v>45002</v>
      </c>
      <c r="D101" s="38" t="s">
        <v>38</v>
      </c>
      <c r="E101" s="38" t="str" cm="1">
        <f t="array" ref="E101">_xlfn.XLOOKUP(Table2[[#This Row],[Sales Rep]],Sheet1!$A$21:$A$25,Sheet1!$B$21:$B$25,Not Found)</f>
        <v>Tracy Moore</v>
      </c>
      <c r="F101" s="38" t="s">
        <v>25</v>
      </c>
      <c r="G101" s="38">
        <f>_xlfn.XLOOKUP(Table2[[#This Row],[Region]],Sheet1!$A$12:$A$15,Sheet1!$B$12:$B$15,0)</f>
        <v>0.05</v>
      </c>
      <c r="H101" s="40">
        <f>Table2[[#This Row],[Tax Rate]]*Table2[[#This Row],[Sales Amount]]</f>
        <v>291.25749999999999</v>
      </c>
      <c r="I101" s="40">
        <v>5825.15</v>
      </c>
      <c r="J101" s="38">
        <v>46</v>
      </c>
      <c r="K101" s="38" t="s">
        <v>35</v>
      </c>
      <c r="L101" s="40">
        <v>2016.49</v>
      </c>
      <c r="M101" s="40">
        <v>2338.66</v>
      </c>
      <c r="N101" s="38" t="s">
        <v>17</v>
      </c>
      <c r="O101" s="41">
        <v>0.19</v>
      </c>
      <c r="P101" s="38" t="s">
        <v>27</v>
      </c>
      <c r="Q101" s="38" t="s">
        <v>22</v>
      </c>
      <c r="R101" s="38" t="str">
        <f>IF(Cleaned_Final!$I101&gt;=5000,"High","Low")</f>
        <v>High</v>
      </c>
    </row>
    <row r="102" spans="1:18" x14ac:dyDescent="0.35">
      <c r="A102" s="34">
        <v>1026</v>
      </c>
      <c r="B102" s="34" t="str">
        <f>_xlfn.XLOOKUP(Table2[[#This Row],[Product ID]],Sheet1!$A$32:$A$200,Sheet1!$B$32:$B$200,"Not Found")</f>
        <v>Television</v>
      </c>
      <c r="C102" s="35">
        <v>44961</v>
      </c>
      <c r="D102" s="34" t="s">
        <v>42</v>
      </c>
      <c r="E102" s="34" t="str" cm="1">
        <f t="array" ref="E102">_xlfn.XLOOKUP(Table2[[#This Row],[Sales Rep]],Sheet1!$A$21:$A$25,Sheet1!$B$21:$B$25,Not Found)</f>
        <v>Scott Wayne</v>
      </c>
      <c r="F102" s="34" t="s">
        <v>21</v>
      </c>
      <c r="G102" s="34">
        <f>_xlfn.XLOOKUP(Table2[[#This Row],[Region]],Sheet1!$A$12:$A$15,Sheet1!$B$12:$B$15,0)</f>
        <v>0.08</v>
      </c>
      <c r="H102" s="36">
        <f>Table2[[#This Row],[Tax Rate]]*Table2[[#This Row],[Sales Amount]]</f>
        <v>124.3944</v>
      </c>
      <c r="I102" s="36">
        <v>1554.93</v>
      </c>
      <c r="J102" s="34">
        <v>19</v>
      </c>
      <c r="K102" s="34" t="s">
        <v>35</v>
      </c>
      <c r="L102" s="36">
        <v>1265.48</v>
      </c>
      <c r="M102" s="36">
        <v>1715.83</v>
      </c>
      <c r="N102" s="34" t="s">
        <v>30</v>
      </c>
      <c r="O102" s="37">
        <v>0.05</v>
      </c>
      <c r="P102" s="34" t="s">
        <v>31</v>
      </c>
      <c r="Q102" s="34" t="s">
        <v>22</v>
      </c>
      <c r="R102" s="34" t="str">
        <f>IF(Cleaned_Final!$I102&gt;=5000,"High","Low")</f>
        <v>Low</v>
      </c>
    </row>
    <row r="103" spans="1:18" x14ac:dyDescent="0.35">
      <c r="A103" s="38">
        <v>1089</v>
      </c>
      <c r="B103" s="38" t="str">
        <f>_xlfn.XLOOKUP(Table2[[#This Row],[Product ID]],Sheet1!$A$32:$A$200,Sheet1!$B$32:$B$200,"Not Found")</f>
        <v>Recliner</v>
      </c>
      <c r="C103" s="39">
        <v>44927</v>
      </c>
      <c r="D103" s="38" t="s">
        <v>33</v>
      </c>
      <c r="E103" s="38" t="str" cm="1">
        <f t="array" ref="E103">_xlfn.XLOOKUP(Table2[[#This Row],[Sales Rep]],Sheet1!$A$21:$A$25,Sheet1!$B$21:$B$25,Not Found)</f>
        <v>Susan Jerkins</v>
      </c>
      <c r="F103" s="38" t="s">
        <v>15</v>
      </c>
      <c r="G103" s="38">
        <f>_xlfn.XLOOKUP(Table2[[#This Row],[Region]],Sheet1!$A$12:$A$15,Sheet1!$B$12:$B$15,0)</f>
        <v>7.4999999999999997E-2</v>
      </c>
      <c r="H103" s="40">
        <f>Table2[[#This Row],[Tax Rate]]*Table2[[#This Row],[Sales Amount]]</f>
        <v>609.75974999999994</v>
      </c>
      <c r="I103" s="40">
        <v>8130.13</v>
      </c>
      <c r="J103" s="38">
        <v>35</v>
      </c>
      <c r="K103" s="38" t="s">
        <v>29</v>
      </c>
      <c r="L103" s="40">
        <v>4071.01</v>
      </c>
      <c r="M103" s="40">
        <v>4304.7</v>
      </c>
      <c r="N103" s="38" t="s">
        <v>30</v>
      </c>
      <c r="O103" s="41">
        <v>0.14000000000000001</v>
      </c>
      <c r="P103" s="38" t="s">
        <v>31</v>
      </c>
      <c r="Q103" s="38" t="s">
        <v>19</v>
      </c>
      <c r="R103" s="38" t="str">
        <f>IF(Cleaned_Final!$I103&gt;=5000,"High","Low")</f>
        <v>High</v>
      </c>
    </row>
    <row r="104" spans="1:18" x14ac:dyDescent="0.35">
      <c r="A104" s="34">
        <v>1060</v>
      </c>
      <c r="B104" s="34" t="str">
        <f>_xlfn.XLOOKUP(Table2[[#This Row],[Product ID]],Sheet1!$A$32:$A$200,Sheet1!$B$32:$B$200,"Not Found")</f>
        <v>Head Warmer</v>
      </c>
      <c r="C104" s="35">
        <v>45222</v>
      </c>
      <c r="D104" s="34" t="s">
        <v>14</v>
      </c>
      <c r="E104" s="34" t="str" cm="1">
        <f t="array" ref="E104">_xlfn.XLOOKUP(Table2[[#This Row],[Sales Rep]],Sheet1!$A$21:$A$25,Sheet1!$B$21:$B$25,Not Found)</f>
        <v>Michael Smith</v>
      </c>
      <c r="F104" s="34" t="s">
        <v>21</v>
      </c>
      <c r="G104" s="34">
        <f>_xlfn.XLOOKUP(Table2[[#This Row],[Region]],Sheet1!$A$12:$A$15,Sheet1!$B$12:$B$15,0)</f>
        <v>0.08</v>
      </c>
      <c r="H104" s="36">
        <f>Table2[[#This Row],[Tax Rate]]*Table2[[#This Row],[Sales Amount]]</f>
        <v>511.67599999999999</v>
      </c>
      <c r="I104" s="36">
        <v>6395.95</v>
      </c>
      <c r="J104" s="34">
        <v>46</v>
      </c>
      <c r="K104" s="34" t="s">
        <v>29</v>
      </c>
      <c r="L104" s="36">
        <v>1747.05</v>
      </c>
      <c r="M104" s="36">
        <v>1830.27</v>
      </c>
      <c r="N104" s="34" t="s">
        <v>30</v>
      </c>
      <c r="O104" s="37">
        <v>0.15</v>
      </c>
      <c r="P104" s="34" t="s">
        <v>27</v>
      </c>
      <c r="Q104" s="34" t="s">
        <v>22</v>
      </c>
      <c r="R104" s="34" t="str">
        <f>IF(Cleaned_Final!$I104&gt;=5000,"High","Low")</f>
        <v>High</v>
      </c>
    </row>
    <row r="105" spans="1:18" x14ac:dyDescent="0.35">
      <c r="A105" s="38">
        <v>1041</v>
      </c>
      <c r="B105" s="38" t="str">
        <f>_xlfn.XLOOKUP(Table2[[#This Row],[Product ID]],Sheet1!$A$32:$A$200,Sheet1!$B$32:$B$200,"Not Found")</f>
        <v>Bread</v>
      </c>
      <c r="C105" s="39">
        <v>45246</v>
      </c>
      <c r="D105" s="38" t="s">
        <v>24</v>
      </c>
      <c r="E105" s="38" t="str" cm="1">
        <f t="array" ref="E105">_xlfn.XLOOKUP(Table2[[#This Row],[Sales Rep]],Sheet1!$A$21:$A$25,Sheet1!$B$21:$B$25,Not Found)</f>
        <v>Hogan Rock</v>
      </c>
      <c r="F105" s="38" t="s">
        <v>25</v>
      </c>
      <c r="G105" s="38">
        <f>_xlfn.XLOOKUP(Table2[[#This Row],[Region]],Sheet1!$A$12:$A$15,Sheet1!$B$12:$B$15,0)</f>
        <v>0.05</v>
      </c>
      <c r="H105" s="40">
        <f>Table2[[#This Row],[Tax Rate]]*Table2[[#This Row],[Sales Amount]]</f>
        <v>197.14200000000002</v>
      </c>
      <c r="I105" s="40">
        <v>3942.84</v>
      </c>
      <c r="J105" s="38">
        <v>40</v>
      </c>
      <c r="K105" s="38" t="s">
        <v>26</v>
      </c>
      <c r="L105" s="40">
        <v>601.86</v>
      </c>
      <c r="M105" s="40">
        <v>1067.53</v>
      </c>
      <c r="N105" s="38" t="s">
        <v>30</v>
      </c>
      <c r="O105" s="41">
        <v>0.18</v>
      </c>
      <c r="P105" s="38" t="s">
        <v>18</v>
      </c>
      <c r="Q105" s="38" t="s">
        <v>19</v>
      </c>
      <c r="R105" s="38" t="str">
        <f>IF(Cleaned_Final!$I105&gt;=5000,"High","Low")</f>
        <v>Low</v>
      </c>
    </row>
    <row r="106" spans="1:18" x14ac:dyDescent="0.35">
      <c r="A106" s="34">
        <v>1029</v>
      </c>
      <c r="B106" s="34" t="str">
        <f>_xlfn.XLOOKUP(Table2[[#This Row],[Product ID]],Sheet1!$A$32:$A$200,Sheet1!$B$32:$B$200,"Not Found")</f>
        <v>Camisole</v>
      </c>
      <c r="C106" s="35">
        <v>44986</v>
      </c>
      <c r="D106" s="34" t="s">
        <v>24</v>
      </c>
      <c r="E106" s="34" t="str" cm="1">
        <f t="array" ref="E106">_xlfn.XLOOKUP(Table2[[#This Row],[Sales Rep]],Sheet1!$A$21:$A$25,Sheet1!$B$21:$B$25,Not Found)</f>
        <v>Hogan Rock</v>
      </c>
      <c r="F106" s="34" t="s">
        <v>34</v>
      </c>
      <c r="G106" s="34">
        <f>_xlfn.XLOOKUP(Table2[[#This Row],[Region]],Sheet1!$A$12:$A$15,Sheet1!$B$12:$B$15,0)</f>
        <v>0.06</v>
      </c>
      <c r="H106" s="36">
        <f>Table2[[#This Row],[Tax Rate]]*Table2[[#This Row],[Sales Amount]]</f>
        <v>406.43340000000001</v>
      </c>
      <c r="I106" s="36">
        <v>6773.89</v>
      </c>
      <c r="J106" s="34">
        <v>28</v>
      </c>
      <c r="K106" s="34" t="s">
        <v>29</v>
      </c>
      <c r="L106" s="36">
        <v>2873.53</v>
      </c>
      <c r="M106" s="36">
        <v>3108.3</v>
      </c>
      <c r="N106" s="34" t="s">
        <v>30</v>
      </c>
      <c r="O106" s="37">
        <v>0.15</v>
      </c>
      <c r="P106" s="34" t="s">
        <v>31</v>
      </c>
      <c r="Q106" s="34" t="s">
        <v>22</v>
      </c>
      <c r="R106" s="34" t="str">
        <f>IF(Cleaned_Final!$I106&gt;=5000,"High","Low")</f>
        <v>High</v>
      </c>
    </row>
    <row r="107" spans="1:18" x14ac:dyDescent="0.35">
      <c r="A107" s="38">
        <v>1015</v>
      </c>
      <c r="B107" s="38" t="str">
        <f>_xlfn.XLOOKUP(Table2[[#This Row],[Product ID]],Sheet1!$A$32:$A$200,Sheet1!$B$32:$B$200,"Not Found")</f>
        <v>Chocolate Bar</v>
      </c>
      <c r="C107" s="39">
        <v>45246</v>
      </c>
      <c r="D107" s="38" t="s">
        <v>38</v>
      </c>
      <c r="E107" s="38" t="str" cm="1">
        <f t="array" ref="E107">_xlfn.XLOOKUP(Table2[[#This Row],[Sales Rep]],Sheet1!$A$21:$A$25,Sheet1!$B$21:$B$25,Not Found)</f>
        <v>Tracy Moore</v>
      </c>
      <c r="F107" s="38" t="s">
        <v>34</v>
      </c>
      <c r="G107" s="38">
        <f>_xlfn.XLOOKUP(Table2[[#This Row],[Region]],Sheet1!$A$12:$A$15,Sheet1!$B$12:$B$15,0)</f>
        <v>0.06</v>
      </c>
      <c r="H107" s="40">
        <f>Table2[[#This Row],[Tax Rate]]*Table2[[#This Row],[Sales Amount]]</f>
        <v>160.3836</v>
      </c>
      <c r="I107" s="40">
        <v>2673.06</v>
      </c>
      <c r="J107" s="38">
        <v>1</v>
      </c>
      <c r="K107" s="38" t="s">
        <v>16</v>
      </c>
      <c r="L107" s="40">
        <v>2928.74</v>
      </c>
      <c r="M107" s="40">
        <v>3027.74</v>
      </c>
      <c r="N107" s="38" t="s">
        <v>30</v>
      </c>
      <c r="O107" s="41">
        <v>0.15</v>
      </c>
      <c r="P107" s="38" t="s">
        <v>27</v>
      </c>
      <c r="Q107" s="38" t="s">
        <v>22</v>
      </c>
      <c r="R107" s="38" t="str">
        <f>IF(Cleaned_Final!$I107&gt;=5000,"High","Low")</f>
        <v>Low</v>
      </c>
    </row>
    <row r="108" spans="1:18" x14ac:dyDescent="0.35">
      <c r="A108" s="34">
        <v>1045</v>
      </c>
      <c r="B108" s="34" t="str">
        <f>_xlfn.XLOOKUP(Table2[[#This Row],[Product ID]],Sheet1!$A$32:$A$200,Sheet1!$B$32:$B$200,"Not Found")</f>
        <v>Bikers Shorts</v>
      </c>
      <c r="C108" s="35">
        <v>45275</v>
      </c>
      <c r="D108" s="34" t="s">
        <v>24</v>
      </c>
      <c r="E108" s="34" t="str" cm="1">
        <f t="array" ref="E108">_xlfn.XLOOKUP(Table2[[#This Row],[Sales Rep]],Sheet1!$A$21:$A$25,Sheet1!$B$21:$B$25,Not Found)</f>
        <v>Hogan Rock</v>
      </c>
      <c r="F108" s="34" t="s">
        <v>25</v>
      </c>
      <c r="G108" s="34">
        <f>_xlfn.XLOOKUP(Table2[[#This Row],[Region]],Sheet1!$A$12:$A$15,Sheet1!$B$12:$B$15,0)</f>
        <v>0.05</v>
      </c>
      <c r="H108" s="36">
        <f>Table2[[#This Row],[Tax Rate]]*Table2[[#This Row],[Sales Amount]]</f>
        <v>175.87</v>
      </c>
      <c r="I108" s="36">
        <v>3517.4</v>
      </c>
      <c r="J108" s="34">
        <v>42</v>
      </c>
      <c r="K108" s="34" t="s">
        <v>29</v>
      </c>
      <c r="L108" s="36">
        <v>3587.74</v>
      </c>
      <c r="M108" s="36">
        <v>3745.91</v>
      </c>
      <c r="N108" s="34" t="s">
        <v>17</v>
      </c>
      <c r="O108" s="37">
        <v>0.1</v>
      </c>
      <c r="P108" s="34" t="s">
        <v>18</v>
      </c>
      <c r="Q108" s="34" t="s">
        <v>19</v>
      </c>
      <c r="R108" s="34" t="str">
        <f>IF(Cleaned_Final!$I108&gt;=5000,"High","Low")</f>
        <v>Low</v>
      </c>
    </row>
    <row r="109" spans="1:18" x14ac:dyDescent="0.35">
      <c r="A109" s="38">
        <v>1065</v>
      </c>
      <c r="B109" s="38" t="str">
        <f>_xlfn.XLOOKUP(Table2[[#This Row],[Product ID]],Sheet1!$A$32:$A$200,Sheet1!$B$32:$B$200,"Not Found")</f>
        <v>Potatoes</v>
      </c>
      <c r="C109" s="39">
        <v>45254</v>
      </c>
      <c r="D109" s="38" t="s">
        <v>14</v>
      </c>
      <c r="E109" s="38" t="str" cm="1">
        <f t="array" ref="E109">_xlfn.XLOOKUP(Table2[[#This Row],[Sales Rep]],Sheet1!$A$21:$A$25,Sheet1!$B$21:$B$25,Not Found)</f>
        <v>Michael Smith</v>
      </c>
      <c r="F109" s="38" t="s">
        <v>34</v>
      </c>
      <c r="G109" s="38">
        <f>_xlfn.XLOOKUP(Table2[[#This Row],[Region]],Sheet1!$A$12:$A$15,Sheet1!$B$12:$B$15,0)</f>
        <v>0.06</v>
      </c>
      <c r="H109" s="40">
        <f>Table2[[#This Row],[Tax Rate]]*Table2[[#This Row],[Sales Amount]]</f>
        <v>550.98660000000007</v>
      </c>
      <c r="I109" s="40">
        <v>9183.11</v>
      </c>
      <c r="J109" s="38">
        <v>18</v>
      </c>
      <c r="K109" s="38" t="s">
        <v>26</v>
      </c>
      <c r="L109" s="40">
        <v>1239.0899999999999</v>
      </c>
      <c r="M109" s="40">
        <v>1273.98</v>
      </c>
      <c r="N109" s="38" t="s">
        <v>30</v>
      </c>
      <c r="O109" s="41">
        <v>0.02</v>
      </c>
      <c r="P109" s="38" t="s">
        <v>27</v>
      </c>
      <c r="Q109" s="38" t="s">
        <v>22</v>
      </c>
      <c r="R109" s="38" t="str">
        <f>IF(Cleaned_Final!$I109&gt;=5000,"High","Low")</f>
        <v>High</v>
      </c>
    </row>
    <row r="110" spans="1:18" x14ac:dyDescent="0.35">
      <c r="A110" s="34">
        <v>1089</v>
      </c>
      <c r="B110" s="34" t="str">
        <f>_xlfn.XLOOKUP(Table2[[#This Row],[Product ID]],Sheet1!$A$32:$A$200,Sheet1!$B$32:$B$200,"Not Found")</f>
        <v>Recliner</v>
      </c>
      <c r="C110" s="35">
        <v>45193</v>
      </c>
      <c r="D110" s="34" t="s">
        <v>14</v>
      </c>
      <c r="E110" s="34" t="str" cm="1">
        <f t="array" ref="E110">_xlfn.XLOOKUP(Table2[[#This Row],[Sales Rep]],Sheet1!$A$21:$A$25,Sheet1!$B$21:$B$25,Not Found)</f>
        <v>Michael Smith</v>
      </c>
      <c r="F110" s="34" t="s">
        <v>25</v>
      </c>
      <c r="G110" s="34">
        <f>_xlfn.XLOOKUP(Table2[[#This Row],[Region]],Sheet1!$A$12:$A$15,Sheet1!$B$12:$B$15,0)</f>
        <v>0.05</v>
      </c>
      <c r="H110" s="36">
        <f>Table2[[#This Row],[Tax Rate]]*Table2[[#This Row],[Sales Amount]]</f>
        <v>148.79949999999999</v>
      </c>
      <c r="I110" s="36">
        <v>2975.99</v>
      </c>
      <c r="J110" s="34">
        <v>48</v>
      </c>
      <c r="K110" s="34" t="s">
        <v>26</v>
      </c>
      <c r="L110" s="36">
        <v>2246.67</v>
      </c>
      <c r="M110" s="36">
        <v>2486.14</v>
      </c>
      <c r="N110" s="34" t="s">
        <v>30</v>
      </c>
      <c r="O110" s="37">
        <v>0.03</v>
      </c>
      <c r="P110" s="34" t="s">
        <v>18</v>
      </c>
      <c r="Q110" s="34" t="s">
        <v>22</v>
      </c>
      <c r="R110" s="34" t="str">
        <f>IF(Cleaned_Final!$I110&gt;=5000,"High","Low")</f>
        <v>Low</v>
      </c>
    </row>
    <row r="111" spans="1:18" x14ac:dyDescent="0.35">
      <c r="A111" s="38">
        <v>1071</v>
      </c>
      <c r="B111" s="38" t="str">
        <f>_xlfn.XLOOKUP(Table2[[#This Row],[Product ID]],Sheet1!$A$32:$A$200,Sheet1!$B$32:$B$200,"Not Found")</f>
        <v>Game Table</v>
      </c>
      <c r="C111" s="39">
        <v>45287</v>
      </c>
      <c r="D111" s="38" t="s">
        <v>24</v>
      </c>
      <c r="E111" s="38" t="str" cm="1">
        <f t="array" ref="E111">_xlfn.XLOOKUP(Table2[[#This Row],[Sales Rep]],Sheet1!$A$21:$A$25,Sheet1!$B$21:$B$25,Not Found)</f>
        <v>Hogan Rock</v>
      </c>
      <c r="F111" s="38" t="s">
        <v>34</v>
      </c>
      <c r="G111" s="38">
        <f>_xlfn.XLOOKUP(Table2[[#This Row],[Region]],Sheet1!$A$12:$A$15,Sheet1!$B$12:$B$15,0)</f>
        <v>0.06</v>
      </c>
      <c r="H111" s="40">
        <f>Table2[[#This Row],[Tax Rate]]*Table2[[#This Row],[Sales Amount]]</f>
        <v>285.1728</v>
      </c>
      <c r="I111" s="40">
        <v>4752.88</v>
      </c>
      <c r="J111" s="38">
        <v>40</v>
      </c>
      <c r="K111" s="38" t="s">
        <v>26</v>
      </c>
      <c r="L111" s="40">
        <v>1447.72</v>
      </c>
      <c r="M111" s="40">
        <v>1875.75</v>
      </c>
      <c r="N111" s="38" t="s">
        <v>30</v>
      </c>
      <c r="O111" s="41">
        <v>0.13</v>
      </c>
      <c r="P111" s="38" t="s">
        <v>18</v>
      </c>
      <c r="Q111" s="38" t="s">
        <v>22</v>
      </c>
      <c r="R111" s="38" t="str">
        <f>IF(Cleaned_Final!$I111&gt;=5000,"High","Low")</f>
        <v>Low</v>
      </c>
    </row>
    <row r="112" spans="1:18" x14ac:dyDescent="0.35">
      <c r="A112" s="34">
        <v>1009</v>
      </c>
      <c r="B112" s="34" t="str">
        <f>_xlfn.XLOOKUP(Table2[[#This Row],[Product ID]],Sheet1!$A$32:$A$200,Sheet1!$B$32:$B$200,"Not Found")</f>
        <v>Jacket</v>
      </c>
      <c r="C112" s="35">
        <v>45155</v>
      </c>
      <c r="D112" s="34" t="s">
        <v>14</v>
      </c>
      <c r="E112" s="34" t="str" cm="1">
        <f t="array" ref="E112">_xlfn.XLOOKUP(Table2[[#This Row],[Sales Rep]],Sheet1!$A$21:$A$25,Sheet1!$B$21:$B$25,Not Found)</f>
        <v>Michael Smith</v>
      </c>
      <c r="F112" s="34" t="s">
        <v>21</v>
      </c>
      <c r="G112" s="34">
        <f>_xlfn.XLOOKUP(Table2[[#This Row],[Region]],Sheet1!$A$12:$A$15,Sheet1!$B$12:$B$15,0)</f>
        <v>0.08</v>
      </c>
      <c r="H112" s="36">
        <f>Table2[[#This Row],[Tax Rate]]*Table2[[#This Row],[Sales Amount]]</f>
        <v>712.99199999999996</v>
      </c>
      <c r="I112" s="36">
        <v>8912.4</v>
      </c>
      <c r="J112" s="34">
        <v>33</v>
      </c>
      <c r="K112" s="34" t="s">
        <v>29</v>
      </c>
      <c r="L112" s="36">
        <v>450.72</v>
      </c>
      <c r="M112" s="36">
        <v>918.17</v>
      </c>
      <c r="N112" s="34" t="s">
        <v>17</v>
      </c>
      <c r="O112" s="37">
        <v>0.11</v>
      </c>
      <c r="P112" s="34" t="s">
        <v>18</v>
      </c>
      <c r="Q112" s="34" t="s">
        <v>19</v>
      </c>
      <c r="R112" s="34" t="str">
        <f>IF(Cleaned_Final!$I112&gt;=5000,"High","Low")</f>
        <v>High</v>
      </c>
    </row>
    <row r="113" spans="1:18" x14ac:dyDescent="0.35">
      <c r="A113" s="38">
        <v>1088</v>
      </c>
      <c r="B113" s="38" t="str">
        <f>_xlfn.XLOOKUP(Table2[[#This Row],[Product ID]],Sheet1!$A$32:$A$200,Sheet1!$B$32:$B$200,"Not Found")</f>
        <v>Office Desk</v>
      </c>
      <c r="C113" s="39">
        <v>45196</v>
      </c>
      <c r="D113" s="38" t="s">
        <v>38</v>
      </c>
      <c r="E113" s="38" t="str" cm="1">
        <f t="array" ref="E113">_xlfn.XLOOKUP(Table2[[#This Row],[Sales Rep]],Sheet1!$A$21:$A$25,Sheet1!$B$21:$B$25,Not Found)</f>
        <v>Tracy Moore</v>
      </c>
      <c r="F113" s="38" t="s">
        <v>15</v>
      </c>
      <c r="G113" s="38">
        <f>_xlfn.XLOOKUP(Table2[[#This Row],[Region]],Sheet1!$A$12:$A$15,Sheet1!$B$12:$B$15,0)</f>
        <v>7.4999999999999997E-2</v>
      </c>
      <c r="H113" s="40">
        <f>Table2[[#This Row],[Tax Rate]]*Table2[[#This Row],[Sales Amount]]</f>
        <v>532.98299999999995</v>
      </c>
      <c r="I113" s="40">
        <v>7106.44</v>
      </c>
      <c r="J113" s="38">
        <v>12</v>
      </c>
      <c r="K113" s="38" t="s">
        <v>29</v>
      </c>
      <c r="L113" s="40">
        <v>4389.24</v>
      </c>
      <c r="M113" s="40">
        <v>4856.2199999999903</v>
      </c>
      <c r="N113" s="38" t="s">
        <v>17</v>
      </c>
      <c r="O113" s="41">
        <v>0.15</v>
      </c>
      <c r="P113" s="38" t="s">
        <v>18</v>
      </c>
      <c r="Q113" s="38" t="s">
        <v>22</v>
      </c>
      <c r="R113" s="38" t="str">
        <f>IF(Cleaned_Final!$I113&gt;=5000,"High","Low")</f>
        <v>High</v>
      </c>
    </row>
    <row r="114" spans="1:18" x14ac:dyDescent="0.35">
      <c r="A114" s="34">
        <v>1001</v>
      </c>
      <c r="B114" s="34" t="str">
        <f>_xlfn.XLOOKUP(Table2[[#This Row],[Product ID]],Sheet1!$A$32:$A$200,Sheet1!$B$32:$B$200,"Not Found")</f>
        <v>Camera</v>
      </c>
      <c r="C114" s="35">
        <v>45242</v>
      </c>
      <c r="D114" s="34" t="s">
        <v>42</v>
      </c>
      <c r="E114" s="34" t="str" cm="1">
        <f t="array" ref="E114">_xlfn.XLOOKUP(Table2[[#This Row],[Sales Rep]],Sheet1!$A$21:$A$25,Sheet1!$B$21:$B$25,Not Found)</f>
        <v>Scott Wayne</v>
      </c>
      <c r="F114" s="34" t="s">
        <v>15</v>
      </c>
      <c r="G114" s="34">
        <f>_xlfn.XLOOKUP(Table2[[#This Row],[Region]],Sheet1!$A$12:$A$15,Sheet1!$B$12:$B$15,0)</f>
        <v>7.4999999999999997E-2</v>
      </c>
      <c r="H114" s="36">
        <f>Table2[[#This Row],[Tax Rate]]*Table2[[#This Row],[Sales Amount]]</f>
        <v>53.685749999999992</v>
      </c>
      <c r="I114" s="36">
        <v>715.81</v>
      </c>
      <c r="J114" s="34">
        <v>8</v>
      </c>
      <c r="K114" s="34" t="s">
        <v>35</v>
      </c>
      <c r="L114" s="36">
        <v>3657.91</v>
      </c>
      <c r="M114" s="36">
        <v>3729.27</v>
      </c>
      <c r="N114" s="34" t="s">
        <v>30</v>
      </c>
      <c r="O114" s="37">
        <v>0.09</v>
      </c>
      <c r="P114" s="34" t="s">
        <v>27</v>
      </c>
      <c r="Q114" s="34" t="s">
        <v>22</v>
      </c>
      <c r="R114" s="34" t="str">
        <f>IF(Cleaned_Final!$I114&gt;=5000,"High","Low")</f>
        <v>Low</v>
      </c>
    </row>
    <row r="115" spans="1:18" x14ac:dyDescent="0.35">
      <c r="A115" s="38">
        <v>1008</v>
      </c>
      <c r="B115" s="38" t="str">
        <f>_xlfn.XLOOKUP(Table2[[#This Row],[Product ID]],Sheet1!$A$32:$A$200,Sheet1!$B$32:$B$200,"Not Found")</f>
        <v>Skirt</v>
      </c>
      <c r="C115" s="39">
        <v>45212</v>
      </c>
      <c r="D115" s="38" t="s">
        <v>38</v>
      </c>
      <c r="E115" s="38" t="str" cm="1">
        <f t="array" ref="E115">_xlfn.XLOOKUP(Table2[[#This Row],[Sales Rep]],Sheet1!$A$21:$A$25,Sheet1!$B$21:$B$25,Not Found)</f>
        <v>Tracy Moore</v>
      </c>
      <c r="F115" s="38" t="s">
        <v>21</v>
      </c>
      <c r="G115" s="38">
        <f>_xlfn.XLOOKUP(Table2[[#This Row],[Region]],Sheet1!$A$12:$A$15,Sheet1!$B$12:$B$15,0)</f>
        <v>0.08</v>
      </c>
      <c r="H115" s="40">
        <f>Table2[[#This Row],[Tax Rate]]*Table2[[#This Row],[Sales Amount]]</f>
        <v>124.664</v>
      </c>
      <c r="I115" s="40">
        <v>1558.3</v>
      </c>
      <c r="J115" s="38">
        <v>24</v>
      </c>
      <c r="K115" s="38" t="s">
        <v>35</v>
      </c>
      <c r="L115" s="40">
        <v>1542.24</v>
      </c>
      <c r="M115" s="40">
        <v>1739.45</v>
      </c>
      <c r="N115" s="38" t="s">
        <v>17</v>
      </c>
      <c r="O115" s="41">
        <v>0.21</v>
      </c>
      <c r="P115" s="38" t="s">
        <v>27</v>
      </c>
      <c r="Q115" s="38" t="s">
        <v>22</v>
      </c>
      <c r="R115" s="38" t="str">
        <f>IF(Cleaned_Final!$I115&gt;=5000,"High","Low")</f>
        <v>Low</v>
      </c>
    </row>
    <row r="116" spans="1:18" x14ac:dyDescent="0.35">
      <c r="A116" s="34">
        <v>1088</v>
      </c>
      <c r="B116" s="34" t="str">
        <f>_xlfn.XLOOKUP(Table2[[#This Row],[Product ID]],Sheet1!$A$32:$A$200,Sheet1!$B$32:$B$200,"Not Found")</f>
        <v>Office Desk</v>
      </c>
      <c r="C116" s="35">
        <v>45217</v>
      </c>
      <c r="D116" s="34" t="s">
        <v>38</v>
      </c>
      <c r="E116" s="34" t="str" cm="1">
        <f t="array" ref="E116">_xlfn.XLOOKUP(Table2[[#This Row],[Sales Rep]],Sheet1!$A$21:$A$25,Sheet1!$B$21:$B$25,Not Found)</f>
        <v>Tracy Moore</v>
      </c>
      <c r="F116" s="34" t="s">
        <v>21</v>
      </c>
      <c r="G116" s="34">
        <f>_xlfn.XLOOKUP(Table2[[#This Row],[Region]],Sheet1!$A$12:$A$15,Sheet1!$B$12:$B$15,0)</f>
        <v>0.08</v>
      </c>
      <c r="H116" s="36">
        <f>Table2[[#This Row],[Tax Rate]]*Table2[[#This Row],[Sales Amount]]</f>
        <v>14.2104</v>
      </c>
      <c r="I116" s="36">
        <v>177.63</v>
      </c>
      <c r="J116" s="34">
        <v>16</v>
      </c>
      <c r="K116" s="34" t="s">
        <v>16</v>
      </c>
      <c r="L116" s="36">
        <v>3016.9</v>
      </c>
      <c r="M116" s="36">
        <v>3040.73</v>
      </c>
      <c r="N116" s="34" t="s">
        <v>30</v>
      </c>
      <c r="O116" s="37">
        <v>0.26</v>
      </c>
      <c r="P116" s="34" t="s">
        <v>27</v>
      </c>
      <c r="Q116" s="34" t="s">
        <v>22</v>
      </c>
      <c r="R116" s="34" t="str">
        <f>IF(Cleaned_Final!$I116&gt;=5000,"High","Low")</f>
        <v>Low</v>
      </c>
    </row>
    <row r="117" spans="1:18" x14ac:dyDescent="0.35">
      <c r="A117" s="38">
        <v>1063</v>
      </c>
      <c r="B117" s="38" t="str">
        <f>_xlfn.XLOOKUP(Table2[[#This Row],[Product ID]],Sheet1!$A$32:$A$200,Sheet1!$B$32:$B$200,"Not Found")</f>
        <v>Noodles</v>
      </c>
      <c r="C117" s="39">
        <v>45139</v>
      </c>
      <c r="D117" s="38" t="s">
        <v>14</v>
      </c>
      <c r="E117" s="38" t="str" cm="1">
        <f t="array" ref="E117">_xlfn.XLOOKUP(Table2[[#This Row],[Sales Rep]],Sheet1!$A$21:$A$25,Sheet1!$B$21:$B$25,Not Found)</f>
        <v>Michael Smith</v>
      </c>
      <c r="F117" s="38" t="s">
        <v>25</v>
      </c>
      <c r="G117" s="38">
        <f>_xlfn.XLOOKUP(Table2[[#This Row],[Region]],Sheet1!$A$12:$A$15,Sheet1!$B$12:$B$15,0)</f>
        <v>0.05</v>
      </c>
      <c r="H117" s="40">
        <f>Table2[[#This Row],[Tax Rate]]*Table2[[#This Row],[Sales Amount]]</f>
        <v>317.30650000000003</v>
      </c>
      <c r="I117" s="40">
        <v>6346.13</v>
      </c>
      <c r="J117" s="38">
        <v>4</v>
      </c>
      <c r="K117" s="38" t="s">
        <v>35</v>
      </c>
      <c r="L117" s="40">
        <v>1046.26</v>
      </c>
      <c r="M117" s="40">
        <v>1475.29</v>
      </c>
      <c r="N117" s="38" t="s">
        <v>17</v>
      </c>
      <c r="O117" s="41">
        <v>0.09</v>
      </c>
      <c r="P117" s="38" t="s">
        <v>27</v>
      </c>
      <c r="Q117" s="38" t="s">
        <v>22</v>
      </c>
      <c r="R117" s="38" t="str">
        <f>IF(Cleaned_Final!$I117&gt;=5000,"High","Low")</f>
        <v>High</v>
      </c>
    </row>
    <row r="118" spans="1:18" x14ac:dyDescent="0.35">
      <c r="A118" s="34">
        <v>1011</v>
      </c>
      <c r="B118" s="34" t="str">
        <f>_xlfn.XLOOKUP(Table2[[#This Row],[Product ID]],Sheet1!$A$32:$A$200,Sheet1!$B$32:$B$200,"Not Found")</f>
        <v>Coffee Table</v>
      </c>
      <c r="C118" s="35">
        <v>45091</v>
      </c>
      <c r="D118" s="34" t="s">
        <v>42</v>
      </c>
      <c r="E118" s="34" t="str" cm="1">
        <f t="array" ref="E118">_xlfn.XLOOKUP(Table2[[#This Row],[Sales Rep]],Sheet1!$A$21:$A$25,Sheet1!$B$21:$B$25,Not Found)</f>
        <v>Scott Wayne</v>
      </c>
      <c r="F118" s="34" t="s">
        <v>25</v>
      </c>
      <c r="G118" s="34">
        <f>_xlfn.XLOOKUP(Table2[[#This Row],[Region]],Sheet1!$A$12:$A$15,Sheet1!$B$12:$B$15,0)</f>
        <v>0.05</v>
      </c>
      <c r="H118" s="36">
        <f>Table2[[#This Row],[Tax Rate]]*Table2[[#This Row],[Sales Amount]]</f>
        <v>226.59850000000003</v>
      </c>
      <c r="I118" s="36">
        <v>4531.97</v>
      </c>
      <c r="J118" s="34">
        <v>38</v>
      </c>
      <c r="K118" s="34" t="s">
        <v>16</v>
      </c>
      <c r="L118" s="36">
        <v>4456.67</v>
      </c>
      <c r="M118" s="36">
        <v>4642.46</v>
      </c>
      <c r="N118" s="34" t="s">
        <v>30</v>
      </c>
      <c r="O118" s="37">
        <v>0.06</v>
      </c>
      <c r="P118" s="34" t="s">
        <v>27</v>
      </c>
      <c r="Q118" s="34" t="s">
        <v>19</v>
      </c>
      <c r="R118" s="34" t="str">
        <f>IF(Cleaned_Final!$I118&gt;=5000,"High","Low")</f>
        <v>Low</v>
      </c>
    </row>
    <row r="119" spans="1:18" x14ac:dyDescent="0.35">
      <c r="A119" s="38">
        <v>1081</v>
      </c>
      <c r="B119" s="38" t="str">
        <f>_xlfn.XLOOKUP(Table2[[#This Row],[Product ID]],Sheet1!$A$32:$A$200,Sheet1!$B$32:$B$200,"Not Found")</f>
        <v>Rocking Chair</v>
      </c>
      <c r="C119" s="39">
        <v>44931</v>
      </c>
      <c r="D119" s="38" t="s">
        <v>14</v>
      </c>
      <c r="E119" s="38" t="str" cm="1">
        <f t="array" ref="E119">_xlfn.XLOOKUP(Table2[[#This Row],[Sales Rep]],Sheet1!$A$21:$A$25,Sheet1!$B$21:$B$25,Not Found)</f>
        <v>Michael Smith</v>
      </c>
      <c r="F119" s="38" t="s">
        <v>25</v>
      </c>
      <c r="G119" s="38">
        <f>_xlfn.XLOOKUP(Table2[[#This Row],[Region]],Sheet1!$A$12:$A$15,Sheet1!$B$12:$B$15,0)</f>
        <v>0.05</v>
      </c>
      <c r="H119" s="40">
        <f>Table2[[#This Row],[Tax Rate]]*Table2[[#This Row],[Sales Amount]]</f>
        <v>71.465999999999994</v>
      </c>
      <c r="I119" s="40">
        <v>1429.32</v>
      </c>
      <c r="J119" s="38">
        <v>44</v>
      </c>
      <c r="K119" s="38" t="s">
        <v>26</v>
      </c>
      <c r="L119" s="40">
        <v>618.79</v>
      </c>
      <c r="M119" s="40">
        <v>938.04</v>
      </c>
      <c r="N119" s="38" t="s">
        <v>17</v>
      </c>
      <c r="O119" s="41">
        <v>0.03</v>
      </c>
      <c r="P119" s="38" t="s">
        <v>18</v>
      </c>
      <c r="Q119" s="38" t="s">
        <v>19</v>
      </c>
      <c r="R119" s="38" t="str">
        <f>IF(Cleaned_Final!$I119&gt;=5000,"High","Low")</f>
        <v>Low</v>
      </c>
    </row>
    <row r="120" spans="1:18" x14ac:dyDescent="0.35">
      <c r="A120" s="34">
        <v>1008</v>
      </c>
      <c r="B120" s="34" t="str">
        <f>_xlfn.XLOOKUP(Table2[[#This Row],[Product ID]],Sheet1!$A$32:$A$200,Sheet1!$B$32:$B$200,"Not Found")</f>
        <v>Skirt</v>
      </c>
      <c r="C120" s="35">
        <v>45265</v>
      </c>
      <c r="D120" s="34" t="s">
        <v>33</v>
      </c>
      <c r="E120" s="34" t="str" cm="1">
        <f t="array" ref="E120">_xlfn.XLOOKUP(Table2[[#This Row],[Sales Rep]],Sheet1!$A$21:$A$25,Sheet1!$B$21:$B$25,Not Found)</f>
        <v>Susan Jerkins</v>
      </c>
      <c r="F120" s="34" t="s">
        <v>34</v>
      </c>
      <c r="G120" s="34">
        <f>_xlfn.XLOOKUP(Table2[[#This Row],[Region]],Sheet1!$A$12:$A$15,Sheet1!$B$12:$B$15,0)</f>
        <v>0.06</v>
      </c>
      <c r="H120" s="36">
        <f>Table2[[#This Row],[Tax Rate]]*Table2[[#This Row],[Sales Amount]]</f>
        <v>575.01299999999992</v>
      </c>
      <c r="I120" s="36">
        <v>9583.5499999999993</v>
      </c>
      <c r="J120" s="34">
        <v>27</v>
      </c>
      <c r="K120" s="34" t="s">
        <v>35</v>
      </c>
      <c r="L120" s="36">
        <v>68.989999999999995</v>
      </c>
      <c r="M120" s="36">
        <v>429.29</v>
      </c>
      <c r="N120" s="34" t="s">
        <v>17</v>
      </c>
      <c r="O120" s="37">
        <v>0.18</v>
      </c>
      <c r="P120" s="34" t="s">
        <v>31</v>
      </c>
      <c r="Q120" s="34" t="s">
        <v>22</v>
      </c>
      <c r="R120" s="34" t="str">
        <f>IF(Cleaned_Final!$I120&gt;=5000,"High","Low")</f>
        <v>High</v>
      </c>
    </row>
    <row r="121" spans="1:18" x14ac:dyDescent="0.35">
      <c r="A121" s="38">
        <v>1035</v>
      </c>
      <c r="B121" s="38" t="str">
        <f>_xlfn.XLOOKUP(Table2[[#This Row],[Product ID]],Sheet1!$A$32:$A$200,Sheet1!$B$32:$B$200,"Not Found")</f>
        <v>Doughnut</v>
      </c>
      <c r="C121" s="39">
        <v>45004</v>
      </c>
      <c r="D121" s="38" t="s">
        <v>14</v>
      </c>
      <c r="E121" s="38" t="str" cm="1">
        <f t="array" ref="E121">_xlfn.XLOOKUP(Table2[[#This Row],[Sales Rep]],Sheet1!$A$21:$A$25,Sheet1!$B$21:$B$25,Not Found)</f>
        <v>Michael Smith</v>
      </c>
      <c r="F121" s="38" t="s">
        <v>25</v>
      </c>
      <c r="G121" s="38">
        <f>_xlfn.XLOOKUP(Table2[[#This Row],[Region]],Sheet1!$A$12:$A$15,Sheet1!$B$12:$B$15,0)</f>
        <v>0.05</v>
      </c>
      <c r="H121" s="40">
        <f>Table2[[#This Row],[Tax Rate]]*Table2[[#This Row],[Sales Amount]]</f>
        <v>267.18150000000003</v>
      </c>
      <c r="I121" s="40">
        <v>5343.63</v>
      </c>
      <c r="J121" s="38">
        <v>9</v>
      </c>
      <c r="K121" s="38" t="s">
        <v>29</v>
      </c>
      <c r="L121" s="40">
        <v>2534.94</v>
      </c>
      <c r="M121" s="40">
        <v>2755.56</v>
      </c>
      <c r="N121" s="38" t="s">
        <v>17</v>
      </c>
      <c r="O121" s="41">
        <v>0.13</v>
      </c>
      <c r="P121" s="38" t="s">
        <v>31</v>
      </c>
      <c r="Q121" s="38" t="s">
        <v>22</v>
      </c>
      <c r="R121" s="38" t="str">
        <f>IF(Cleaned_Final!$I121&gt;=5000,"High","Low")</f>
        <v>High</v>
      </c>
    </row>
    <row r="122" spans="1:18" x14ac:dyDescent="0.35">
      <c r="A122" s="34">
        <v>1035</v>
      </c>
      <c r="B122" s="34" t="str">
        <f>_xlfn.XLOOKUP(Table2[[#This Row],[Product ID]],Sheet1!$A$32:$A$200,Sheet1!$B$32:$B$200,"Not Found")</f>
        <v>Doughnut</v>
      </c>
      <c r="C122" s="35">
        <v>44988</v>
      </c>
      <c r="D122" s="34" t="s">
        <v>14</v>
      </c>
      <c r="E122" s="34" t="str" cm="1">
        <f t="array" ref="E122">_xlfn.XLOOKUP(Table2[[#This Row],[Sales Rep]],Sheet1!$A$21:$A$25,Sheet1!$B$21:$B$25,Not Found)</f>
        <v>Michael Smith</v>
      </c>
      <c r="F122" s="34" t="s">
        <v>21</v>
      </c>
      <c r="G122" s="34">
        <f>_xlfn.XLOOKUP(Table2[[#This Row],[Region]],Sheet1!$A$12:$A$15,Sheet1!$B$12:$B$15,0)</f>
        <v>0.08</v>
      </c>
      <c r="H122" s="36">
        <f>Table2[[#This Row],[Tax Rate]]*Table2[[#This Row],[Sales Amount]]</f>
        <v>199.57919999999999</v>
      </c>
      <c r="I122" s="36">
        <v>2494.7399999999998</v>
      </c>
      <c r="J122" s="34">
        <v>47</v>
      </c>
      <c r="K122" s="34" t="s">
        <v>35</v>
      </c>
      <c r="L122" s="36">
        <v>2936.48</v>
      </c>
      <c r="M122" s="36">
        <v>3096.64</v>
      </c>
      <c r="N122" s="34" t="s">
        <v>30</v>
      </c>
      <c r="O122" s="37">
        <v>0.06</v>
      </c>
      <c r="P122" s="34" t="s">
        <v>27</v>
      </c>
      <c r="Q122" s="34" t="s">
        <v>19</v>
      </c>
      <c r="R122" s="34" t="str">
        <f>IF(Cleaned_Final!$I122&gt;=5000,"High","Low")</f>
        <v>Low</v>
      </c>
    </row>
    <row r="123" spans="1:18" x14ac:dyDescent="0.35">
      <c r="A123" s="38">
        <v>1033</v>
      </c>
      <c r="B123" s="38" t="str">
        <f>_xlfn.XLOOKUP(Table2[[#This Row],[Product ID]],Sheet1!$A$32:$A$200,Sheet1!$B$32:$B$200,"Not Found")</f>
        <v>TV Stand</v>
      </c>
      <c r="C123" s="39">
        <v>45058</v>
      </c>
      <c r="D123" s="38" t="s">
        <v>14</v>
      </c>
      <c r="E123" s="38" t="str" cm="1">
        <f t="array" ref="E123">_xlfn.XLOOKUP(Table2[[#This Row],[Sales Rep]],Sheet1!$A$21:$A$25,Sheet1!$B$21:$B$25,Not Found)</f>
        <v>Michael Smith</v>
      </c>
      <c r="F123" s="38" t="s">
        <v>15</v>
      </c>
      <c r="G123" s="38">
        <f>_xlfn.XLOOKUP(Table2[[#This Row],[Region]],Sheet1!$A$12:$A$15,Sheet1!$B$12:$B$15,0)</f>
        <v>7.4999999999999997E-2</v>
      </c>
      <c r="H123" s="40">
        <f>Table2[[#This Row],[Tax Rate]]*Table2[[#This Row],[Sales Amount]]</f>
        <v>379.19849999999997</v>
      </c>
      <c r="I123" s="40">
        <v>5055.9799999999996</v>
      </c>
      <c r="J123" s="38">
        <v>16</v>
      </c>
      <c r="K123" s="38" t="s">
        <v>16</v>
      </c>
      <c r="L123" s="40">
        <v>2915.88</v>
      </c>
      <c r="M123" s="40">
        <v>3397.36</v>
      </c>
      <c r="N123" s="38" t="s">
        <v>30</v>
      </c>
      <c r="O123" s="41">
        <v>0.2</v>
      </c>
      <c r="P123" s="38" t="s">
        <v>27</v>
      </c>
      <c r="Q123" s="38" t="s">
        <v>22</v>
      </c>
      <c r="R123" s="38" t="str">
        <f>IF(Cleaned_Final!$I123&gt;=5000,"High","Low")</f>
        <v>High</v>
      </c>
    </row>
    <row r="124" spans="1:18" x14ac:dyDescent="0.35">
      <c r="A124" s="34">
        <v>1005</v>
      </c>
      <c r="B124" s="34" t="str">
        <f>_xlfn.XLOOKUP(Table2[[#This Row],[Product ID]],Sheet1!$A$32:$A$200,Sheet1!$B$32:$B$200,"Not Found")</f>
        <v>Smart Phone</v>
      </c>
      <c r="C124" s="35">
        <v>45015</v>
      </c>
      <c r="D124" s="34" t="s">
        <v>42</v>
      </c>
      <c r="E124" s="34" t="str" cm="1">
        <f t="array" ref="E124">_xlfn.XLOOKUP(Table2[[#This Row],[Sales Rep]],Sheet1!$A$21:$A$25,Sheet1!$B$21:$B$25,Not Found)</f>
        <v>Scott Wayne</v>
      </c>
      <c r="F124" s="34" t="s">
        <v>34</v>
      </c>
      <c r="G124" s="34">
        <f>_xlfn.XLOOKUP(Table2[[#This Row],[Region]],Sheet1!$A$12:$A$15,Sheet1!$B$12:$B$15,0)</f>
        <v>0.06</v>
      </c>
      <c r="H124" s="36">
        <f>Table2[[#This Row],[Tax Rate]]*Table2[[#This Row],[Sales Amount]]</f>
        <v>409.69439999999997</v>
      </c>
      <c r="I124" s="36">
        <v>6828.24</v>
      </c>
      <c r="J124" s="34">
        <v>12</v>
      </c>
      <c r="K124" s="34" t="s">
        <v>35</v>
      </c>
      <c r="L124" s="36">
        <v>319.83</v>
      </c>
      <c r="M124" s="36">
        <v>802.43</v>
      </c>
      <c r="N124" s="34" t="s">
        <v>30</v>
      </c>
      <c r="O124" s="37">
        <v>0.04</v>
      </c>
      <c r="P124" s="34" t="s">
        <v>31</v>
      </c>
      <c r="Q124" s="34" t="s">
        <v>22</v>
      </c>
      <c r="R124" s="34" t="str">
        <f>IF(Cleaned_Final!$I124&gt;=5000,"High","Low")</f>
        <v>High</v>
      </c>
    </row>
    <row r="125" spans="1:18" x14ac:dyDescent="0.35">
      <c r="A125" s="38">
        <v>1041</v>
      </c>
      <c r="B125" s="38" t="str">
        <f>_xlfn.XLOOKUP(Table2[[#This Row],[Product ID]],Sheet1!$A$32:$A$200,Sheet1!$B$32:$B$200,"Not Found")</f>
        <v>Bread</v>
      </c>
      <c r="C125" s="39">
        <v>45163</v>
      </c>
      <c r="D125" s="38" t="s">
        <v>14</v>
      </c>
      <c r="E125" s="38" t="str" cm="1">
        <f t="array" ref="E125">_xlfn.XLOOKUP(Table2[[#This Row],[Sales Rep]],Sheet1!$A$21:$A$25,Sheet1!$B$21:$B$25,Not Found)</f>
        <v>Michael Smith</v>
      </c>
      <c r="F125" s="38" t="s">
        <v>25</v>
      </c>
      <c r="G125" s="38">
        <f>_xlfn.XLOOKUP(Table2[[#This Row],[Region]],Sheet1!$A$12:$A$15,Sheet1!$B$12:$B$15,0)</f>
        <v>0.05</v>
      </c>
      <c r="H125" s="40">
        <f>Table2[[#This Row],[Tax Rate]]*Table2[[#This Row],[Sales Amount]]</f>
        <v>42.738500000000002</v>
      </c>
      <c r="I125" s="40">
        <v>854.77</v>
      </c>
      <c r="J125" s="38">
        <v>31</v>
      </c>
      <c r="K125" s="38" t="s">
        <v>26</v>
      </c>
      <c r="L125" s="40">
        <v>1604.52</v>
      </c>
      <c r="M125" s="40">
        <v>1756.34</v>
      </c>
      <c r="N125" s="38" t="s">
        <v>17</v>
      </c>
      <c r="O125" s="41">
        <v>0.17</v>
      </c>
      <c r="P125" s="38" t="s">
        <v>18</v>
      </c>
      <c r="Q125" s="38" t="s">
        <v>22</v>
      </c>
      <c r="R125" s="38" t="str">
        <f>IF(Cleaned_Final!$I125&gt;=5000,"High","Low")</f>
        <v>Low</v>
      </c>
    </row>
    <row r="126" spans="1:18" x14ac:dyDescent="0.35">
      <c r="A126" s="34">
        <v>1028</v>
      </c>
      <c r="B126" s="34" t="str">
        <f>_xlfn.XLOOKUP(Table2[[#This Row],[Product ID]],Sheet1!$A$32:$A$200,Sheet1!$B$32:$B$200,"Not Found")</f>
        <v>Pyjamas</v>
      </c>
      <c r="C126" s="35">
        <v>44968</v>
      </c>
      <c r="D126" s="34" t="s">
        <v>42</v>
      </c>
      <c r="E126" s="34" t="str" cm="1">
        <f t="array" ref="E126">_xlfn.XLOOKUP(Table2[[#This Row],[Sales Rep]],Sheet1!$A$21:$A$25,Sheet1!$B$21:$B$25,Not Found)</f>
        <v>Scott Wayne</v>
      </c>
      <c r="F126" s="34" t="s">
        <v>34</v>
      </c>
      <c r="G126" s="34">
        <f>_xlfn.XLOOKUP(Table2[[#This Row],[Region]],Sheet1!$A$12:$A$15,Sheet1!$B$12:$B$15,0)</f>
        <v>0.06</v>
      </c>
      <c r="H126" s="36">
        <f>Table2[[#This Row],[Tax Rate]]*Table2[[#This Row],[Sales Amount]]</f>
        <v>169.17420000000001</v>
      </c>
      <c r="I126" s="36">
        <v>2819.57</v>
      </c>
      <c r="J126" s="34">
        <v>24</v>
      </c>
      <c r="K126" s="34" t="s">
        <v>29</v>
      </c>
      <c r="L126" s="36">
        <v>2521.0300000000002</v>
      </c>
      <c r="M126" s="36">
        <v>2766.05</v>
      </c>
      <c r="N126" s="34" t="s">
        <v>17</v>
      </c>
      <c r="O126" s="37">
        <v>0.16</v>
      </c>
      <c r="P126" s="34" t="s">
        <v>27</v>
      </c>
      <c r="Q126" s="34" t="s">
        <v>22</v>
      </c>
      <c r="R126" s="34" t="str">
        <f>IF(Cleaned_Final!$I126&gt;=5000,"High","Low")</f>
        <v>Low</v>
      </c>
    </row>
    <row r="127" spans="1:18" x14ac:dyDescent="0.35">
      <c r="A127" s="38">
        <v>1007</v>
      </c>
      <c r="B127" s="38" t="str">
        <f>_xlfn.XLOOKUP(Table2[[#This Row],[Product ID]],Sheet1!$A$32:$A$200,Sheet1!$B$32:$B$200,"Not Found")</f>
        <v>Fruit Jam</v>
      </c>
      <c r="C127" s="39">
        <v>45015</v>
      </c>
      <c r="D127" s="38" t="s">
        <v>24</v>
      </c>
      <c r="E127" s="38" t="str" cm="1">
        <f t="array" ref="E127">_xlfn.XLOOKUP(Table2[[#This Row],[Sales Rep]],Sheet1!$A$21:$A$25,Sheet1!$B$21:$B$25,Not Found)</f>
        <v>Hogan Rock</v>
      </c>
      <c r="F127" s="38" t="s">
        <v>34</v>
      </c>
      <c r="G127" s="38">
        <f>_xlfn.XLOOKUP(Table2[[#This Row],[Region]],Sheet1!$A$12:$A$15,Sheet1!$B$12:$B$15,0)</f>
        <v>0.06</v>
      </c>
      <c r="H127" s="40">
        <f>Table2[[#This Row],[Tax Rate]]*Table2[[#This Row],[Sales Amount]]</f>
        <v>485.33760000000001</v>
      </c>
      <c r="I127" s="40">
        <v>8088.96</v>
      </c>
      <c r="J127" s="38">
        <v>14</v>
      </c>
      <c r="K127" s="38" t="s">
        <v>16</v>
      </c>
      <c r="L127" s="40">
        <v>1122.07</v>
      </c>
      <c r="M127" s="40">
        <v>1608.76</v>
      </c>
      <c r="N127" s="38" t="s">
        <v>30</v>
      </c>
      <c r="O127" s="41">
        <v>0.22</v>
      </c>
      <c r="P127" s="38" t="s">
        <v>18</v>
      </c>
      <c r="Q127" s="38" t="s">
        <v>22</v>
      </c>
      <c r="R127" s="38" t="str">
        <f>IF(Cleaned_Final!$I127&gt;=5000,"High","Low")</f>
        <v>High</v>
      </c>
    </row>
    <row r="128" spans="1:18" x14ac:dyDescent="0.35">
      <c r="A128" s="34">
        <v>1073</v>
      </c>
      <c r="B128" s="34" t="str">
        <f>_xlfn.XLOOKUP(Table2[[#This Row],[Product ID]],Sheet1!$A$32:$A$200,Sheet1!$B$32:$B$200,"Not Found")</f>
        <v>Console Table</v>
      </c>
      <c r="C128" s="35">
        <v>45222</v>
      </c>
      <c r="D128" s="34" t="s">
        <v>33</v>
      </c>
      <c r="E128" s="34" t="str" cm="1">
        <f t="array" ref="E128">_xlfn.XLOOKUP(Table2[[#This Row],[Sales Rep]],Sheet1!$A$21:$A$25,Sheet1!$B$21:$B$25,Not Found)</f>
        <v>Susan Jerkins</v>
      </c>
      <c r="F128" s="34" t="s">
        <v>25</v>
      </c>
      <c r="G128" s="34">
        <f>_xlfn.XLOOKUP(Table2[[#This Row],[Region]],Sheet1!$A$12:$A$15,Sheet1!$B$12:$B$15,0)</f>
        <v>0.05</v>
      </c>
      <c r="H128" s="36">
        <f>Table2[[#This Row],[Tax Rate]]*Table2[[#This Row],[Sales Amount]]</f>
        <v>232.53400000000002</v>
      </c>
      <c r="I128" s="36">
        <v>4650.68</v>
      </c>
      <c r="J128" s="34">
        <v>45</v>
      </c>
      <c r="K128" s="34" t="s">
        <v>29</v>
      </c>
      <c r="L128" s="36">
        <v>4369.5</v>
      </c>
      <c r="M128" s="36">
        <v>4381.8900000000003</v>
      </c>
      <c r="N128" s="34" t="s">
        <v>17</v>
      </c>
      <c r="O128" s="37">
        <v>0.02</v>
      </c>
      <c r="P128" s="34" t="s">
        <v>31</v>
      </c>
      <c r="Q128" s="34" t="s">
        <v>22</v>
      </c>
      <c r="R128" s="34" t="str">
        <f>IF(Cleaned_Final!$I128&gt;=5000,"High","Low")</f>
        <v>Low</v>
      </c>
    </row>
    <row r="129" spans="1:18" x14ac:dyDescent="0.35">
      <c r="A129" s="38">
        <v>1072</v>
      </c>
      <c r="B129" s="38" t="str">
        <f>_xlfn.XLOOKUP(Table2[[#This Row],[Product ID]],Sheet1!$A$32:$A$200,Sheet1!$B$32:$B$200,"Not Found")</f>
        <v>T-Shirt</v>
      </c>
      <c r="C129" s="39">
        <v>45254</v>
      </c>
      <c r="D129" s="38" t="s">
        <v>42</v>
      </c>
      <c r="E129" s="38" t="str" cm="1">
        <f t="array" ref="E129">_xlfn.XLOOKUP(Table2[[#This Row],[Sales Rep]],Sheet1!$A$21:$A$25,Sheet1!$B$21:$B$25,Not Found)</f>
        <v>Scott Wayne</v>
      </c>
      <c r="F129" s="38" t="s">
        <v>34</v>
      </c>
      <c r="G129" s="38">
        <f>_xlfn.XLOOKUP(Table2[[#This Row],[Region]],Sheet1!$A$12:$A$15,Sheet1!$B$12:$B$15,0)</f>
        <v>0.06</v>
      </c>
      <c r="H129" s="40">
        <f>Table2[[#This Row],[Tax Rate]]*Table2[[#This Row],[Sales Amount]]</f>
        <v>330.66659999999996</v>
      </c>
      <c r="I129" s="40">
        <v>5511.11</v>
      </c>
      <c r="J129" s="38">
        <v>25</v>
      </c>
      <c r="K129" s="38" t="s">
        <v>29</v>
      </c>
      <c r="L129" s="40">
        <v>481.19</v>
      </c>
      <c r="M129" s="40">
        <v>693.4</v>
      </c>
      <c r="N129" s="38" t="s">
        <v>30</v>
      </c>
      <c r="O129" s="41">
        <v>0.27</v>
      </c>
      <c r="P129" s="38" t="s">
        <v>31</v>
      </c>
      <c r="Q129" s="38" t="s">
        <v>22</v>
      </c>
      <c r="R129" s="38" t="str">
        <f>IF(Cleaned_Final!$I129&gt;=5000,"High","Low")</f>
        <v>High</v>
      </c>
    </row>
    <row r="130" spans="1:18" x14ac:dyDescent="0.35">
      <c r="A130" s="34">
        <v>1012</v>
      </c>
      <c r="B130" s="34" t="str">
        <f>_xlfn.XLOOKUP(Table2[[#This Row],[Product ID]],Sheet1!$A$32:$A$200,Sheet1!$B$32:$B$200,"Not Found")</f>
        <v>Cabinet</v>
      </c>
      <c r="C130" s="35">
        <v>45221</v>
      </c>
      <c r="D130" s="34" t="s">
        <v>24</v>
      </c>
      <c r="E130" s="34" t="str" cm="1">
        <f t="array" ref="E130">_xlfn.XLOOKUP(Table2[[#This Row],[Sales Rep]],Sheet1!$A$21:$A$25,Sheet1!$B$21:$B$25,Not Found)</f>
        <v>Hogan Rock</v>
      </c>
      <c r="F130" s="34" t="s">
        <v>15</v>
      </c>
      <c r="G130" s="34">
        <f>_xlfn.XLOOKUP(Table2[[#This Row],[Region]],Sheet1!$A$12:$A$15,Sheet1!$B$12:$B$15,0)</f>
        <v>7.4999999999999997E-2</v>
      </c>
      <c r="H130" s="36">
        <f>Table2[[#This Row],[Tax Rate]]*Table2[[#This Row],[Sales Amount]]</f>
        <v>328.86599999999999</v>
      </c>
      <c r="I130" s="36">
        <v>4384.88</v>
      </c>
      <c r="J130" s="34">
        <v>34</v>
      </c>
      <c r="K130" s="34" t="s">
        <v>16</v>
      </c>
      <c r="L130" s="36">
        <v>2462.5500000000002</v>
      </c>
      <c r="M130" s="36">
        <v>2521.77</v>
      </c>
      <c r="N130" s="34" t="s">
        <v>30</v>
      </c>
      <c r="O130" s="37">
        <v>0.21</v>
      </c>
      <c r="P130" s="34" t="s">
        <v>27</v>
      </c>
      <c r="Q130" s="34" t="s">
        <v>22</v>
      </c>
      <c r="R130" s="34" t="str">
        <f>IF(Cleaned_Final!$I130&gt;=5000,"High","Low")</f>
        <v>Low</v>
      </c>
    </row>
    <row r="131" spans="1:18" x14ac:dyDescent="0.35">
      <c r="A131" s="38">
        <v>1034</v>
      </c>
      <c r="B131" s="38" t="str">
        <f>_xlfn.XLOOKUP(Table2[[#This Row],[Product ID]],Sheet1!$A$32:$A$200,Sheet1!$B$32:$B$200,"Not Found")</f>
        <v>Socks Pack</v>
      </c>
      <c r="C131" s="39">
        <v>45030</v>
      </c>
      <c r="D131" s="38" t="s">
        <v>42</v>
      </c>
      <c r="E131" s="38" t="str" cm="1">
        <f t="array" ref="E131">_xlfn.XLOOKUP(Table2[[#This Row],[Sales Rep]],Sheet1!$A$21:$A$25,Sheet1!$B$21:$B$25,Not Found)</f>
        <v>Scott Wayne</v>
      </c>
      <c r="F131" s="38" t="s">
        <v>21</v>
      </c>
      <c r="G131" s="38">
        <f>_xlfn.XLOOKUP(Table2[[#This Row],[Region]],Sheet1!$A$12:$A$15,Sheet1!$B$12:$B$15,0)</f>
        <v>0.08</v>
      </c>
      <c r="H131" s="40">
        <f>Table2[[#This Row],[Tax Rate]]*Table2[[#This Row],[Sales Amount]]</f>
        <v>42.768799999999999</v>
      </c>
      <c r="I131" s="40">
        <v>534.61</v>
      </c>
      <c r="J131" s="38">
        <v>3</v>
      </c>
      <c r="K131" s="38" t="s">
        <v>29</v>
      </c>
      <c r="L131" s="40">
        <v>3472.51</v>
      </c>
      <c r="M131" s="40">
        <v>3732</v>
      </c>
      <c r="N131" s="38" t="s">
        <v>30</v>
      </c>
      <c r="O131" s="41">
        <v>0.06</v>
      </c>
      <c r="P131" s="38" t="s">
        <v>18</v>
      </c>
      <c r="Q131" s="38" t="s">
        <v>19</v>
      </c>
      <c r="R131" s="38" t="str">
        <f>IF(Cleaned_Final!$I131&gt;=5000,"High","Low")</f>
        <v>Low</v>
      </c>
    </row>
    <row r="132" spans="1:18" x14ac:dyDescent="0.35">
      <c r="A132" s="34">
        <v>1033</v>
      </c>
      <c r="B132" s="34" t="str">
        <f>_xlfn.XLOOKUP(Table2[[#This Row],[Product ID]],Sheet1!$A$32:$A$200,Sheet1!$B$32:$B$200,"Not Found")</f>
        <v>TV Stand</v>
      </c>
      <c r="C132" s="35">
        <v>44940</v>
      </c>
      <c r="D132" s="34" t="s">
        <v>42</v>
      </c>
      <c r="E132" s="34" t="str" cm="1">
        <f t="array" ref="E132">_xlfn.XLOOKUP(Table2[[#This Row],[Sales Rep]],Sheet1!$A$21:$A$25,Sheet1!$B$21:$B$25,Not Found)</f>
        <v>Scott Wayne</v>
      </c>
      <c r="F132" s="34" t="s">
        <v>21</v>
      </c>
      <c r="G132" s="34">
        <f>_xlfn.XLOOKUP(Table2[[#This Row],[Region]],Sheet1!$A$12:$A$15,Sheet1!$B$12:$B$15,0)</f>
        <v>0.08</v>
      </c>
      <c r="H132" s="36">
        <f>Table2[[#This Row],[Tax Rate]]*Table2[[#This Row],[Sales Amount]]</f>
        <v>139.27360000000002</v>
      </c>
      <c r="I132" s="36">
        <v>1740.92</v>
      </c>
      <c r="J132" s="34">
        <v>24</v>
      </c>
      <c r="K132" s="34" t="s">
        <v>29</v>
      </c>
      <c r="L132" s="36">
        <v>1345.67</v>
      </c>
      <c r="M132" s="36">
        <v>1367.76</v>
      </c>
      <c r="N132" s="34" t="s">
        <v>30</v>
      </c>
      <c r="O132" s="37">
        <v>0.06</v>
      </c>
      <c r="P132" s="34" t="s">
        <v>27</v>
      </c>
      <c r="Q132" s="34" t="s">
        <v>19</v>
      </c>
      <c r="R132" s="34" t="str">
        <f>IF(Cleaned_Final!$I132&gt;=5000,"High","Low")</f>
        <v>Low</v>
      </c>
    </row>
    <row r="133" spans="1:18" x14ac:dyDescent="0.35">
      <c r="A133" s="38">
        <v>1048</v>
      </c>
      <c r="B133" s="38" t="str">
        <f>_xlfn.XLOOKUP(Table2[[#This Row],[Product ID]],Sheet1!$A$32:$A$200,Sheet1!$B$32:$B$200,"Not Found")</f>
        <v>Chaise Lounge</v>
      </c>
      <c r="C133" s="39">
        <v>45214</v>
      </c>
      <c r="D133" s="38" t="s">
        <v>33</v>
      </c>
      <c r="E133" s="38" t="str" cm="1">
        <f t="array" ref="E133">_xlfn.XLOOKUP(Table2[[#This Row],[Sales Rep]],Sheet1!$A$21:$A$25,Sheet1!$B$21:$B$25,Not Found)</f>
        <v>Susan Jerkins</v>
      </c>
      <c r="F133" s="38" t="s">
        <v>15</v>
      </c>
      <c r="G133" s="38">
        <f>_xlfn.XLOOKUP(Table2[[#This Row],[Region]],Sheet1!$A$12:$A$15,Sheet1!$B$12:$B$15,0)</f>
        <v>7.4999999999999997E-2</v>
      </c>
      <c r="H133" s="40">
        <f>Table2[[#This Row],[Tax Rate]]*Table2[[#This Row],[Sales Amount]]</f>
        <v>338.31449999999995</v>
      </c>
      <c r="I133" s="40">
        <v>4510.8599999999997</v>
      </c>
      <c r="J133" s="38">
        <v>42</v>
      </c>
      <c r="K133" s="38" t="s">
        <v>35</v>
      </c>
      <c r="L133" s="40">
        <v>3139.99</v>
      </c>
      <c r="M133" s="40">
        <v>3349.37</v>
      </c>
      <c r="N133" s="38" t="s">
        <v>17</v>
      </c>
      <c r="O133" s="41">
        <v>0.13</v>
      </c>
      <c r="P133" s="38" t="s">
        <v>31</v>
      </c>
      <c r="Q133" s="38" t="s">
        <v>22</v>
      </c>
      <c r="R133" s="38" t="str">
        <f>IF(Cleaned_Final!$I133&gt;=5000,"High","Low")</f>
        <v>Low</v>
      </c>
    </row>
    <row r="134" spans="1:18" x14ac:dyDescent="0.35">
      <c r="A134" s="34">
        <v>1023</v>
      </c>
      <c r="B134" s="34" t="str">
        <f>_xlfn.XLOOKUP(Table2[[#This Row],[Product ID]],Sheet1!$A$32:$A$200,Sheet1!$B$32:$B$200,"Not Found")</f>
        <v>Tights</v>
      </c>
      <c r="C134" s="35">
        <v>45105</v>
      </c>
      <c r="D134" s="34" t="s">
        <v>38</v>
      </c>
      <c r="E134" s="34" t="str" cm="1">
        <f t="array" ref="E134">_xlfn.XLOOKUP(Table2[[#This Row],[Sales Rep]],Sheet1!$A$21:$A$25,Sheet1!$B$21:$B$25,Not Found)</f>
        <v>Tracy Moore</v>
      </c>
      <c r="F134" s="34" t="s">
        <v>34</v>
      </c>
      <c r="G134" s="34">
        <f>_xlfn.XLOOKUP(Table2[[#This Row],[Region]],Sheet1!$A$12:$A$15,Sheet1!$B$12:$B$15,0)</f>
        <v>0.06</v>
      </c>
      <c r="H134" s="36">
        <f>Table2[[#This Row],[Tax Rate]]*Table2[[#This Row],[Sales Amount]]</f>
        <v>130.25639999999999</v>
      </c>
      <c r="I134" s="36">
        <v>2170.94</v>
      </c>
      <c r="J134" s="34">
        <v>9</v>
      </c>
      <c r="K134" s="34" t="s">
        <v>29</v>
      </c>
      <c r="L134" s="36">
        <v>4155.46</v>
      </c>
      <c r="M134" s="36">
        <v>4273.6000000000004</v>
      </c>
      <c r="N134" s="34" t="s">
        <v>17</v>
      </c>
      <c r="O134" s="37">
        <v>0.25</v>
      </c>
      <c r="P134" s="34" t="s">
        <v>18</v>
      </c>
      <c r="Q134" s="34" t="s">
        <v>22</v>
      </c>
      <c r="R134" s="34" t="str">
        <f>IF(Cleaned_Final!$I134&gt;=5000,"High","Low")</f>
        <v>Low</v>
      </c>
    </row>
    <row r="135" spans="1:18" x14ac:dyDescent="0.35">
      <c r="A135" s="38">
        <v>1062</v>
      </c>
      <c r="B135" s="38" t="str">
        <f>_xlfn.XLOOKUP(Table2[[#This Row],[Product ID]],Sheet1!$A$32:$A$200,Sheet1!$B$32:$B$200,"Not Found")</f>
        <v>Boxers</v>
      </c>
      <c r="C135" s="39">
        <v>45051</v>
      </c>
      <c r="D135" s="38" t="s">
        <v>38</v>
      </c>
      <c r="E135" s="38" t="str" cm="1">
        <f t="array" ref="E135">_xlfn.XLOOKUP(Table2[[#This Row],[Sales Rep]],Sheet1!$A$21:$A$25,Sheet1!$B$21:$B$25,Not Found)</f>
        <v>Tracy Moore</v>
      </c>
      <c r="F135" s="38" t="s">
        <v>25</v>
      </c>
      <c r="G135" s="38">
        <f>_xlfn.XLOOKUP(Table2[[#This Row],[Region]],Sheet1!$A$12:$A$15,Sheet1!$B$12:$B$15,0)</f>
        <v>0.05</v>
      </c>
      <c r="H135" s="40">
        <f>Table2[[#This Row],[Tax Rate]]*Table2[[#This Row],[Sales Amount]]</f>
        <v>29.7395</v>
      </c>
      <c r="I135" s="40">
        <v>594.79</v>
      </c>
      <c r="J135" s="38">
        <v>26</v>
      </c>
      <c r="K135" s="38" t="s">
        <v>29</v>
      </c>
      <c r="L135" s="40">
        <v>992.17</v>
      </c>
      <c r="M135" s="40">
        <v>1263.49</v>
      </c>
      <c r="N135" s="38" t="s">
        <v>17</v>
      </c>
      <c r="O135" s="41">
        <v>0.25</v>
      </c>
      <c r="P135" s="38" t="s">
        <v>27</v>
      </c>
      <c r="Q135" s="38" t="s">
        <v>22</v>
      </c>
      <c r="R135" s="38" t="str">
        <f>IF(Cleaned_Final!$I135&gt;=5000,"High","Low")</f>
        <v>Low</v>
      </c>
    </row>
    <row r="136" spans="1:18" x14ac:dyDescent="0.35">
      <c r="A136" s="34">
        <v>1088</v>
      </c>
      <c r="B136" s="34" t="str">
        <f>_xlfn.XLOOKUP(Table2[[#This Row],[Product ID]],Sheet1!$A$32:$A$200,Sheet1!$B$32:$B$200,"Not Found")</f>
        <v>Office Desk</v>
      </c>
      <c r="C136" s="35">
        <v>45279</v>
      </c>
      <c r="D136" s="34" t="s">
        <v>42</v>
      </c>
      <c r="E136" s="34" t="str" cm="1">
        <f t="array" ref="E136">_xlfn.XLOOKUP(Table2[[#This Row],[Sales Rep]],Sheet1!$A$21:$A$25,Sheet1!$B$21:$B$25,Not Found)</f>
        <v>Scott Wayne</v>
      </c>
      <c r="F136" s="34" t="s">
        <v>34</v>
      </c>
      <c r="G136" s="34">
        <f>_xlfn.XLOOKUP(Table2[[#This Row],[Region]],Sheet1!$A$12:$A$15,Sheet1!$B$12:$B$15,0)</f>
        <v>0.06</v>
      </c>
      <c r="H136" s="36">
        <f>Table2[[#This Row],[Tax Rate]]*Table2[[#This Row],[Sales Amount]]</f>
        <v>507.12779999999992</v>
      </c>
      <c r="I136" s="36">
        <v>8452.1299999999992</v>
      </c>
      <c r="J136" s="34">
        <v>20</v>
      </c>
      <c r="K136" s="34" t="s">
        <v>29</v>
      </c>
      <c r="L136" s="36">
        <v>4590.24</v>
      </c>
      <c r="M136" s="36">
        <v>5088.28</v>
      </c>
      <c r="N136" s="34" t="s">
        <v>30</v>
      </c>
      <c r="O136" s="37">
        <v>0.16</v>
      </c>
      <c r="P136" s="34" t="s">
        <v>27</v>
      </c>
      <c r="Q136" s="34" t="s">
        <v>22</v>
      </c>
      <c r="R136" s="34" t="str">
        <f>IF(Cleaned_Final!$I136&gt;=5000,"High","Low")</f>
        <v>High</v>
      </c>
    </row>
    <row r="137" spans="1:18" x14ac:dyDescent="0.35">
      <c r="A137" s="38">
        <v>1037</v>
      </c>
      <c r="B137" s="38" t="str">
        <f>_xlfn.XLOOKUP(Table2[[#This Row],[Product ID]],Sheet1!$A$32:$A$200,Sheet1!$B$32:$B$200,"Not Found")</f>
        <v>Turtleneck Top</v>
      </c>
      <c r="C137" s="39">
        <v>44949</v>
      </c>
      <c r="D137" s="38" t="s">
        <v>14</v>
      </c>
      <c r="E137" s="38" t="str" cm="1">
        <f t="array" ref="E137">_xlfn.XLOOKUP(Table2[[#This Row],[Sales Rep]],Sheet1!$A$21:$A$25,Sheet1!$B$21:$B$25,Not Found)</f>
        <v>Michael Smith</v>
      </c>
      <c r="F137" s="38" t="s">
        <v>15</v>
      </c>
      <c r="G137" s="38">
        <f>_xlfn.XLOOKUP(Table2[[#This Row],[Region]],Sheet1!$A$12:$A$15,Sheet1!$B$12:$B$15,0)</f>
        <v>7.4999999999999997E-2</v>
      </c>
      <c r="H137" s="40">
        <f>Table2[[#This Row],[Tax Rate]]*Table2[[#This Row],[Sales Amount]]</f>
        <v>736.03574999999989</v>
      </c>
      <c r="I137" s="40">
        <v>9813.81</v>
      </c>
      <c r="J137" s="38">
        <v>40</v>
      </c>
      <c r="K137" s="38" t="s">
        <v>29</v>
      </c>
      <c r="L137" s="40">
        <v>2790.11</v>
      </c>
      <c r="M137" s="40">
        <v>3192.37</v>
      </c>
      <c r="N137" s="38" t="s">
        <v>17</v>
      </c>
      <c r="O137" s="41">
        <v>0.26</v>
      </c>
      <c r="P137" s="38" t="s">
        <v>27</v>
      </c>
      <c r="Q137" s="38" t="s">
        <v>19</v>
      </c>
      <c r="R137" s="38" t="str">
        <f>IF(Cleaned_Final!$I137&gt;=5000,"High","Low")</f>
        <v>High</v>
      </c>
    </row>
    <row r="138" spans="1:18" x14ac:dyDescent="0.35">
      <c r="A138" s="34">
        <v>1099</v>
      </c>
      <c r="B138" s="34" t="str">
        <f>_xlfn.XLOOKUP(Table2[[#This Row],[Product ID]],Sheet1!$A$32:$A$200,Sheet1!$B$32:$B$200,"Not Found")</f>
        <v>Chest</v>
      </c>
      <c r="C138" s="35">
        <v>44989</v>
      </c>
      <c r="D138" s="34" t="s">
        <v>24</v>
      </c>
      <c r="E138" s="34" t="str" cm="1">
        <f t="array" ref="E138">_xlfn.XLOOKUP(Table2[[#This Row],[Sales Rep]],Sheet1!$A$21:$A$25,Sheet1!$B$21:$B$25,Not Found)</f>
        <v>Hogan Rock</v>
      </c>
      <c r="F138" s="34" t="s">
        <v>34</v>
      </c>
      <c r="G138" s="34">
        <f>_xlfn.XLOOKUP(Table2[[#This Row],[Region]],Sheet1!$A$12:$A$15,Sheet1!$B$12:$B$15,0)</f>
        <v>0.06</v>
      </c>
      <c r="H138" s="36">
        <f>Table2[[#This Row],[Tax Rate]]*Table2[[#This Row],[Sales Amount]]</f>
        <v>477.12659999999994</v>
      </c>
      <c r="I138" s="36">
        <v>7952.11</v>
      </c>
      <c r="J138" s="34">
        <v>10</v>
      </c>
      <c r="K138" s="34" t="s">
        <v>16</v>
      </c>
      <c r="L138" s="36">
        <v>1531.2</v>
      </c>
      <c r="M138" s="36">
        <v>1955.56</v>
      </c>
      <c r="N138" s="34" t="s">
        <v>30</v>
      </c>
      <c r="O138" s="37">
        <v>0</v>
      </c>
      <c r="P138" s="34" t="s">
        <v>31</v>
      </c>
      <c r="Q138" s="34" t="s">
        <v>19</v>
      </c>
      <c r="R138" s="34" t="str">
        <f>IF(Cleaned_Final!$I138&gt;=5000,"High","Low")</f>
        <v>High</v>
      </c>
    </row>
    <row r="139" spans="1:18" x14ac:dyDescent="0.35">
      <c r="A139" s="38">
        <v>1044</v>
      </c>
      <c r="B139" s="38" t="str">
        <f>_xlfn.XLOOKUP(Table2[[#This Row],[Product ID]],Sheet1!$A$32:$A$200,Sheet1!$B$32:$B$200,"Not Found")</f>
        <v>Burger</v>
      </c>
      <c r="C139" s="39">
        <v>45069</v>
      </c>
      <c r="D139" s="38" t="s">
        <v>14</v>
      </c>
      <c r="E139" s="38" t="str" cm="1">
        <f t="array" ref="E139">_xlfn.XLOOKUP(Table2[[#This Row],[Sales Rep]],Sheet1!$A$21:$A$25,Sheet1!$B$21:$B$25,Not Found)</f>
        <v>Michael Smith</v>
      </c>
      <c r="F139" s="38" t="s">
        <v>21</v>
      </c>
      <c r="G139" s="38">
        <f>_xlfn.XLOOKUP(Table2[[#This Row],[Region]],Sheet1!$A$12:$A$15,Sheet1!$B$12:$B$15,0)</f>
        <v>0.08</v>
      </c>
      <c r="H139" s="40">
        <f>Table2[[#This Row],[Tax Rate]]*Table2[[#This Row],[Sales Amount]]</f>
        <v>684.19759999999997</v>
      </c>
      <c r="I139" s="40">
        <v>8552.4699999999993</v>
      </c>
      <c r="J139" s="38">
        <v>19</v>
      </c>
      <c r="K139" s="38" t="s">
        <v>26</v>
      </c>
      <c r="L139" s="40">
        <v>2182.75</v>
      </c>
      <c r="M139" s="40">
        <v>2504.0299999999902</v>
      </c>
      <c r="N139" s="38" t="s">
        <v>30</v>
      </c>
      <c r="O139" s="41">
        <v>0.01</v>
      </c>
      <c r="P139" s="38" t="s">
        <v>27</v>
      </c>
      <c r="Q139" s="38" t="s">
        <v>19</v>
      </c>
      <c r="R139" s="38" t="str">
        <f>IF(Cleaned_Final!$I139&gt;=5000,"High","Low")</f>
        <v>High</v>
      </c>
    </row>
    <row r="140" spans="1:18" x14ac:dyDescent="0.35">
      <c r="A140" s="34">
        <v>1086</v>
      </c>
      <c r="B140" s="34" t="str">
        <f>_xlfn.XLOOKUP(Table2[[#This Row],[Product ID]],Sheet1!$A$32:$A$200,Sheet1!$B$32:$B$200,"Not Found")</f>
        <v>Gaming Console</v>
      </c>
      <c r="C140" s="35">
        <v>45079</v>
      </c>
      <c r="D140" s="34" t="s">
        <v>14</v>
      </c>
      <c r="E140" s="34" t="str" cm="1">
        <f t="array" ref="E140">_xlfn.XLOOKUP(Table2[[#This Row],[Sales Rep]],Sheet1!$A$21:$A$25,Sheet1!$B$21:$B$25,Not Found)</f>
        <v>Michael Smith</v>
      </c>
      <c r="F140" s="34" t="s">
        <v>34</v>
      </c>
      <c r="G140" s="34">
        <f>_xlfn.XLOOKUP(Table2[[#This Row],[Region]],Sheet1!$A$12:$A$15,Sheet1!$B$12:$B$15,0)</f>
        <v>0.06</v>
      </c>
      <c r="H140" s="36">
        <f>Table2[[#This Row],[Tax Rate]]*Table2[[#This Row],[Sales Amount]]</f>
        <v>149.73420000000002</v>
      </c>
      <c r="I140" s="36">
        <v>2495.5700000000002</v>
      </c>
      <c r="J140" s="34">
        <v>3</v>
      </c>
      <c r="K140" s="34" t="s">
        <v>35</v>
      </c>
      <c r="L140" s="36">
        <v>1595.35</v>
      </c>
      <c r="M140" s="36">
        <v>1625.70999999999</v>
      </c>
      <c r="N140" s="34" t="s">
        <v>30</v>
      </c>
      <c r="O140" s="37">
        <v>0.27</v>
      </c>
      <c r="P140" s="34" t="s">
        <v>18</v>
      </c>
      <c r="Q140" s="34" t="s">
        <v>19</v>
      </c>
      <c r="R140" s="34" t="str">
        <f>IF(Cleaned_Final!$I140&gt;=5000,"High","Low")</f>
        <v>Low</v>
      </c>
    </row>
    <row r="141" spans="1:18" x14ac:dyDescent="0.35">
      <c r="A141" s="38">
        <v>1091</v>
      </c>
      <c r="B141" s="38" t="str">
        <f>_xlfn.XLOOKUP(Table2[[#This Row],[Product ID]],Sheet1!$A$32:$A$200,Sheet1!$B$32:$B$200,"Not Found")</f>
        <v>Granola Bar</v>
      </c>
      <c r="C141" s="39">
        <v>45071</v>
      </c>
      <c r="D141" s="38" t="s">
        <v>42</v>
      </c>
      <c r="E141" s="38" t="str" cm="1">
        <f t="array" ref="E141">_xlfn.XLOOKUP(Table2[[#This Row],[Sales Rep]],Sheet1!$A$21:$A$25,Sheet1!$B$21:$B$25,Not Found)</f>
        <v>Scott Wayne</v>
      </c>
      <c r="F141" s="38" t="s">
        <v>15</v>
      </c>
      <c r="G141" s="38">
        <f>_xlfn.XLOOKUP(Table2[[#This Row],[Region]],Sheet1!$A$12:$A$15,Sheet1!$B$12:$B$15,0)</f>
        <v>7.4999999999999997E-2</v>
      </c>
      <c r="H141" s="40">
        <f>Table2[[#This Row],[Tax Rate]]*Table2[[#This Row],[Sales Amount]]</f>
        <v>720.76574999999991</v>
      </c>
      <c r="I141" s="40">
        <v>9610.2099999999991</v>
      </c>
      <c r="J141" s="38">
        <v>24</v>
      </c>
      <c r="K141" s="38" t="s">
        <v>29</v>
      </c>
      <c r="L141" s="40">
        <v>3639.3</v>
      </c>
      <c r="M141" s="40">
        <v>3750.63</v>
      </c>
      <c r="N141" s="38" t="s">
        <v>30</v>
      </c>
      <c r="O141" s="41">
        <v>0.23</v>
      </c>
      <c r="P141" s="38" t="s">
        <v>27</v>
      </c>
      <c r="Q141" s="38" t="s">
        <v>22</v>
      </c>
      <c r="R141" s="38" t="str">
        <f>IF(Cleaned_Final!$I141&gt;=5000,"High","Low")</f>
        <v>High</v>
      </c>
    </row>
    <row r="142" spans="1:18" x14ac:dyDescent="0.35">
      <c r="A142" s="34">
        <v>1035</v>
      </c>
      <c r="B142" s="34" t="str">
        <f>_xlfn.XLOOKUP(Table2[[#This Row],[Product ID]],Sheet1!$A$32:$A$200,Sheet1!$B$32:$B$200,"Not Found")</f>
        <v>Doughnut</v>
      </c>
      <c r="C142" s="35">
        <v>45151</v>
      </c>
      <c r="D142" s="34" t="s">
        <v>42</v>
      </c>
      <c r="E142" s="34" t="str" cm="1">
        <f t="array" ref="E142">_xlfn.XLOOKUP(Table2[[#This Row],[Sales Rep]],Sheet1!$A$21:$A$25,Sheet1!$B$21:$B$25,Not Found)</f>
        <v>Scott Wayne</v>
      </c>
      <c r="F142" s="34" t="s">
        <v>21</v>
      </c>
      <c r="G142" s="34">
        <f>_xlfn.XLOOKUP(Table2[[#This Row],[Region]],Sheet1!$A$12:$A$15,Sheet1!$B$12:$B$15,0)</f>
        <v>0.08</v>
      </c>
      <c r="H142" s="36">
        <f>Table2[[#This Row],[Tax Rate]]*Table2[[#This Row],[Sales Amount]]</f>
        <v>163.9648</v>
      </c>
      <c r="I142" s="36">
        <v>2049.56</v>
      </c>
      <c r="J142" s="34">
        <v>5</v>
      </c>
      <c r="K142" s="34" t="s">
        <v>29</v>
      </c>
      <c r="L142" s="36">
        <v>3991.69</v>
      </c>
      <c r="M142" s="36">
        <v>4454.97</v>
      </c>
      <c r="N142" s="34" t="s">
        <v>30</v>
      </c>
      <c r="O142" s="37">
        <v>0.14000000000000001</v>
      </c>
      <c r="P142" s="34" t="s">
        <v>31</v>
      </c>
      <c r="Q142" s="34" t="s">
        <v>22</v>
      </c>
      <c r="R142" s="34" t="str">
        <f>IF(Cleaned_Final!$I142&gt;=5000,"High","Low")</f>
        <v>Low</v>
      </c>
    </row>
    <row r="143" spans="1:18" x14ac:dyDescent="0.35">
      <c r="A143" s="38">
        <v>1065</v>
      </c>
      <c r="B143" s="38" t="str">
        <f>_xlfn.XLOOKUP(Table2[[#This Row],[Product ID]],Sheet1!$A$32:$A$200,Sheet1!$B$32:$B$200,"Not Found")</f>
        <v>Potatoes</v>
      </c>
      <c r="C143" s="39">
        <v>45235</v>
      </c>
      <c r="D143" s="38" t="s">
        <v>42</v>
      </c>
      <c r="E143" s="38" t="str" cm="1">
        <f t="array" ref="E143">_xlfn.XLOOKUP(Table2[[#This Row],[Sales Rep]],Sheet1!$A$21:$A$25,Sheet1!$B$21:$B$25,Not Found)</f>
        <v>Scott Wayne</v>
      </c>
      <c r="F143" s="38" t="s">
        <v>34</v>
      </c>
      <c r="G143" s="38">
        <f>_xlfn.XLOOKUP(Table2[[#This Row],[Region]],Sheet1!$A$12:$A$15,Sheet1!$B$12:$B$15,0)</f>
        <v>0.06</v>
      </c>
      <c r="H143" s="40">
        <f>Table2[[#This Row],[Tax Rate]]*Table2[[#This Row],[Sales Amount]]</f>
        <v>571.14959999999996</v>
      </c>
      <c r="I143" s="40">
        <v>9519.16</v>
      </c>
      <c r="J143" s="38">
        <v>3</v>
      </c>
      <c r="K143" s="38" t="s">
        <v>16</v>
      </c>
      <c r="L143" s="40">
        <v>4173.04</v>
      </c>
      <c r="M143" s="40">
        <v>4362.4399999999996</v>
      </c>
      <c r="N143" s="38" t="s">
        <v>30</v>
      </c>
      <c r="O143" s="41">
        <v>0.23</v>
      </c>
      <c r="P143" s="38" t="s">
        <v>27</v>
      </c>
      <c r="Q143" s="38" t="s">
        <v>22</v>
      </c>
      <c r="R143" s="38" t="str">
        <f>IF(Cleaned_Final!$I143&gt;=5000,"High","Low")</f>
        <v>High</v>
      </c>
    </row>
    <row r="144" spans="1:18" x14ac:dyDescent="0.35">
      <c r="A144" s="34">
        <v>1099</v>
      </c>
      <c r="B144" s="34" t="str">
        <f>_xlfn.XLOOKUP(Table2[[#This Row],[Product ID]],Sheet1!$A$32:$A$200,Sheet1!$B$32:$B$200,"Not Found")</f>
        <v>Chest</v>
      </c>
      <c r="C144" s="35">
        <v>45030</v>
      </c>
      <c r="D144" s="34" t="s">
        <v>42</v>
      </c>
      <c r="E144" s="34" t="str" cm="1">
        <f t="array" ref="E144">_xlfn.XLOOKUP(Table2[[#This Row],[Sales Rep]],Sheet1!$A$21:$A$25,Sheet1!$B$21:$B$25,Not Found)</f>
        <v>Scott Wayne</v>
      </c>
      <c r="F144" s="34" t="s">
        <v>34</v>
      </c>
      <c r="G144" s="34">
        <f>_xlfn.XLOOKUP(Table2[[#This Row],[Region]],Sheet1!$A$12:$A$15,Sheet1!$B$12:$B$15,0)</f>
        <v>0.06</v>
      </c>
      <c r="H144" s="36">
        <f>Table2[[#This Row],[Tax Rate]]*Table2[[#This Row],[Sales Amount]]</f>
        <v>596.92259999999987</v>
      </c>
      <c r="I144" s="36">
        <v>9948.7099999999991</v>
      </c>
      <c r="J144" s="34">
        <v>27</v>
      </c>
      <c r="K144" s="34" t="s">
        <v>26</v>
      </c>
      <c r="L144" s="36">
        <v>4929.55</v>
      </c>
      <c r="M144" s="36">
        <v>4990.33</v>
      </c>
      <c r="N144" s="34" t="s">
        <v>17</v>
      </c>
      <c r="O144" s="37">
        <v>0.28999999999999998</v>
      </c>
      <c r="P144" s="34" t="s">
        <v>31</v>
      </c>
      <c r="Q144" s="34" t="s">
        <v>19</v>
      </c>
      <c r="R144" s="34" t="str">
        <f>IF(Cleaned_Final!$I144&gt;=5000,"High","Low")</f>
        <v>High</v>
      </c>
    </row>
    <row r="145" spans="1:18" x14ac:dyDescent="0.35">
      <c r="A145" s="38">
        <v>1047</v>
      </c>
      <c r="B145" s="38" t="str">
        <f>_xlfn.XLOOKUP(Table2[[#This Row],[Product ID]],Sheet1!$A$32:$A$200,Sheet1!$B$32:$B$200,"Not Found")</f>
        <v>Mouse</v>
      </c>
      <c r="C145" s="39">
        <v>45030</v>
      </c>
      <c r="D145" s="38" t="s">
        <v>38</v>
      </c>
      <c r="E145" s="38" t="str" cm="1">
        <f t="array" ref="E145">_xlfn.XLOOKUP(Table2[[#This Row],[Sales Rep]],Sheet1!$A$21:$A$25,Sheet1!$B$21:$B$25,Not Found)</f>
        <v>Tracy Moore</v>
      </c>
      <c r="F145" s="38" t="s">
        <v>21</v>
      </c>
      <c r="G145" s="38">
        <f>_xlfn.XLOOKUP(Table2[[#This Row],[Region]],Sheet1!$A$12:$A$15,Sheet1!$B$12:$B$15,0)</f>
        <v>0.08</v>
      </c>
      <c r="H145" s="40">
        <f>Table2[[#This Row],[Tax Rate]]*Table2[[#This Row],[Sales Amount]]</f>
        <v>571.6848</v>
      </c>
      <c r="I145" s="40">
        <v>7146.06</v>
      </c>
      <c r="J145" s="38">
        <v>16</v>
      </c>
      <c r="K145" s="38" t="s">
        <v>29</v>
      </c>
      <c r="L145" s="40">
        <v>3966.86</v>
      </c>
      <c r="M145" s="40">
        <v>4321.04</v>
      </c>
      <c r="N145" s="38" t="s">
        <v>17</v>
      </c>
      <c r="O145" s="41">
        <v>0.23</v>
      </c>
      <c r="P145" s="38" t="s">
        <v>31</v>
      </c>
      <c r="Q145" s="38" t="s">
        <v>22</v>
      </c>
      <c r="R145" s="38" t="str">
        <f>IF(Cleaned_Final!$I145&gt;=5000,"High","Low")</f>
        <v>High</v>
      </c>
    </row>
    <row r="146" spans="1:18" x14ac:dyDescent="0.35">
      <c r="A146" s="34">
        <v>1078</v>
      </c>
      <c r="B146" s="34" t="str">
        <f>_xlfn.XLOOKUP(Table2[[#This Row],[Product ID]],Sheet1!$A$32:$A$200,Sheet1!$B$32:$B$200,"Not Found")</f>
        <v>Kitchen Island</v>
      </c>
      <c r="C146" s="35">
        <v>44965</v>
      </c>
      <c r="D146" s="34" t="s">
        <v>42</v>
      </c>
      <c r="E146" s="34" t="str" cm="1">
        <f t="array" ref="E146">_xlfn.XLOOKUP(Table2[[#This Row],[Sales Rep]],Sheet1!$A$21:$A$25,Sheet1!$B$21:$B$25,Not Found)</f>
        <v>Scott Wayne</v>
      </c>
      <c r="F146" s="34" t="s">
        <v>25</v>
      </c>
      <c r="G146" s="34">
        <f>_xlfn.XLOOKUP(Table2[[#This Row],[Region]],Sheet1!$A$12:$A$15,Sheet1!$B$12:$B$15,0)</f>
        <v>0.05</v>
      </c>
      <c r="H146" s="36">
        <f>Table2[[#This Row],[Tax Rate]]*Table2[[#This Row],[Sales Amount]]</f>
        <v>490.666</v>
      </c>
      <c r="I146" s="36">
        <v>9813.32</v>
      </c>
      <c r="J146" s="34">
        <v>49</v>
      </c>
      <c r="K146" s="34" t="s">
        <v>16</v>
      </c>
      <c r="L146" s="36">
        <v>3026.85</v>
      </c>
      <c r="M146" s="36">
        <v>3183.58</v>
      </c>
      <c r="N146" s="34" t="s">
        <v>17</v>
      </c>
      <c r="O146" s="37">
        <v>0.25</v>
      </c>
      <c r="P146" s="34" t="s">
        <v>18</v>
      </c>
      <c r="Q146" s="34" t="s">
        <v>22</v>
      </c>
      <c r="R146" s="34" t="str">
        <f>IF(Cleaned_Final!$I146&gt;=5000,"High","Low")</f>
        <v>High</v>
      </c>
    </row>
    <row r="147" spans="1:18" x14ac:dyDescent="0.35">
      <c r="A147" s="38">
        <v>1003</v>
      </c>
      <c r="B147" s="38" t="str">
        <f>_xlfn.XLOOKUP(Table2[[#This Row],[Product ID]],Sheet1!$A$32:$A$200,Sheet1!$B$32:$B$200,"Not Found")</f>
        <v>Stool</v>
      </c>
      <c r="C147" s="39">
        <v>45124</v>
      </c>
      <c r="D147" s="38" t="s">
        <v>38</v>
      </c>
      <c r="E147" s="38" t="str" cm="1">
        <f t="array" ref="E147">_xlfn.XLOOKUP(Table2[[#This Row],[Sales Rep]],Sheet1!$A$21:$A$25,Sheet1!$B$21:$B$25,Not Found)</f>
        <v>Tracy Moore</v>
      </c>
      <c r="F147" s="38" t="s">
        <v>21</v>
      </c>
      <c r="G147" s="38">
        <f>_xlfn.XLOOKUP(Table2[[#This Row],[Region]],Sheet1!$A$12:$A$15,Sheet1!$B$12:$B$15,0)</f>
        <v>0.08</v>
      </c>
      <c r="H147" s="40">
        <f>Table2[[#This Row],[Tax Rate]]*Table2[[#This Row],[Sales Amount]]</f>
        <v>459.0752</v>
      </c>
      <c r="I147" s="40">
        <v>5738.44</v>
      </c>
      <c r="J147" s="38">
        <v>15</v>
      </c>
      <c r="K147" s="38" t="s">
        <v>35</v>
      </c>
      <c r="L147" s="40">
        <v>1729.14</v>
      </c>
      <c r="M147" s="40">
        <v>1870.88</v>
      </c>
      <c r="N147" s="38" t="s">
        <v>17</v>
      </c>
      <c r="O147" s="41">
        <v>0.23</v>
      </c>
      <c r="P147" s="38" t="s">
        <v>18</v>
      </c>
      <c r="Q147" s="38" t="s">
        <v>19</v>
      </c>
      <c r="R147" s="38" t="str">
        <f>IF(Cleaned_Final!$I147&gt;=5000,"High","Low")</f>
        <v>High</v>
      </c>
    </row>
    <row r="148" spans="1:18" x14ac:dyDescent="0.35">
      <c r="A148" s="34">
        <v>1001</v>
      </c>
      <c r="B148" s="34" t="str">
        <f>_xlfn.XLOOKUP(Table2[[#This Row],[Product ID]],Sheet1!$A$32:$A$200,Sheet1!$B$32:$B$200,"Not Found")</f>
        <v>Camera</v>
      </c>
      <c r="C148" s="35">
        <v>45060</v>
      </c>
      <c r="D148" s="34" t="s">
        <v>38</v>
      </c>
      <c r="E148" s="34" t="str" cm="1">
        <f t="array" ref="E148">_xlfn.XLOOKUP(Table2[[#This Row],[Sales Rep]],Sheet1!$A$21:$A$25,Sheet1!$B$21:$B$25,Not Found)</f>
        <v>Tracy Moore</v>
      </c>
      <c r="F148" s="34" t="s">
        <v>25</v>
      </c>
      <c r="G148" s="34">
        <f>_xlfn.XLOOKUP(Table2[[#This Row],[Region]],Sheet1!$A$12:$A$15,Sheet1!$B$12:$B$15,0)</f>
        <v>0.05</v>
      </c>
      <c r="H148" s="36">
        <f>Table2[[#This Row],[Tax Rate]]*Table2[[#This Row],[Sales Amount]]</f>
        <v>133.47300000000001</v>
      </c>
      <c r="I148" s="36">
        <v>2669.46</v>
      </c>
      <c r="J148" s="34">
        <v>35</v>
      </c>
      <c r="K148" s="34" t="s">
        <v>35</v>
      </c>
      <c r="L148" s="36">
        <v>2745.75</v>
      </c>
      <c r="M148" s="36">
        <v>3244.76</v>
      </c>
      <c r="N148" s="34" t="s">
        <v>30</v>
      </c>
      <c r="O148" s="37">
        <v>0.05</v>
      </c>
      <c r="P148" s="34" t="s">
        <v>27</v>
      </c>
      <c r="Q148" s="34" t="s">
        <v>19</v>
      </c>
      <c r="R148" s="34" t="str">
        <f>IF(Cleaned_Final!$I148&gt;=5000,"High","Low")</f>
        <v>Low</v>
      </c>
    </row>
    <row r="149" spans="1:18" x14ac:dyDescent="0.35">
      <c r="A149" s="38">
        <v>1005</v>
      </c>
      <c r="B149" s="38" t="str">
        <f>_xlfn.XLOOKUP(Table2[[#This Row],[Product ID]],Sheet1!$A$32:$A$200,Sheet1!$B$32:$B$200,"Not Found")</f>
        <v>Smart Phone</v>
      </c>
      <c r="C149" s="39">
        <v>44993</v>
      </c>
      <c r="D149" s="38" t="s">
        <v>42</v>
      </c>
      <c r="E149" s="38" t="str" cm="1">
        <f t="array" ref="E149">_xlfn.XLOOKUP(Table2[[#This Row],[Sales Rep]],Sheet1!$A$21:$A$25,Sheet1!$B$21:$B$25,Not Found)</f>
        <v>Scott Wayne</v>
      </c>
      <c r="F149" s="38" t="s">
        <v>15</v>
      </c>
      <c r="G149" s="38">
        <f>_xlfn.XLOOKUP(Table2[[#This Row],[Region]],Sheet1!$A$12:$A$15,Sheet1!$B$12:$B$15,0)</f>
        <v>7.4999999999999997E-2</v>
      </c>
      <c r="H149" s="40">
        <f>Table2[[#This Row],[Tax Rate]]*Table2[[#This Row],[Sales Amount]]</f>
        <v>331.96949999999998</v>
      </c>
      <c r="I149" s="40">
        <v>4426.26</v>
      </c>
      <c r="J149" s="38">
        <v>12</v>
      </c>
      <c r="K149" s="38" t="s">
        <v>29</v>
      </c>
      <c r="L149" s="40">
        <v>253.29</v>
      </c>
      <c r="M149" s="40">
        <v>683.78</v>
      </c>
      <c r="N149" s="38" t="s">
        <v>30</v>
      </c>
      <c r="O149" s="41">
        <v>0.25</v>
      </c>
      <c r="P149" s="38" t="s">
        <v>31</v>
      </c>
      <c r="Q149" s="38" t="s">
        <v>19</v>
      </c>
      <c r="R149" s="38" t="str">
        <f>IF(Cleaned_Final!$I149&gt;=5000,"High","Low")</f>
        <v>Low</v>
      </c>
    </row>
    <row r="150" spans="1:18" x14ac:dyDescent="0.35">
      <c r="A150" s="34">
        <v>1090</v>
      </c>
      <c r="B150" s="34" t="str">
        <f>_xlfn.XLOOKUP(Table2[[#This Row],[Product ID]],Sheet1!$A$32:$A$200,Sheet1!$B$32:$B$200,"Not Found")</f>
        <v>Keyboard</v>
      </c>
      <c r="C150" s="35">
        <v>45105</v>
      </c>
      <c r="D150" s="34" t="s">
        <v>33</v>
      </c>
      <c r="E150" s="34" t="str" cm="1">
        <f t="array" ref="E150">_xlfn.XLOOKUP(Table2[[#This Row],[Sales Rep]],Sheet1!$A$21:$A$25,Sheet1!$B$21:$B$25,Not Found)</f>
        <v>Susan Jerkins</v>
      </c>
      <c r="F150" s="34" t="s">
        <v>15</v>
      </c>
      <c r="G150" s="34">
        <f>_xlfn.XLOOKUP(Table2[[#This Row],[Region]],Sheet1!$A$12:$A$15,Sheet1!$B$12:$B$15,0)</f>
        <v>7.4999999999999997E-2</v>
      </c>
      <c r="H150" s="36">
        <f>Table2[[#This Row],[Tax Rate]]*Table2[[#This Row],[Sales Amount]]</f>
        <v>448.21875</v>
      </c>
      <c r="I150" s="36">
        <v>5976.25</v>
      </c>
      <c r="J150" s="34">
        <v>41</v>
      </c>
      <c r="K150" s="34" t="s">
        <v>29</v>
      </c>
      <c r="L150" s="36">
        <v>3736.88</v>
      </c>
      <c r="M150" s="36">
        <v>3946.77</v>
      </c>
      <c r="N150" s="34" t="s">
        <v>17</v>
      </c>
      <c r="O150" s="37">
        <v>0.06</v>
      </c>
      <c r="P150" s="34" t="s">
        <v>31</v>
      </c>
      <c r="Q150" s="34" t="s">
        <v>19</v>
      </c>
      <c r="R150" s="34" t="str">
        <f>IF(Cleaned_Final!$I150&gt;=5000,"High","Low")</f>
        <v>High</v>
      </c>
    </row>
    <row r="151" spans="1:18" x14ac:dyDescent="0.35">
      <c r="A151" s="38">
        <v>1014</v>
      </c>
      <c r="B151" s="38" t="str">
        <f>_xlfn.XLOOKUP(Table2[[#This Row],[Product ID]],Sheet1!$A$32:$A$200,Sheet1!$B$32:$B$200,"Not Found")</f>
        <v>Cheese Block</v>
      </c>
      <c r="C151" s="39">
        <v>44968</v>
      </c>
      <c r="D151" s="38" t="s">
        <v>24</v>
      </c>
      <c r="E151" s="38" t="str" cm="1">
        <f t="array" ref="E151">_xlfn.XLOOKUP(Table2[[#This Row],[Sales Rep]],Sheet1!$A$21:$A$25,Sheet1!$B$21:$B$25,Not Found)</f>
        <v>Hogan Rock</v>
      </c>
      <c r="F151" s="38" t="s">
        <v>21</v>
      </c>
      <c r="G151" s="38">
        <f>_xlfn.XLOOKUP(Table2[[#This Row],[Region]],Sheet1!$A$12:$A$15,Sheet1!$B$12:$B$15,0)</f>
        <v>0.08</v>
      </c>
      <c r="H151" s="40">
        <f>Table2[[#This Row],[Tax Rate]]*Table2[[#This Row],[Sales Amount]]</f>
        <v>65.880799999999994</v>
      </c>
      <c r="I151" s="40">
        <v>823.51</v>
      </c>
      <c r="J151" s="38">
        <v>44</v>
      </c>
      <c r="K151" s="38" t="s">
        <v>26</v>
      </c>
      <c r="L151" s="40">
        <v>2257.48</v>
      </c>
      <c r="M151" s="40">
        <v>2747.81</v>
      </c>
      <c r="N151" s="38" t="s">
        <v>17</v>
      </c>
      <c r="O151" s="41">
        <v>0.27</v>
      </c>
      <c r="P151" s="38" t="s">
        <v>18</v>
      </c>
      <c r="Q151" s="38" t="s">
        <v>19</v>
      </c>
      <c r="R151" s="38" t="str">
        <f>IF(Cleaned_Final!$I151&gt;=5000,"High","Low")</f>
        <v>Low</v>
      </c>
    </row>
    <row r="152" spans="1:18" x14ac:dyDescent="0.35">
      <c r="A152" s="34">
        <v>1027</v>
      </c>
      <c r="B152" s="34" t="str">
        <f>_xlfn.XLOOKUP(Table2[[#This Row],[Product ID]],Sheet1!$A$32:$A$200,Sheet1!$B$32:$B$200,"Not Found")</f>
        <v>Cookies</v>
      </c>
      <c r="C152" s="35">
        <v>44941</v>
      </c>
      <c r="D152" s="34" t="s">
        <v>14</v>
      </c>
      <c r="E152" s="34" t="str" cm="1">
        <f t="array" ref="E152">_xlfn.XLOOKUP(Table2[[#This Row],[Sales Rep]],Sheet1!$A$21:$A$25,Sheet1!$B$21:$B$25,Not Found)</f>
        <v>Michael Smith</v>
      </c>
      <c r="F152" s="34" t="s">
        <v>21</v>
      </c>
      <c r="G152" s="34">
        <f>_xlfn.XLOOKUP(Table2[[#This Row],[Region]],Sheet1!$A$12:$A$15,Sheet1!$B$12:$B$15,0)</f>
        <v>0.08</v>
      </c>
      <c r="H152" s="36">
        <f>Table2[[#This Row],[Tax Rate]]*Table2[[#This Row],[Sales Amount]]</f>
        <v>500.89600000000002</v>
      </c>
      <c r="I152" s="36">
        <v>6261.2</v>
      </c>
      <c r="J152" s="34">
        <v>26</v>
      </c>
      <c r="K152" s="34" t="s">
        <v>26</v>
      </c>
      <c r="L152" s="36">
        <v>149.11000000000001</v>
      </c>
      <c r="M152" s="36">
        <v>477.67</v>
      </c>
      <c r="N152" s="34" t="s">
        <v>17</v>
      </c>
      <c r="O152" s="37">
        <v>0.14000000000000001</v>
      </c>
      <c r="P152" s="34" t="s">
        <v>18</v>
      </c>
      <c r="Q152" s="34" t="s">
        <v>22</v>
      </c>
      <c r="R152" s="34" t="str">
        <f>IF(Cleaned_Final!$I152&gt;=5000,"High","Low")</f>
        <v>High</v>
      </c>
    </row>
    <row r="153" spans="1:18" x14ac:dyDescent="0.35">
      <c r="A153" s="38">
        <v>1009</v>
      </c>
      <c r="B153" s="38" t="str">
        <f>_xlfn.XLOOKUP(Table2[[#This Row],[Product ID]],Sheet1!$A$32:$A$200,Sheet1!$B$32:$B$200,"Not Found")</f>
        <v>Jacket</v>
      </c>
      <c r="C153" s="39">
        <v>45037</v>
      </c>
      <c r="D153" s="38" t="s">
        <v>38</v>
      </c>
      <c r="E153" s="38" t="str" cm="1">
        <f t="array" ref="E153">_xlfn.XLOOKUP(Table2[[#This Row],[Sales Rep]],Sheet1!$A$21:$A$25,Sheet1!$B$21:$B$25,Not Found)</f>
        <v>Tracy Moore</v>
      </c>
      <c r="F153" s="38" t="s">
        <v>15</v>
      </c>
      <c r="G153" s="38">
        <f>_xlfn.XLOOKUP(Table2[[#This Row],[Region]],Sheet1!$A$12:$A$15,Sheet1!$B$12:$B$15,0)</f>
        <v>7.4999999999999997E-2</v>
      </c>
      <c r="H153" s="40">
        <f>Table2[[#This Row],[Tax Rate]]*Table2[[#This Row],[Sales Amount]]</f>
        <v>736.02449999999999</v>
      </c>
      <c r="I153" s="40">
        <v>9813.66</v>
      </c>
      <c r="J153" s="38">
        <v>47</v>
      </c>
      <c r="K153" s="38" t="s">
        <v>29</v>
      </c>
      <c r="L153" s="40">
        <v>359.41</v>
      </c>
      <c r="M153" s="40">
        <v>733</v>
      </c>
      <c r="N153" s="38" t="s">
        <v>17</v>
      </c>
      <c r="O153" s="41">
        <v>0.2</v>
      </c>
      <c r="P153" s="38" t="s">
        <v>27</v>
      </c>
      <c r="Q153" s="38" t="s">
        <v>22</v>
      </c>
      <c r="R153" s="38" t="str">
        <f>IF(Cleaned_Final!$I153&gt;=5000,"High","Low")</f>
        <v>High</v>
      </c>
    </row>
    <row r="154" spans="1:18" x14ac:dyDescent="0.35">
      <c r="A154" s="34">
        <v>1079</v>
      </c>
      <c r="B154" s="34" t="str">
        <f>_xlfn.XLOOKUP(Table2[[#This Row],[Product ID]],Sheet1!$A$32:$A$200,Sheet1!$B$32:$B$200,"Not Found")</f>
        <v>Wardrobe</v>
      </c>
      <c r="C154" s="35">
        <v>45083</v>
      </c>
      <c r="D154" s="34" t="s">
        <v>24</v>
      </c>
      <c r="E154" s="34" t="str" cm="1">
        <f t="array" ref="E154">_xlfn.XLOOKUP(Table2[[#This Row],[Sales Rep]],Sheet1!$A$21:$A$25,Sheet1!$B$21:$B$25,Not Found)</f>
        <v>Hogan Rock</v>
      </c>
      <c r="F154" s="34" t="s">
        <v>25</v>
      </c>
      <c r="G154" s="34">
        <f>_xlfn.XLOOKUP(Table2[[#This Row],[Region]],Sheet1!$A$12:$A$15,Sheet1!$B$12:$B$15,0)</f>
        <v>0.05</v>
      </c>
      <c r="H154" s="36">
        <f>Table2[[#This Row],[Tax Rate]]*Table2[[#This Row],[Sales Amount]]</f>
        <v>99.103499999999997</v>
      </c>
      <c r="I154" s="36">
        <v>1982.07</v>
      </c>
      <c r="J154" s="34">
        <v>34</v>
      </c>
      <c r="K154" s="34" t="s">
        <v>16</v>
      </c>
      <c r="L154" s="36">
        <v>1967.96</v>
      </c>
      <c r="M154" s="36">
        <v>1993.4</v>
      </c>
      <c r="N154" s="34" t="s">
        <v>17</v>
      </c>
      <c r="O154" s="37">
        <v>0.15</v>
      </c>
      <c r="P154" s="34" t="s">
        <v>31</v>
      </c>
      <c r="Q154" s="34" t="s">
        <v>19</v>
      </c>
      <c r="R154" s="34" t="str">
        <f>IF(Cleaned_Final!$I154&gt;=5000,"High","Low")</f>
        <v>Low</v>
      </c>
    </row>
    <row r="155" spans="1:18" x14ac:dyDescent="0.35">
      <c r="A155" s="38">
        <v>1015</v>
      </c>
      <c r="B155" s="38" t="str">
        <f>_xlfn.XLOOKUP(Table2[[#This Row],[Product ID]],Sheet1!$A$32:$A$200,Sheet1!$B$32:$B$200,"Not Found")</f>
        <v>Chocolate Bar</v>
      </c>
      <c r="C155" s="39">
        <v>45215</v>
      </c>
      <c r="D155" s="38" t="s">
        <v>33</v>
      </c>
      <c r="E155" s="38" t="str" cm="1">
        <f t="array" ref="E155">_xlfn.XLOOKUP(Table2[[#This Row],[Sales Rep]],Sheet1!$A$21:$A$25,Sheet1!$B$21:$B$25,Not Found)</f>
        <v>Susan Jerkins</v>
      </c>
      <c r="F155" s="38" t="s">
        <v>15</v>
      </c>
      <c r="G155" s="38">
        <f>_xlfn.XLOOKUP(Table2[[#This Row],[Region]],Sheet1!$A$12:$A$15,Sheet1!$B$12:$B$15,0)</f>
        <v>7.4999999999999997E-2</v>
      </c>
      <c r="H155" s="40">
        <f>Table2[[#This Row],[Tax Rate]]*Table2[[#This Row],[Sales Amount]]</f>
        <v>596.0017499999999</v>
      </c>
      <c r="I155" s="40">
        <v>7946.69</v>
      </c>
      <c r="J155" s="38">
        <v>23</v>
      </c>
      <c r="K155" s="38" t="s">
        <v>26</v>
      </c>
      <c r="L155" s="40">
        <v>2937.94</v>
      </c>
      <c r="M155" s="40">
        <v>3007.53</v>
      </c>
      <c r="N155" s="38" t="s">
        <v>17</v>
      </c>
      <c r="O155" s="41">
        <v>0.03</v>
      </c>
      <c r="P155" s="38" t="s">
        <v>18</v>
      </c>
      <c r="Q155" s="38" t="s">
        <v>22</v>
      </c>
      <c r="R155" s="38" t="str">
        <f>IF(Cleaned_Final!$I155&gt;=5000,"High","Low")</f>
        <v>High</v>
      </c>
    </row>
    <row r="156" spans="1:18" x14ac:dyDescent="0.35">
      <c r="A156" s="34">
        <v>1090</v>
      </c>
      <c r="B156" s="34" t="str">
        <f>_xlfn.XLOOKUP(Table2[[#This Row],[Product ID]],Sheet1!$A$32:$A$200,Sheet1!$B$32:$B$200,"Not Found")</f>
        <v>Keyboard</v>
      </c>
      <c r="C156" s="35">
        <v>45157</v>
      </c>
      <c r="D156" s="34" t="s">
        <v>14</v>
      </c>
      <c r="E156" s="34" t="str" cm="1">
        <f t="array" ref="E156">_xlfn.XLOOKUP(Table2[[#This Row],[Sales Rep]],Sheet1!$A$21:$A$25,Sheet1!$B$21:$B$25,Not Found)</f>
        <v>Michael Smith</v>
      </c>
      <c r="F156" s="34" t="s">
        <v>21</v>
      </c>
      <c r="G156" s="34">
        <f>_xlfn.XLOOKUP(Table2[[#This Row],[Region]],Sheet1!$A$12:$A$15,Sheet1!$B$12:$B$15,0)</f>
        <v>0.08</v>
      </c>
      <c r="H156" s="36">
        <f>Table2[[#This Row],[Tax Rate]]*Table2[[#This Row],[Sales Amount]]</f>
        <v>727.05600000000004</v>
      </c>
      <c r="I156" s="36">
        <v>9088.2000000000007</v>
      </c>
      <c r="J156" s="34">
        <v>31</v>
      </c>
      <c r="K156" s="34" t="s">
        <v>29</v>
      </c>
      <c r="L156" s="36">
        <v>2347.81</v>
      </c>
      <c r="M156" s="36">
        <v>2668.02</v>
      </c>
      <c r="N156" s="34" t="s">
        <v>17</v>
      </c>
      <c r="O156" s="37">
        <v>0.09</v>
      </c>
      <c r="P156" s="34" t="s">
        <v>27</v>
      </c>
      <c r="Q156" s="34" t="s">
        <v>22</v>
      </c>
      <c r="R156" s="34" t="str">
        <f>IF(Cleaned_Final!$I156&gt;=5000,"High","Low")</f>
        <v>High</v>
      </c>
    </row>
    <row r="157" spans="1:18" x14ac:dyDescent="0.35">
      <c r="A157" s="38">
        <v>1042</v>
      </c>
      <c r="B157" s="38" t="str">
        <f>_xlfn.XLOOKUP(Table2[[#This Row],[Product ID]],Sheet1!$A$32:$A$200,Sheet1!$B$32:$B$200,"Not Found")</f>
        <v>Frozen Pizza</v>
      </c>
      <c r="C157" s="39">
        <v>45083</v>
      </c>
      <c r="D157" s="38" t="s">
        <v>14</v>
      </c>
      <c r="E157" s="38" t="str" cm="1">
        <f t="array" ref="E157">_xlfn.XLOOKUP(Table2[[#This Row],[Sales Rep]],Sheet1!$A$21:$A$25,Sheet1!$B$21:$B$25,Not Found)</f>
        <v>Michael Smith</v>
      </c>
      <c r="F157" s="38" t="s">
        <v>15</v>
      </c>
      <c r="G157" s="38">
        <f>_xlfn.XLOOKUP(Table2[[#This Row],[Region]],Sheet1!$A$12:$A$15,Sheet1!$B$12:$B$15,0)</f>
        <v>7.4999999999999997E-2</v>
      </c>
      <c r="H157" s="40">
        <f>Table2[[#This Row],[Tax Rate]]*Table2[[#This Row],[Sales Amount]]</f>
        <v>708.1987499999999</v>
      </c>
      <c r="I157" s="40">
        <v>9442.65</v>
      </c>
      <c r="J157" s="38">
        <v>20</v>
      </c>
      <c r="K157" s="38" t="s">
        <v>26</v>
      </c>
      <c r="L157" s="40">
        <v>3115.06</v>
      </c>
      <c r="M157" s="40">
        <v>3565.58</v>
      </c>
      <c r="N157" s="38" t="s">
        <v>17</v>
      </c>
      <c r="O157" s="41">
        <v>0.3</v>
      </c>
      <c r="P157" s="38" t="s">
        <v>31</v>
      </c>
      <c r="Q157" s="38" t="s">
        <v>22</v>
      </c>
      <c r="R157" s="38" t="str">
        <f>IF(Cleaned_Final!$I157&gt;=5000,"High","Low")</f>
        <v>High</v>
      </c>
    </row>
    <row r="158" spans="1:18" x14ac:dyDescent="0.35">
      <c r="A158" s="34">
        <v>1077</v>
      </c>
      <c r="B158" s="34" t="str">
        <f>_xlfn.XLOOKUP(Table2[[#This Row],[Product ID]],Sheet1!$A$32:$A$200,Sheet1!$B$32:$B$200,"Not Found")</f>
        <v>Skirt</v>
      </c>
      <c r="C158" s="35">
        <v>44964</v>
      </c>
      <c r="D158" s="34" t="s">
        <v>38</v>
      </c>
      <c r="E158" s="34" t="str" cm="1">
        <f t="array" ref="E158">_xlfn.XLOOKUP(Table2[[#This Row],[Sales Rep]],Sheet1!$A$21:$A$25,Sheet1!$B$21:$B$25,Not Found)</f>
        <v>Tracy Moore</v>
      </c>
      <c r="F158" s="34" t="s">
        <v>21</v>
      </c>
      <c r="G158" s="34">
        <f>_xlfn.XLOOKUP(Table2[[#This Row],[Region]],Sheet1!$A$12:$A$15,Sheet1!$B$12:$B$15,0)</f>
        <v>0.08</v>
      </c>
      <c r="H158" s="36">
        <f>Table2[[#This Row],[Tax Rate]]*Table2[[#This Row],[Sales Amount]]</f>
        <v>768.42720000000008</v>
      </c>
      <c r="I158" s="36">
        <v>9605.34</v>
      </c>
      <c r="J158" s="34">
        <v>12</v>
      </c>
      <c r="K158" s="34" t="s">
        <v>29</v>
      </c>
      <c r="L158" s="36">
        <v>2427.46</v>
      </c>
      <c r="M158" s="36">
        <v>2743.09</v>
      </c>
      <c r="N158" s="34" t="s">
        <v>30</v>
      </c>
      <c r="O158" s="37">
        <v>0.28999999999999998</v>
      </c>
      <c r="P158" s="34" t="s">
        <v>31</v>
      </c>
      <c r="Q158" s="34" t="s">
        <v>22</v>
      </c>
      <c r="R158" s="34" t="str">
        <f>IF(Cleaned_Final!$I158&gt;=5000,"High","Low")</f>
        <v>High</v>
      </c>
    </row>
    <row r="159" spans="1:18" x14ac:dyDescent="0.35">
      <c r="A159" s="38">
        <v>1051</v>
      </c>
      <c r="B159" s="38" t="str">
        <f>_xlfn.XLOOKUP(Table2[[#This Row],[Product ID]],Sheet1!$A$32:$A$200,Sheet1!$B$32:$B$200,"Not Found")</f>
        <v>Tablet</v>
      </c>
      <c r="C159" s="39">
        <v>45023</v>
      </c>
      <c r="D159" s="38" t="s">
        <v>42</v>
      </c>
      <c r="E159" s="38" t="str" cm="1">
        <f t="array" ref="E159">_xlfn.XLOOKUP(Table2[[#This Row],[Sales Rep]],Sheet1!$A$21:$A$25,Sheet1!$B$21:$B$25,Not Found)</f>
        <v>Scott Wayne</v>
      </c>
      <c r="F159" s="38" t="s">
        <v>21</v>
      </c>
      <c r="G159" s="38">
        <f>_xlfn.XLOOKUP(Table2[[#This Row],[Region]],Sheet1!$A$12:$A$15,Sheet1!$B$12:$B$15,0)</f>
        <v>0.08</v>
      </c>
      <c r="H159" s="40">
        <f>Table2[[#This Row],[Tax Rate]]*Table2[[#This Row],[Sales Amount]]</f>
        <v>420.99599999999998</v>
      </c>
      <c r="I159" s="40">
        <v>5262.45</v>
      </c>
      <c r="J159" s="38">
        <v>23</v>
      </c>
      <c r="K159" s="38" t="s">
        <v>35</v>
      </c>
      <c r="L159" s="40">
        <v>3325.43</v>
      </c>
      <c r="M159" s="40">
        <v>3401.1</v>
      </c>
      <c r="N159" s="38" t="s">
        <v>30</v>
      </c>
      <c r="O159" s="41">
        <v>0.1</v>
      </c>
      <c r="P159" s="38" t="s">
        <v>18</v>
      </c>
      <c r="Q159" s="38" t="s">
        <v>19</v>
      </c>
      <c r="R159" s="38" t="str">
        <f>IF(Cleaned_Final!$I159&gt;=5000,"High","Low")</f>
        <v>High</v>
      </c>
    </row>
    <row r="160" spans="1:18" x14ac:dyDescent="0.35">
      <c r="A160" s="34">
        <v>1063</v>
      </c>
      <c r="B160" s="34" t="str">
        <f>_xlfn.XLOOKUP(Table2[[#This Row],[Product ID]],Sheet1!$A$32:$A$200,Sheet1!$B$32:$B$200,"Not Found")</f>
        <v>Noodles</v>
      </c>
      <c r="C160" s="35">
        <v>45215</v>
      </c>
      <c r="D160" s="34" t="s">
        <v>33</v>
      </c>
      <c r="E160" s="34" t="str" cm="1">
        <f t="array" ref="E160">_xlfn.XLOOKUP(Table2[[#This Row],[Sales Rep]],Sheet1!$A$21:$A$25,Sheet1!$B$21:$B$25,Not Found)</f>
        <v>Susan Jerkins</v>
      </c>
      <c r="F160" s="34" t="s">
        <v>15</v>
      </c>
      <c r="G160" s="34">
        <f>_xlfn.XLOOKUP(Table2[[#This Row],[Region]],Sheet1!$A$12:$A$15,Sheet1!$B$12:$B$15,0)</f>
        <v>7.4999999999999997E-2</v>
      </c>
      <c r="H160" s="36">
        <f>Table2[[#This Row],[Tax Rate]]*Table2[[#This Row],[Sales Amount]]</f>
        <v>733.15125</v>
      </c>
      <c r="I160" s="36">
        <v>9775.35</v>
      </c>
      <c r="J160" s="34">
        <v>4</v>
      </c>
      <c r="K160" s="34" t="s">
        <v>29</v>
      </c>
      <c r="L160" s="36">
        <v>1134.67</v>
      </c>
      <c r="M160" s="36">
        <v>1201.3900000000001</v>
      </c>
      <c r="N160" s="34" t="s">
        <v>30</v>
      </c>
      <c r="O160" s="37">
        <v>0.3</v>
      </c>
      <c r="P160" s="34" t="s">
        <v>27</v>
      </c>
      <c r="Q160" s="34" t="s">
        <v>22</v>
      </c>
      <c r="R160" s="34" t="str">
        <f>IF(Cleaned_Final!$I160&gt;=5000,"High","Low")</f>
        <v>High</v>
      </c>
    </row>
    <row r="161" spans="1:18" x14ac:dyDescent="0.35">
      <c r="A161" s="38">
        <v>1096</v>
      </c>
      <c r="B161" s="38" t="str">
        <f>_xlfn.XLOOKUP(Table2[[#This Row],[Product ID]],Sheet1!$A$32:$A$200,Sheet1!$B$32:$B$200,"Not Found")</f>
        <v>Radio</v>
      </c>
      <c r="C161" s="39">
        <v>45180</v>
      </c>
      <c r="D161" s="38" t="s">
        <v>38</v>
      </c>
      <c r="E161" s="38" t="str" cm="1">
        <f t="array" ref="E161">_xlfn.XLOOKUP(Table2[[#This Row],[Sales Rep]],Sheet1!$A$21:$A$25,Sheet1!$B$21:$B$25,Not Found)</f>
        <v>Tracy Moore</v>
      </c>
      <c r="F161" s="38" t="s">
        <v>25</v>
      </c>
      <c r="G161" s="38">
        <f>_xlfn.XLOOKUP(Table2[[#This Row],[Region]],Sheet1!$A$12:$A$15,Sheet1!$B$12:$B$15,0)</f>
        <v>0.05</v>
      </c>
      <c r="H161" s="40">
        <f>Table2[[#This Row],[Tax Rate]]*Table2[[#This Row],[Sales Amount]]</f>
        <v>379.86850000000004</v>
      </c>
      <c r="I161" s="40">
        <v>7597.37</v>
      </c>
      <c r="J161" s="38">
        <v>23</v>
      </c>
      <c r="K161" s="38" t="s">
        <v>35</v>
      </c>
      <c r="L161" s="40">
        <v>608.57000000000005</v>
      </c>
      <c r="M161" s="40">
        <v>1032.22</v>
      </c>
      <c r="N161" s="38" t="s">
        <v>30</v>
      </c>
      <c r="O161" s="41">
        <v>0.25</v>
      </c>
      <c r="P161" s="38" t="s">
        <v>18</v>
      </c>
      <c r="Q161" s="38" t="s">
        <v>22</v>
      </c>
      <c r="R161" s="38" t="str">
        <f>IF(Cleaned_Final!$I161&gt;=5000,"High","Low")</f>
        <v>High</v>
      </c>
    </row>
    <row r="162" spans="1:18" x14ac:dyDescent="0.35">
      <c r="A162" s="34">
        <v>1052</v>
      </c>
      <c r="B162" s="34" t="str">
        <f>_xlfn.XLOOKUP(Table2[[#This Row],[Product ID]],Sheet1!$A$32:$A$200,Sheet1!$B$32:$B$200,"Not Found")</f>
        <v>Wooden Chair</v>
      </c>
      <c r="C162" s="35">
        <v>45122</v>
      </c>
      <c r="D162" s="34" t="s">
        <v>33</v>
      </c>
      <c r="E162" s="34" t="str" cm="1">
        <f t="array" ref="E162">_xlfn.XLOOKUP(Table2[[#This Row],[Sales Rep]],Sheet1!$A$21:$A$25,Sheet1!$B$21:$B$25,Not Found)</f>
        <v>Susan Jerkins</v>
      </c>
      <c r="F162" s="34" t="s">
        <v>34</v>
      </c>
      <c r="G162" s="34">
        <f>_xlfn.XLOOKUP(Table2[[#This Row],[Region]],Sheet1!$A$12:$A$15,Sheet1!$B$12:$B$15,0)</f>
        <v>0.06</v>
      </c>
      <c r="H162" s="36">
        <f>Table2[[#This Row],[Tax Rate]]*Table2[[#This Row],[Sales Amount]]</f>
        <v>102.03299999999999</v>
      </c>
      <c r="I162" s="36">
        <v>1700.55</v>
      </c>
      <c r="J162" s="34">
        <v>48</v>
      </c>
      <c r="K162" s="34" t="s">
        <v>26</v>
      </c>
      <c r="L162" s="36">
        <v>3002.35</v>
      </c>
      <c r="M162" s="36">
        <v>3080.61</v>
      </c>
      <c r="N162" s="34" t="s">
        <v>17</v>
      </c>
      <c r="O162" s="37">
        <v>0.18</v>
      </c>
      <c r="P162" s="34" t="s">
        <v>27</v>
      </c>
      <c r="Q162" s="34" t="s">
        <v>22</v>
      </c>
      <c r="R162" s="34" t="str">
        <f>IF(Cleaned_Final!$I162&gt;=5000,"High","Low")</f>
        <v>Low</v>
      </c>
    </row>
    <row r="163" spans="1:18" x14ac:dyDescent="0.35">
      <c r="A163" s="38">
        <v>1096</v>
      </c>
      <c r="B163" s="38" t="str">
        <f>_xlfn.XLOOKUP(Table2[[#This Row],[Product ID]],Sheet1!$A$32:$A$200,Sheet1!$B$32:$B$200,"Not Found")</f>
        <v>Radio</v>
      </c>
      <c r="C163" s="39">
        <v>45012</v>
      </c>
      <c r="D163" s="38" t="s">
        <v>42</v>
      </c>
      <c r="E163" s="38" t="str" cm="1">
        <f t="array" ref="E163">_xlfn.XLOOKUP(Table2[[#This Row],[Sales Rep]],Sheet1!$A$21:$A$25,Sheet1!$B$21:$B$25,Not Found)</f>
        <v>Scott Wayne</v>
      </c>
      <c r="F163" s="38" t="s">
        <v>15</v>
      </c>
      <c r="G163" s="38">
        <f>_xlfn.XLOOKUP(Table2[[#This Row],[Region]],Sheet1!$A$12:$A$15,Sheet1!$B$12:$B$15,0)</f>
        <v>7.4999999999999997E-2</v>
      </c>
      <c r="H163" s="40">
        <f>Table2[[#This Row],[Tax Rate]]*Table2[[#This Row],[Sales Amount]]</f>
        <v>361.59825000000001</v>
      </c>
      <c r="I163" s="40">
        <v>4821.3100000000004</v>
      </c>
      <c r="J163" s="38">
        <v>48</v>
      </c>
      <c r="K163" s="38" t="s">
        <v>29</v>
      </c>
      <c r="L163" s="40">
        <v>2449.21</v>
      </c>
      <c r="M163" s="40">
        <v>2714.12</v>
      </c>
      <c r="N163" s="38" t="s">
        <v>30</v>
      </c>
      <c r="O163" s="41">
        <v>0.01</v>
      </c>
      <c r="P163" s="38" t="s">
        <v>31</v>
      </c>
      <c r="Q163" s="38" t="s">
        <v>19</v>
      </c>
      <c r="R163" s="38" t="str">
        <f>IF(Cleaned_Final!$I163&gt;=5000,"High","Low")</f>
        <v>Low</v>
      </c>
    </row>
    <row r="164" spans="1:18" x14ac:dyDescent="0.35">
      <c r="A164" s="34">
        <v>1004</v>
      </c>
      <c r="B164" s="34" t="str">
        <f>_xlfn.XLOOKUP(Table2[[#This Row],[Product ID]],Sheet1!$A$32:$A$200,Sheet1!$B$32:$B$200,"Not Found")</f>
        <v>Smartwatch</v>
      </c>
      <c r="C164" s="35">
        <v>45248</v>
      </c>
      <c r="D164" s="34" t="s">
        <v>42</v>
      </c>
      <c r="E164" s="34" t="str" cm="1">
        <f t="array" ref="E164">_xlfn.XLOOKUP(Table2[[#This Row],[Sales Rep]],Sheet1!$A$21:$A$25,Sheet1!$B$21:$B$25,Not Found)</f>
        <v>Scott Wayne</v>
      </c>
      <c r="F164" s="34" t="s">
        <v>34</v>
      </c>
      <c r="G164" s="34">
        <f>_xlfn.XLOOKUP(Table2[[#This Row],[Region]],Sheet1!$A$12:$A$15,Sheet1!$B$12:$B$15,0)</f>
        <v>0.06</v>
      </c>
      <c r="H164" s="36">
        <f>Table2[[#This Row],[Tax Rate]]*Table2[[#This Row],[Sales Amount]]</f>
        <v>432.68879999999996</v>
      </c>
      <c r="I164" s="36">
        <v>7211.48</v>
      </c>
      <c r="J164" s="34">
        <v>1</v>
      </c>
      <c r="K164" s="34" t="s">
        <v>26</v>
      </c>
      <c r="L164" s="36">
        <v>182.99</v>
      </c>
      <c r="M164" s="36">
        <v>211.18</v>
      </c>
      <c r="N164" s="34" t="s">
        <v>17</v>
      </c>
      <c r="O164" s="37">
        <v>0.27</v>
      </c>
      <c r="P164" s="34" t="s">
        <v>27</v>
      </c>
      <c r="Q164" s="34" t="s">
        <v>22</v>
      </c>
      <c r="R164" s="34" t="str">
        <f>IF(Cleaned_Final!$I164&gt;=5000,"High","Low")</f>
        <v>High</v>
      </c>
    </row>
    <row r="165" spans="1:18" x14ac:dyDescent="0.35">
      <c r="A165" s="38">
        <v>1094</v>
      </c>
      <c r="B165" s="38" t="str">
        <f>_xlfn.XLOOKUP(Table2[[#This Row],[Product ID]],Sheet1!$A$32:$A$200,Sheet1!$B$32:$B$200,"Not Found")</f>
        <v>Microwave</v>
      </c>
      <c r="C165" s="39">
        <v>44936</v>
      </c>
      <c r="D165" s="38" t="s">
        <v>38</v>
      </c>
      <c r="E165" s="38" t="str" cm="1">
        <f t="array" ref="E165">_xlfn.XLOOKUP(Table2[[#This Row],[Sales Rep]],Sheet1!$A$21:$A$25,Sheet1!$B$21:$B$25,Not Found)</f>
        <v>Tracy Moore</v>
      </c>
      <c r="F165" s="38" t="s">
        <v>15</v>
      </c>
      <c r="G165" s="38">
        <f>_xlfn.XLOOKUP(Table2[[#This Row],[Region]],Sheet1!$A$12:$A$15,Sheet1!$B$12:$B$15,0)</f>
        <v>7.4999999999999997E-2</v>
      </c>
      <c r="H165" s="40">
        <f>Table2[[#This Row],[Tax Rate]]*Table2[[#This Row],[Sales Amount]]</f>
        <v>191.15025</v>
      </c>
      <c r="I165" s="40">
        <v>2548.67</v>
      </c>
      <c r="J165" s="38">
        <v>25</v>
      </c>
      <c r="K165" s="38" t="s">
        <v>35</v>
      </c>
      <c r="L165" s="40">
        <v>1933.39</v>
      </c>
      <c r="M165" s="40">
        <v>1982.92</v>
      </c>
      <c r="N165" s="38" t="s">
        <v>30</v>
      </c>
      <c r="O165" s="41">
        <v>0.17</v>
      </c>
      <c r="P165" s="38" t="s">
        <v>27</v>
      </c>
      <c r="Q165" s="38" t="s">
        <v>19</v>
      </c>
      <c r="R165" s="38" t="str">
        <f>IF(Cleaned_Final!$I165&gt;=5000,"High","Low")</f>
        <v>Low</v>
      </c>
    </row>
    <row r="166" spans="1:18" x14ac:dyDescent="0.35">
      <c r="A166" s="34">
        <v>1023</v>
      </c>
      <c r="B166" s="34" t="str">
        <f>_xlfn.XLOOKUP(Table2[[#This Row],[Product ID]],Sheet1!$A$32:$A$200,Sheet1!$B$32:$B$200,"Not Found")</f>
        <v>Tights</v>
      </c>
      <c r="C166" s="35">
        <v>44931</v>
      </c>
      <c r="D166" s="34" t="s">
        <v>42</v>
      </c>
      <c r="E166" s="34" t="str" cm="1">
        <f t="array" ref="E166">_xlfn.XLOOKUP(Table2[[#This Row],[Sales Rep]],Sheet1!$A$21:$A$25,Sheet1!$B$21:$B$25,Not Found)</f>
        <v>Scott Wayne</v>
      </c>
      <c r="F166" s="34" t="s">
        <v>34</v>
      </c>
      <c r="G166" s="34">
        <f>_xlfn.XLOOKUP(Table2[[#This Row],[Region]],Sheet1!$A$12:$A$15,Sheet1!$B$12:$B$15,0)</f>
        <v>0.06</v>
      </c>
      <c r="H166" s="36">
        <f>Table2[[#This Row],[Tax Rate]]*Table2[[#This Row],[Sales Amount]]</f>
        <v>386.52539999999999</v>
      </c>
      <c r="I166" s="36">
        <v>6442.09</v>
      </c>
      <c r="J166" s="34">
        <v>2</v>
      </c>
      <c r="K166" s="34" t="s">
        <v>29</v>
      </c>
      <c r="L166" s="36">
        <v>575.32000000000005</v>
      </c>
      <c r="M166" s="36">
        <v>914.77</v>
      </c>
      <c r="N166" s="34" t="s">
        <v>17</v>
      </c>
      <c r="O166" s="37">
        <v>0.26</v>
      </c>
      <c r="P166" s="34" t="s">
        <v>27</v>
      </c>
      <c r="Q166" s="34" t="s">
        <v>19</v>
      </c>
      <c r="R166" s="34" t="str">
        <f>IF(Cleaned_Final!$I166&gt;=5000,"High","Low")</f>
        <v>High</v>
      </c>
    </row>
    <row r="167" spans="1:18" x14ac:dyDescent="0.35">
      <c r="A167" s="38">
        <v>1015</v>
      </c>
      <c r="B167" s="38" t="str">
        <f>_xlfn.XLOOKUP(Table2[[#This Row],[Product ID]],Sheet1!$A$32:$A$200,Sheet1!$B$32:$B$200,"Not Found")</f>
        <v>Chocolate Bar</v>
      </c>
      <c r="C167" s="39">
        <v>45049</v>
      </c>
      <c r="D167" s="38" t="s">
        <v>24</v>
      </c>
      <c r="E167" s="38" t="str" cm="1">
        <f t="array" ref="E167">_xlfn.XLOOKUP(Table2[[#This Row],[Sales Rep]],Sheet1!$A$21:$A$25,Sheet1!$B$21:$B$25,Not Found)</f>
        <v>Hogan Rock</v>
      </c>
      <c r="F167" s="38" t="s">
        <v>25</v>
      </c>
      <c r="G167" s="38">
        <f>_xlfn.XLOOKUP(Table2[[#This Row],[Region]],Sheet1!$A$12:$A$15,Sheet1!$B$12:$B$15,0)</f>
        <v>0.05</v>
      </c>
      <c r="H167" s="40">
        <f>Table2[[#This Row],[Tax Rate]]*Table2[[#This Row],[Sales Amount]]</f>
        <v>334.96700000000004</v>
      </c>
      <c r="I167" s="40">
        <v>6699.34</v>
      </c>
      <c r="J167" s="38">
        <v>30</v>
      </c>
      <c r="K167" s="38" t="s">
        <v>26</v>
      </c>
      <c r="L167" s="40">
        <v>2680.22</v>
      </c>
      <c r="M167" s="40">
        <v>3027.9199999999901</v>
      </c>
      <c r="N167" s="38" t="s">
        <v>17</v>
      </c>
      <c r="O167" s="41">
        <v>0.25</v>
      </c>
      <c r="P167" s="38" t="s">
        <v>27</v>
      </c>
      <c r="Q167" s="38" t="s">
        <v>19</v>
      </c>
      <c r="R167" s="38" t="str">
        <f>IF(Cleaned_Final!$I167&gt;=5000,"High","Low")</f>
        <v>High</v>
      </c>
    </row>
    <row r="168" spans="1:18" x14ac:dyDescent="0.35">
      <c r="A168" s="34">
        <v>1043</v>
      </c>
      <c r="B168" s="34" t="str">
        <f>_xlfn.XLOOKUP(Table2[[#This Row],[Product ID]],Sheet1!$A$32:$A$200,Sheet1!$B$32:$B$200,"Not Found")</f>
        <v>Oven</v>
      </c>
      <c r="C168" s="35">
        <v>45256</v>
      </c>
      <c r="D168" s="34" t="s">
        <v>14</v>
      </c>
      <c r="E168" s="34" t="str" cm="1">
        <f t="array" ref="E168">_xlfn.XLOOKUP(Table2[[#This Row],[Sales Rep]],Sheet1!$A$21:$A$25,Sheet1!$B$21:$B$25,Not Found)</f>
        <v>Michael Smith</v>
      </c>
      <c r="F168" s="34" t="s">
        <v>25</v>
      </c>
      <c r="G168" s="34">
        <f>_xlfn.XLOOKUP(Table2[[#This Row],[Region]],Sheet1!$A$12:$A$15,Sheet1!$B$12:$B$15,0)</f>
        <v>0.05</v>
      </c>
      <c r="H168" s="36">
        <f>Table2[[#This Row],[Tax Rate]]*Table2[[#This Row],[Sales Amount]]</f>
        <v>85.536500000000004</v>
      </c>
      <c r="I168" s="36">
        <v>1710.73</v>
      </c>
      <c r="J168" s="34">
        <v>3</v>
      </c>
      <c r="K168" s="34" t="s">
        <v>35</v>
      </c>
      <c r="L168" s="36">
        <v>2009.1</v>
      </c>
      <c r="M168" s="36">
        <v>2186.42</v>
      </c>
      <c r="N168" s="34" t="s">
        <v>30</v>
      </c>
      <c r="O168" s="37">
        <v>0.25</v>
      </c>
      <c r="P168" s="34" t="s">
        <v>27</v>
      </c>
      <c r="Q168" s="34" t="s">
        <v>19</v>
      </c>
      <c r="R168" s="34" t="str">
        <f>IF(Cleaned_Final!$I168&gt;=5000,"High","Low")</f>
        <v>Low</v>
      </c>
    </row>
    <row r="169" spans="1:18" x14ac:dyDescent="0.35">
      <c r="A169" s="38">
        <v>1029</v>
      </c>
      <c r="B169" s="38" t="str">
        <f>_xlfn.XLOOKUP(Table2[[#This Row],[Product ID]],Sheet1!$A$32:$A$200,Sheet1!$B$32:$B$200,"Not Found")</f>
        <v>Camisole</v>
      </c>
      <c r="C169" s="39">
        <v>45279</v>
      </c>
      <c r="D169" s="38" t="s">
        <v>38</v>
      </c>
      <c r="E169" s="38" t="str" cm="1">
        <f t="array" ref="E169">_xlfn.XLOOKUP(Table2[[#This Row],[Sales Rep]],Sheet1!$A$21:$A$25,Sheet1!$B$21:$B$25,Not Found)</f>
        <v>Tracy Moore</v>
      </c>
      <c r="F169" s="38" t="s">
        <v>15</v>
      </c>
      <c r="G169" s="38">
        <f>_xlfn.XLOOKUP(Table2[[#This Row],[Region]],Sheet1!$A$12:$A$15,Sheet1!$B$12:$B$15,0)</f>
        <v>7.4999999999999997E-2</v>
      </c>
      <c r="H169" s="40">
        <f>Table2[[#This Row],[Tax Rate]]*Table2[[#This Row],[Sales Amount]]</f>
        <v>427.07549999999998</v>
      </c>
      <c r="I169" s="40">
        <v>5694.34</v>
      </c>
      <c r="J169" s="38">
        <v>21</v>
      </c>
      <c r="K169" s="38" t="s">
        <v>26</v>
      </c>
      <c r="L169" s="40">
        <v>3085.1</v>
      </c>
      <c r="M169" s="40">
        <v>3200.75</v>
      </c>
      <c r="N169" s="38" t="s">
        <v>30</v>
      </c>
      <c r="O169" s="41">
        <v>0.21</v>
      </c>
      <c r="P169" s="38" t="s">
        <v>18</v>
      </c>
      <c r="Q169" s="38" t="s">
        <v>22</v>
      </c>
      <c r="R169" s="38" t="str">
        <f>IF(Cleaned_Final!$I169&gt;=5000,"High","Low")</f>
        <v>High</v>
      </c>
    </row>
    <row r="170" spans="1:18" x14ac:dyDescent="0.35">
      <c r="A170" s="34">
        <v>1036</v>
      </c>
      <c r="B170" s="34" t="str">
        <f>_xlfn.XLOOKUP(Table2[[#This Row],[Product ID]],Sheet1!$A$32:$A$200,Sheet1!$B$32:$B$200,"Not Found")</f>
        <v>Shorts</v>
      </c>
      <c r="C170" s="35">
        <v>45044</v>
      </c>
      <c r="D170" s="34" t="s">
        <v>33</v>
      </c>
      <c r="E170" s="34" t="str" cm="1">
        <f t="array" ref="E170">_xlfn.XLOOKUP(Table2[[#This Row],[Sales Rep]],Sheet1!$A$21:$A$25,Sheet1!$B$21:$B$25,Not Found)</f>
        <v>Susan Jerkins</v>
      </c>
      <c r="F170" s="34" t="s">
        <v>21</v>
      </c>
      <c r="G170" s="34">
        <f>_xlfn.XLOOKUP(Table2[[#This Row],[Region]],Sheet1!$A$12:$A$15,Sheet1!$B$12:$B$15,0)</f>
        <v>0.08</v>
      </c>
      <c r="H170" s="36">
        <f>Table2[[#This Row],[Tax Rate]]*Table2[[#This Row],[Sales Amount]]</f>
        <v>619.12879999999996</v>
      </c>
      <c r="I170" s="36">
        <v>7739.11</v>
      </c>
      <c r="J170" s="34">
        <v>25</v>
      </c>
      <c r="K170" s="34" t="s">
        <v>16</v>
      </c>
      <c r="L170" s="36">
        <v>4037.73</v>
      </c>
      <c r="M170" s="36">
        <v>4446.45</v>
      </c>
      <c r="N170" s="34" t="s">
        <v>17</v>
      </c>
      <c r="O170" s="37">
        <v>0.09</v>
      </c>
      <c r="P170" s="34" t="s">
        <v>27</v>
      </c>
      <c r="Q170" s="34" t="s">
        <v>19</v>
      </c>
      <c r="R170" s="34" t="str">
        <f>IF(Cleaned_Final!$I170&gt;=5000,"High","Low")</f>
        <v>High</v>
      </c>
    </row>
    <row r="171" spans="1:18" x14ac:dyDescent="0.35">
      <c r="A171" s="38">
        <v>1013</v>
      </c>
      <c r="B171" s="38" t="str">
        <f>_xlfn.XLOOKUP(Table2[[#This Row],[Product ID]],Sheet1!$A$32:$A$200,Sheet1!$B$32:$B$200,"Not Found")</f>
        <v>Gas Cooker</v>
      </c>
      <c r="C171" s="39">
        <v>45220</v>
      </c>
      <c r="D171" s="38" t="s">
        <v>24</v>
      </c>
      <c r="E171" s="38" t="str" cm="1">
        <f t="array" ref="E171">_xlfn.XLOOKUP(Table2[[#This Row],[Sales Rep]],Sheet1!$A$21:$A$25,Sheet1!$B$21:$B$25,Not Found)</f>
        <v>Hogan Rock</v>
      </c>
      <c r="F171" s="38" t="s">
        <v>34</v>
      </c>
      <c r="G171" s="38">
        <f>_xlfn.XLOOKUP(Table2[[#This Row],[Region]],Sheet1!$A$12:$A$15,Sheet1!$B$12:$B$15,0)</f>
        <v>0.06</v>
      </c>
      <c r="H171" s="40">
        <f>Table2[[#This Row],[Tax Rate]]*Table2[[#This Row],[Sales Amount]]</f>
        <v>302.34419999999994</v>
      </c>
      <c r="I171" s="40">
        <v>5039.07</v>
      </c>
      <c r="J171" s="38">
        <v>20</v>
      </c>
      <c r="K171" s="38" t="s">
        <v>35</v>
      </c>
      <c r="L171" s="40">
        <v>1533.36</v>
      </c>
      <c r="M171" s="40">
        <v>1649.73999999999</v>
      </c>
      <c r="N171" s="38" t="s">
        <v>17</v>
      </c>
      <c r="O171" s="41">
        <v>0.1</v>
      </c>
      <c r="P171" s="38" t="s">
        <v>27</v>
      </c>
      <c r="Q171" s="38" t="s">
        <v>19</v>
      </c>
      <c r="R171" s="38" t="str">
        <f>IF(Cleaned_Final!$I171&gt;=5000,"High","Low")</f>
        <v>High</v>
      </c>
    </row>
    <row r="172" spans="1:18" x14ac:dyDescent="0.35">
      <c r="A172" s="34">
        <v>1032</v>
      </c>
      <c r="B172" s="34" t="str">
        <f>_xlfn.XLOOKUP(Table2[[#This Row],[Product ID]],Sheet1!$A$32:$A$200,Sheet1!$B$32:$B$200,"Not Found")</f>
        <v>Refridgerator</v>
      </c>
      <c r="C172" s="35">
        <v>45085</v>
      </c>
      <c r="D172" s="34" t="s">
        <v>38</v>
      </c>
      <c r="E172" s="34" t="str" cm="1">
        <f t="array" ref="E172">_xlfn.XLOOKUP(Table2[[#This Row],[Sales Rep]],Sheet1!$A$21:$A$25,Sheet1!$B$21:$B$25,Not Found)</f>
        <v>Tracy Moore</v>
      </c>
      <c r="F172" s="34" t="s">
        <v>21</v>
      </c>
      <c r="G172" s="34">
        <f>_xlfn.XLOOKUP(Table2[[#This Row],[Region]],Sheet1!$A$12:$A$15,Sheet1!$B$12:$B$15,0)</f>
        <v>0.08</v>
      </c>
      <c r="H172" s="36">
        <f>Table2[[#This Row],[Tax Rate]]*Table2[[#This Row],[Sales Amount]]</f>
        <v>17.585599999999999</v>
      </c>
      <c r="I172" s="36">
        <v>219.82</v>
      </c>
      <c r="J172" s="34">
        <v>49</v>
      </c>
      <c r="K172" s="34" t="s">
        <v>35</v>
      </c>
      <c r="L172" s="36">
        <v>4812.41</v>
      </c>
      <c r="M172" s="36">
        <v>5088</v>
      </c>
      <c r="N172" s="34" t="s">
        <v>17</v>
      </c>
      <c r="O172" s="37">
        <v>0.09</v>
      </c>
      <c r="P172" s="34" t="s">
        <v>31</v>
      </c>
      <c r="Q172" s="34" t="s">
        <v>19</v>
      </c>
      <c r="R172" s="34" t="str">
        <f>IF(Cleaned_Final!$I172&gt;=5000,"High","Low")</f>
        <v>Low</v>
      </c>
    </row>
    <row r="173" spans="1:18" x14ac:dyDescent="0.35">
      <c r="A173" s="38">
        <v>1071</v>
      </c>
      <c r="B173" s="38" t="str">
        <f>_xlfn.XLOOKUP(Table2[[#This Row],[Product ID]],Sheet1!$A$32:$A$200,Sheet1!$B$32:$B$200,"Not Found")</f>
        <v>Game Table</v>
      </c>
      <c r="C173" s="39">
        <v>45229</v>
      </c>
      <c r="D173" s="38" t="s">
        <v>42</v>
      </c>
      <c r="E173" s="38" t="str" cm="1">
        <f t="array" ref="E173">_xlfn.XLOOKUP(Table2[[#This Row],[Sales Rep]],Sheet1!$A$21:$A$25,Sheet1!$B$21:$B$25,Not Found)</f>
        <v>Scott Wayne</v>
      </c>
      <c r="F173" s="38" t="s">
        <v>21</v>
      </c>
      <c r="G173" s="38">
        <f>_xlfn.XLOOKUP(Table2[[#This Row],[Region]],Sheet1!$A$12:$A$15,Sheet1!$B$12:$B$15,0)</f>
        <v>0.08</v>
      </c>
      <c r="H173" s="40">
        <f>Table2[[#This Row],[Tax Rate]]*Table2[[#This Row],[Sales Amount]]</f>
        <v>15.1584</v>
      </c>
      <c r="I173" s="40">
        <v>189.48</v>
      </c>
      <c r="J173" s="38">
        <v>22</v>
      </c>
      <c r="K173" s="38" t="s">
        <v>35</v>
      </c>
      <c r="L173" s="40">
        <v>2701.39</v>
      </c>
      <c r="M173" s="40">
        <v>3185.81</v>
      </c>
      <c r="N173" s="38" t="s">
        <v>30</v>
      </c>
      <c r="O173" s="41">
        <v>0.01</v>
      </c>
      <c r="P173" s="38" t="s">
        <v>27</v>
      </c>
      <c r="Q173" s="38" t="s">
        <v>19</v>
      </c>
      <c r="R173" s="38" t="str">
        <f>IF(Cleaned_Final!$I173&gt;=5000,"High","Low")</f>
        <v>Low</v>
      </c>
    </row>
    <row r="174" spans="1:18" x14ac:dyDescent="0.35">
      <c r="A174" s="34">
        <v>1059</v>
      </c>
      <c r="B174" s="34" t="str">
        <f>_xlfn.XLOOKUP(Table2[[#This Row],[Product ID]],Sheet1!$A$32:$A$200,Sheet1!$B$32:$B$200,"Not Found")</f>
        <v>Coffee Beans</v>
      </c>
      <c r="C174" s="35">
        <v>45154</v>
      </c>
      <c r="D174" s="34" t="s">
        <v>42</v>
      </c>
      <c r="E174" s="34" t="str" cm="1">
        <f t="array" ref="E174">_xlfn.XLOOKUP(Table2[[#This Row],[Sales Rep]],Sheet1!$A$21:$A$25,Sheet1!$B$21:$B$25,Not Found)</f>
        <v>Scott Wayne</v>
      </c>
      <c r="F174" s="34" t="s">
        <v>21</v>
      </c>
      <c r="G174" s="34">
        <f>_xlfn.XLOOKUP(Table2[[#This Row],[Region]],Sheet1!$A$12:$A$15,Sheet1!$B$12:$B$15,0)</f>
        <v>0.08</v>
      </c>
      <c r="H174" s="36">
        <f>Table2[[#This Row],[Tax Rate]]*Table2[[#This Row],[Sales Amount]]</f>
        <v>290.7672</v>
      </c>
      <c r="I174" s="36">
        <v>3634.59</v>
      </c>
      <c r="J174" s="34">
        <v>21</v>
      </c>
      <c r="K174" s="34" t="s">
        <v>29</v>
      </c>
      <c r="L174" s="36">
        <v>3110.54</v>
      </c>
      <c r="M174" s="36">
        <v>3192.99</v>
      </c>
      <c r="N174" s="34" t="s">
        <v>30</v>
      </c>
      <c r="O174" s="37">
        <v>0.17</v>
      </c>
      <c r="P174" s="34" t="s">
        <v>31</v>
      </c>
      <c r="Q174" s="34" t="s">
        <v>19</v>
      </c>
      <c r="R174" s="34" t="str">
        <f>IF(Cleaned_Final!$I174&gt;=5000,"High","Low")</f>
        <v>Low</v>
      </c>
    </row>
    <row r="175" spans="1:18" x14ac:dyDescent="0.35">
      <c r="A175" s="38">
        <v>1086</v>
      </c>
      <c r="B175" s="38" t="str">
        <f>_xlfn.XLOOKUP(Table2[[#This Row],[Product ID]],Sheet1!$A$32:$A$200,Sheet1!$B$32:$B$200,"Not Found")</f>
        <v>Gaming Console</v>
      </c>
      <c r="C175" s="39">
        <v>45291</v>
      </c>
      <c r="D175" s="38" t="s">
        <v>42</v>
      </c>
      <c r="E175" s="38" t="str" cm="1">
        <f t="array" ref="E175">_xlfn.XLOOKUP(Table2[[#This Row],[Sales Rep]],Sheet1!$A$21:$A$25,Sheet1!$B$21:$B$25,Not Found)</f>
        <v>Scott Wayne</v>
      </c>
      <c r="F175" s="38" t="s">
        <v>25</v>
      </c>
      <c r="G175" s="38">
        <f>_xlfn.XLOOKUP(Table2[[#This Row],[Region]],Sheet1!$A$12:$A$15,Sheet1!$B$12:$B$15,0)</f>
        <v>0.05</v>
      </c>
      <c r="H175" s="40">
        <f>Table2[[#This Row],[Tax Rate]]*Table2[[#This Row],[Sales Amount]]</f>
        <v>463.46600000000001</v>
      </c>
      <c r="I175" s="40">
        <v>9269.32</v>
      </c>
      <c r="J175" s="38">
        <v>33</v>
      </c>
      <c r="K175" s="38" t="s">
        <v>29</v>
      </c>
      <c r="L175" s="40">
        <v>3419.33</v>
      </c>
      <c r="M175" s="40">
        <v>3890.3599999999901</v>
      </c>
      <c r="N175" s="38" t="s">
        <v>17</v>
      </c>
      <c r="O175" s="41">
        <v>0.21</v>
      </c>
      <c r="P175" s="38" t="s">
        <v>18</v>
      </c>
      <c r="Q175" s="38" t="s">
        <v>22</v>
      </c>
      <c r="R175" s="38" t="str">
        <f>IF(Cleaned_Final!$I175&gt;=5000,"High","Low")</f>
        <v>High</v>
      </c>
    </row>
    <row r="176" spans="1:18" x14ac:dyDescent="0.35">
      <c r="A176" s="34">
        <v>1028</v>
      </c>
      <c r="B176" s="34" t="str">
        <f>_xlfn.XLOOKUP(Table2[[#This Row],[Product ID]],Sheet1!$A$32:$A$200,Sheet1!$B$32:$B$200,"Not Found")</f>
        <v>Pyjamas</v>
      </c>
      <c r="C176" s="35">
        <v>45142</v>
      </c>
      <c r="D176" s="34" t="s">
        <v>42</v>
      </c>
      <c r="E176" s="34" t="str" cm="1">
        <f t="array" ref="E176">_xlfn.XLOOKUP(Table2[[#This Row],[Sales Rep]],Sheet1!$A$21:$A$25,Sheet1!$B$21:$B$25,Not Found)</f>
        <v>Scott Wayne</v>
      </c>
      <c r="F176" s="34" t="s">
        <v>15</v>
      </c>
      <c r="G176" s="34">
        <f>_xlfn.XLOOKUP(Table2[[#This Row],[Region]],Sheet1!$A$12:$A$15,Sheet1!$B$12:$B$15,0)</f>
        <v>7.4999999999999997E-2</v>
      </c>
      <c r="H176" s="36">
        <f>Table2[[#This Row],[Tax Rate]]*Table2[[#This Row],[Sales Amount]]</f>
        <v>177.29249999999999</v>
      </c>
      <c r="I176" s="36">
        <v>2363.9</v>
      </c>
      <c r="J176" s="34">
        <v>38</v>
      </c>
      <c r="K176" s="34" t="s">
        <v>29</v>
      </c>
      <c r="L176" s="36">
        <v>3350.32</v>
      </c>
      <c r="M176" s="36">
        <v>3449.94</v>
      </c>
      <c r="N176" s="34" t="s">
        <v>30</v>
      </c>
      <c r="O176" s="37">
        <v>0.26</v>
      </c>
      <c r="P176" s="34" t="s">
        <v>18</v>
      </c>
      <c r="Q176" s="34" t="s">
        <v>19</v>
      </c>
      <c r="R176" s="34" t="str">
        <f>IF(Cleaned_Final!$I176&gt;=5000,"High","Low")</f>
        <v>Low</v>
      </c>
    </row>
    <row r="177" spans="1:18" x14ac:dyDescent="0.35">
      <c r="A177" s="38">
        <v>1066</v>
      </c>
      <c r="B177" s="38" t="str">
        <f>_xlfn.XLOOKUP(Table2[[#This Row],[Product ID]],Sheet1!$A$32:$A$200,Sheet1!$B$32:$B$200,"Not Found")</f>
        <v>Armoire</v>
      </c>
      <c r="C177" s="39">
        <v>45110</v>
      </c>
      <c r="D177" s="38" t="s">
        <v>33</v>
      </c>
      <c r="E177" s="38" t="str" cm="1">
        <f t="array" ref="E177">_xlfn.XLOOKUP(Table2[[#This Row],[Sales Rep]],Sheet1!$A$21:$A$25,Sheet1!$B$21:$B$25,Not Found)</f>
        <v>Susan Jerkins</v>
      </c>
      <c r="F177" s="38" t="s">
        <v>15</v>
      </c>
      <c r="G177" s="38">
        <f>_xlfn.XLOOKUP(Table2[[#This Row],[Region]],Sheet1!$A$12:$A$15,Sheet1!$B$12:$B$15,0)</f>
        <v>7.4999999999999997E-2</v>
      </c>
      <c r="H177" s="40">
        <f>Table2[[#This Row],[Tax Rate]]*Table2[[#This Row],[Sales Amount]]</f>
        <v>478.51499999999999</v>
      </c>
      <c r="I177" s="40">
        <v>6380.2</v>
      </c>
      <c r="J177" s="38">
        <v>15</v>
      </c>
      <c r="K177" s="38" t="s">
        <v>16</v>
      </c>
      <c r="L177" s="40">
        <v>2579.31</v>
      </c>
      <c r="M177" s="40">
        <v>2867.36</v>
      </c>
      <c r="N177" s="38" t="s">
        <v>17</v>
      </c>
      <c r="O177" s="41">
        <v>0.04</v>
      </c>
      <c r="P177" s="38" t="s">
        <v>27</v>
      </c>
      <c r="Q177" s="38" t="s">
        <v>22</v>
      </c>
      <c r="R177" s="38" t="str">
        <f>IF(Cleaned_Final!$I177&gt;=5000,"High","Low")</f>
        <v>High</v>
      </c>
    </row>
    <row r="178" spans="1:18" x14ac:dyDescent="0.35">
      <c r="A178" s="34">
        <v>1042</v>
      </c>
      <c r="B178" s="34" t="str">
        <f>_xlfn.XLOOKUP(Table2[[#This Row],[Product ID]],Sheet1!$A$32:$A$200,Sheet1!$B$32:$B$200,"Not Found")</f>
        <v>Frozen Pizza</v>
      </c>
      <c r="C178" s="35">
        <v>44941</v>
      </c>
      <c r="D178" s="34" t="s">
        <v>24</v>
      </c>
      <c r="E178" s="34" t="str" cm="1">
        <f t="array" ref="E178">_xlfn.XLOOKUP(Table2[[#This Row],[Sales Rep]],Sheet1!$A$21:$A$25,Sheet1!$B$21:$B$25,Not Found)</f>
        <v>Hogan Rock</v>
      </c>
      <c r="F178" s="34" t="s">
        <v>25</v>
      </c>
      <c r="G178" s="34">
        <f>_xlfn.XLOOKUP(Table2[[#This Row],[Region]],Sheet1!$A$12:$A$15,Sheet1!$B$12:$B$15,0)</f>
        <v>0.05</v>
      </c>
      <c r="H178" s="36">
        <f>Table2[[#This Row],[Tax Rate]]*Table2[[#This Row],[Sales Amount]]</f>
        <v>114.92750000000001</v>
      </c>
      <c r="I178" s="36">
        <v>2298.5500000000002</v>
      </c>
      <c r="J178" s="34">
        <v>46</v>
      </c>
      <c r="K178" s="34" t="s">
        <v>16</v>
      </c>
      <c r="L178" s="36">
        <v>2172.38</v>
      </c>
      <c r="M178" s="36">
        <v>2367.11</v>
      </c>
      <c r="N178" s="34" t="s">
        <v>30</v>
      </c>
      <c r="O178" s="37">
        <v>0.16</v>
      </c>
      <c r="P178" s="34" t="s">
        <v>18</v>
      </c>
      <c r="Q178" s="34" t="s">
        <v>22</v>
      </c>
      <c r="R178" s="34" t="str">
        <f>IF(Cleaned_Final!$I178&gt;=5000,"High","Low")</f>
        <v>Low</v>
      </c>
    </row>
    <row r="179" spans="1:18" x14ac:dyDescent="0.35">
      <c r="A179" s="38">
        <v>1045</v>
      </c>
      <c r="B179" s="38" t="str">
        <f>_xlfn.XLOOKUP(Table2[[#This Row],[Product ID]],Sheet1!$A$32:$A$200,Sheet1!$B$32:$B$200,"Not Found")</f>
        <v>Bikers Shorts</v>
      </c>
      <c r="C179" s="39">
        <v>45083</v>
      </c>
      <c r="D179" s="38" t="s">
        <v>14</v>
      </c>
      <c r="E179" s="38" t="str" cm="1">
        <f t="array" ref="E179">_xlfn.XLOOKUP(Table2[[#This Row],[Sales Rep]],Sheet1!$A$21:$A$25,Sheet1!$B$21:$B$25,Not Found)</f>
        <v>Michael Smith</v>
      </c>
      <c r="F179" s="38" t="s">
        <v>25</v>
      </c>
      <c r="G179" s="38">
        <f>_xlfn.XLOOKUP(Table2[[#This Row],[Region]],Sheet1!$A$12:$A$15,Sheet1!$B$12:$B$15,0)</f>
        <v>0.05</v>
      </c>
      <c r="H179" s="40">
        <f>Table2[[#This Row],[Tax Rate]]*Table2[[#This Row],[Sales Amount]]</f>
        <v>164.22650000000002</v>
      </c>
      <c r="I179" s="40">
        <v>3284.53</v>
      </c>
      <c r="J179" s="38">
        <v>15</v>
      </c>
      <c r="K179" s="38" t="s">
        <v>35</v>
      </c>
      <c r="L179" s="40">
        <v>316.22000000000003</v>
      </c>
      <c r="M179" s="40">
        <v>799.04</v>
      </c>
      <c r="N179" s="38" t="s">
        <v>30</v>
      </c>
      <c r="O179" s="41">
        <v>0</v>
      </c>
      <c r="P179" s="38" t="s">
        <v>27</v>
      </c>
      <c r="Q179" s="38" t="s">
        <v>19</v>
      </c>
      <c r="R179" s="38" t="str">
        <f>IF(Cleaned_Final!$I179&gt;=5000,"High","Low")</f>
        <v>Low</v>
      </c>
    </row>
    <row r="180" spans="1:18" x14ac:dyDescent="0.35">
      <c r="A180" s="34">
        <v>1062</v>
      </c>
      <c r="B180" s="34" t="str">
        <f>_xlfn.XLOOKUP(Table2[[#This Row],[Product ID]],Sheet1!$A$32:$A$200,Sheet1!$B$32:$B$200,"Not Found")</f>
        <v>Boxers</v>
      </c>
      <c r="C180" s="35">
        <v>45062</v>
      </c>
      <c r="D180" s="34" t="s">
        <v>33</v>
      </c>
      <c r="E180" s="34" t="str" cm="1">
        <f t="array" ref="E180">_xlfn.XLOOKUP(Table2[[#This Row],[Sales Rep]],Sheet1!$A$21:$A$25,Sheet1!$B$21:$B$25,Not Found)</f>
        <v>Susan Jerkins</v>
      </c>
      <c r="F180" s="34" t="s">
        <v>15</v>
      </c>
      <c r="G180" s="34">
        <f>_xlfn.XLOOKUP(Table2[[#This Row],[Region]],Sheet1!$A$12:$A$15,Sheet1!$B$12:$B$15,0)</f>
        <v>7.4999999999999997E-2</v>
      </c>
      <c r="H180" s="36">
        <f>Table2[[#This Row],[Tax Rate]]*Table2[[#This Row],[Sales Amount]]</f>
        <v>637.17150000000004</v>
      </c>
      <c r="I180" s="36">
        <v>8495.6200000000008</v>
      </c>
      <c r="J180" s="34">
        <v>46</v>
      </c>
      <c r="K180" s="34" t="s">
        <v>16</v>
      </c>
      <c r="L180" s="36">
        <v>159.32</v>
      </c>
      <c r="M180" s="36">
        <v>303.36</v>
      </c>
      <c r="N180" s="34" t="s">
        <v>30</v>
      </c>
      <c r="O180" s="37">
        <v>0.03</v>
      </c>
      <c r="P180" s="34" t="s">
        <v>18</v>
      </c>
      <c r="Q180" s="34" t="s">
        <v>22</v>
      </c>
      <c r="R180" s="34" t="str">
        <f>IF(Cleaned_Final!$I180&gt;=5000,"High","Low")</f>
        <v>High</v>
      </c>
    </row>
    <row r="181" spans="1:18" x14ac:dyDescent="0.35">
      <c r="A181" s="38">
        <v>1057</v>
      </c>
      <c r="B181" s="38" t="str">
        <f>_xlfn.XLOOKUP(Table2[[#This Row],[Product ID]],Sheet1!$A$32:$A$200,Sheet1!$B$32:$B$200,"Not Found")</f>
        <v>Avocadro Pear</v>
      </c>
      <c r="C181" s="39">
        <v>45187</v>
      </c>
      <c r="D181" s="38" t="s">
        <v>33</v>
      </c>
      <c r="E181" s="38" t="str" cm="1">
        <f t="array" ref="E181">_xlfn.XLOOKUP(Table2[[#This Row],[Sales Rep]],Sheet1!$A$21:$A$25,Sheet1!$B$21:$B$25,Not Found)</f>
        <v>Susan Jerkins</v>
      </c>
      <c r="F181" s="38" t="s">
        <v>21</v>
      </c>
      <c r="G181" s="38">
        <f>_xlfn.XLOOKUP(Table2[[#This Row],[Region]],Sheet1!$A$12:$A$15,Sheet1!$B$12:$B$15,0)</f>
        <v>0.08</v>
      </c>
      <c r="H181" s="40">
        <f>Table2[[#This Row],[Tax Rate]]*Table2[[#This Row],[Sales Amount]]</f>
        <v>585.25839999999994</v>
      </c>
      <c r="I181" s="40">
        <v>7315.73</v>
      </c>
      <c r="J181" s="38">
        <v>25</v>
      </c>
      <c r="K181" s="38" t="s">
        <v>26</v>
      </c>
      <c r="L181" s="40">
        <v>1821.91</v>
      </c>
      <c r="M181" s="40">
        <v>2027.74</v>
      </c>
      <c r="N181" s="38" t="s">
        <v>30</v>
      </c>
      <c r="O181" s="41">
        <v>0.02</v>
      </c>
      <c r="P181" s="38" t="s">
        <v>27</v>
      </c>
      <c r="Q181" s="38" t="s">
        <v>22</v>
      </c>
      <c r="R181" s="38" t="str">
        <f>IF(Cleaned_Final!$I181&gt;=5000,"High","Low")</f>
        <v>High</v>
      </c>
    </row>
    <row r="182" spans="1:18" x14ac:dyDescent="0.35">
      <c r="A182" s="34">
        <v>1006</v>
      </c>
      <c r="B182" s="34" t="str">
        <f>_xlfn.XLOOKUP(Table2[[#This Row],[Product ID]],Sheet1!$A$32:$A$200,Sheet1!$B$32:$B$200,"Not Found")</f>
        <v>Monitor</v>
      </c>
      <c r="C182" s="35">
        <v>45083</v>
      </c>
      <c r="D182" s="34" t="s">
        <v>14</v>
      </c>
      <c r="E182" s="34" t="str" cm="1">
        <f t="array" ref="E182">_xlfn.XLOOKUP(Table2[[#This Row],[Sales Rep]],Sheet1!$A$21:$A$25,Sheet1!$B$21:$B$25,Not Found)</f>
        <v>Michael Smith</v>
      </c>
      <c r="F182" s="34" t="s">
        <v>34</v>
      </c>
      <c r="G182" s="34">
        <f>_xlfn.XLOOKUP(Table2[[#This Row],[Region]],Sheet1!$A$12:$A$15,Sheet1!$B$12:$B$15,0)</f>
        <v>0.06</v>
      </c>
      <c r="H182" s="36">
        <f>Table2[[#This Row],[Tax Rate]]*Table2[[#This Row],[Sales Amount]]</f>
        <v>62.667000000000002</v>
      </c>
      <c r="I182" s="36">
        <v>1044.45</v>
      </c>
      <c r="J182" s="34">
        <v>21</v>
      </c>
      <c r="K182" s="34" t="s">
        <v>35</v>
      </c>
      <c r="L182" s="36">
        <v>1701.62</v>
      </c>
      <c r="M182" s="36">
        <v>2193.2199999999998</v>
      </c>
      <c r="N182" s="34" t="s">
        <v>30</v>
      </c>
      <c r="O182" s="37">
        <v>0.22</v>
      </c>
      <c r="P182" s="34" t="s">
        <v>27</v>
      </c>
      <c r="Q182" s="34" t="s">
        <v>22</v>
      </c>
      <c r="R182" s="34" t="str">
        <f>IF(Cleaned_Final!$I182&gt;=5000,"High","Low")</f>
        <v>Low</v>
      </c>
    </row>
    <row r="183" spans="1:18" x14ac:dyDescent="0.35">
      <c r="A183" s="38">
        <v>1028</v>
      </c>
      <c r="B183" s="38" t="str">
        <f>_xlfn.XLOOKUP(Table2[[#This Row],[Product ID]],Sheet1!$A$32:$A$200,Sheet1!$B$32:$B$200,"Not Found")</f>
        <v>Pyjamas</v>
      </c>
      <c r="C183" s="39">
        <v>44973</v>
      </c>
      <c r="D183" s="38" t="s">
        <v>14</v>
      </c>
      <c r="E183" s="38" t="str" cm="1">
        <f t="array" ref="E183">_xlfn.XLOOKUP(Table2[[#This Row],[Sales Rep]],Sheet1!$A$21:$A$25,Sheet1!$B$21:$B$25,Not Found)</f>
        <v>Michael Smith</v>
      </c>
      <c r="F183" s="38" t="s">
        <v>34</v>
      </c>
      <c r="G183" s="38">
        <f>_xlfn.XLOOKUP(Table2[[#This Row],[Region]],Sheet1!$A$12:$A$15,Sheet1!$B$12:$B$15,0)</f>
        <v>0.06</v>
      </c>
      <c r="H183" s="40">
        <f>Table2[[#This Row],[Tax Rate]]*Table2[[#This Row],[Sales Amount]]</f>
        <v>260.64899999999994</v>
      </c>
      <c r="I183" s="40">
        <v>4344.1499999999996</v>
      </c>
      <c r="J183" s="38">
        <v>24</v>
      </c>
      <c r="K183" s="38" t="s">
        <v>35</v>
      </c>
      <c r="L183" s="40">
        <v>1969.09</v>
      </c>
      <c r="M183" s="40">
        <v>2241.96</v>
      </c>
      <c r="N183" s="38" t="s">
        <v>17</v>
      </c>
      <c r="O183" s="41">
        <v>0.02</v>
      </c>
      <c r="P183" s="38" t="s">
        <v>31</v>
      </c>
      <c r="Q183" s="38" t="s">
        <v>19</v>
      </c>
      <c r="R183" s="38" t="str">
        <f>IF(Cleaned_Final!$I183&gt;=5000,"High","Low")</f>
        <v>Low</v>
      </c>
    </row>
    <row r="184" spans="1:18" x14ac:dyDescent="0.35">
      <c r="A184" s="34">
        <v>1028</v>
      </c>
      <c r="B184" s="34" t="str">
        <f>_xlfn.XLOOKUP(Table2[[#This Row],[Product ID]],Sheet1!$A$32:$A$200,Sheet1!$B$32:$B$200,"Not Found")</f>
        <v>Pyjamas</v>
      </c>
      <c r="C184" s="35">
        <v>45250</v>
      </c>
      <c r="D184" s="34" t="s">
        <v>42</v>
      </c>
      <c r="E184" s="34" t="str" cm="1">
        <f t="array" ref="E184">_xlfn.XLOOKUP(Table2[[#This Row],[Sales Rep]],Sheet1!$A$21:$A$25,Sheet1!$B$21:$B$25,Not Found)</f>
        <v>Scott Wayne</v>
      </c>
      <c r="F184" s="34" t="s">
        <v>34</v>
      </c>
      <c r="G184" s="34">
        <f>_xlfn.XLOOKUP(Table2[[#This Row],[Region]],Sheet1!$A$12:$A$15,Sheet1!$B$12:$B$15,0)</f>
        <v>0.06</v>
      </c>
      <c r="H184" s="36">
        <f>Table2[[#This Row],[Tax Rate]]*Table2[[#This Row],[Sales Amount]]</f>
        <v>23.326799999999999</v>
      </c>
      <c r="I184" s="36">
        <v>388.78</v>
      </c>
      <c r="J184" s="34">
        <v>5</v>
      </c>
      <c r="K184" s="34" t="s">
        <v>26</v>
      </c>
      <c r="L184" s="36">
        <v>734.92</v>
      </c>
      <c r="M184" s="36">
        <v>991.21</v>
      </c>
      <c r="N184" s="34" t="s">
        <v>17</v>
      </c>
      <c r="O184" s="37">
        <v>0.21</v>
      </c>
      <c r="P184" s="34" t="s">
        <v>31</v>
      </c>
      <c r="Q184" s="34" t="s">
        <v>19</v>
      </c>
      <c r="R184" s="34" t="str">
        <f>IF(Cleaned_Final!$I184&gt;=5000,"High","Low")</f>
        <v>Low</v>
      </c>
    </row>
    <row r="185" spans="1:18" x14ac:dyDescent="0.35">
      <c r="A185" s="38">
        <v>1044</v>
      </c>
      <c r="B185" s="38" t="str">
        <f>_xlfn.XLOOKUP(Table2[[#This Row],[Product ID]],Sheet1!$A$32:$A$200,Sheet1!$B$32:$B$200,"Not Found")</f>
        <v>Burger</v>
      </c>
      <c r="C185" s="39">
        <v>45258</v>
      </c>
      <c r="D185" s="38" t="s">
        <v>33</v>
      </c>
      <c r="E185" s="38" t="str" cm="1">
        <f t="array" ref="E185">_xlfn.XLOOKUP(Table2[[#This Row],[Sales Rep]],Sheet1!$A$21:$A$25,Sheet1!$B$21:$B$25,Not Found)</f>
        <v>Susan Jerkins</v>
      </c>
      <c r="F185" s="38" t="s">
        <v>21</v>
      </c>
      <c r="G185" s="38">
        <f>_xlfn.XLOOKUP(Table2[[#This Row],[Region]],Sheet1!$A$12:$A$15,Sheet1!$B$12:$B$15,0)</f>
        <v>0.08</v>
      </c>
      <c r="H185" s="40">
        <f>Table2[[#This Row],[Tax Rate]]*Table2[[#This Row],[Sales Amount]]</f>
        <v>388.86480000000006</v>
      </c>
      <c r="I185" s="40">
        <v>4860.8100000000004</v>
      </c>
      <c r="J185" s="38">
        <v>6</v>
      </c>
      <c r="K185" s="38" t="s">
        <v>35</v>
      </c>
      <c r="L185" s="40">
        <v>3703.93</v>
      </c>
      <c r="M185" s="40">
        <v>3840.24</v>
      </c>
      <c r="N185" s="38" t="s">
        <v>30</v>
      </c>
      <c r="O185" s="41">
        <v>7.0000000000000007E-2</v>
      </c>
      <c r="P185" s="38" t="s">
        <v>31</v>
      </c>
      <c r="Q185" s="38" t="s">
        <v>19</v>
      </c>
      <c r="R185" s="38" t="str">
        <f>IF(Cleaned_Final!$I185&gt;=5000,"High","Low")</f>
        <v>Low</v>
      </c>
    </row>
    <row r="186" spans="1:18" x14ac:dyDescent="0.35">
      <c r="A186" s="34">
        <v>1084</v>
      </c>
      <c r="B186" s="34" t="str">
        <f>_xlfn.XLOOKUP(Table2[[#This Row],[Product ID]],Sheet1!$A$32:$A$200,Sheet1!$B$32:$B$200,"Not Found")</f>
        <v>Card Table</v>
      </c>
      <c r="C186" s="35">
        <v>45099</v>
      </c>
      <c r="D186" s="34" t="s">
        <v>38</v>
      </c>
      <c r="E186" s="34" t="str" cm="1">
        <f t="array" ref="E186">_xlfn.XLOOKUP(Table2[[#This Row],[Sales Rep]],Sheet1!$A$21:$A$25,Sheet1!$B$21:$B$25,Not Found)</f>
        <v>Tracy Moore</v>
      </c>
      <c r="F186" s="34" t="s">
        <v>15</v>
      </c>
      <c r="G186" s="34">
        <f>_xlfn.XLOOKUP(Table2[[#This Row],[Region]],Sheet1!$A$12:$A$15,Sheet1!$B$12:$B$15,0)</f>
        <v>7.4999999999999997E-2</v>
      </c>
      <c r="H186" s="36">
        <f>Table2[[#This Row],[Tax Rate]]*Table2[[#This Row],[Sales Amount]]</f>
        <v>499.35750000000002</v>
      </c>
      <c r="I186" s="36">
        <v>6658.1</v>
      </c>
      <c r="J186" s="34">
        <v>49</v>
      </c>
      <c r="K186" s="34" t="s">
        <v>16</v>
      </c>
      <c r="L186" s="36">
        <v>4291.97</v>
      </c>
      <c r="M186" s="36">
        <v>4645.6400000000003</v>
      </c>
      <c r="N186" s="34" t="s">
        <v>17</v>
      </c>
      <c r="O186" s="37">
        <v>0.26</v>
      </c>
      <c r="P186" s="34" t="s">
        <v>31</v>
      </c>
      <c r="Q186" s="34" t="s">
        <v>19</v>
      </c>
      <c r="R186" s="34" t="str">
        <f>IF(Cleaned_Final!$I186&gt;=5000,"High","Low")</f>
        <v>High</v>
      </c>
    </row>
    <row r="187" spans="1:18" x14ac:dyDescent="0.35">
      <c r="A187" s="38">
        <v>1030</v>
      </c>
      <c r="B187" s="38" t="str">
        <f>_xlfn.XLOOKUP(Table2[[#This Row],[Product ID]],Sheet1!$A$32:$A$200,Sheet1!$B$32:$B$200,"Not Found")</f>
        <v>Jeans</v>
      </c>
      <c r="C187" s="39">
        <v>45056</v>
      </c>
      <c r="D187" s="38" t="s">
        <v>14</v>
      </c>
      <c r="E187" s="38" t="str" cm="1">
        <f t="array" ref="E187">_xlfn.XLOOKUP(Table2[[#This Row],[Sales Rep]],Sheet1!$A$21:$A$25,Sheet1!$B$21:$B$25,Not Found)</f>
        <v>Michael Smith</v>
      </c>
      <c r="F187" s="38" t="s">
        <v>25</v>
      </c>
      <c r="G187" s="38">
        <f>_xlfn.XLOOKUP(Table2[[#This Row],[Region]],Sheet1!$A$12:$A$15,Sheet1!$B$12:$B$15,0)</f>
        <v>0.05</v>
      </c>
      <c r="H187" s="40">
        <f>Table2[[#This Row],[Tax Rate]]*Table2[[#This Row],[Sales Amount]]</f>
        <v>63.659000000000006</v>
      </c>
      <c r="I187" s="40">
        <v>1273.18</v>
      </c>
      <c r="J187" s="38">
        <v>43</v>
      </c>
      <c r="K187" s="38" t="s">
        <v>29</v>
      </c>
      <c r="L187" s="40">
        <v>4696.6400000000003</v>
      </c>
      <c r="M187" s="40">
        <v>4713.68</v>
      </c>
      <c r="N187" s="38" t="s">
        <v>17</v>
      </c>
      <c r="O187" s="41">
        <v>0.24</v>
      </c>
      <c r="P187" s="38" t="s">
        <v>27</v>
      </c>
      <c r="Q187" s="38" t="s">
        <v>19</v>
      </c>
      <c r="R187" s="38" t="str">
        <f>IF(Cleaned_Final!$I187&gt;=5000,"High","Low")</f>
        <v>Low</v>
      </c>
    </row>
    <row r="188" spans="1:18" x14ac:dyDescent="0.35">
      <c r="A188" s="34">
        <v>1062</v>
      </c>
      <c r="B188" s="34" t="str">
        <f>_xlfn.XLOOKUP(Table2[[#This Row],[Product ID]],Sheet1!$A$32:$A$200,Sheet1!$B$32:$B$200,"Not Found")</f>
        <v>Boxers</v>
      </c>
      <c r="C188" s="35">
        <v>45021</v>
      </c>
      <c r="D188" s="34" t="s">
        <v>14</v>
      </c>
      <c r="E188" s="34" t="str" cm="1">
        <f t="array" ref="E188">_xlfn.XLOOKUP(Table2[[#This Row],[Sales Rep]],Sheet1!$A$21:$A$25,Sheet1!$B$21:$B$25,Not Found)</f>
        <v>Michael Smith</v>
      </c>
      <c r="F188" s="34" t="s">
        <v>15</v>
      </c>
      <c r="G188" s="34">
        <f>_xlfn.XLOOKUP(Table2[[#This Row],[Region]],Sheet1!$A$12:$A$15,Sheet1!$B$12:$B$15,0)</f>
        <v>7.4999999999999997E-2</v>
      </c>
      <c r="H188" s="36">
        <f>Table2[[#This Row],[Tax Rate]]*Table2[[#This Row],[Sales Amount]]</f>
        <v>221.99699999999999</v>
      </c>
      <c r="I188" s="36">
        <v>2959.96</v>
      </c>
      <c r="J188" s="34">
        <v>48</v>
      </c>
      <c r="K188" s="34" t="s">
        <v>26</v>
      </c>
      <c r="L188" s="36">
        <v>2487.19</v>
      </c>
      <c r="M188" s="36">
        <v>2521.4499999999998</v>
      </c>
      <c r="N188" s="34" t="s">
        <v>30</v>
      </c>
      <c r="O188" s="37">
        <v>0.28999999999999998</v>
      </c>
      <c r="P188" s="34" t="s">
        <v>18</v>
      </c>
      <c r="Q188" s="34" t="s">
        <v>19</v>
      </c>
      <c r="R188" s="34" t="str">
        <f>IF(Cleaned_Final!$I188&gt;=5000,"High","Low")</f>
        <v>Low</v>
      </c>
    </row>
    <row r="189" spans="1:18" x14ac:dyDescent="0.35">
      <c r="A189" s="38">
        <v>1075</v>
      </c>
      <c r="B189" s="38" t="str">
        <f>_xlfn.XLOOKUP(Table2[[#This Row],[Product ID]],Sheet1!$A$32:$A$200,Sheet1!$B$32:$B$200,"Not Found")</f>
        <v>Bookshelf</v>
      </c>
      <c r="C189" s="39">
        <v>45041</v>
      </c>
      <c r="D189" s="38" t="s">
        <v>24</v>
      </c>
      <c r="E189" s="38" t="str" cm="1">
        <f t="array" ref="E189">_xlfn.XLOOKUP(Table2[[#This Row],[Sales Rep]],Sheet1!$A$21:$A$25,Sheet1!$B$21:$B$25,Not Found)</f>
        <v>Hogan Rock</v>
      </c>
      <c r="F189" s="38" t="s">
        <v>21</v>
      </c>
      <c r="G189" s="38">
        <f>_xlfn.XLOOKUP(Table2[[#This Row],[Region]],Sheet1!$A$12:$A$15,Sheet1!$B$12:$B$15,0)</f>
        <v>0.08</v>
      </c>
      <c r="H189" s="40">
        <f>Table2[[#This Row],[Tax Rate]]*Table2[[#This Row],[Sales Amount]]</f>
        <v>323.08640000000003</v>
      </c>
      <c r="I189" s="40">
        <v>4038.58</v>
      </c>
      <c r="J189" s="38">
        <v>44</v>
      </c>
      <c r="K189" s="38" t="s">
        <v>16</v>
      </c>
      <c r="L189" s="40">
        <v>3519.29</v>
      </c>
      <c r="M189" s="40">
        <v>3822.98</v>
      </c>
      <c r="N189" s="38" t="s">
        <v>17</v>
      </c>
      <c r="O189" s="41">
        <v>0.27</v>
      </c>
      <c r="P189" s="38" t="s">
        <v>27</v>
      </c>
      <c r="Q189" s="38" t="s">
        <v>19</v>
      </c>
      <c r="R189" s="38" t="str">
        <f>IF(Cleaned_Final!$I189&gt;=5000,"High","Low")</f>
        <v>Low</v>
      </c>
    </row>
    <row r="190" spans="1:18" x14ac:dyDescent="0.35">
      <c r="A190" s="34">
        <v>1092</v>
      </c>
      <c r="B190" s="34" t="str">
        <f>_xlfn.XLOOKUP(Table2[[#This Row],[Product ID]],Sheet1!$A$32:$A$200,Sheet1!$B$32:$B$200,"Not Found")</f>
        <v>Recliner</v>
      </c>
      <c r="C190" s="35">
        <v>45169</v>
      </c>
      <c r="D190" s="34" t="s">
        <v>38</v>
      </c>
      <c r="E190" s="34" t="str" cm="1">
        <f t="array" ref="E190">_xlfn.XLOOKUP(Table2[[#This Row],[Sales Rep]],Sheet1!$A$21:$A$25,Sheet1!$B$21:$B$25,Not Found)</f>
        <v>Tracy Moore</v>
      </c>
      <c r="F190" s="34" t="s">
        <v>25</v>
      </c>
      <c r="G190" s="34">
        <f>_xlfn.XLOOKUP(Table2[[#This Row],[Region]],Sheet1!$A$12:$A$15,Sheet1!$B$12:$B$15,0)</f>
        <v>0.05</v>
      </c>
      <c r="H190" s="36">
        <f>Table2[[#This Row],[Tax Rate]]*Table2[[#This Row],[Sales Amount]]</f>
        <v>460.16800000000006</v>
      </c>
      <c r="I190" s="36">
        <v>9203.36</v>
      </c>
      <c r="J190" s="34">
        <v>47</v>
      </c>
      <c r="K190" s="34" t="s">
        <v>26</v>
      </c>
      <c r="L190" s="36">
        <v>4284.9799999999996</v>
      </c>
      <c r="M190" s="36">
        <v>4462.3999999999996</v>
      </c>
      <c r="N190" s="34" t="s">
        <v>30</v>
      </c>
      <c r="O190" s="37">
        <v>0.28000000000000003</v>
      </c>
      <c r="P190" s="34" t="s">
        <v>31</v>
      </c>
      <c r="Q190" s="34" t="s">
        <v>22</v>
      </c>
      <c r="R190" s="34" t="str">
        <f>IF(Cleaned_Final!$I190&gt;=5000,"High","Low")</f>
        <v>High</v>
      </c>
    </row>
    <row r="191" spans="1:18" x14ac:dyDescent="0.35">
      <c r="A191" s="38">
        <v>1089</v>
      </c>
      <c r="B191" s="38" t="str">
        <f>_xlfn.XLOOKUP(Table2[[#This Row],[Product ID]],Sheet1!$A$32:$A$200,Sheet1!$B$32:$B$200,"Not Found")</f>
        <v>Recliner</v>
      </c>
      <c r="C191" s="39">
        <v>45218</v>
      </c>
      <c r="D191" s="38" t="s">
        <v>38</v>
      </c>
      <c r="E191" s="38" t="str" cm="1">
        <f t="array" ref="E191">_xlfn.XLOOKUP(Table2[[#This Row],[Sales Rep]],Sheet1!$A$21:$A$25,Sheet1!$B$21:$B$25,Not Found)</f>
        <v>Tracy Moore</v>
      </c>
      <c r="F191" s="38" t="s">
        <v>21</v>
      </c>
      <c r="G191" s="38">
        <f>_xlfn.XLOOKUP(Table2[[#This Row],[Region]],Sheet1!$A$12:$A$15,Sheet1!$B$12:$B$15,0)</f>
        <v>0.08</v>
      </c>
      <c r="H191" s="40">
        <f>Table2[[#This Row],[Tax Rate]]*Table2[[#This Row],[Sales Amount]]</f>
        <v>794.6576</v>
      </c>
      <c r="I191" s="40">
        <v>9933.2199999999993</v>
      </c>
      <c r="J191" s="38">
        <v>23</v>
      </c>
      <c r="K191" s="38" t="s">
        <v>26</v>
      </c>
      <c r="L191" s="40">
        <v>2120.54</v>
      </c>
      <c r="M191" s="40">
        <v>2597.67</v>
      </c>
      <c r="N191" s="38" t="s">
        <v>17</v>
      </c>
      <c r="O191" s="41">
        <v>0.26</v>
      </c>
      <c r="P191" s="38" t="s">
        <v>31</v>
      </c>
      <c r="Q191" s="38" t="s">
        <v>22</v>
      </c>
      <c r="R191" s="38" t="str">
        <f>IF(Cleaned_Final!$I191&gt;=5000,"High","Low")</f>
        <v>High</v>
      </c>
    </row>
    <row r="192" spans="1:18" x14ac:dyDescent="0.35">
      <c r="A192" s="34">
        <v>1062</v>
      </c>
      <c r="B192" s="34" t="str">
        <f>_xlfn.XLOOKUP(Table2[[#This Row],[Product ID]],Sheet1!$A$32:$A$200,Sheet1!$B$32:$B$200,"Not Found")</f>
        <v>Boxers</v>
      </c>
      <c r="C192" s="35">
        <v>45208</v>
      </c>
      <c r="D192" s="34" t="s">
        <v>14</v>
      </c>
      <c r="E192" s="34" t="str" cm="1">
        <f t="array" ref="E192">_xlfn.XLOOKUP(Table2[[#This Row],[Sales Rep]],Sheet1!$A$21:$A$25,Sheet1!$B$21:$B$25,Not Found)</f>
        <v>Michael Smith</v>
      </c>
      <c r="F192" s="34" t="s">
        <v>34</v>
      </c>
      <c r="G192" s="34">
        <f>_xlfn.XLOOKUP(Table2[[#This Row],[Region]],Sheet1!$A$12:$A$15,Sheet1!$B$12:$B$15,0)</f>
        <v>0.06</v>
      </c>
      <c r="H192" s="36">
        <f>Table2[[#This Row],[Tax Rate]]*Table2[[#This Row],[Sales Amount]]</f>
        <v>32.677199999999999</v>
      </c>
      <c r="I192" s="36">
        <v>544.62</v>
      </c>
      <c r="J192" s="34">
        <v>4</v>
      </c>
      <c r="K192" s="34" t="s">
        <v>35</v>
      </c>
      <c r="L192" s="36">
        <v>1581.59</v>
      </c>
      <c r="M192" s="36">
        <v>2034.1499999999901</v>
      </c>
      <c r="N192" s="34" t="s">
        <v>17</v>
      </c>
      <c r="O192" s="37">
        <v>0.21</v>
      </c>
      <c r="P192" s="34" t="s">
        <v>18</v>
      </c>
      <c r="Q192" s="34" t="s">
        <v>19</v>
      </c>
      <c r="R192" s="34" t="str">
        <f>IF(Cleaned_Final!$I192&gt;=5000,"High","Low")</f>
        <v>Low</v>
      </c>
    </row>
    <row r="193" spans="1:18" x14ac:dyDescent="0.35">
      <c r="A193" s="38">
        <v>1097</v>
      </c>
      <c r="B193" s="38" t="str">
        <f>_xlfn.XLOOKUP(Table2[[#This Row],[Product ID]],Sheet1!$A$32:$A$200,Sheet1!$B$32:$B$200,"Not Found")</f>
        <v>Freezer</v>
      </c>
      <c r="C193" s="39">
        <v>45225</v>
      </c>
      <c r="D193" s="38" t="s">
        <v>42</v>
      </c>
      <c r="E193" s="38" t="str" cm="1">
        <f t="array" ref="E193">_xlfn.XLOOKUP(Table2[[#This Row],[Sales Rep]],Sheet1!$A$21:$A$25,Sheet1!$B$21:$B$25,Not Found)</f>
        <v>Scott Wayne</v>
      </c>
      <c r="F193" s="38" t="s">
        <v>34</v>
      </c>
      <c r="G193" s="38">
        <f>_xlfn.XLOOKUP(Table2[[#This Row],[Region]],Sheet1!$A$12:$A$15,Sheet1!$B$12:$B$15,0)</f>
        <v>0.06</v>
      </c>
      <c r="H193" s="40">
        <f>Table2[[#This Row],[Tax Rate]]*Table2[[#This Row],[Sales Amount]]</f>
        <v>458.03879999999998</v>
      </c>
      <c r="I193" s="40">
        <v>7633.98</v>
      </c>
      <c r="J193" s="38">
        <v>27</v>
      </c>
      <c r="K193" s="38" t="s">
        <v>35</v>
      </c>
      <c r="L193" s="40">
        <v>4686.79</v>
      </c>
      <c r="M193" s="40">
        <v>5046.51</v>
      </c>
      <c r="N193" s="38" t="s">
        <v>17</v>
      </c>
      <c r="O193" s="41">
        <v>0.05</v>
      </c>
      <c r="P193" s="38" t="s">
        <v>31</v>
      </c>
      <c r="Q193" s="38" t="s">
        <v>22</v>
      </c>
      <c r="R193" s="38" t="str">
        <f>IF(Cleaned_Final!$I193&gt;=5000,"High","Low")</f>
        <v>High</v>
      </c>
    </row>
    <row r="194" spans="1:18" x14ac:dyDescent="0.35">
      <c r="A194" s="34">
        <v>1001</v>
      </c>
      <c r="B194" s="34" t="str">
        <f>_xlfn.XLOOKUP(Table2[[#This Row],[Product ID]],Sheet1!$A$32:$A$200,Sheet1!$B$32:$B$200,"Not Found")</f>
        <v>Camera</v>
      </c>
      <c r="C194" s="35">
        <v>45209</v>
      </c>
      <c r="D194" s="34" t="s">
        <v>24</v>
      </c>
      <c r="E194" s="34" t="str" cm="1">
        <f t="array" ref="E194">_xlfn.XLOOKUP(Table2[[#This Row],[Sales Rep]],Sheet1!$A$21:$A$25,Sheet1!$B$21:$B$25,Not Found)</f>
        <v>Hogan Rock</v>
      </c>
      <c r="F194" s="34" t="s">
        <v>21</v>
      </c>
      <c r="G194" s="34">
        <f>_xlfn.XLOOKUP(Table2[[#This Row],[Region]],Sheet1!$A$12:$A$15,Sheet1!$B$12:$B$15,0)</f>
        <v>0.08</v>
      </c>
      <c r="H194" s="36">
        <f>Table2[[#This Row],[Tax Rate]]*Table2[[#This Row],[Sales Amount]]</f>
        <v>302.40559999999999</v>
      </c>
      <c r="I194" s="36">
        <v>3780.07</v>
      </c>
      <c r="J194" s="34">
        <v>18</v>
      </c>
      <c r="K194" s="34" t="s">
        <v>16</v>
      </c>
      <c r="L194" s="36">
        <v>2602.6</v>
      </c>
      <c r="M194" s="36">
        <v>3013.49</v>
      </c>
      <c r="N194" s="34" t="s">
        <v>17</v>
      </c>
      <c r="O194" s="37">
        <v>0.08</v>
      </c>
      <c r="P194" s="34" t="s">
        <v>27</v>
      </c>
      <c r="Q194" s="34" t="s">
        <v>19</v>
      </c>
      <c r="R194" s="34" t="str">
        <f>IF(Cleaned_Final!$I194&gt;=5000,"High","Low")</f>
        <v>Low</v>
      </c>
    </row>
    <row r="195" spans="1:18" x14ac:dyDescent="0.35">
      <c r="A195" s="38">
        <v>1027</v>
      </c>
      <c r="B195" s="38" t="str">
        <f>_xlfn.XLOOKUP(Table2[[#This Row],[Product ID]],Sheet1!$A$32:$A$200,Sheet1!$B$32:$B$200,"Not Found")</f>
        <v>Cookies</v>
      </c>
      <c r="C195" s="39">
        <v>44995</v>
      </c>
      <c r="D195" s="38" t="s">
        <v>38</v>
      </c>
      <c r="E195" s="38" t="str" cm="1">
        <f t="array" ref="E195">_xlfn.XLOOKUP(Table2[[#This Row],[Sales Rep]],Sheet1!$A$21:$A$25,Sheet1!$B$21:$B$25,Not Found)</f>
        <v>Tracy Moore</v>
      </c>
      <c r="F195" s="38" t="s">
        <v>25</v>
      </c>
      <c r="G195" s="38">
        <f>_xlfn.XLOOKUP(Table2[[#This Row],[Region]],Sheet1!$A$12:$A$15,Sheet1!$B$12:$B$15,0)</f>
        <v>0.05</v>
      </c>
      <c r="H195" s="40">
        <f>Table2[[#This Row],[Tax Rate]]*Table2[[#This Row],[Sales Amount]]</f>
        <v>199.26700000000002</v>
      </c>
      <c r="I195" s="40">
        <v>3985.34</v>
      </c>
      <c r="J195" s="38">
        <v>21</v>
      </c>
      <c r="K195" s="38" t="s">
        <v>26</v>
      </c>
      <c r="L195" s="40">
        <v>2511.41</v>
      </c>
      <c r="M195" s="40">
        <v>2848.3999999999901</v>
      </c>
      <c r="N195" s="38" t="s">
        <v>17</v>
      </c>
      <c r="O195" s="41">
        <v>0.06</v>
      </c>
      <c r="P195" s="38" t="s">
        <v>27</v>
      </c>
      <c r="Q195" s="38" t="s">
        <v>19</v>
      </c>
      <c r="R195" s="38" t="str">
        <f>IF(Cleaned_Final!$I195&gt;=5000,"High","Low")</f>
        <v>Low</v>
      </c>
    </row>
    <row r="196" spans="1:18" x14ac:dyDescent="0.35">
      <c r="A196" s="34">
        <v>1062</v>
      </c>
      <c r="B196" s="34" t="str">
        <f>_xlfn.XLOOKUP(Table2[[#This Row],[Product ID]],Sheet1!$A$32:$A$200,Sheet1!$B$32:$B$200,"Not Found")</f>
        <v>Boxers</v>
      </c>
      <c r="C196" s="35">
        <v>45074</v>
      </c>
      <c r="D196" s="34" t="s">
        <v>14</v>
      </c>
      <c r="E196" s="34" t="str" cm="1">
        <f t="array" ref="E196">_xlfn.XLOOKUP(Table2[[#This Row],[Sales Rep]],Sheet1!$A$21:$A$25,Sheet1!$B$21:$B$25,Not Found)</f>
        <v>Michael Smith</v>
      </c>
      <c r="F196" s="34" t="s">
        <v>25</v>
      </c>
      <c r="G196" s="34">
        <f>_xlfn.XLOOKUP(Table2[[#This Row],[Region]],Sheet1!$A$12:$A$15,Sheet1!$B$12:$B$15,0)</f>
        <v>0.05</v>
      </c>
      <c r="H196" s="36">
        <f>Table2[[#This Row],[Tax Rate]]*Table2[[#This Row],[Sales Amount]]</f>
        <v>378.36100000000005</v>
      </c>
      <c r="I196" s="36">
        <v>7567.22</v>
      </c>
      <c r="J196" s="34">
        <v>28</v>
      </c>
      <c r="K196" s="34" t="s">
        <v>35</v>
      </c>
      <c r="L196" s="36">
        <v>933.16</v>
      </c>
      <c r="M196" s="36">
        <v>1004.69999999999</v>
      </c>
      <c r="N196" s="34" t="s">
        <v>17</v>
      </c>
      <c r="O196" s="37">
        <v>0.18</v>
      </c>
      <c r="P196" s="34" t="s">
        <v>27</v>
      </c>
      <c r="Q196" s="34" t="s">
        <v>19</v>
      </c>
      <c r="R196" s="34" t="str">
        <f>IF(Cleaned_Final!$I196&gt;=5000,"High","Low")</f>
        <v>High</v>
      </c>
    </row>
    <row r="197" spans="1:18" x14ac:dyDescent="0.35">
      <c r="A197" s="38">
        <v>1077</v>
      </c>
      <c r="B197" s="38" t="str">
        <f>_xlfn.XLOOKUP(Table2[[#This Row],[Product ID]],Sheet1!$A$32:$A$200,Sheet1!$B$32:$B$200,"Not Found")</f>
        <v>Skirt</v>
      </c>
      <c r="C197" s="39">
        <v>44937</v>
      </c>
      <c r="D197" s="38" t="s">
        <v>38</v>
      </c>
      <c r="E197" s="38" t="str" cm="1">
        <f t="array" ref="E197">_xlfn.XLOOKUP(Table2[[#This Row],[Sales Rep]],Sheet1!$A$21:$A$25,Sheet1!$B$21:$B$25,Not Found)</f>
        <v>Tracy Moore</v>
      </c>
      <c r="F197" s="38" t="s">
        <v>15</v>
      </c>
      <c r="G197" s="38">
        <f>_xlfn.XLOOKUP(Table2[[#This Row],[Region]],Sheet1!$A$12:$A$15,Sheet1!$B$12:$B$15,0)</f>
        <v>7.4999999999999997E-2</v>
      </c>
      <c r="H197" s="40">
        <f>Table2[[#This Row],[Tax Rate]]*Table2[[#This Row],[Sales Amount]]</f>
        <v>689.43150000000003</v>
      </c>
      <c r="I197" s="40">
        <v>9192.42</v>
      </c>
      <c r="J197" s="38">
        <v>35</v>
      </c>
      <c r="K197" s="38" t="s">
        <v>35</v>
      </c>
      <c r="L197" s="40">
        <v>585.37</v>
      </c>
      <c r="M197" s="40">
        <v>970.49</v>
      </c>
      <c r="N197" s="38" t="s">
        <v>17</v>
      </c>
      <c r="O197" s="41">
        <v>0.15</v>
      </c>
      <c r="P197" s="38" t="s">
        <v>27</v>
      </c>
      <c r="Q197" s="38" t="s">
        <v>22</v>
      </c>
      <c r="R197" s="38" t="str">
        <f>IF(Cleaned_Final!$I197&gt;=5000,"High","Low")</f>
        <v>High</v>
      </c>
    </row>
    <row r="198" spans="1:18" x14ac:dyDescent="0.35">
      <c r="A198" s="34">
        <v>1003</v>
      </c>
      <c r="B198" s="34" t="str">
        <f>_xlfn.XLOOKUP(Table2[[#This Row],[Product ID]],Sheet1!$A$32:$A$200,Sheet1!$B$32:$B$200,"Not Found")</f>
        <v>Stool</v>
      </c>
      <c r="C198" s="35">
        <v>45180</v>
      </c>
      <c r="D198" s="34" t="s">
        <v>24</v>
      </c>
      <c r="E198" s="34" t="str" cm="1">
        <f t="array" ref="E198">_xlfn.XLOOKUP(Table2[[#This Row],[Sales Rep]],Sheet1!$A$21:$A$25,Sheet1!$B$21:$B$25,Not Found)</f>
        <v>Hogan Rock</v>
      </c>
      <c r="F198" s="34" t="s">
        <v>34</v>
      </c>
      <c r="G198" s="34">
        <f>_xlfn.XLOOKUP(Table2[[#This Row],[Region]],Sheet1!$A$12:$A$15,Sheet1!$B$12:$B$15,0)</f>
        <v>0.06</v>
      </c>
      <c r="H198" s="36">
        <f>Table2[[#This Row],[Tax Rate]]*Table2[[#This Row],[Sales Amount]]</f>
        <v>570.85140000000001</v>
      </c>
      <c r="I198" s="36">
        <v>9514.19</v>
      </c>
      <c r="J198" s="34">
        <v>22</v>
      </c>
      <c r="K198" s="34" t="s">
        <v>26</v>
      </c>
      <c r="L198" s="36">
        <v>4218.43</v>
      </c>
      <c r="M198" s="36">
        <v>4331.42</v>
      </c>
      <c r="N198" s="34" t="s">
        <v>30</v>
      </c>
      <c r="O198" s="37">
        <v>0.26</v>
      </c>
      <c r="P198" s="34" t="s">
        <v>27</v>
      </c>
      <c r="Q198" s="34" t="s">
        <v>19</v>
      </c>
      <c r="R198" s="34" t="str">
        <f>IF(Cleaned_Final!$I198&gt;=5000,"High","Low")</f>
        <v>High</v>
      </c>
    </row>
    <row r="199" spans="1:18" x14ac:dyDescent="0.35">
      <c r="A199" s="38">
        <v>1070</v>
      </c>
      <c r="B199" s="38" t="str">
        <f>_xlfn.XLOOKUP(Table2[[#This Row],[Product ID]],Sheet1!$A$32:$A$200,Sheet1!$B$32:$B$200,"Not Found")</f>
        <v>Hutch</v>
      </c>
      <c r="C199" s="39">
        <v>45256</v>
      </c>
      <c r="D199" s="38" t="s">
        <v>24</v>
      </c>
      <c r="E199" s="38" t="str" cm="1">
        <f t="array" ref="E199">_xlfn.XLOOKUP(Table2[[#This Row],[Sales Rep]],Sheet1!$A$21:$A$25,Sheet1!$B$21:$B$25,Not Found)</f>
        <v>Hogan Rock</v>
      </c>
      <c r="F199" s="38" t="s">
        <v>15</v>
      </c>
      <c r="G199" s="38">
        <f>_xlfn.XLOOKUP(Table2[[#This Row],[Region]],Sheet1!$A$12:$A$15,Sheet1!$B$12:$B$15,0)</f>
        <v>7.4999999999999997E-2</v>
      </c>
      <c r="H199" s="40">
        <f>Table2[[#This Row],[Tax Rate]]*Table2[[#This Row],[Sales Amount]]</f>
        <v>436.01325000000003</v>
      </c>
      <c r="I199" s="40">
        <v>5813.51</v>
      </c>
      <c r="J199" s="38">
        <v>40</v>
      </c>
      <c r="K199" s="38" t="s">
        <v>16</v>
      </c>
      <c r="L199" s="40">
        <v>3089.96</v>
      </c>
      <c r="M199" s="40">
        <v>3258.45</v>
      </c>
      <c r="N199" s="38" t="s">
        <v>30</v>
      </c>
      <c r="O199" s="41">
        <v>0.28999999999999998</v>
      </c>
      <c r="P199" s="38" t="s">
        <v>18</v>
      </c>
      <c r="Q199" s="38" t="s">
        <v>19</v>
      </c>
      <c r="R199" s="38" t="str">
        <f>IF(Cleaned_Final!$I199&gt;=5000,"High","Low")</f>
        <v>High</v>
      </c>
    </row>
    <row r="200" spans="1:18" x14ac:dyDescent="0.35">
      <c r="A200" s="34">
        <v>1072</v>
      </c>
      <c r="B200" s="34" t="str">
        <f>_xlfn.XLOOKUP(Table2[[#This Row],[Product ID]],Sheet1!$A$32:$A$200,Sheet1!$B$32:$B$200,"Not Found")</f>
        <v>T-Shirt</v>
      </c>
      <c r="C200" s="35">
        <v>45286</v>
      </c>
      <c r="D200" s="34" t="s">
        <v>33</v>
      </c>
      <c r="E200" s="34" t="str" cm="1">
        <f t="array" ref="E200">_xlfn.XLOOKUP(Table2[[#This Row],[Sales Rep]],Sheet1!$A$21:$A$25,Sheet1!$B$21:$B$25,Not Found)</f>
        <v>Susan Jerkins</v>
      </c>
      <c r="F200" s="34" t="s">
        <v>15</v>
      </c>
      <c r="G200" s="34">
        <f>_xlfn.XLOOKUP(Table2[[#This Row],[Region]],Sheet1!$A$12:$A$15,Sheet1!$B$12:$B$15,0)</f>
        <v>7.4999999999999997E-2</v>
      </c>
      <c r="H200" s="36">
        <f>Table2[[#This Row],[Tax Rate]]*Table2[[#This Row],[Sales Amount]]</f>
        <v>272.66249999999997</v>
      </c>
      <c r="I200" s="36">
        <v>3635.5</v>
      </c>
      <c r="J200" s="34">
        <v>23</v>
      </c>
      <c r="K200" s="34" t="s">
        <v>16</v>
      </c>
      <c r="L200" s="36">
        <v>1662.83</v>
      </c>
      <c r="M200" s="36">
        <v>2074.25</v>
      </c>
      <c r="N200" s="34" t="s">
        <v>30</v>
      </c>
      <c r="O200" s="37">
        <v>0.12</v>
      </c>
      <c r="P200" s="34" t="s">
        <v>27</v>
      </c>
      <c r="Q200" s="34" t="s">
        <v>19</v>
      </c>
      <c r="R200" s="34" t="str">
        <f>IF(Cleaned_Final!$I200&gt;=5000,"High","Low")</f>
        <v>Low</v>
      </c>
    </row>
    <row r="201" spans="1:18" x14ac:dyDescent="0.35">
      <c r="A201" s="38">
        <v>1027</v>
      </c>
      <c r="B201" s="38" t="str">
        <f>_xlfn.XLOOKUP(Table2[[#This Row],[Product ID]],Sheet1!$A$32:$A$200,Sheet1!$B$32:$B$200,"Not Found")</f>
        <v>Cookies</v>
      </c>
      <c r="C201" s="39">
        <v>44964</v>
      </c>
      <c r="D201" s="38" t="s">
        <v>14</v>
      </c>
      <c r="E201" s="38" t="str" cm="1">
        <f t="array" ref="E201">_xlfn.XLOOKUP(Table2[[#This Row],[Sales Rep]],Sheet1!$A$21:$A$25,Sheet1!$B$21:$B$25,Not Found)</f>
        <v>Michael Smith</v>
      </c>
      <c r="F201" s="38" t="s">
        <v>21</v>
      </c>
      <c r="G201" s="38">
        <f>_xlfn.XLOOKUP(Table2[[#This Row],[Region]],Sheet1!$A$12:$A$15,Sheet1!$B$12:$B$15,0)</f>
        <v>0.08</v>
      </c>
      <c r="H201" s="40">
        <f>Table2[[#This Row],[Tax Rate]]*Table2[[#This Row],[Sales Amount]]</f>
        <v>631.73919999999998</v>
      </c>
      <c r="I201" s="40">
        <v>7896.74</v>
      </c>
      <c r="J201" s="38">
        <v>3</v>
      </c>
      <c r="K201" s="38" t="s">
        <v>26</v>
      </c>
      <c r="L201" s="40">
        <v>999.09</v>
      </c>
      <c r="M201" s="40">
        <v>1271.99</v>
      </c>
      <c r="N201" s="38" t="s">
        <v>30</v>
      </c>
      <c r="O201" s="41">
        <v>0.15</v>
      </c>
      <c r="P201" s="38" t="s">
        <v>31</v>
      </c>
      <c r="Q201" s="38" t="s">
        <v>19</v>
      </c>
      <c r="R201" s="38" t="str">
        <f>IF(Cleaned_Final!$I201&gt;=5000,"High","Low")</f>
        <v>High</v>
      </c>
    </row>
    <row r="202" spans="1:18" x14ac:dyDescent="0.35">
      <c r="A202" s="34">
        <v>1009</v>
      </c>
      <c r="B202" s="34" t="str">
        <f>_xlfn.XLOOKUP(Table2[[#This Row],[Product ID]],Sheet1!$A$32:$A$200,Sheet1!$B$32:$B$200,"Not Found")</f>
        <v>Jacket</v>
      </c>
      <c r="C202" s="35">
        <v>45060</v>
      </c>
      <c r="D202" s="34" t="s">
        <v>24</v>
      </c>
      <c r="E202" s="34" t="str" cm="1">
        <f t="array" ref="E202">_xlfn.XLOOKUP(Table2[[#This Row],[Sales Rep]],Sheet1!$A$21:$A$25,Sheet1!$B$21:$B$25,Not Found)</f>
        <v>Hogan Rock</v>
      </c>
      <c r="F202" s="34" t="s">
        <v>21</v>
      </c>
      <c r="G202" s="34">
        <f>_xlfn.XLOOKUP(Table2[[#This Row],[Region]],Sheet1!$A$12:$A$15,Sheet1!$B$12:$B$15,0)</f>
        <v>0.08</v>
      </c>
      <c r="H202" s="36">
        <f>Table2[[#This Row],[Tax Rate]]*Table2[[#This Row],[Sales Amount]]</f>
        <v>206.7928</v>
      </c>
      <c r="I202" s="36">
        <v>2584.91</v>
      </c>
      <c r="J202" s="34">
        <v>40</v>
      </c>
      <c r="K202" s="34" t="s">
        <v>16</v>
      </c>
      <c r="L202" s="36">
        <v>2799.71</v>
      </c>
      <c r="M202" s="36">
        <v>3231.08</v>
      </c>
      <c r="N202" s="34" t="s">
        <v>17</v>
      </c>
      <c r="O202" s="37">
        <v>0.28999999999999998</v>
      </c>
      <c r="P202" s="34" t="s">
        <v>31</v>
      </c>
      <c r="Q202" s="34" t="s">
        <v>22</v>
      </c>
      <c r="R202" s="34" t="str">
        <f>IF(Cleaned_Final!$I202&gt;=5000,"High","Low")</f>
        <v>Low</v>
      </c>
    </row>
    <row r="203" spans="1:18" x14ac:dyDescent="0.35">
      <c r="A203" s="38">
        <v>1062</v>
      </c>
      <c r="B203" s="38" t="str">
        <f>_xlfn.XLOOKUP(Table2[[#This Row],[Product ID]],Sheet1!$A$32:$A$200,Sheet1!$B$32:$B$200,"Not Found")</f>
        <v>Boxers</v>
      </c>
      <c r="C203" s="39">
        <v>45126</v>
      </c>
      <c r="D203" s="38" t="s">
        <v>33</v>
      </c>
      <c r="E203" s="38" t="str" cm="1">
        <f t="array" ref="E203">_xlfn.XLOOKUP(Table2[[#This Row],[Sales Rep]],Sheet1!$A$21:$A$25,Sheet1!$B$21:$B$25,Not Found)</f>
        <v>Susan Jerkins</v>
      </c>
      <c r="F203" s="38" t="s">
        <v>15</v>
      </c>
      <c r="G203" s="38">
        <f>_xlfn.XLOOKUP(Table2[[#This Row],[Region]],Sheet1!$A$12:$A$15,Sheet1!$B$12:$B$15,0)</f>
        <v>7.4999999999999997E-2</v>
      </c>
      <c r="H203" s="40">
        <f>Table2[[#This Row],[Tax Rate]]*Table2[[#This Row],[Sales Amount]]</f>
        <v>426.32474999999999</v>
      </c>
      <c r="I203" s="40">
        <v>5684.33</v>
      </c>
      <c r="J203" s="38">
        <v>10</v>
      </c>
      <c r="K203" s="38" t="s">
        <v>35</v>
      </c>
      <c r="L203" s="40">
        <v>2940.4</v>
      </c>
      <c r="M203" s="40">
        <v>3054.79</v>
      </c>
      <c r="N203" s="38" t="s">
        <v>17</v>
      </c>
      <c r="O203" s="41">
        <v>0.08</v>
      </c>
      <c r="P203" s="38" t="s">
        <v>31</v>
      </c>
      <c r="Q203" s="38" t="s">
        <v>19</v>
      </c>
      <c r="R203" s="38" t="str">
        <f>IF(Cleaned_Final!$I203&gt;=5000,"High","Low")</f>
        <v>High</v>
      </c>
    </row>
    <row r="204" spans="1:18" x14ac:dyDescent="0.35">
      <c r="A204" s="34">
        <v>1037</v>
      </c>
      <c r="B204" s="34" t="str">
        <f>_xlfn.XLOOKUP(Table2[[#This Row],[Product ID]],Sheet1!$A$32:$A$200,Sheet1!$B$32:$B$200,"Not Found")</f>
        <v>Turtleneck Top</v>
      </c>
      <c r="C204" s="35">
        <v>44949</v>
      </c>
      <c r="D204" s="34" t="s">
        <v>33</v>
      </c>
      <c r="E204" s="34" t="str" cm="1">
        <f t="array" ref="E204">_xlfn.XLOOKUP(Table2[[#This Row],[Sales Rep]],Sheet1!$A$21:$A$25,Sheet1!$B$21:$B$25,Not Found)</f>
        <v>Susan Jerkins</v>
      </c>
      <c r="F204" s="34" t="s">
        <v>34</v>
      </c>
      <c r="G204" s="34">
        <f>_xlfn.XLOOKUP(Table2[[#This Row],[Region]],Sheet1!$A$12:$A$15,Sheet1!$B$12:$B$15,0)</f>
        <v>0.06</v>
      </c>
      <c r="H204" s="36">
        <f>Table2[[#This Row],[Tax Rate]]*Table2[[#This Row],[Sales Amount]]</f>
        <v>218.99579999999997</v>
      </c>
      <c r="I204" s="36">
        <v>3649.93</v>
      </c>
      <c r="J204" s="34">
        <v>25</v>
      </c>
      <c r="K204" s="34" t="s">
        <v>26</v>
      </c>
      <c r="L204" s="36">
        <v>1074.6199999999999</v>
      </c>
      <c r="M204" s="36">
        <v>1382.4299999999901</v>
      </c>
      <c r="N204" s="34" t="s">
        <v>17</v>
      </c>
      <c r="O204" s="37">
        <v>0.24</v>
      </c>
      <c r="P204" s="34" t="s">
        <v>31</v>
      </c>
      <c r="Q204" s="34" t="s">
        <v>22</v>
      </c>
      <c r="R204" s="34" t="str">
        <f>IF(Cleaned_Final!$I204&gt;=5000,"High","Low")</f>
        <v>Low</v>
      </c>
    </row>
    <row r="205" spans="1:18" x14ac:dyDescent="0.35">
      <c r="A205" s="38">
        <v>1097</v>
      </c>
      <c r="B205" s="38" t="str">
        <f>_xlfn.XLOOKUP(Table2[[#This Row],[Product ID]],Sheet1!$A$32:$A$200,Sheet1!$B$32:$B$200,"Not Found")</f>
        <v>Freezer</v>
      </c>
      <c r="C205" s="39">
        <v>45229</v>
      </c>
      <c r="D205" s="38" t="s">
        <v>38</v>
      </c>
      <c r="E205" s="38" t="str" cm="1">
        <f t="array" ref="E205">_xlfn.XLOOKUP(Table2[[#This Row],[Sales Rep]],Sheet1!$A$21:$A$25,Sheet1!$B$21:$B$25,Not Found)</f>
        <v>Tracy Moore</v>
      </c>
      <c r="F205" s="38" t="s">
        <v>21</v>
      </c>
      <c r="G205" s="38">
        <f>_xlfn.XLOOKUP(Table2[[#This Row],[Region]],Sheet1!$A$12:$A$15,Sheet1!$B$12:$B$15,0)</f>
        <v>0.08</v>
      </c>
      <c r="H205" s="40">
        <f>Table2[[#This Row],[Tax Rate]]*Table2[[#This Row],[Sales Amount]]</f>
        <v>528.05200000000002</v>
      </c>
      <c r="I205" s="40">
        <v>6600.65</v>
      </c>
      <c r="J205" s="38">
        <v>49</v>
      </c>
      <c r="K205" s="38" t="s">
        <v>35</v>
      </c>
      <c r="L205" s="40">
        <v>4264.46</v>
      </c>
      <c r="M205" s="40">
        <v>4315.5200000000004</v>
      </c>
      <c r="N205" s="38" t="s">
        <v>30</v>
      </c>
      <c r="O205" s="41">
        <v>7.0000000000000007E-2</v>
      </c>
      <c r="P205" s="38" t="s">
        <v>18</v>
      </c>
      <c r="Q205" s="38" t="s">
        <v>22</v>
      </c>
      <c r="R205" s="38" t="str">
        <f>IF(Cleaned_Final!$I205&gt;=5000,"High","Low")</f>
        <v>High</v>
      </c>
    </row>
    <row r="206" spans="1:18" x14ac:dyDescent="0.35">
      <c r="A206" s="34">
        <v>1051</v>
      </c>
      <c r="B206" s="34" t="str">
        <f>_xlfn.XLOOKUP(Table2[[#This Row],[Product ID]],Sheet1!$A$32:$A$200,Sheet1!$B$32:$B$200,"Not Found")</f>
        <v>Tablet</v>
      </c>
      <c r="C206" s="35">
        <v>45272</v>
      </c>
      <c r="D206" s="34" t="s">
        <v>38</v>
      </c>
      <c r="E206" s="34" t="str" cm="1">
        <f t="array" ref="E206">_xlfn.XLOOKUP(Table2[[#This Row],[Sales Rep]],Sheet1!$A$21:$A$25,Sheet1!$B$21:$B$25,Not Found)</f>
        <v>Tracy Moore</v>
      </c>
      <c r="F206" s="34" t="s">
        <v>15</v>
      </c>
      <c r="G206" s="34">
        <f>_xlfn.XLOOKUP(Table2[[#This Row],[Region]],Sheet1!$A$12:$A$15,Sheet1!$B$12:$B$15,0)</f>
        <v>7.4999999999999997E-2</v>
      </c>
      <c r="H206" s="36">
        <f>Table2[[#This Row],[Tax Rate]]*Table2[[#This Row],[Sales Amount]]</f>
        <v>185.99624999999997</v>
      </c>
      <c r="I206" s="36">
        <v>2479.9499999999998</v>
      </c>
      <c r="J206" s="34">
        <v>8</v>
      </c>
      <c r="K206" s="34" t="s">
        <v>29</v>
      </c>
      <c r="L206" s="36">
        <v>467.11</v>
      </c>
      <c r="M206" s="36">
        <v>792.21</v>
      </c>
      <c r="N206" s="34" t="s">
        <v>30</v>
      </c>
      <c r="O206" s="37">
        <v>0.2</v>
      </c>
      <c r="P206" s="34" t="s">
        <v>31</v>
      </c>
      <c r="Q206" s="34" t="s">
        <v>19</v>
      </c>
      <c r="R206" s="34" t="str">
        <f>IF(Cleaned_Final!$I206&gt;=5000,"High","Low")</f>
        <v>Low</v>
      </c>
    </row>
    <row r="207" spans="1:18" x14ac:dyDescent="0.35">
      <c r="A207" s="38">
        <v>1044</v>
      </c>
      <c r="B207" s="38" t="str">
        <f>_xlfn.XLOOKUP(Table2[[#This Row],[Product ID]],Sheet1!$A$32:$A$200,Sheet1!$B$32:$B$200,"Not Found")</f>
        <v>Burger</v>
      </c>
      <c r="C207" s="39">
        <v>45228</v>
      </c>
      <c r="D207" s="38" t="s">
        <v>33</v>
      </c>
      <c r="E207" s="38" t="str" cm="1">
        <f t="array" ref="E207">_xlfn.XLOOKUP(Table2[[#This Row],[Sales Rep]],Sheet1!$A$21:$A$25,Sheet1!$B$21:$B$25,Not Found)</f>
        <v>Susan Jerkins</v>
      </c>
      <c r="F207" s="38" t="s">
        <v>15</v>
      </c>
      <c r="G207" s="38">
        <f>_xlfn.XLOOKUP(Table2[[#This Row],[Region]],Sheet1!$A$12:$A$15,Sheet1!$B$12:$B$15,0)</f>
        <v>7.4999999999999997E-2</v>
      </c>
      <c r="H207" s="40">
        <f>Table2[[#This Row],[Tax Rate]]*Table2[[#This Row],[Sales Amount]]</f>
        <v>149.75774999999999</v>
      </c>
      <c r="I207" s="40">
        <v>1996.77</v>
      </c>
      <c r="J207" s="38">
        <v>11</v>
      </c>
      <c r="K207" s="38" t="s">
        <v>29</v>
      </c>
      <c r="L207" s="40">
        <v>1812.66</v>
      </c>
      <c r="M207" s="40">
        <v>2196.3000000000002</v>
      </c>
      <c r="N207" s="38" t="s">
        <v>30</v>
      </c>
      <c r="O207" s="41">
        <v>0.08</v>
      </c>
      <c r="P207" s="38" t="s">
        <v>18</v>
      </c>
      <c r="Q207" s="38" t="s">
        <v>19</v>
      </c>
      <c r="R207" s="38" t="str">
        <f>IF(Cleaned_Final!$I207&gt;=5000,"High","Low")</f>
        <v>Low</v>
      </c>
    </row>
    <row r="208" spans="1:18" x14ac:dyDescent="0.35">
      <c r="A208" s="34">
        <v>1024</v>
      </c>
      <c r="B208" s="34" t="str">
        <f>_xlfn.XLOOKUP(Table2[[#This Row],[Product ID]],Sheet1!$A$32:$A$200,Sheet1!$B$32:$B$200,"Not Found")</f>
        <v>Pasta Pack</v>
      </c>
      <c r="C208" s="35">
        <v>45289</v>
      </c>
      <c r="D208" s="34" t="s">
        <v>38</v>
      </c>
      <c r="E208" s="34" t="str" cm="1">
        <f t="array" ref="E208">_xlfn.XLOOKUP(Table2[[#This Row],[Sales Rep]],Sheet1!$A$21:$A$25,Sheet1!$B$21:$B$25,Not Found)</f>
        <v>Tracy Moore</v>
      </c>
      <c r="F208" s="34" t="s">
        <v>15</v>
      </c>
      <c r="G208" s="34">
        <f>_xlfn.XLOOKUP(Table2[[#This Row],[Region]],Sheet1!$A$12:$A$15,Sheet1!$B$12:$B$15,0)</f>
        <v>7.4999999999999997E-2</v>
      </c>
      <c r="H208" s="36">
        <f>Table2[[#This Row],[Tax Rate]]*Table2[[#This Row],[Sales Amount]]</f>
        <v>689.29274999999996</v>
      </c>
      <c r="I208" s="36">
        <v>9190.57</v>
      </c>
      <c r="J208" s="34">
        <v>5</v>
      </c>
      <c r="K208" s="34" t="s">
        <v>16</v>
      </c>
      <c r="L208" s="36">
        <v>3417.9</v>
      </c>
      <c r="M208" s="36">
        <v>3714.52</v>
      </c>
      <c r="N208" s="34" t="s">
        <v>17</v>
      </c>
      <c r="O208" s="37">
        <v>0.27</v>
      </c>
      <c r="P208" s="34" t="s">
        <v>31</v>
      </c>
      <c r="Q208" s="34" t="s">
        <v>22</v>
      </c>
      <c r="R208" s="34" t="str">
        <f>IF(Cleaned_Final!$I208&gt;=5000,"High","Low")</f>
        <v>High</v>
      </c>
    </row>
    <row r="209" spans="1:18" x14ac:dyDescent="0.35">
      <c r="A209" s="38">
        <v>1079</v>
      </c>
      <c r="B209" s="38" t="str">
        <f>_xlfn.XLOOKUP(Table2[[#This Row],[Product ID]],Sheet1!$A$32:$A$200,Sheet1!$B$32:$B$200,"Not Found")</f>
        <v>Wardrobe</v>
      </c>
      <c r="C209" s="39">
        <v>45144</v>
      </c>
      <c r="D209" s="38" t="s">
        <v>24</v>
      </c>
      <c r="E209" s="38" t="str" cm="1">
        <f t="array" ref="E209">_xlfn.XLOOKUP(Table2[[#This Row],[Sales Rep]],Sheet1!$A$21:$A$25,Sheet1!$B$21:$B$25,Not Found)</f>
        <v>Hogan Rock</v>
      </c>
      <c r="F209" s="38" t="s">
        <v>15</v>
      </c>
      <c r="G209" s="38">
        <f>_xlfn.XLOOKUP(Table2[[#This Row],[Region]],Sheet1!$A$12:$A$15,Sheet1!$B$12:$B$15,0)</f>
        <v>7.4999999999999997E-2</v>
      </c>
      <c r="H209" s="40">
        <f>Table2[[#This Row],[Tax Rate]]*Table2[[#This Row],[Sales Amount]]</f>
        <v>83.089499999999987</v>
      </c>
      <c r="I209" s="40">
        <v>1107.8599999999999</v>
      </c>
      <c r="J209" s="38">
        <v>45</v>
      </c>
      <c r="K209" s="38" t="s">
        <v>29</v>
      </c>
      <c r="L209" s="40">
        <v>1406.9</v>
      </c>
      <c r="M209" s="40">
        <v>1547.35</v>
      </c>
      <c r="N209" s="38" t="s">
        <v>30</v>
      </c>
      <c r="O209" s="41">
        <v>0.17</v>
      </c>
      <c r="P209" s="38" t="s">
        <v>18</v>
      </c>
      <c r="Q209" s="38" t="s">
        <v>22</v>
      </c>
      <c r="R209" s="38" t="str">
        <f>IF(Cleaned_Final!$I209&gt;=5000,"High","Low")</f>
        <v>Low</v>
      </c>
    </row>
    <row r="210" spans="1:18" x14ac:dyDescent="0.35">
      <c r="A210" s="34">
        <v>1059</v>
      </c>
      <c r="B210" s="34" t="str">
        <f>_xlfn.XLOOKUP(Table2[[#This Row],[Product ID]],Sheet1!$A$32:$A$200,Sheet1!$B$32:$B$200,"Not Found")</f>
        <v>Coffee Beans</v>
      </c>
      <c r="C210" s="35">
        <v>45067</v>
      </c>
      <c r="D210" s="34" t="s">
        <v>42</v>
      </c>
      <c r="E210" s="34" t="str" cm="1">
        <f t="array" ref="E210">_xlfn.XLOOKUP(Table2[[#This Row],[Sales Rep]],Sheet1!$A$21:$A$25,Sheet1!$B$21:$B$25,Not Found)</f>
        <v>Scott Wayne</v>
      </c>
      <c r="F210" s="34" t="s">
        <v>15</v>
      </c>
      <c r="G210" s="34">
        <f>_xlfn.XLOOKUP(Table2[[#This Row],[Region]],Sheet1!$A$12:$A$15,Sheet1!$B$12:$B$15,0)</f>
        <v>7.4999999999999997E-2</v>
      </c>
      <c r="H210" s="36">
        <f>Table2[[#This Row],[Tax Rate]]*Table2[[#This Row],[Sales Amount]]</f>
        <v>383.17349999999993</v>
      </c>
      <c r="I210" s="36">
        <v>5108.9799999999996</v>
      </c>
      <c r="J210" s="34">
        <v>37</v>
      </c>
      <c r="K210" s="34" t="s">
        <v>35</v>
      </c>
      <c r="L210" s="36">
        <v>4146.99</v>
      </c>
      <c r="M210" s="36">
        <v>4172.3499999999904</v>
      </c>
      <c r="N210" s="34" t="s">
        <v>17</v>
      </c>
      <c r="O210" s="37">
        <v>0.06</v>
      </c>
      <c r="P210" s="34" t="s">
        <v>18</v>
      </c>
      <c r="Q210" s="34" t="s">
        <v>22</v>
      </c>
      <c r="R210" s="34" t="str">
        <f>IF(Cleaned_Final!$I210&gt;=5000,"High","Low")</f>
        <v>High</v>
      </c>
    </row>
    <row r="211" spans="1:18" x14ac:dyDescent="0.35">
      <c r="A211" s="38">
        <v>1032</v>
      </c>
      <c r="B211" s="38" t="str">
        <f>_xlfn.XLOOKUP(Table2[[#This Row],[Product ID]],Sheet1!$A$32:$A$200,Sheet1!$B$32:$B$200,"Not Found")</f>
        <v>Refridgerator</v>
      </c>
      <c r="C211" s="39">
        <v>45030</v>
      </c>
      <c r="D211" s="38" t="s">
        <v>24</v>
      </c>
      <c r="E211" s="38" t="str" cm="1">
        <f t="array" ref="E211">_xlfn.XLOOKUP(Table2[[#This Row],[Sales Rep]],Sheet1!$A$21:$A$25,Sheet1!$B$21:$B$25,Not Found)</f>
        <v>Hogan Rock</v>
      </c>
      <c r="F211" s="38" t="s">
        <v>15</v>
      </c>
      <c r="G211" s="38">
        <f>_xlfn.XLOOKUP(Table2[[#This Row],[Region]],Sheet1!$A$12:$A$15,Sheet1!$B$12:$B$15,0)</f>
        <v>7.4999999999999997E-2</v>
      </c>
      <c r="H211" s="40">
        <f>Table2[[#This Row],[Tax Rate]]*Table2[[#This Row],[Sales Amount]]</f>
        <v>171.483</v>
      </c>
      <c r="I211" s="40">
        <v>2286.44</v>
      </c>
      <c r="J211" s="38">
        <v>45</v>
      </c>
      <c r="K211" s="38" t="s">
        <v>29</v>
      </c>
      <c r="L211" s="40">
        <v>3712.35</v>
      </c>
      <c r="M211" s="40">
        <v>3780.88</v>
      </c>
      <c r="N211" s="38" t="s">
        <v>30</v>
      </c>
      <c r="O211" s="41">
        <v>7.0000000000000007E-2</v>
      </c>
      <c r="P211" s="38" t="s">
        <v>18</v>
      </c>
      <c r="Q211" s="38" t="s">
        <v>22</v>
      </c>
      <c r="R211" s="38" t="str">
        <f>IF(Cleaned_Final!$I211&gt;=5000,"High","Low")</f>
        <v>Low</v>
      </c>
    </row>
    <row r="212" spans="1:18" x14ac:dyDescent="0.35">
      <c r="A212" s="34">
        <v>1096</v>
      </c>
      <c r="B212" s="34" t="str">
        <f>_xlfn.XLOOKUP(Table2[[#This Row],[Product ID]],Sheet1!$A$32:$A$200,Sheet1!$B$32:$B$200,"Not Found")</f>
        <v>Radio</v>
      </c>
      <c r="C212" s="35">
        <v>45136</v>
      </c>
      <c r="D212" s="34" t="s">
        <v>33</v>
      </c>
      <c r="E212" s="34" t="str" cm="1">
        <f t="array" ref="E212">_xlfn.XLOOKUP(Table2[[#This Row],[Sales Rep]],Sheet1!$A$21:$A$25,Sheet1!$B$21:$B$25,Not Found)</f>
        <v>Susan Jerkins</v>
      </c>
      <c r="F212" s="34" t="s">
        <v>21</v>
      </c>
      <c r="G212" s="34">
        <f>_xlfn.XLOOKUP(Table2[[#This Row],[Region]],Sheet1!$A$12:$A$15,Sheet1!$B$12:$B$15,0)</f>
        <v>0.08</v>
      </c>
      <c r="H212" s="36">
        <f>Table2[[#This Row],[Tax Rate]]*Table2[[#This Row],[Sales Amount]]</f>
        <v>38.832800000000006</v>
      </c>
      <c r="I212" s="36">
        <v>485.41</v>
      </c>
      <c r="J212" s="34">
        <v>38</v>
      </c>
      <c r="K212" s="34" t="s">
        <v>35</v>
      </c>
      <c r="L212" s="36">
        <v>3955.66</v>
      </c>
      <c r="M212" s="36">
        <v>4270.59</v>
      </c>
      <c r="N212" s="34" t="s">
        <v>17</v>
      </c>
      <c r="O212" s="37">
        <v>0.15</v>
      </c>
      <c r="P212" s="34" t="s">
        <v>31</v>
      </c>
      <c r="Q212" s="34" t="s">
        <v>19</v>
      </c>
      <c r="R212" s="34" t="str">
        <f>IF(Cleaned_Final!$I212&gt;=5000,"High","Low")</f>
        <v>Low</v>
      </c>
    </row>
    <row r="213" spans="1:18" x14ac:dyDescent="0.35">
      <c r="A213" s="38">
        <v>1088</v>
      </c>
      <c r="B213" s="38" t="str">
        <f>_xlfn.XLOOKUP(Table2[[#This Row],[Product ID]],Sheet1!$A$32:$A$200,Sheet1!$B$32:$B$200,"Not Found")</f>
        <v>Office Desk</v>
      </c>
      <c r="C213" s="39">
        <v>45037</v>
      </c>
      <c r="D213" s="38" t="s">
        <v>33</v>
      </c>
      <c r="E213" s="38" t="str" cm="1">
        <f t="array" ref="E213">_xlfn.XLOOKUP(Table2[[#This Row],[Sales Rep]],Sheet1!$A$21:$A$25,Sheet1!$B$21:$B$25,Not Found)</f>
        <v>Susan Jerkins</v>
      </c>
      <c r="F213" s="38" t="s">
        <v>34</v>
      </c>
      <c r="G213" s="38">
        <f>_xlfn.XLOOKUP(Table2[[#This Row],[Region]],Sheet1!$A$12:$A$15,Sheet1!$B$12:$B$15,0)</f>
        <v>0.06</v>
      </c>
      <c r="H213" s="40">
        <f>Table2[[#This Row],[Tax Rate]]*Table2[[#This Row],[Sales Amount]]</f>
        <v>27.395399999999999</v>
      </c>
      <c r="I213" s="40">
        <v>456.59</v>
      </c>
      <c r="J213" s="38">
        <v>29</v>
      </c>
      <c r="K213" s="38" t="s">
        <v>16</v>
      </c>
      <c r="L213" s="40">
        <v>639.58000000000004</v>
      </c>
      <c r="M213" s="40">
        <v>1107.45</v>
      </c>
      <c r="N213" s="38" t="s">
        <v>30</v>
      </c>
      <c r="O213" s="41">
        <v>0.28999999999999998</v>
      </c>
      <c r="P213" s="38" t="s">
        <v>18</v>
      </c>
      <c r="Q213" s="38" t="s">
        <v>22</v>
      </c>
      <c r="R213" s="38" t="str">
        <f>IF(Cleaned_Final!$I213&gt;=5000,"High","Low")</f>
        <v>Low</v>
      </c>
    </row>
    <row r="214" spans="1:18" x14ac:dyDescent="0.35">
      <c r="A214" s="34">
        <v>1052</v>
      </c>
      <c r="B214" s="34" t="str">
        <f>_xlfn.XLOOKUP(Table2[[#This Row],[Product ID]],Sheet1!$A$32:$A$200,Sheet1!$B$32:$B$200,"Not Found")</f>
        <v>Wooden Chair</v>
      </c>
      <c r="C214" s="35">
        <v>45030</v>
      </c>
      <c r="D214" s="34" t="s">
        <v>24</v>
      </c>
      <c r="E214" s="34" t="str" cm="1">
        <f t="array" ref="E214">_xlfn.XLOOKUP(Table2[[#This Row],[Sales Rep]],Sheet1!$A$21:$A$25,Sheet1!$B$21:$B$25,Not Found)</f>
        <v>Hogan Rock</v>
      </c>
      <c r="F214" s="34" t="s">
        <v>15</v>
      </c>
      <c r="G214" s="34">
        <f>_xlfn.XLOOKUP(Table2[[#This Row],[Region]],Sheet1!$A$12:$A$15,Sheet1!$B$12:$B$15,0)</f>
        <v>7.4999999999999997E-2</v>
      </c>
      <c r="H214" s="36">
        <f>Table2[[#This Row],[Tax Rate]]*Table2[[#This Row],[Sales Amount]]</f>
        <v>137.60249999999999</v>
      </c>
      <c r="I214" s="36">
        <v>1834.7</v>
      </c>
      <c r="J214" s="34">
        <v>5</v>
      </c>
      <c r="K214" s="34" t="s">
        <v>16</v>
      </c>
      <c r="L214" s="36">
        <v>745.71</v>
      </c>
      <c r="M214" s="36">
        <v>856.91</v>
      </c>
      <c r="N214" s="34" t="s">
        <v>17</v>
      </c>
      <c r="O214" s="37">
        <v>0.23</v>
      </c>
      <c r="P214" s="34" t="s">
        <v>27</v>
      </c>
      <c r="Q214" s="34" t="s">
        <v>22</v>
      </c>
      <c r="R214" s="34" t="str">
        <f>IF(Cleaned_Final!$I214&gt;=5000,"High","Low")</f>
        <v>Low</v>
      </c>
    </row>
    <row r="215" spans="1:18" x14ac:dyDescent="0.35">
      <c r="A215" s="38">
        <v>1062</v>
      </c>
      <c r="B215" s="38" t="str">
        <f>_xlfn.XLOOKUP(Table2[[#This Row],[Product ID]],Sheet1!$A$32:$A$200,Sheet1!$B$32:$B$200,"Not Found")</f>
        <v>Boxers</v>
      </c>
      <c r="C215" s="39">
        <v>45242</v>
      </c>
      <c r="D215" s="38" t="s">
        <v>38</v>
      </c>
      <c r="E215" s="38" t="str" cm="1">
        <f t="array" ref="E215">_xlfn.XLOOKUP(Table2[[#This Row],[Sales Rep]],Sheet1!$A$21:$A$25,Sheet1!$B$21:$B$25,Not Found)</f>
        <v>Tracy Moore</v>
      </c>
      <c r="F215" s="38" t="s">
        <v>25</v>
      </c>
      <c r="G215" s="38">
        <f>_xlfn.XLOOKUP(Table2[[#This Row],[Region]],Sheet1!$A$12:$A$15,Sheet1!$B$12:$B$15,0)</f>
        <v>0.05</v>
      </c>
      <c r="H215" s="40">
        <f>Table2[[#This Row],[Tax Rate]]*Table2[[#This Row],[Sales Amount]]</f>
        <v>434.05150000000003</v>
      </c>
      <c r="I215" s="40">
        <v>8681.0300000000007</v>
      </c>
      <c r="J215" s="38">
        <v>9</v>
      </c>
      <c r="K215" s="38" t="s">
        <v>35</v>
      </c>
      <c r="L215" s="40">
        <v>1468.05</v>
      </c>
      <c r="M215" s="40">
        <v>1838.21</v>
      </c>
      <c r="N215" s="38" t="s">
        <v>30</v>
      </c>
      <c r="O215" s="41">
        <v>0.15</v>
      </c>
      <c r="P215" s="38" t="s">
        <v>27</v>
      </c>
      <c r="Q215" s="38" t="s">
        <v>22</v>
      </c>
      <c r="R215" s="38" t="str">
        <f>IF(Cleaned_Final!$I215&gt;=5000,"High","Low")</f>
        <v>High</v>
      </c>
    </row>
    <row r="216" spans="1:18" x14ac:dyDescent="0.35">
      <c r="A216" s="34">
        <v>1058</v>
      </c>
      <c r="B216" s="34" t="str">
        <f>_xlfn.XLOOKUP(Table2[[#This Row],[Product ID]],Sheet1!$A$32:$A$200,Sheet1!$B$32:$B$200,"Not Found")</f>
        <v>Wardrobe</v>
      </c>
      <c r="C216" s="35">
        <v>45097</v>
      </c>
      <c r="D216" s="34" t="s">
        <v>38</v>
      </c>
      <c r="E216" s="34" t="str" cm="1">
        <f t="array" ref="E216">_xlfn.XLOOKUP(Table2[[#This Row],[Sales Rep]],Sheet1!$A$21:$A$25,Sheet1!$B$21:$B$25,Not Found)</f>
        <v>Tracy Moore</v>
      </c>
      <c r="F216" s="34" t="s">
        <v>21</v>
      </c>
      <c r="G216" s="34">
        <f>_xlfn.XLOOKUP(Table2[[#This Row],[Region]],Sheet1!$A$12:$A$15,Sheet1!$B$12:$B$15,0)</f>
        <v>0.08</v>
      </c>
      <c r="H216" s="36">
        <f>Table2[[#This Row],[Tax Rate]]*Table2[[#This Row],[Sales Amount]]</f>
        <v>231.72319999999999</v>
      </c>
      <c r="I216" s="36">
        <v>2896.54</v>
      </c>
      <c r="J216" s="34">
        <v>48</v>
      </c>
      <c r="K216" s="34" t="s">
        <v>29</v>
      </c>
      <c r="L216" s="36">
        <v>2614.48</v>
      </c>
      <c r="M216" s="36">
        <v>3049.04</v>
      </c>
      <c r="N216" s="34" t="s">
        <v>30</v>
      </c>
      <c r="O216" s="37">
        <v>0.1</v>
      </c>
      <c r="P216" s="34" t="s">
        <v>31</v>
      </c>
      <c r="Q216" s="34" t="s">
        <v>22</v>
      </c>
      <c r="R216" s="34" t="str">
        <f>IF(Cleaned_Final!$I216&gt;=5000,"High","Low")</f>
        <v>Low</v>
      </c>
    </row>
    <row r="217" spans="1:18" x14ac:dyDescent="0.35">
      <c r="A217" s="38">
        <v>1052</v>
      </c>
      <c r="B217" s="38" t="str">
        <f>_xlfn.XLOOKUP(Table2[[#This Row],[Product ID]],Sheet1!$A$32:$A$200,Sheet1!$B$32:$B$200,"Not Found")</f>
        <v>Wooden Chair</v>
      </c>
      <c r="C217" s="39">
        <v>45282</v>
      </c>
      <c r="D217" s="38" t="s">
        <v>33</v>
      </c>
      <c r="E217" s="38" t="str" cm="1">
        <f t="array" ref="E217">_xlfn.XLOOKUP(Table2[[#This Row],[Sales Rep]],Sheet1!$A$21:$A$25,Sheet1!$B$21:$B$25,Not Found)</f>
        <v>Susan Jerkins</v>
      </c>
      <c r="F217" s="38" t="s">
        <v>21</v>
      </c>
      <c r="G217" s="38">
        <f>_xlfn.XLOOKUP(Table2[[#This Row],[Region]],Sheet1!$A$12:$A$15,Sheet1!$B$12:$B$15,0)</f>
        <v>0.08</v>
      </c>
      <c r="H217" s="40">
        <f>Table2[[#This Row],[Tax Rate]]*Table2[[#This Row],[Sales Amount]]</f>
        <v>760.76400000000001</v>
      </c>
      <c r="I217" s="40">
        <v>9509.5499999999993</v>
      </c>
      <c r="J217" s="38">
        <v>2</v>
      </c>
      <c r="K217" s="38" t="s">
        <v>16</v>
      </c>
      <c r="L217" s="40">
        <v>3752.68</v>
      </c>
      <c r="M217" s="40">
        <v>4017.91</v>
      </c>
      <c r="N217" s="38" t="s">
        <v>17</v>
      </c>
      <c r="O217" s="41">
        <v>0.16</v>
      </c>
      <c r="P217" s="38" t="s">
        <v>27</v>
      </c>
      <c r="Q217" s="38" t="s">
        <v>19</v>
      </c>
      <c r="R217" s="38" t="str">
        <f>IF(Cleaned_Final!$I217&gt;=5000,"High","Low")</f>
        <v>High</v>
      </c>
    </row>
    <row r="218" spans="1:18" x14ac:dyDescent="0.35">
      <c r="A218" s="34">
        <v>1012</v>
      </c>
      <c r="B218" s="34" t="str">
        <f>_xlfn.XLOOKUP(Table2[[#This Row],[Product ID]],Sheet1!$A$32:$A$200,Sheet1!$B$32:$B$200,"Not Found")</f>
        <v>Cabinet</v>
      </c>
      <c r="C218" s="35">
        <v>45250</v>
      </c>
      <c r="D218" s="34" t="s">
        <v>14</v>
      </c>
      <c r="E218" s="34" t="str" cm="1">
        <f t="array" ref="E218">_xlfn.XLOOKUP(Table2[[#This Row],[Sales Rep]],Sheet1!$A$21:$A$25,Sheet1!$B$21:$B$25,Not Found)</f>
        <v>Michael Smith</v>
      </c>
      <c r="F218" s="34" t="s">
        <v>15</v>
      </c>
      <c r="G218" s="34">
        <f>_xlfn.XLOOKUP(Table2[[#This Row],[Region]],Sheet1!$A$12:$A$15,Sheet1!$B$12:$B$15,0)</f>
        <v>7.4999999999999997E-2</v>
      </c>
      <c r="H218" s="36">
        <f>Table2[[#This Row],[Tax Rate]]*Table2[[#This Row],[Sales Amount]]</f>
        <v>439.35450000000003</v>
      </c>
      <c r="I218" s="36">
        <v>5858.06</v>
      </c>
      <c r="J218" s="34">
        <v>1</v>
      </c>
      <c r="K218" s="34" t="s">
        <v>26</v>
      </c>
      <c r="L218" s="36">
        <v>4190.83</v>
      </c>
      <c r="M218" s="36">
        <v>4528.7699999999904</v>
      </c>
      <c r="N218" s="34" t="s">
        <v>17</v>
      </c>
      <c r="O218" s="37">
        <v>0.22</v>
      </c>
      <c r="P218" s="34" t="s">
        <v>27</v>
      </c>
      <c r="Q218" s="34" t="s">
        <v>19</v>
      </c>
      <c r="R218" s="34" t="str">
        <f>IF(Cleaned_Final!$I218&gt;=5000,"High","Low")</f>
        <v>High</v>
      </c>
    </row>
    <row r="219" spans="1:18" x14ac:dyDescent="0.35">
      <c r="A219" s="38">
        <v>1039</v>
      </c>
      <c r="B219" s="38" t="str">
        <f>_xlfn.XLOOKUP(Table2[[#This Row],[Product ID]],Sheet1!$A$32:$A$200,Sheet1!$B$32:$B$200,"Not Found")</f>
        <v>Hoodie</v>
      </c>
      <c r="C219" s="39">
        <v>45059</v>
      </c>
      <c r="D219" s="38" t="s">
        <v>38</v>
      </c>
      <c r="E219" s="38" t="str" cm="1">
        <f t="array" ref="E219">_xlfn.XLOOKUP(Table2[[#This Row],[Sales Rep]],Sheet1!$A$21:$A$25,Sheet1!$B$21:$B$25,Not Found)</f>
        <v>Tracy Moore</v>
      </c>
      <c r="F219" s="38" t="s">
        <v>21</v>
      </c>
      <c r="G219" s="38">
        <f>_xlfn.XLOOKUP(Table2[[#This Row],[Region]],Sheet1!$A$12:$A$15,Sheet1!$B$12:$B$15,0)</f>
        <v>0.08</v>
      </c>
      <c r="H219" s="40">
        <f>Table2[[#This Row],[Tax Rate]]*Table2[[#This Row],[Sales Amount]]</f>
        <v>353.79839999999996</v>
      </c>
      <c r="I219" s="40">
        <v>4422.4799999999996</v>
      </c>
      <c r="J219" s="38">
        <v>40</v>
      </c>
      <c r="K219" s="38" t="s">
        <v>16</v>
      </c>
      <c r="L219" s="40">
        <v>3536.46</v>
      </c>
      <c r="M219" s="40">
        <v>3945.82</v>
      </c>
      <c r="N219" s="38" t="s">
        <v>30</v>
      </c>
      <c r="O219" s="41">
        <v>0.24</v>
      </c>
      <c r="P219" s="38" t="s">
        <v>27</v>
      </c>
      <c r="Q219" s="38" t="s">
        <v>19</v>
      </c>
      <c r="R219" s="38" t="str">
        <f>IF(Cleaned_Final!$I219&gt;=5000,"High","Low")</f>
        <v>Low</v>
      </c>
    </row>
    <row r="220" spans="1:18" x14ac:dyDescent="0.35">
      <c r="A220" s="34">
        <v>1002</v>
      </c>
      <c r="B220" s="34" t="str">
        <f>_xlfn.XLOOKUP(Table2[[#This Row],[Product ID]],Sheet1!$A$32:$A$200,Sheet1!$B$32:$B$200,"Not Found")</f>
        <v>Bench</v>
      </c>
      <c r="C220" s="35">
        <v>45219</v>
      </c>
      <c r="D220" s="34" t="s">
        <v>24</v>
      </c>
      <c r="E220" s="34" t="str" cm="1">
        <f t="array" ref="E220">_xlfn.XLOOKUP(Table2[[#This Row],[Sales Rep]],Sheet1!$A$21:$A$25,Sheet1!$B$21:$B$25,Not Found)</f>
        <v>Hogan Rock</v>
      </c>
      <c r="F220" s="34" t="s">
        <v>15</v>
      </c>
      <c r="G220" s="34">
        <f>_xlfn.XLOOKUP(Table2[[#This Row],[Region]],Sheet1!$A$12:$A$15,Sheet1!$B$12:$B$15,0)</f>
        <v>7.4999999999999997E-2</v>
      </c>
      <c r="H220" s="36">
        <f>Table2[[#This Row],[Tax Rate]]*Table2[[#This Row],[Sales Amount]]</f>
        <v>438.21600000000001</v>
      </c>
      <c r="I220" s="36">
        <v>5842.88</v>
      </c>
      <c r="J220" s="34">
        <v>30</v>
      </c>
      <c r="K220" s="34" t="s">
        <v>29</v>
      </c>
      <c r="L220" s="36">
        <v>4646.55</v>
      </c>
      <c r="M220" s="36">
        <v>4784.28</v>
      </c>
      <c r="N220" s="34" t="s">
        <v>17</v>
      </c>
      <c r="O220" s="37">
        <v>0.1</v>
      </c>
      <c r="P220" s="34" t="s">
        <v>31</v>
      </c>
      <c r="Q220" s="34" t="s">
        <v>22</v>
      </c>
      <c r="R220" s="34" t="str">
        <f>IF(Cleaned_Final!$I220&gt;=5000,"High","Low")</f>
        <v>High</v>
      </c>
    </row>
    <row r="221" spans="1:18" x14ac:dyDescent="0.35">
      <c r="A221" s="38">
        <v>1003</v>
      </c>
      <c r="B221" s="38" t="str">
        <f>_xlfn.XLOOKUP(Table2[[#This Row],[Product ID]],Sheet1!$A$32:$A$200,Sheet1!$B$32:$B$200,"Not Found")</f>
        <v>Stool</v>
      </c>
      <c r="C221" s="39">
        <v>45254</v>
      </c>
      <c r="D221" s="38" t="s">
        <v>38</v>
      </c>
      <c r="E221" s="38" t="str" cm="1">
        <f t="array" ref="E221">_xlfn.XLOOKUP(Table2[[#This Row],[Sales Rep]],Sheet1!$A$21:$A$25,Sheet1!$B$21:$B$25,Not Found)</f>
        <v>Tracy Moore</v>
      </c>
      <c r="F221" s="38" t="s">
        <v>34</v>
      </c>
      <c r="G221" s="38">
        <f>_xlfn.XLOOKUP(Table2[[#This Row],[Region]],Sheet1!$A$12:$A$15,Sheet1!$B$12:$B$15,0)</f>
        <v>0.06</v>
      </c>
      <c r="H221" s="40">
        <f>Table2[[#This Row],[Tax Rate]]*Table2[[#This Row],[Sales Amount]]</f>
        <v>312.91860000000003</v>
      </c>
      <c r="I221" s="40">
        <v>5215.3100000000004</v>
      </c>
      <c r="J221" s="38">
        <v>11</v>
      </c>
      <c r="K221" s="38" t="s">
        <v>26</v>
      </c>
      <c r="L221" s="40">
        <v>3706.78</v>
      </c>
      <c r="M221" s="40">
        <v>3862.26</v>
      </c>
      <c r="N221" s="38" t="s">
        <v>30</v>
      </c>
      <c r="O221" s="41">
        <v>0.22</v>
      </c>
      <c r="P221" s="38" t="s">
        <v>31</v>
      </c>
      <c r="Q221" s="38" t="s">
        <v>22</v>
      </c>
      <c r="R221" s="38" t="str">
        <f>IF(Cleaned_Final!$I221&gt;=5000,"High","Low")</f>
        <v>High</v>
      </c>
    </row>
    <row r="222" spans="1:18" x14ac:dyDescent="0.35">
      <c r="A222" s="34">
        <v>1056</v>
      </c>
      <c r="B222" s="34" t="str">
        <f>_xlfn.XLOOKUP(Table2[[#This Row],[Product ID]],Sheet1!$A$32:$A$200,Sheet1!$B$32:$B$200,"Not Found")</f>
        <v>Track Suits</v>
      </c>
      <c r="C222" s="35">
        <v>45053</v>
      </c>
      <c r="D222" s="34" t="s">
        <v>24</v>
      </c>
      <c r="E222" s="34" t="str" cm="1">
        <f t="array" ref="E222">_xlfn.XLOOKUP(Table2[[#This Row],[Sales Rep]],Sheet1!$A$21:$A$25,Sheet1!$B$21:$B$25,Not Found)</f>
        <v>Hogan Rock</v>
      </c>
      <c r="F222" s="34" t="s">
        <v>34</v>
      </c>
      <c r="G222" s="34">
        <f>_xlfn.XLOOKUP(Table2[[#This Row],[Region]],Sheet1!$A$12:$A$15,Sheet1!$B$12:$B$15,0)</f>
        <v>0.06</v>
      </c>
      <c r="H222" s="36">
        <f>Table2[[#This Row],[Tax Rate]]*Table2[[#This Row],[Sales Amount]]</f>
        <v>456.71280000000002</v>
      </c>
      <c r="I222" s="36">
        <v>7611.88</v>
      </c>
      <c r="J222" s="34">
        <v>28</v>
      </c>
      <c r="K222" s="34" t="s">
        <v>29</v>
      </c>
      <c r="L222" s="36">
        <v>1566.03</v>
      </c>
      <c r="M222" s="36">
        <v>1576.34</v>
      </c>
      <c r="N222" s="34" t="s">
        <v>17</v>
      </c>
      <c r="O222" s="37">
        <v>0.2</v>
      </c>
      <c r="P222" s="34" t="s">
        <v>27</v>
      </c>
      <c r="Q222" s="34" t="s">
        <v>19</v>
      </c>
      <c r="R222" s="34" t="str">
        <f>IF(Cleaned_Final!$I222&gt;=5000,"High","Low")</f>
        <v>High</v>
      </c>
    </row>
    <row r="223" spans="1:18" x14ac:dyDescent="0.35">
      <c r="A223" s="38">
        <v>1081</v>
      </c>
      <c r="B223" s="38" t="str">
        <f>_xlfn.XLOOKUP(Table2[[#This Row],[Product ID]],Sheet1!$A$32:$A$200,Sheet1!$B$32:$B$200,"Not Found")</f>
        <v>Rocking Chair</v>
      </c>
      <c r="C223" s="39">
        <v>45032</v>
      </c>
      <c r="D223" s="38" t="s">
        <v>33</v>
      </c>
      <c r="E223" s="38" t="str" cm="1">
        <f t="array" ref="E223">_xlfn.XLOOKUP(Table2[[#This Row],[Sales Rep]],Sheet1!$A$21:$A$25,Sheet1!$B$21:$B$25,Not Found)</f>
        <v>Susan Jerkins</v>
      </c>
      <c r="F223" s="38" t="s">
        <v>21</v>
      </c>
      <c r="G223" s="38">
        <f>_xlfn.XLOOKUP(Table2[[#This Row],[Region]],Sheet1!$A$12:$A$15,Sheet1!$B$12:$B$15,0)</f>
        <v>0.08</v>
      </c>
      <c r="H223" s="40">
        <f>Table2[[#This Row],[Tax Rate]]*Table2[[#This Row],[Sales Amount]]</f>
        <v>231.73680000000002</v>
      </c>
      <c r="I223" s="40">
        <v>2896.71</v>
      </c>
      <c r="J223" s="38">
        <v>44</v>
      </c>
      <c r="K223" s="38" t="s">
        <v>35</v>
      </c>
      <c r="L223" s="40">
        <v>1362.15</v>
      </c>
      <c r="M223" s="40">
        <v>1844.07</v>
      </c>
      <c r="N223" s="38" t="s">
        <v>30</v>
      </c>
      <c r="O223" s="41">
        <v>0.28999999999999998</v>
      </c>
      <c r="P223" s="38" t="s">
        <v>31</v>
      </c>
      <c r="Q223" s="38" t="s">
        <v>19</v>
      </c>
      <c r="R223" s="38" t="str">
        <f>IF(Cleaned_Final!$I223&gt;=5000,"High","Low")</f>
        <v>Low</v>
      </c>
    </row>
    <row r="224" spans="1:18" x14ac:dyDescent="0.35">
      <c r="A224" s="34">
        <v>1059</v>
      </c>
      <c r="B224" s="34" t="str">
        <f>_xlfn.XLOOKUP(Table2[[#This Row],[Product ID]],Sheet1!$A$32:$A$200,Sheet1!$B$32:$B$200,"Not Found")</f>
        <v>Coffee Beans</v>
      </c>
      <c r="C224" s="35">
        <v>45018</v>
      </c>
      <c r="D224" s="34" t="s">
        <v>38</v>
      </c>
      <c r="E224" s="34" t="str" cm="1">
        <f t="array" ref="E224">_xlfn.XLOOKUP(Table2[[#This Row],[Sales Rep]],Sheet1!$A$21:$A$25,Sheet1!$B$21:$B$25,Not Found)</f>
        <v>Tracy Moore</v>
      </c>
      <c r="F224" s="34" t="s">
        <v>21</v>
      </c>
      <c r="G224" s="34">
        <f>_xlfn.XLOOKUP(Table2[[#This Row],[Region]],Sheet1!$A$12:$A$15,Sheet1!$B$12:$B$15,0)</f>
        <v>0.08</v>
      </c>
      <c r="H224" s="36">
        <f>Table2[[#This Row],[Tax Rate]]*Table2[[#This Row],[Sales Amount]]</f>
        <v>287.61599999999999</v>
      </c>
      <c r="I224" s="36">
        <v>3595.2</v>
      </c>
      <c r="J224" s="34">
        <v>12</v>
      </c>
      <c r="K224" s="34" t="s">
        <v>26</v>
      </c>
      <c r="L224" s="36">
        <v>3496.15</v>
      </c>
      <c r="M224" s="36">
        <v>3955.75</v>
      </c>
      <c r="N224" s="34" t="s">
        <v>17</v>
      </c>
      <c r="O224" s="37">
        <v>0.28000000000000003</v>
      </c>
      <c r="P224" s="34" t="s">
        <v>18</v>
      </c>
      <c r="Q224" s="34" t="s">
        <v>22</v>
      </c>
      <c r="R224" s="34" t="str">
        <f>IF(Cleaned_Final!$I224&gt;=5000,"High","Low")</f>
        <v>Low</v>
      </c>
    </row>
    <row r="225" spans="1:18" x14ac:dyDescent="0.35">
      <c r="A225" s="38">
        <v>1002</v>
      </c>
      <c r="B225" s="38" t="str">
        <f>_xlfn.XLOOKUP(Table2[[#This Row],[Product ID]],Sheet1!$A$32:$A$200,Sheet1!$B$32:$B$200,"Not Found")</f>
        <v>Bench</v>
      </c>
      <c r="C225" s="39">
        <v>45213</v>
      </c>
      <c r="D225" s="38" t="s">
        <v>24</v>
      </c>
      <c r="E225" s="38" t="str" cm="1">
        <f t="array" ref="E225">_xlfn.XLOOKUP(Table2[[#This Row],[Sales Rep]],Sheet1!$A$21:$A$25,Sheet1!$B$21:$B$25,Not Found)</f>
        <v>Hogan Rock</v>
      </c>
      <c r="F225" s="38" t="s">
        <v>25</v>
      </c>
      <c r="G225" s="38">
        <f>_xlfn.XLOOKUP(Table2[[#This Row],[Region]],Sheet1!$A$12:$A$15,Sheet1!$B$12:$B$15,0)</f>
        <v>0.05</v>
      </c>
      <c r="H225" s="40">
        <f>Table2[[#This Row],[Tax Rate]]*Table2[[#This Row],[Sales Amount]]</f>
        <v>447.57650000000007</v>
      </c>
      <c r="I225" s="40">
        <v>8951.5300000000007</v>
      </c>
      <c r="J225" s="38">
        <v>39</v>
      </c>
      <c r="K225" s="38" t="s">
        <v>29</v>
      </c>
      <c r="L225" s="40">
        <v>1004.71</v>
      </c>
      <c r="M225" s="40">
        <v>1389.35</v>
      </c>
      <c r="N225" s="38" t="s">
        <v>30</v>
      </c>
      <c r="O225" s="41">
        <v>0.24</v>
      </c>
      <c r="P225" s="38" t="s">
        <v>27</v>
      </c>
      <c r="Q225" s="38" t="s">
        <v>19</v>
      </c>
      <c r="R225" s="38" t="str">
        <f>IF(Cleaned_Final!$I225&gt;=5000,"High","Low")</f>
        <v>High</v>
      </c>
    </row>
    <row r="226" spans="1:18" x14ac:dyDescent="0.35">
      <c r="A226" s="34">
        <v>1002</v>
      </c>
      <c r="B226" s="34" t="str">
        <f>_xlfn.XLOOKUP(Table2[[#This Row],[Product ID]],Sheet1!$A$32:$A$200,Sheet1!$B$32:$B$200,"Not Found")</f>
        <v>Bench</v>
      </c>
      <c r="C226" s="35">
        <v>44977</v>
      </c>
      <c r="D226" s="34" t="s">
        <v>33</v>
      </c>
      <c r="E226" s="34" t="str" cm="1">
        <f t="array" ref="E226">_xlfn.XLOOKUP(Table2[[#This Row],[Sales Rep]],Sheet1!$A$21:$A$25,Sheet1!$B$21:$B$25,Not Found)</f>
        <v>Susan Jerkins</v>
      </c>
      <c r="F226" s="34" t="s">
        <v>21</v>
      </c>
      <c r="G226" s="34">
        <f>_xlfn.XLOOKUP(Table2[[#This Row],[Region]],Sheet1!$A$12:$A$15,Sheet1!$B$12:$B$15,0)</f>
        <v>0.08</v>
      </c>
      <c r="H226" s="36">
        <f>Table2[[#This Row],[Tax Rate]]*Table2[[#This Row],[Sales Amount]]</f>
        <v>757.59360000000004</v>
      </c>
      <c r="I226" s="36">
        <v>9469.92</v>
      </c>
      <c r="J226" s="34">
        <v>26</v>
      </c>
      <c r="K226" s="34" t="s">
        <v>26</v>
      </c>
      <c r="L226" s="36">
        <v>508.94</v>
      </c>
      <c r="M226" s="36">
        <v>557.69000000000005</v>
      </c>
      <c r="N226" s="34" t="s">
        <v>30</v>
      </c>
      <c r="O226" s="37">
        <v>0.22</v>
      </c>
      <c r="P226" s="34" t="s">
        <v>31</v>
      </c>
      <c r="Q226" s="34" t="s">
        <v>22</v>
      </c>
      <c r="R226" s="34" t="str">
        <f>IF(Cleaned_Final!$I226&gt;=5000,"High","Low")</f>
        <v>High</v>
      </c>
    </row>
    <row r="227" spans="1:18" x14ac:dyDescent="0.35">
      <c r="A227" s="38">
        <v>1092</v>
      </c>
      <c r="B227" s="38" t="str">
        <f>_xlfn.XLOOKUP(Table2[[#This Row],[Product ID]],Sheet1!$A$32:$A$200,Sheet1!$B$32:$B$200,"Not Found")</f>
        <v>Recliner</v>
      </c>
      <c r="C227" s="39">
        <v>44955</v>
      </c>
      <c r="D227" s="38" t="s">
        <v>14</v>
      </c>
      <c r="E227" s="38" t="str" cm="1">
        <f t="array" ref="E227">_xlfn.XLOOKUP(Table2[[#This Row],[Sales Rep]],Sheet1!$A$21:$A$25,Sheet1!$B$21:$B$25,Not Found)</f>
        <v>Michael Smith</v>
      </c>
      <c r="F227" s="38" t="s">
        <v>25</v>
      </c>
      <c r="G227" s="38">
        <f>_xlfn.XLOOKUP(Table2[[#This Row],[Region]],Sheet1!$A$12:$A$15,Sheet1!$B$12:$B$15,0)</f>
        <v>0.05</v>
      </c>
      <c r="H227" s="40">
        <f>Table2[[#This Row],[Tax Rate]]*Table2[[#This Row],[Sales Amount]]</f>
        <v>446.81650000000002</v>
      </c>
      <c r="I227" s="40">
        <v>8936.33</v>
      </c>
      <c r="J227" s="38">
        <v>13</v>
      </c>
      <c r="K227" s="38" t="s">
        <v>29</v>
      </c>
      <c r="L227" s="40">
        <v>2684.5</v>
      </c>
      <c r="M227" s="40">
        <v>2913.78</v>
      </c>
      <c r="N227" s="38" t="s">
        <v>30</v>
      </c>
      <c r="O227" s="41">
        <v>0.08</v>
      </c>
      <c r="P227" s="38" t="s">
        <v>31</v>
      </c>
      <c r="Q227" s="38" t="s">
        <v>22</v>
      </c>
      <c r="R227" s="38" t="str">
        <f>IF(Cleaned_Final!$I227&gt;=5000,"High","Low")</f>
        <v>High</v>
      </c>
    </row>
    <row r="228" spans="1:18" x14ac:dyDescent="0.35">
      <c r="A228" s="34">
        <v>1054</v>
      </c>
      <c r="B228" s="34" t="str">
        <f>_xlfn.XLOOKUP(Table2[[#This Row],[Product ID]],Sheet1!$A$32:$A$200,Sheet1!$B$32:$B$200,"Not Found")</f>
        <v>Glider</v>
      </c>
      <c r="C228" s="35">
        <v>45222</v>
      </c>
      <c r="D228" s="34" t="s">
        <v>24</v>
      </c>
      <c r="E228" s="34" t="str" cm="1">
        <f t="array" ref="E228">_xlfn.XLOOKUP(Table2[[#This Row],[Sales Rep]],Sheet1!$A$21:$A$25,Sheet1!$B$21:$B$25,Not Found)</f>
        <v>Hogan Rock</v>
      </c>
      <c r="F228" s="34" t="s">
        <v>34</v>
      </c>
      <c r="G228" s="34">
        <f>_xlfn.XLOOKUP(Table2[[#This Row],[Region]],Sheet1!$A$12:$A$15,Sheet1!$B$12:$B$15,0)</f>
        <v>0.06</v>
      </c>
      <c r="H228" s="36">
        <f>Table2[[#This Row],[Tax Rate]]*Table2[[#This Row],[Sales Amount]]</f>
        <v>255.1524</v>
      </c>
      <c r="I228" s="36">
        <v>4252.54</v>
      </c>
      <c r="J228" s="34">
        <v>8</v>
      </c>
      <c r="K228" s="34" t="s">
        <v>26</v>
      </c>
      <c r="L228" s="36">
        <v>4117.13</v>
      </c>
      <c r="M228" s="36">
        <v>4177.0600000000004</v>
      </c>
      <c r="N228" s="34" t="s">
        <v>17</v>
      </c>
      <c r="O228" s="37">
        <v>0.25</v>
      </c>
      <c r="P228" s="34" t="s">
        <v>27</v>
      </c>
      <c r="Q228" s="34" t="s">
        <v>22</v>
      </c>
      <c r="R228" s="34" t="str">
        <f>IF(Cleaned_Final!$I228&gt;=5000,"High","Low")</f>
        <v>Low</v>
      </c>
    </row>
    <row r="229" spans="1:18" x14ac:dyDescent="0.35">
      <c r="A229" s="38">
        <v>1087</v>
      </c>
      <c r="B229" s="38" t="str">
        <f>_xlfn.XLOOKUP(Table2[[#This Row],[Product ID]],Sheet1!$A$32:$A$200,Sheet1!$B$32:$B$200,"Not Found")</f>
        <v>Sofa Set</v>
      </c>
      <c r="C229" s="39">
        <v>45223</v>
      </c>
      <c r="D229" s="38" t="s">
        <v>14</v>
      </c>
      <c r="E229" s="38" t="str" cm="1">
        <f t="array" ref="E229">_xlfn.XLOOKUP(Table2[[#This Row],[Sales Rep]],Sheet1!$A$21:$A$25,Sheet1!$B$21:$B$25,Not Found)</f>
        <v>Michael Smith</v>
      </c>
      <c r="F229" s="38" t="s">
        <v>34</v>
      </c>
      <c r="G229" s="38">
        <f>_xlfn.XLOOKUP(Table2[[#This Row],[Region]],Sheet1!$A$12:$A$15,Sheet1!$B$12:$B$15,0)</f>
        <v>0.06</v>
      </c>
      <c r="H229" s="40">
        <f>Table2[[#This Row],[Tax Rate]]*Table2[[#This Row],[Sales Amount]]</f>
        <v>469.53719999999998</v>
      </c>
      <c r="I229" s="40">
        <v>7825.62</v>
      </c>
      <c r="J229" s="38">
        <v>28</v>
      </c>
      <c r="K229" s="38" t="s">
        <v>29</v>
      </c>
      <c r="L229" s="40">
        <v>551.83000000000004</v>
      </c>
      <c r="M229" s="40">
        <v>569.63</v>
      </c>
      <c r="N229" s="38" t="s">
        <v>30</v>
      </c>
      <c r="O229" s="41">
        <v>0.13</v>
      </c>
      <c r="P229" s="38" t="s">
        <v>31</v>
      </c>
      <c r="Q229" s="38" t="s">
        <v>22</v>
      </c>
      <c r="R229" s="38" t="str">
        <f>IF(Cleaned_Final!$I229&gt;=5000,"High","Low")</f>
        <v>High</v>
      </c>
    </row>
    <row r="230" spans="1:18" x14ac:dyDescent="0.35">
      <c r="A230" s="34">
        <v>1096</v>
      </c>
      <c r="B230" s="34" t="str">
        <f>_xlfn.XLOOKUP(Table2[[#This Row],[Product ID]],Sheet1!$A$32:$A$200,Sheet1!$B$32:$B$200,"Not Found")</f>
        <v>Radio</v>
      </c>
      <c r="C230" s="35">
        <v>45140</v>
      </c>
      <c r="D230" s="34" t="s">
        <v>14</v>
      </c>
      <c r="E230" s="34" t="str" cm="1">
        <f t="array" ref="E230">_xlfn.XLOOKUP(Table2[[#This Row],[Sales Rep]],Sheet1!$A$21:$A$25,Sheet1!$B$21:$B$25,Not Found)</f>
        <v>Michael Smith</v>
      </c>
      <c r="F230" s="34" t="s">
        <v>15</v>
      </c>
      <c r="G230" s="34">
        <f>_xlfn.XLOOKUP(Table2[[#This Row],[Region]],Sheet1!$A$12:$A$15,Sheet1!$B$12:$B$15,0)</f>
        <v>7.4999999999999997E-2</v>
      </c>
      <c r="H230" s="36">
        <f>Table2[[#This Row],[Tax Rate]]*Table2[[#This Row],[Sales Amount]]</f>
        <v>361.17900000000003</v>
      </c>
      <c r="I230" s="36">
        <v>4815.72</v>
      </c>
      <c r="J230" s="34">
        <v>30</v>
      </c>
      <c r="K230" s="34" t="s">
        <v>35</v>
      </c>
      <c r="L230" s="36">
        <v>3969.86</v>
      </c>
      <c r="M230" s="36">
        <v>4281.79</v>
      </c>
      <c r="N230" s="34" t="s">
        <v>17</v>
      </c>
      <c r="O230" s="37">
        <v>0.08</v>
      </c>
      <c r="P230" s="34" t="s">
        <v>27</v>
      </c>
      <c r="Q230" s="34" t="s">
        <v>22</v>
      </c>
      <c r="R230" s="34" t="str">
        <f>IF(Cleaned_Final!$I230&gt;=5000,"High","Low")</f>
        <v>Low</v>
      </c>
    </row>
    <row r="231" spans="1:18" x14ac:dyDescent="0.35">
      <c r="A231" s="38">
        <v>1097</v>
      </c>
      <c r="B231" s="38" t="str">
        <f>_xlfn.XLOOKUP(Table2[[#This Row],[Product ID]],Sheet1!$A$32:$A$200,Sheet1!$B$32:$B$200,"Not Found")</f>
        <v>Freezer</v>
      </c>
      <c r="C231" s="39">
        <v>45193</v>
      </c>
      <c r="D231" s="38" t="s">
        <v>42</v>
      </c>
      <c r="E231" s="38" t="str" cm="1">
        <f t="array" ref="E231">_xlfn.XLOOKUP(Table2[[#This Row],[Sales Rep]],Sheet1!$A$21:$A$25,Sheet1!$B$21:$B$25,Not Found)</f>
        <v>Scott Wayne</v>
      </c>
      <c r="F231" s="38" t="s">
        <v>34</v>
      </c>
      <c r="G231" s="38">
        <f>_xlfn.XLOOKUP(Table2[[#This Row],[Region]],Sheet1!$A$12:$A$15,Sheet1!$B$12:$B$15,0)</f>
        <v>0.06</v>
      </c>
      <c r="H231" s="40">
        <f>Table2[[#This Row],[Tax Rate]]*Table2[[#This Row],[Sales Amount]]</f>
        <v>301.53840000000002</v>
      </c>
      <c r="I231" s="40">
        <v>5025.6400000000003</v>
      </c>
      <c r="J231" s="38">
        <v>9</v>
      </c>
      <c r="K231" s="38" t="s">
        <v>26</v>
      </c>
      <c r="L231" s="40">
        <v>4067.28</v>
      </c>
      <c r="M231" s="40">
        <v>4548.09</v>
      </c>
      <c r="N231" s="38" t="s">
        <v>17</v>
      </c>
      <c r="O231" s="41">
        <v>0.12</v>
      </c>
      <c r="P231" s="38" t="s">
        <v>31</v>
      </c>
      <c r="Q231" s="38" t="s">
        <v>22</v>
      </c>
      <c r="R231" s="38" t="str">
        <f>IF(Cleaned_Final!$I231&gt;=5000,"High","Low")</f>
        <v>High</v>
      </c>
    </row>
    <row r="232" spans="1:18" x14ac:dyDescent="0.35">
      <c r="A232" s="34">
        <v>1001</v>
      </c>
      <c r="B232" s="34" t="str">
        <f>_xlfn.XLOOKUP(Table2[[#This Row],[Product ID]],Sheet1!$A$32:$A$200,Sheet1!$B$32:$B$200,"Not Found")</f>
        <v>Camera</v>
      </c>
      <c r="C232" s="35">
        <v>45183</v>
      </c>
      <c r="D232" s="34" t="s">
        <v>38</v>
      </c>
      <c r="E232" s="34" t="str" cm="1">
        <f t="array" ref="E232">_xlfn.XLOOKUP(Table2[[#This Row],[Sales Rep]],Sheet1!$A$21:$A$25,Sheet1!$B$21:$B$25,Not Found)</f>
        <v>Tracy Moore</v>
      </c>
      <c r="F232" s="34" t="s">
        <v>25</v>
      </c>
      <c r="G232" s="34">
        <f>_xlfn.XLOOKUP(Table2[[#This Row],[Region]],Sheet1!$A$12:$A$15,Sheet1!$B$12:$B$15,0)</f>
        <v>0.05</v>
      </c>
      <c r="H232" s="36">
        <f>Table2[[#This Row],[Tax Rate]]*Table2[[#This Row],[Sales Amount]]</f>
        <v>106.3165</v>
      </c>
      <c r="I232" s="36">
        <v>2126.33</v>
      </c>
      <c r="J232" s="34">
        <v>39</v>
      </c>
      <c r="K232" s="34" t="s">
        <v>26</v>
      </c>
      <c r="L232" s="36">
        <v>2437.2600000000002</v>
      </c>
      <c r="M232" s="36">
        <v>2889.67</v>
      </c>
      <c r="N232" s="34" t="s">
        <v>17</v>
      </c>
      <c r="O232" s="37">
        <v>0.25</v>
      </c>
      <c r="P232" s="34" t="s">
        <v>18</v>
      </c>
      <c r="Q232" s="34" t="s">
        <v>19</v>
      </c>
      <c r="R232" s="34" t="str">
        <f>IF(Cleaned_Final!$I232&gt;=5000,"High","Low")</f>
        <v>Low</v>
      </c>
    </row>
    <row r="233" spans="1:18" x14ac:dyDescent="0.35">
      <c r="A233" s="38">
        <v>1019</v>
      </c>
      <c r="B233" s="38" t="str">
        <f>_xlfn.XLOOKUP(Table2[[#This Row],[Product ID]],Sheet1!$A$32:$A$200,Sheet1!$B$32:$B$200,"Not Found")</f>
        <v>Apple</v>
      </c>
      <c r="C233" s="39">
        <v>45228</v>
      </c>
      <c r="D233" s="38" t="s">
        <v>24</v>
      </c>
      <c r="E233" s="38" t="str" cm="1">
        <f t="array" ref="E233">_xlfn.XLOOKUP(Table2[[#This Row],[Sales Rep]],Sheet1!$A$21:$A$25,Sheet1!$B$21:$B$25,Not Found)</f>
        <v>Hogan Rock</v>
      </c>
      <c r="F233" s="38" t="s">
        <v>21</v>
      </c>
      <c r="G233" s="38">
        <f>_xlfn.XLOOKUP(Table2[[#This Row],[Region]],Sheet1!$A$12:$A$15,Sheet1!$B$12:$B$15,0)</f>
        <v>0.08</v>
      </c>
      <c r="H233" s="40">
        <f>Table2[[#This Row],[Tax Rate]]*Table2[[#This Row],[Sales Amount]]</f>
        <v>476.17519999999996</v>
      </c>
      <c r="I233" s="40">
        <v>5952.19</v>
      </c>
      <c r="J233" s="38">
        <v>31</v>
      </c>
      <c r="K233" s="38" t="s">
        <v>26</v>
      </c>
      <c r="L233" s="40">
        <v>333.69</v>
      </c>
      <c r="M233" s="40">
        <v>685.1</v>
      </c>
      <c r="N233" s="38" t="s">
        <v>30</v>
      </c>
      <c r="O233" s="41">
        <v>0.04</v>
      </c>
      <c r="P233" s="38" t="s">
        <v>27</v>
      </c>
      <c r="Q233" s="38" t="s">
        <v>19</v>
      </c>
      <c r="R233" s="38" t="str">
        <f>IF(Cleaned_Final!$I233&gt;=5000,"High","Low")</f>
        <v>High</v>
      </c>
    </row>
    <row r="234" spans="1:18" x14ac:dyDescent="0.35">
      <c r="A234" s="34">
        <v>1002</v>
      </c>
      <c r="B234" s="34" t="str">
        <f>_xlfn.XLOOKUP(Table2[[#This Row],[Product ID]],Sheet1!$A$32:$A$200,Sheet1!$B$32:$B$200,"Not Found")</f>
        <v>Bench</v>
      </c>
      <c r="C234" s="35">
        <v>45027</v>
      </c>
      <c r="D234" s="34" t="s">
        <v>14</v>
      </c>
      <c r="E234" s="34" t="str" cm="1">
        <f t="array" ref="E234">_xlfn.XLOOKUP(Table2[[#This Row],[Sales Rep]],Sheet1!$A$21:$A$25,Sheet1!$B$21:$B$25,Not Found)</f>
        <v>Michael Smith</v>
      </c>
      <c r="F234" s="34" t="s">
        <v>15</v>
      </c>
      <c r="G234" s="34">
        <f>_xlfn.XLOOKUP(Table2[[#This Row],[Region]],Sheet1!$A$12:$A$15,Sheet1!$B$12:$B$15,0)</f>
        <v>7.4999999999999997E-2</v>
      </c>
      <c r="H234" s="36">
        <f>Table2[[#This Row],[Tax Rate]]*Table2[[#This Row],[Sales Amount]]</f>
        <v>145.70624999999998</v>
      </c>
      <c r="I234" s="36">
        <v>1942.75</v>
      </c>
      <c r="J234" s="34">
        <v>21</v>
      </c>
      <c r="K234" s="34" t="s">
        <v>26</v>
      </c>
      <c r="L234" s="36">
        <v>914.22</v>
      </c>
      <c r="M234" s="36">
        <v>971.57</v>
      </c>
      <c r="N234" s="34" t="s">
        <v>17</v>
      </c>
      <c r="O234" s="37">
        <v>0.14000000000000001</v>
      </c>
      <c r="P234" s="34" t="s">
        <v>18</v>
      </c>
      <c r="Q234" s="34" t="s">
        <v>19</v>
      </c>
      <c r="R234" s="34" t="str">
        <f>IF(Cleaned_Final!$I234&gt;=5000,"High","Low")</f>
        <v>Low</v>
      </c>
    </row>
    <row r="235" spans="1:18" x14ac:dyDescent="0.35">
      <c r="A235" s="38">
        <v>1053</v>
      </c>
      <c r="B235" s="38" t="str">
        <f>_xlfn.XLOOKUP(Table2[[#This Row],[Product ID]],Sheet1!$A$32:$A$200,Sheet1!$B$32:$B$200,"Not Found")</f>
        <v>Bed</v>
      </c>
      <c r="C235" s="39">
        <v>45272</v>
      </c>
      <c r="D235" s="38" t="s">
        <v>42</v>
      </c>
      <c r="E235" s="38" t="str" cm="1">
        <f t="array" ref="E235">_xlfn.XLOOKUP(Table2[[#This Row],[Sales Rep]],Sheet1!$A$21:$A$25,Sheet1!$B$21:$B$25,Not Found)</f>
        <v>Scott Wayne</v>
      </c>
      <c r="F235" s="38" t="s">
        <v>25</v>
      </c>
      <c r="G235" s="38">
        <f>_xlfn.XLOOKUP(Table2[[#This Row],[Region]],Sheet1!$A$12:$A$15,Sheet1!$B$12:$B$15,0)</f>
        <v>0.05</v>
      </c>
      <c r="H235" s="40">
        <f>Table2[[#This Row],[Tax Rate]]*Table2[[#This Row],[Sales Amount]]</f>
        <v>169.12450000000001</v>
      </c>
      <c r="I235" s="40">
        <v>3382.49</v>
      </c>
      <c r="J235" s="38">
        <v>47</v>
      </c>
      <c r="K235" s="38" t="s">
        <v>35</v>
      </c>
      <c r="L235" s="40">
        <v>3551.76</v>
      </c>
      <c r="M235" s="40">
        <v>3696.1</v>
      </c>
      <c r="N235" s="38" t="s">
        <v>17</v>
      </c>
      <c r="O235" s="41">
        <v>0.15</v>
      </c>
      <c r="P235" s="38" t="s">
        <v>27</v>
      </c>
      <c r="Q235" s="38" t="s">
        <v>22</v>
      </c>
      <c r="R235" s="38" t="str">
        <f>IF(Cleaned_Final!$I235&gt;=5000,"High","Low")</f>
        <v>Low</v>
      </c>
    </row>
    <row r="236" spans="1:18" x14ac:dyDescent="0.35">
      <c r="A236" s="34">
        <v>1044</v>
      </c>
      <c r="B236" s="34" t="str">
        <f>_xlfn.XLOOKUP(Table2[[#This Row],[Product ID]],Sheet1!$A$32:$A$200,Sheet1!$B$32:$B$200,"Not Found")</f>
        <v>Burger</v>
      </c>
      <c r="C236" s="35">
        <v>45036</v>
      </c>
      <c r="D236" s="34" t="s">
        <v>33</v>
      </c>
      <c r="E236" s="34" t="str" cm="1">
        <f t="array" ref="E236">_xlfn.XLOOKUP(Table2[[#This Row],[Sales Rep]],Sheet1!$A$21:$A$25,Sheet1!$B$21:$B$25,Not Found)</f>
        <v>Susan Jerkins</v>
      </c>
      <c r="F236" s="34" t="s">
        <v>21</v>
      </c>
      <c r="G236" s="34">
        <f>_xlfn.XLOOKUP(Table2[[#This Row],[Region]],Sheet1!$A$12:$A$15,Sheet1!$B$12:$B$15,0)</f>
        <v>0.08</v>
      </c>
      <c r="H236" s="36">
        <f>Table2[[#This Row],[Tax Rate]]*Table2[[#This Row],[Sales Amount]]</f>
        <v>685.18399999999997</v>
      </c>
      <c r="I236" s="36">
        <v>8564.7999999999993</v>
      </c>
      <c r="J236" s="34">
        <v>34</v>
      </c>
      <c r="K236" s="34" t="s">
        <v>26</v>
      </c>
      <c r="L236" s="36">
        <v>3573.3</v>
      </c>
      <c r="M236" s="36">
        <v>3740.13</v>
      </c>
      <c r="N236" s="34" t="s">
        <v>17</v>
      </c>
      <c r="O236" s="37">
        <v>0.01</v>
      </c>
      <c r="P236" s="34" t="s">
        <v>31</v>
      </c>
      <c r="Q236" s="34" t="s">
        <v>19</v>
      </c>
      <c r="R236" s="34" t="str">
        <f>IF(Cleaned_Final!$I236&gt;=5000,"High","Low")</f>
        <v>High</v>
      </c>
    </row>
    <row r="237" spans="1:18" x14ac:dyDescent="0.35">
      <c r="A237" s="38">
        <v>1090</v>
      </c>
      <c r="B237" s="38" t="str">
        <f>_xlfn.XLOOKUP(Table2[[#This Row],[Product ID]],Sheet1!$A$32:$A$200,Sheet1!$B$32:$B$200,"Not Found")</f>
        <v>Keyboard</v>
      </c>
      <c r="C237" s="39">
        <v>45108</v>
      </c>
      <c r="D237" s="38" t="s">
        <v>24</v>
      </c>
      <c r="E237" s="38" t="str" cm="1">
        <f t="array" ref="E237">_xlfn.XLOOKUP(Table2[[#This Row],[Sales Rep]],Sheet1!$A$21:$A$25,Sheet1!$B$21:$B$25,Not Found)</f>
        <v>Hogan Rock</v>
      </c>
      <c r="F237" s="38" t="s">
        <v>15</v>
      </c>
      <c r="G237" s="38">
        <f>_xlfn.XLOOKUP(Table2[[#This Row],[Region]],Sheet1!$A$12:$A$15,Sheet1!$B$12:$B$15,0)</f>
        <v>7.4999999999999997E-2</v>
      </c>
      <c r="H237" s="40">
        <f>Table2[[#This Row],[Tax Rate]]*Table2[[#This Row],[Sales Amount]]</f>
        <v>161.25375</v>
      </c>
      <c r="I237" s="40">
        <v>2150.0500000000002</v>
      </c>
      <c r="J237" s="38">
        <v>31</v>
      </c>
      <c r="K237" s="38" t="s">
        <v>16</v>
      </c>
      <c r="L237" s="40">
        <v>4496.8599999999997</v>
      </c>
      <c r="M237" s="40">
        <v>4880.7999999999902</v>
      </c>
      <c r="N237" s="38" t="s">
        <v>30</v>
      </c>
      <c r="O237" s="41">
        <v>0.06</v>
      </c>
      <c r="P237" s="38" t="s">
        <v>18</v>
      </c>
      <c r="Q237" s="38" t="s">
        <v>22</v>
      </c>
      <c r="R237" s="38" t="str">
        <f>IF(Cleaned_Final!$I237&gt;=5000,"High","Low")</f>
        <v>Low</v>
      </c>
    </row>
    <row r="238" spans="1:18" x14ac:dyDescent="0.35">
      <c r="A238" s="34">
        <v>1032</v>
      </c>
      <c r="B238" s="34" t="str">
        <f>_xlfn.XLOOKUP(Table2[[#This Row],[Product ID]],Sheet1!$A$32:$A$200,Sheet1!$B$32:$B$200,"Not Found")</f>
        <v>Refridgerator</v>
      </c>
      <c r="C238" s="35">
        <v>45239</v>
      </c>
      <c r="D238" s="34" t="s">
        <v>14</v>
      </c>
      <c r="E238" s="34" t="str" cm="1">
        <f t="array" ref="E238">_xlfn.XLOOKUP(Table2[[#This Row],[Sales Rep]],Sheet1!$A$21:$A$25,Sheet1!$B$21:$B$25,Not Found)</f>
        <v>Michael Smith</v>
      </c>
      <c r="F238" s="34" t="s">
        <v>34</v>
      </c>
      <c r="G238" s="34">
        <f>_xlfn.XLOOKUP(Table2[[#This Row],[Region]],Sheet1!$A$12:$A$15,Sheet1!$B$12:$B$15,0)</f>
        <v>0.06</v>
      </c>
      <c r="H238" s="36">
        <f>Table2[[#This Row],[Tax Rate]]*Table2[[#This Row],[Sales Amount]]</f>
        <v>48.2682</v>
      </c>
      <c r="I238" s="36">
        <v>804.47</v>
      </c>
      <c r="J238" s="34">
        <v>25</v>
      </c>
      <c r="K238" s="34" t="s">
        <v>35</v>
      </c>
      <c r="L238" s="36">
        <v>2934.3</v>
      </c>
      <c r="M238" s="36">
        <v>3337.4</v>
      </c>
      <c r="N238" s="34" t="s">
        <v>17</v>
      </c>
      <c r="O238" s="37">
        <v>0.25</v>
      </c>
      <c r="P238" s="34" t="s">
        <v>31</v>
      </c>
      <c r="Q238" s="34" t="s">
        <v>22</v>
      </c>
      <c r="R238" s="34" t="str">
        <f>IF(Cleaned_Final!$I238&gt;=5000,"High","Low")</f>
        <v>Low</v>
      </c>
    </row>
    <row r="239" spans="1:18" x14ac:dyDescent="0.35">
      <c r="A239" s="38">
        <v>1070</v>
      </c>
      <c r="B239" s="38" t="str">
        <f>_xlfn.XLOOKUP(Table2[[#This Row],[Product ID]],Sheet1!$A$32:$A$200,Sheet1!$B$32:$B$200,"Not Found")</f>
        <v>Hutch</v>
      </c>
      <c r="C239" s="39">
        <v>44927</v>
      </c>
      <c r="D239" s="38" t="s">
        <v>38</v>
      </c>
      <c r="E239" s="38" t="str" cm="1">
        <f t="array" ref="E239">_xlfn.XLOOKUP(Table2[[#This Row],[Sales Rep]],Sheet1!$A$21:$A$25,Sheet1!$B$21:$B$25,Not Found)</f>
        <v>Tracy Moore</v>
      </c>
      <c r="F239" s="38" t="s">
        <v>25</v>
      </c>
      <c r="G239" s="38">
        <f>_xlfn.XLOOKUP(Table2[[#This Row],[Region]],Sheet1!$A$12:$A$15,Sheet1!$B$12:$B$15,0)</f>
        <v>0.05</v>
      </c>
      <c r="H239" s="40">
        <f>Table2[[#This Row],[Tax Rate]]*Table2[[#This Row],[Sales Amount]]</f>
        <v>39.158999999999999</v>
      </c>
      <c r="I239" s="40">
        <v>783.18</v>
      </c>
      <c r="J239" s="38">
        <v>12</v>
      </c>
      <c r="K239" s="38" t="s">
        <v>16</v>
      </c>
      <c r="L239" s="40">
        <v>664.33</v>
      </c>
      <c r="M239" s="40">
        <v>863.03</v>
      </c>
      <c r="N239" s="38" t="s">
        <v>17</v>
      </c>
      <c r="O239" s="41">
        <v>0.25</v>
      </c>
      <c r="P239" s="38" t="s">
        <v>27</v>
      </c>
      <c r="Q239" s="38" t="s">
        <v>22</v>
      </c>
      <c r="R239" s="38" t="str">
        <f>IF(Cleaned_Final!$I239&gt;=5000,"High","Low")</f>
        <v>Low</v>
      </c>
    </row>
    <row r="240" spans="1:18" x14ac:dyDescent="0.35">
      <c r="A240" s="34">
        <v>1032</v>
      </c>
      <c r="B240" s="34" t="str">
        <f>_xlfn.XLOOKUP(Table2[[#This Row],[Product ID]],Sheet1!$A$32:$A$200,Sheet1!$B$32:$B$200,"Not Found")</f>
        <v>Refridgerator</v>
      </c>
      <c r="C240" s="35">
        <v>45245</v>
      </c>
      <c r="D240" s="34" t="s">
        <v>42</v>
      </c>
      <c r="E240" s="34" t="str" cm="1">
        <f t="array" ref="E240">_xlfn.XLOOKUP(Table2[[#This Row],[Sales Rep]],Sheet1!$A$21:$A$25,Sheet1!$B$21:$B$25,Not Found)</f>
        <v>Scott Wayne</v>
      </c>
      <c r="F240" s="34" t="s">
        <v>21</v>
      </c>
      <c r="G240" s="34">
        <f>_xlfn.XLOOKUP(Table2[[#This Row],[Region]],Sheet1!$A$12:$A$15,Sheet1!$B$12:$B$15,0)</f>
        <v>0.08</v>
      </c>
      <c r="H240" s="36">
        <f>Table2[[#This Row],[Tax Rate]]*Table2[[#This Row],[Sales Amount]]</f>
        <v>753.10160000000008</v>
      </c>
      <c r="I240" s="36">
        <v>9413.77</v>
      </c>
      <c r="J240" s="34">
        <v>1</v>
      </c>
      <c r="K240" s="34" t="s">
        <v>26</v>
      </c>
      <c r="L240" s="36">
        <v>651</v>
      </c>
      <c r="M240" s="36">
        <v>865.76</v>
      </c>
      <c r="N240" s="34" t="s">
        <v>17</v>
      </c>
      <c r="O240" s="37">
        <v>0.09</v>
      </c>
      <c r="P240" s="34" t="s">
        <v>27</v>
      </c>
      <c r="Q240" s="34" t="s">
        <v>22</v>
      </c>
      <c r="R240" s="34" t="str">
        <f>IF(Cleaned_Final!$I240&gt;=5000,"High","Low")</f>
        <v>High</v>
      </c>
    </row>
    <row r="241" spans="1:18" x14ac:dyDescent="0.35">
      <c r="A241" s="38">
        <v>1068</v>
      </c>
      <c r="B241" s="38" t="str">
        <f>_xlfn.XLOOKUP(Table2[[#This Row],[Product ID]],Sheet1!$A$32:$A$200,Sheet1!$B$32:$B$200,"Not Found")</f>
        <v>Leggings</v>
      </c>
      <c r="C241" s="39">
        <v>44981</v>
      </c>
      <c r="D241" s="38" t="s">
        <v>14</v>
      </c>
      <c r="E241" s="38" t="str" cm="1">
        <f t="array" ref="E241">_xlfn.XLOOKUP(Table2[[#This Row],[Sales Rep]],Sheet1!$A$21:$A$25,Sheet1!$B$21:$B$25,Not Found)</f>
        <v>Michael Smith</v>
      </c>
      <c r="F241" s="38" t="s">
        <v>15</v>
      </c>
      <c r="G241" s="38">
        <f>_xlfn.XLOOKUP(Table2[[#This Row],[Region]],Sheet1!$A$12:$A$15,Sheet1!$B$12:$B$15,0)</f>
        <v>7.4999999999999997E-2</v>
      </c>
      <c r="H241" s="40">
        <f>Table2[[#This Row],[Tax Rate]]*Table2[[#This Row],[Sales Amount]]</f>
        <v>383.88825000000003</v>
      </c>
      <c r="I241" s="40">
        <v>5118.51</v>
      </c>
      <c r="J241" s="38">
        <v>22</v>
      </c>
      <c r="K241" s="38" t="s">
        <v>29</v>
      </c>
      <c r="L241" s="40">
        <v>3619.61</v>
      </c>
      <c r="M241" s="40">
        <v>3651.42</v>
      </c>
      <c r="N241" s="38" t="s">
        <v>17</v>
      </c>
      <c r="O241" s="41">
        <v>0.26</v>
      </c>
      <c r="P241" s="38" t="s">
        <v>27</v>
      </c>
      <c r="Q241" s="38" t="s">
        <v>19</v>
      </c>
      <c r="R241" s="38" t="str">
        <f>IF(Cleaned_Final!$I241&gt;=5000,"High","Low")</f>
        <v>High</v>
      </c>
    </row>
    <row r="242" spans="1:18" x14ac:dyDescent="0.35">
      <c r="A242" s="34">
        <v>1055</v>
      </c>
      <c r="B242" s="34" t="str">
        <f>_xlfn.XLOOKUP(Table2[[#This Row],[Product ID]],Sheet1!$A$32:$A$200,Sheet1!$B$32:$B$200,"Not Found")</f>
        <v>Cupboard</v>
      </c>
      <c r="C242" s="35">
        <v>45075</v>
      </c>
      <c r="D242" s="34" t="s">
        <v>38</v>
      </c>
      <c r="E242" s="34" t="str" cm="1">
        <f t="array" ref="E242">_xlfn.XLOOKUP(Table2[[#This Row],[Sales Rep]],Sheet1!$A$21:$A$25,Sheet1!$B$21:$B$25,Not Found)</f>
        <v>Tracy Moore</v>
      </c>
      <c r="F242" s="34" t="s">
        <v>15</v>
      </c>
      <c r="G242" s="34">
        <f>_xlfn.XLOOKUP(Table2[[#This Row],[Region]],Sheet1!$A$12:$A$15,Sheet1!$B$12:$B$15,0)</f>
        <v>7.4999999999999997E-2</v>
      </c>
      <c r="H242" s="36">
        <f>Table2[[#This Row],[Tax Rate]]*Table2[[#This Row],[Sales Amount]]</f>
        <v>311.48849999999999</v>
      </c>
      <c r="I242" s="36">
        <v>4153.18</v>
      </c>
      <c r="J242" s="34">
        <v>40</v>
      </c>
      <c r="K242" s="34" t="s">
        <v>16</v>
      </c>
      <c r="L242" s="36">
        <v>959.73</v>
      </c>
      <c r="M242" s="36">
        <v>1111.4100000000001</v>
      </c>
      <c r="N242" s="34" t="s">
        <v>30</v>
      </c>
      <c r="O242" s="37">
        <v>0.23</v>
      </c>
      <c r="P242" s="34" t="s">
        <v>27</v>
      </c>
      <c r="Q242" s="34" t="s">
        <v>19</v>
      </c>
      <c r="R242" s="34" t="str">
        <f>IF(Cleaned_Final!$I242&gt;=5000,"High","Low")</f>
        <v>Low</v>
      </c>
    </row>
    <row r="243" spans="1:18" x14ac:dyDescent="0.35">
      <c r="A243" s="38">
        <v>1075</v>
      </c>
      <c r="B243" s="38" t="str">
        <f>_xlfn.XLOOKUP(Table2[[#This Row],[Product ID]],Sheet1!$A$32:$A$200,Sheet1!$B$32:$B$200,"Not Found")</f>
        <v>Bookshelf</v>
      </c>
      <c r="C243" s="39">
        <v>45235</v>
      </c>
      <c r="D243" s="38" t="s">
        <v>14</v>
      </c>
      <c r="E243" s="38" t="str" cm="1">
        <f t="array" ref="E243">_xlfn.XLOOKUP(Table2[[#This Row],[Sales Rep]],Sheet1!$A$21:$A$25,Sheet1!$B$21:$B$25,Not Found)</f>
        <v>Michael Smith</v>
      </c>
      <c r="F243" s="38" t="s">
        <v>34</v>
      </c>
      <c r="G243" s="38">
        <f>_xlfn.XLOOKUP(Table2[[#This Row],[Region]],Sheet1!$A$12:$A$15,Sheet1!$B$12:$B$15,0)</f>
        <v>0.06</v>
      </c>
      <c r="H243" s="40">
        <f>Table2[[#This Row],[Tax Rate]]*Table2[[#This Row],[Sales Amount]]</f>
        <v>487.66199999999998</v>
      </c>
      <c r="I243" s="40">
        <v>8127.7</v>
      </c>
      <c r="J243" s="38">
        <v>37</v>
      </c>
      <c r="K243" s="38" t="s">
        <v>26</v>
      </c>
      <c r="L243" s="40">
        <v>1675.51</v>
      </c>
      <c r="M243" s="40">
        <v>1906.6399999999901</v>
      </c>
      <c r="N243" s="38" t="s">
        <v>30</v>
      </c>
      <c r="O243" s="41">
        <v>0.13</v>
      </c>
      <c r="P243" s="38" t="s">
        <v>27</v>
      </c>
      <c r="Q243" s="38" t="s">
        <v>19</v>
      </c>
      <c r="R243" s="38" t="str">
        <f>IF(Cleaned_Final!$I243&gt;=5000,"High","Low")</f>
        <v>High</v>
      </c>
    </row>
    <row r="244" spans="1:18" x14ac:dyDescent="0.35">
      <c r="A244" s="34">
        <v>1056</v>
      </c>
      <c r="B244" s="34" t="str">
        <f>_xlfn.XLOOKUP(Table2[[#This Row],[Product ID]],Sheet1!$A$32:$A$200,Sheet1!$B$32:$B$200,"Not Found")</f>
        <v>Track Suits</v>
      </c>
      <c r="C244" s="35">
        <v>45063</v>
      </c>
      <c r="D244" s="34" t="s">
        <v>24</v>
      </c>
      <c r="E244" s="34" t="str" cm="1">
        <f t="array" ref="E244">_xlfn.XLOOKUP(Table2[[#This Row],[Sales Rep]],Sheet1!$A$21:$A$25,Sheet1!$B$21:$B$25,Not Found)</f>
        <v>Hogan Rock</v>
      </c>
      <c r="F244" s="34" t="s">
        <v>21</v>
      </c>
      <c r="G244" s="34">
        <f>_xlfn.XLOOKUP(Table2[[#This Row],[Region]],Sheet1!$A$12:$A$15,Sheet1!$B$12:$B$15,0)</f>
        <v>0.08</v>
      </c>
      <c r="H244" s="36">
        <f>Table2[[#This Row],[Tax Rate]]*Table2[[#This Row],[Sales Amount]]</f>
        <v>669.97440000000006</v>
      </c>
      <c r="I244" s="36">
        <v>8374.68</v>
      </c>
      <c r="J244" s="34">
        <v>47</v>
      </c>
      <c r="K244" s="34" t="s">
        <v>16</v>
      </c>
      <c r="L244" s="36">
        <v>2461.6999999999998</v>
      </c>
      <c r="M244" s="36">
        <v>2529.02</v>
      </c>
      <c r="N244" s="34" t="s">
        <v>17</v>
      </c>
      <c r="O244" s="37">
        <v>0.22</v>
      </c>
      <c r="P244" s="34" t="s">
        <v>18</v>
      </c>
      <c r="Q244" s="34" t="s">
        <v>22</v>
      </c>
      <c r="R244" s="34" t="str">
        <f>IF(Cleaned_Final!$I244&gt;=5000,"High","Low")</f>
        <v>High</v>
      </c>
    </row>
    <row r="245" spans="1:18" x14ac:dyDescent="0.35">
      <c r="A245" s="38">
        <v>1017</v>
      </c>
      <c r="B245" s="38" t="str">
        <f>_xlfn.XLOOKUP(Table2[[#This Row],[Product ID]],Sheet1!$A$32:$A$200,Sheet1!$B$32:$B$200,"Not Found")</f>
        <v>Peaches</v>
      </c>
      <c r="C245" s="39">
        <v>45128</v>
      </c>
      <c r="D245" s="38" t="s">
        <v>24</v>
      </c>
      <c r="E245" s="38" t="str" cm="1">
        <f t="array" ref="E245">_xlfn.XLOOKUP(Table2[[#This Row],[Sales Rep]],Sheet1!$A$21:$A$25,Sheet1!$B$21:$B$25,Not Found)</f>
        <v>Hogan Rock</v>
      </c>
      <c r="F245" s="38" t="s">
        <v>34</v>
      </c>
      <c r="G245" s="38">
        <f>_xlfn.XLOOKUP(Table2[[#This Row],[Region]],Sheet1!$A$12:$A$15,Sheet1!$B$12:$B$15,0)</f>
        <v>0.06</v>
      </c>
      <c r="H245" s="40">
        <f>Table2[[#This Row],[Tax Rate]]*Table2[[#This Row],[Sales Amount]]</f>
        <v>203.32139999999998</v>
      </c>
      <c r="I245" s="40">
        <v>3388.69</v>
      </c>
      <c r="J245" s="38">
        <v>1</v>
      </c>
      <c r="K245" s="38" t="s">
        <v>26</v>
      </c>
      <c r="L245" s="40">
        <v>172.59</v>
      </c>
      <c r="M245" s="40">
        <v>404.69</v>
      </c>
      <c r="N245" s="38" t="s">
        <v>17</v>
      </c>
      <c r="O245" s="41">
        <v>0.28999999999999998</v>
      </c>
      <c r="P245" s="38" t="s">
        <v>27</v>
      </c>
      <c r="Q245" s="38" t="s">
        <v>19</v>
      </c>
      <c r="R245" s="38" t="str">
        <f>IF(Cleaned_Final!$I245&gt;=5000,"High","Low")</f>
        <v>Low</v>
      </c>
    </row>
    <row r="246" spans="1:18" x14ac:dyDescent="0.35">
      <c r="A246" s="34">
        <v>1038</v>
      </c>
      <c r="B246" s="34" t="str">
        <f>_xlfn.XLOOKUP(Table2[[#This Row],[Product ID]],Sheet1!$A$32:$A$200,Sheet1!$B$32:$B$200,"Not Found")</f>
        <v>Jean Pants</v>
      </c>
      <c r="C246" s="35">
        <v>45239</v>
      </c>
      <c r="D246" s="34" t="s">
        <v>24</v>
      </c>
      <c r="E246" s="34" t="str" cm="1">
        <f t="array" ref="E246">_xlfn.XLOOKUP(Table2[[#This Row],[Sales Rep]],Sheet1!$A$21:$A$25,Sheet1!$B$21:$B$25,Not Found)</f>
        <v>Hogan Rock</v>
      </c>
      <c r="F246" s="34" t="s">
        <v>34</v>
      </c>
      <c r="G246" s="34">
        <f>_xlfn.XLOOKUP(Table2[[#This Row],[Region]],Sheet1!$A$12:$A$15,Sheet1!$B$12:$B$15,0)</f>
        <v>0.06</v>
      </c>
      <c r="H246" s="36">
        <f>Table2[[#This Row],[Tax Rate]]*Table2[[#This Row],[Sales Amount]]</f>
        <v>418.00919999999996</v>
      </c>
      <c r="I246" s="36">
        <v>6966.82</v>
      </c>
      <c r="J246" s="34">
        <v>1</v>
      </c>
      <c r="K246" s="34" t="s">
        <v>26</v>
      </c>
      <c r="L246" s="36">
        <v>1281.6500000000001</v>
      </c>
      <c r="M246" s="36">
        <v>1709.71</v>
      </c>
      <c r="N246" s="34" t="s">
        <v>17</v>
      </c>
      <c r="O246" s="37">
        <v>0.14000000000000001</v>
      </c>
      <c r="P246" s="34" t="s">
        <v>31</v>
      </c>
      <c r="Q246" s="34" t="s">
        <v>19</v>
      </c>
      <c r="R246" s="34" t="str">
        <f>IF(Cleaned_Final!$I246&gt;=5000,"High","Low")</f>
        <v>High</v>
      </c>
    </row>
    <row r="247" spans="1:18" x14ac:dyDescent="0.35">
      <c r="A247" s="38">
        <v>1024</v>
      </c>
      <c r="B247" s="38" t="str">
        <f>_xlfn.XLOOKUP(Table2[[#This Row],[Product ID]],Sheet1!$A$32:$A$200,Sheet1!$B$32:$B$200,"Not Found")</f>
        <v>Pasta Pack</v>
      </c>
      <c r="C247" s="39">
        <v>45043</v>
      </c>
      <c r="D247" s="38" t="s">
        <v>42</v>
      </c>
      <c r="E247" s="38" t="str" cm="1">
        <f t="array" ref="E247">_xlfn.XLOOKUP(Table2[[#This Row],[Sales Rep]],Sheet1!$A$21:$A$25,Sheet1!$B$21:$B$25,Not Found)</f>
        <v>Scott Wayne</v>
      </c>
      <c r="F247" s="38" t="s">
        <v>21</v>
      </c>
      <c r="G247" s="38">
        <f>_xlfn.XLOOKUP(Table2[[#This Row],[Region]],Sheet1!$A$12:$A$15,Sheet1!$B$12:$B$15,0)</f>
        <v>0.08</v>
      </c>
      <c r="H247" s="40">
        <f>Table2[[#This Row],[Tax Rate]]*Table2[[#This Row],[Sales Amount]]</f>
        <v>618.7296</v>
      </c>
      <c r="I247" s="40">
        <v>7734.12</v>
      </c>
      <c r="J247" s="38">
        <v>42</v>
      </c>
      <c r="K247" s="38" t="s">
        <v>26</v>
      </c>
      <c r="L247" s="40">
        <v>2069.0500000000002</v>
      </c>
      <c r="M247" s="40">
        <v>2363.9</v>
      </c>
      <c r="N247" s="38" t="s">
        <v>17</v>
      </c>
      <c r="O247" s="41">
        <v>7.0000000000000007E-2</v>
      </c>
      <c r="P247" s="38" t="s">
        <v>18</v>
      </c>
      <c r="Q247" s="38" t="s">
        <v>19</v>
      </c>
      <c r="R247" s="38" t="str">
        <f>IF(Cleaned_Final!$I247&gt;=5000,"High","Low")</f>
        <v>High</v>
      </c>
    </row>
    <row r="248" spans="1:18" x14ac:dyDescent="0.35">
      <c r="A248" s="34">
        <v>1069</v>
      </c>
      <c r="B248" s="34" t="str">
        <f>_xlfn.XLOOKUP(Table2[[#This Row],[Product ID]],Sheet1!$A$32:$A$200,Sheet1!$B$32:$B$200,"Not Found")</f>
        <v>Suit</v>
      </c>
      <c r="C248" s="35">
        <v>45080</v>
      </c>
      <c r="D248" s="34" t="s">
        <v>24</v>
      </c>
      <c r="E248" s="34" t="str" cm="1">
        <f t="array" ref="E248">_xlfn.XLOOKUP(Table2[[#This Row],[Sales Rep]],Sheet1!$A$21:$A$25,Sheet1!$B$21:$B$25,Not Found)</f>
        <v>Hogan Rock</v>
      </c>
      <c r="F248" s="34" t="s">
        <v>21</v>
      </c>
      <c r="G248" s="34">
        <f>_xlfn.XLOOKUP(Table2[[#This Row],[Region]],Sheet1!$A$12:$A$15,Sheet1!$B$12:$B$15,0)</f>
        <v>0.08</v>
      </c>
      <c r="H248" s="36">
        <f>Table2[[#This Row],[Tax Rate]]*Table2[[#This Row],[Sales Amount]]</f>
        <v>526.48320000000001</v>
      </c>
      <c r="I248" s="36">
        <v>6581.04</v>
      </c>
      <c r="J248" s="34">
        <v>42</v>
      </c>
      <c r="K248" s="34" t="s">
        <v>29</v>
      </c>
      <c r="L248" s="36">
        <v>1434.2</v>
      </c>
      <c r="M248" s="36">
        <v>1482.88</v>
      </c>
      <c r="N248" s="34" t="s">
        <v>30</v>
      </c>
      <c r="O248" s="37">
        <v>0.28000000000000003</v>
      </c>
      <c r="P248" s="34" t="s">
        <v>31</v>
      </c>
      <c r="Q248" s="34" t="s">
        <v>22</v>
      </c>
      <c r="R248" s="34" t="str">
        <f>IF(Cleaned_Final!$I248&gt;=5000,"High","Low")</f>
        <v>High</v>
      </c>
    </row>
    <row r="249" spans="1:18" x14ac:dyDescent="0.35">
      <c r="A249" s="38">
        <v>1098</v>
      </c>
      <c r="B249" s="38" t="str">
        <f>_xlfn.XLOOKUP(Table2[[#This Row],[Product ID]],Sheet1!$A$32:$A$200,Sheet1!$B$32:$B$200,"Not Found")</f>
        <v>File Cabinet</v>
      </c>
      <c r="C249" s="39">
        <v>45217</v>
      </c>
      <c r="D249" s="38" t="s">
        <v>38</v>
      </c>
      <c r="E249" s="38" t="str" cm="1">
        <f t="array" ref="E249">_xlfn.XLOOKUP(Table2[[#This Row],[Sales Rep]],Sheet1!$A$21:$A$25,Sheet1!$B$21:$B$25,Not Found)</f>
        <v>Tracy Moore</v>
      </c>
      <c r="F249" s="38" t="s">
        <v>21</v>
      </c>
      <c r="G249" s="38">
        <f>_xlfn.XLOOKUP(Table2[[#This Row],[Region]],Sheet1!$A$12:$A$15,Sheet1!$B$12:$B$15,0)</f>
        <v>0.08</v>
      </c>
      <c r="H249" s="40">
        <f>Table2[[#This Row],[Tax Rate]]*Table2[[#This Row],[Sales Amount]]</f>
        <v>128.06319999999999</v>
      </c>
      <c r="I249" s="40">
        <v>1600.79</v>
      </c>
      <c r="J249" s="38">
        <v>21</v>
      </c>
      <c r="K249" s="38" t="s">
        <v>16</v>
      </c>
      <c r="L249" s="40">
        <v>725.03</v>
      </c>
      <c r="M249" s="40">
        <v>828.94999999999902</v>
      </c>
      <c r="N249" s="38" t="s">
        <v>30</v>
      </c>
      <c r="O249" s="41">
        <v>0.18</v>
      </c>
      <c r="P249" s="38" t="s">
        <v>27</v>
      </c>
      <c r="Q249" s="38" t="s">
        <v>19</v>
      </c>
      <c r="R249" s="38" t="str">
        <f>IF(Cleaned_Final!$I249&gt;=5000,"High","Low")</f>
        <v>Low</v>
      </c>
    </row>
    <row r="250" spans="1:18" x14ac:dyDescent="0.35">
      <c r="A250" s="34">
        <v>1070</v>
      </c>
      <c r="B250" s="34" t="str">
        <f>_xlfn.XLOOKUP(Table2[[#This Row],[Product ID]],Sheet1!$A$32:$A$200,Sheet1!$B$32:$B$200,"Not Found")</f>
        <v>Hutch</v>
      </c>
      <c r="C250" s="35">
        <v>44989</v>
      </c>
      <c r="D250" s="34" t="s">
        <v>14</v>
      </c>
      <c r="E250" s="34" t="str" cm="1">
        <f t="array" ref="E250">_xlfn.XLOOKUP(Table2[[#This Row],[Sales Rep]],Sheet1!$A$21:$A$25,Sheet1!$B$21:$B$25,Not Found)</f>
        <v>Michael Smith</v>
      </c>
      <c r="F250" s="34" t="s">
        <v>25</v>
      </c>
      <c r="G250" s="34">
        <f>_xlfn.XLOOKUP(Table2[[#This Row],[Region]],Sheet1!$A$12:$A$15,Sheet1!$B$12:$B$15,0)</f>
        <v>0.05</v>
      </c>
      <c r="H250" s="36">
        <f>Table2[[#This Row],[Tax Rate]]*Table2[[#This Row],[Sales Amount]]</f>
        <v>438.56200000000001</v>
      </c>
      <c r="I250" s="36">
        <v>8771.24</v>
      </c>
      <c r="J250" s="34">
        <v>15</v>
      </c>
      <c r="K250" s="34" t="s">
        <v>35</v>
      </c>
      <c r="L250" s="36">
        <v>3653.66</v>
      </c>
      <c r="M250" s="36">
        <v>3896.19</v>
      </c>
      <c r="N250" s="34" t="s">
        <v>30</v>
      </c>
      <c r="O250" s="37">
        <v>0.03</v>
      </c>
      <c r="P250" s="34" t="s">
        <v>31</v>
      </c>
      <c r="Q250" s="34" t="s">
        <v>22</v>
      </c>
      <c r="R250" s="34" t="str">
        <f>IF(Cleaned_Final!$I250&gt;=5000,"High","Low")</f>
        <v>High</v>
      </c>
    </row>
    <row r="251" spans="1:18" x14ac:dyDescent="0.35">
      <c r="A251" s="38">
        <v>1086</v>
      </c>
      <c r="B251" s="38" t="str">
        <f>_xlfn.XLOOKUP(Table2[[#This Row],[Product ID]],Sheet1!$A$32:$A$200,Sheet1!$B$32:$B$200,"Not Found")</f>
        <v>Gaming Console</v>
      </c>
      <c r="C251" s="39">
        <v>45170</v>
      </c>
      <c r="D251" s="38" t="s">
        <v>33</v>
      </c>
      <c r="E251" s="38" t="str" cm="1">
        <f t="array" ref="E251">_xlfn.XLOOKUP(Table2[[#This Row],[Sales Rep]],Sheet1!$A$21:$A$25,Sheet1!$B$21:$B$25,Not Found)</f>
        <v>Susan Jerkins</v>
      </c>
      <c r="F251" s="38" t="s">
        <v>21</v>
      </c>
      <c r="G251" s="38">
        <f>_xlfn.XLOOKUP(Table2[[#This Row],[Region]],Sheet1!$A$12:$A$15,Sheet1!$B$12:$B$15,0)</f>
        <v>0.08</v>
      </c>
      <c r="H251" s="40">
        <f>Table2[[#This Row],[Tax Rate]]*Table2[[#This Row],[Sales Amount]]</f>
        <v>434.96320000000003</v>
      </c>
      <c r="I251" s="40">
        <v>5437.04</v>
      </c>
      <c r="J251" s="38">
        <v>17</v>
      </c>
      <c r="K251" s="38" t="s">
        <v>35</v>
      </c>
      <c r="L251" s="40">
        <v>4075.08</v>
      </c>
      <c r="M251" s="40">
        <v>4262.21</v>
      </c>
      <c r="N251" s="38" t="s">
        <v>30</v>
      </c>
      <c r="O251" s="41">
        <v>0.17</v>
      </c>
      <c r="P251" s="38" t="s">
        <v>18</v>
      </c>
      <c r="Q251" s="38" t="s">
        <v>19</v>
      </c>
      <c r="R251" s="38" t="str">
        <f>IF(Cleaned_Final!$I251&gt;=5000,"High","Low")</f>
        <v>High</v>
      </c>
    </row>
    <row r="252" spans="1:18" x14ac:dyDescent="0.35">
      <c r="A252" s="34">
        <v>1011</v>
      </c>
      <c r="B252" s="34" t="str">
        <f>_xlfn.XLOOKUP(Table2[[#This Row],[Product ID]],Sheet1!$A$32:$A$200,Sheet1!$B$32:$B$200,"Not Found")</f>
        <v>Coffee Table</v>
      </c>
      <c r="C252" s="35">
        <v>44951</v>
      </c>
      <c r="D252" s="34" t="s">
        <v>38</v>
      </c>
      <c r="E252" s="34" t="str" cm="1">
        <f t="array" ref="E252">_xlfn.XLOOKUP(Table2[[#This Row],[Sales Rep]],Sheet1!$A$21:$A$25,Sheet1!$B$21:$B$25,Not Found)</f>
        <v>Tracy Moore</v>
      </c>
      <c r="F252" s="34" t="s">
        <v>15</v>
      </c>
      <c r="G252" s="34">
        <f>_xlfn.XLOOKUP(Table2[[#This Row],[Region]],Sheet1!$A$12:$A$15,Sheet1!$B$12:$B$15,0)</f>
        <v>7.4999999999999997E-2</v>
      </c>
      <c r="H252" s="36">
        <f>Table2[[#This Row],[Tax Rate]]*Table2[[#This Row],[Sales Amount]]</f>
        <v>217.23599999999999</v>
      </c>
      <c r="I252" s="36">
        <v>2896.48</v>
      </c>
      <c r="J252" s="34">
        <v>22</v>
      </c>
      <c r="K252" s="34" t="s">
        <v>35</v>
      </c>
      <c r="L252" s="36">
        <v>1324.52</v>
      </c>
      <c r="M252" s="36">
        <v>1510.3</v>
      </c>
      <c r="N252" s="34" t="s">
        <v>17</v>
      </c>
      <c r="O252" s="37">
        <v>0.15</v>
      </c>
      <c r="P252" s="34" t="s">
        <v>18</v>
      </c>
      <c r="Q252" s="34" t="s">
        <v>22</v>
      </c>
      <c r="R252" s="34" t="str">
        <f>IF(Cleaned_Final!$I252&gt;=5000,"High","Low")</f>
        <v>Low</v>
      </c>
    </row>
    <row r="253" spans="1:18" x14ac:dyDescent="0.35">
      <c r="A253" s="38">
        <v>1016</v>
      </c>
      <c r="B253" s="38" t="str">
        <f>_xlfn.XLOOKUP(Table2[[#This Row],[Product ID]],Sheet1!$A$32:$A$200,Sheet1!$B$32:$B$200,"Not Found")</f>
        <v>Washing Machine</v>
      </c>
      <c r="C253" s="39">
        <v>45016</v>
      </c>
      <c r="D253" s="38" t="s">
        <v>38</v>
      </c>
      <c r="E253" s="38" t="str" cm="1">
        <f t="array" ref="E253">_xlfn.XLOOKUP(Table2[[#This Row],[Sales Rep]],Sheet1!$A$21:$A$25,Sheet1!$B$21:$B$25,Not Found)</f>
        <v>Tracy Moore</v>
      </c>
      <c r="F253" s="38" t="s">
        <v>34</v>
      </c>
      <c r="G253" s="38">
        <f>_xlfn.XLOOKUP(Table2[[#This Row],[Region]],Sheet1!$A$12:$A$15,Sheet1!$B$12:$B$15,0)</f>
        <v>0.06</v>
      </c>
      <c r="H253" s="40">
        <f>Table2[[#This Row],[Tax Rate]]*Table2[[#This Row],[Sales Amount]]</f>
        <v>258.5856</v>
      </c>
      <c r="I253" s="40">
        <v>4309.76</v>
      </c>
      <c r="J253" s="38">
        <v>38</v>
      </c>
      <c r="K253" s="38" t="s">
        <v>35</v>
      </c>
      <c r="L253" s="40">
        <v>3883.38</v>
      </c>
      <c r="M253" s="40">
        <v>4152.72</v>
      </c>
      <c r="N253" s="38" t="s">
        <v>17</v>
      </c>
      <c r="O253" s="41">
        <v>0.26</v>
      </c>
      <c r="P253" s="38" t="s">
        <v>18</v>
      </c>
      <c r="Q253" s="38" t="s">
        <v>19</v>
      </c>
      <c r="R253" s="38" t="str">
        <f>IF(Cleaned_Final!$I253&gt;=5000,"High","Low")</f>
        <v>Low</v>
      </c>
    </row>
    <row r="254" spans="1:18" x14ac:dyDescent="0.35">
      <c r="A254" s="34">
        <v>1097</v>
      </c>
      <c r="B254" s="34" t="str">
        <f>_xlfn.XLOOKUP(Table2[[#This Row],[Product ID]],Sheet1!$A$32:$A$200,Sheet1!$B$32:$B$200,"Not Found")</f>
        <v>Freezer</v>
      </c>
      <c r="C254" s="35">
        <v>45001</v>
      </c>
      <c r="D254" s="34" t="s">
        <v>24</v>
      </c>
      <c r="E254" s="34" t="str" cm="1">
        <f t="array" ref="E254">_xlfn.XLOOKUP(Table2[[#This Row],[Sales Rep]],Sheet1!$A$21:$A$25,Sheet1!$B$21:$B$25,Not Found)</f>
        <v>Hogan Rock</v>
      </c>
      <c r="F254" s="34" t="s">
        <v>25</v>
      </c>
      <c r="G254" s="34">
        <f>_xlfn.XLOOKUP(Table2[[#This Row],[Region]],Sheet1!$A$12:$A$15,Sheet1!$B$12:$B$15,0)</f>
        <v>0.05</v>
      </c>
      <c r="H254" s="36">
        <f>Table2[[#This Row],[Tax Rate]]*Table2[[#This Row],[Sales Amount]]</f>
        <v>23.5975</v>
      </c>
      <c r="I254" s="36">
        <v>471.95</v>
      </c>
      <c r="J254" s="34">
        <v>35</v>
      </c>
      <c r="K254" s="34" t="s">
        <v>26</v>
      </c>
      <c r="L254" s="36">
        <v>1958.49</v>
      </c>
      <c r="M254" s="36">
        <v>2254.84</v>
      </c>
      <c r="N254" s="34" t="s">
        <v>30</v>
      </c>
      <c r="O254" s="37">
        <v>0.16</v>
      </c>
      <c r="P254" s="34" t="s">
        <v>31</v>
      </c>
      <c r="Q254" s="34" t="s">
        <v>19</v>
      </c>
      <c r="R254" s="34" t="str">
        <f>IF(Cleaned_Final!$I254&gt;=5000,"High","Low")</f>
        <v>Low</v>
      </c>
    </row>
    <row r="255" spans="1:18" x14ac:dyDescent="0.35">
      <c r="A255" s="38">
        <v>1073</v>
      </c>
      <c r="B255" s="38" t="str">
        <f>_xlfn.XLOOKUP(Table2[[#This Row],[Product ID]],Sheet1!$A$32:$A$200,Sheet1!$B$32:$B$200,"Not Found")</f>
        <v>Console Table</v>
      </c>
      <c r="C255" s="39">
        <v>45220</v>
      </c>
      <c r="D255" s="38" t="s">
        <v>42</v>
      </c>
      <c r="E255" s="38" t="str" cm="1">
        <f t="array" ref="E255">_xlfn.XLOOKUP(Table2[[#This Row],[Sales Rep]],Sheet1!$A$21:$A$25,Sheet1!$B$21:$B$25,Not Found)</f>
        <v>Scott Wayne</v>
      </c>
      <c r="F255" s="38" t="s">
        <v>21</v>
      </c>
      <c r="G255" s="38">
        <f>_xlfn.XLOOKUP(Table2[[#This Row],[Region]],Sheet1!$A$12:$A$15,Sheet1!$B$12:$B$15,0)</f>
        <v>0.08</v>
      </c>
      <c r="H255" s="40">
        <f>Table2[[#This Row],[Tax Rate]]*Table2[[#This Row],[Sales Amount]]</f>
        <v>109.27040000000001</v>
      </c>
      <c r="I255" s="40">
        <v>1365.88</v>
      </c>
      <c r="J255" s="38">
        <v>45</v>
      </c>
      <c r="K255" s="38" t="s">
        <v>16</v>
      </c>
      <c r="L255" s="40">
        <v>2558.09</v>
      </c>
      <c r="M255" s="40">
        <v>2958.55</v>
      </c>
      <c r="N255" s="38" t="s">
        <v>30</v>
      </c>
      <c r="O255" s="41">
        <v>0.08</v>
      </c>
      <c r="P255" s="38" t="s">
        <v>18</v>
      </c>
      <c r="Q255" s="38" t="s">
        <v>19</v>
      </c>
      <c r="R255" s="38" t="str">
        <f>IF(Cleaned_Final!$I255&gt;=5000,"High","Low")</f>
        <v>Low</v>
      </c>
    </row>
    <row r="256" spans="1:18" x14ac:dyDescent="0.35">
      <c r="A256" s="34">
        <v>1059</v>
      </c>
      <c r="B256" s="34" t="str">
        <f>_xlfn.XLOOKUP(Table2[[#This Row],[Product ID]],Sheet1!$A$32:$A$200,Sheet1!$B$32:$B$200,"Not Found")</f>
        <v>Coffee Beans</v>
      </c>
      <c r="C256" s="35">
        <v>45136</v>
      </c>
      <c r="D256" s="34" t="s">
        <v>14</v>
      </c>
      <c r="E256" s="34" t="str" cm="1">
        <f t="array" ref="E256">_xlfn.XLOOKUP(Table2[[#This Row],[Sales Rep]],Sheet1!$A$21:$A$25,Sheet1!$B$21:$B$25,Not Found)</f>
        <v>Michael Smith</v>
      </c>
      <c r="F256" s="34" t="s">
        <v>25</v>
      </c>
      <c r="G256" s="34">
        <f>_xlfn.XLOOKUP(Table2[[#This Row],[Region]],Sheet1!$A$12:$A$15,Sheet1!$B$12:$B$15,0)</f>
        <v>0.05</v>
      </c>
      <c r="H256" s="36">
        <f>Table2[[#This Row],[Tax Rate]]*Table2[[#This Row],[Sales Amount]]</f>
        <v>383.94550000000004</v>
      </c>
      <c r="I256" s="36">
        <v>7678.91</v>
      </c>
      <c r="J256" s="34">
        <v>16</v>
      </c>
      <c r="K256" s="34" t="s">
        <v>16</v>
      </c>
      <c r="L256" s="36">
        <v>4287.21</v>
      </c>
      <c r="M256" s="36">
        <v>4464.28</v>
      </c>
      <c r="N256" s="34" t="s">
        <v>17</v>
      </c>
      <c r="O256" s="37">
        <v>0.2</v>
      </c>
      <c r="P256" s="34" t="s">
        <v>31</v>
      </c>
      <c r="Q256" s="34" t="s">
        <v>22</v>
      </c>
      <c r="R256" s="34" t="str">
        <f>IF(Cleaned_Final!$I256&gt;=5000,"High","Low")</f>
        <v>High</v>
      </c>
    </row>
    <row r="257" spans="1:18" x14ac:dyDescent="0.35">
      <c r="A257" s="38">
        <v>1070</v>
      </c>
      <c r="B257" s="38" t="str">
        <f>_xlfn.XLOOKUP(Table2[[#This Row],[Product ID]],Sheet1!$A$32:$A$200,Sheet1!$B$32:$B$200,"Not Found")</f>
        <v>Hutch</v>
      </c>
      <c r="C257" s="39">
        <v>45273</v>
      </c>
      <c r="D257" s="38" t="s">
        <v>42</v>
      </c>
      <c r="E257" s="38" t="str" cm="1">
        <f t="array" ref="E257">_xlfn.XLOOKUP(Table2[[#This Row],[Sales Rep]],Sheet1!$A$21:$A$25,Sheet1!$B$21:$B$25,Not Found)</f>
        <v>Scott Wayne</v>
      </c>
      <c r="F257" s="38" t="s">
        <v>21</v>
      </c>
      <c r="G257" s="38">
        <f>_xlfn.XLOOKUP(Table2[[#This Row],[Region]],Sheet1!$A$12:$A$15,Sheet1!$B$12:$B$15,0)</f>
        <v>0.08</v>
      </c>
      <c r="H257" s="40">
        <f>Table2[[#This Row],[Tax Rate]]*Table2[[#This Row],[Sales Amount]]</f>
        <v>8.0096000000000007</v>
      </c>
      <c r="I257" s="40">
        <v>100.12</v>
      </c>
      <c r="J257" s="38">
        <v>8</v>
      </c>
      <c r="K257" s="38" t="s">
        <v>29</v>
      </c>
      <c r="L257" s="40">
        <v>3762.27</v>
      </c>
      <c r="M257" s="40">
        <v>4166.95</v>
      </c>
      <c r="N257" s="38" t="s">
        <v>17</v>
      </c>
      <c r="O257" s="41">
        <v>0.16</v>
      </c>
      <c r="P257" s="38" t="s">
        <v>27</v>
      </c>
      <c r="Q257" s="38" t="s">
        <v>19</v>
      </c>
      <c r="R257" s="38" t="str">
        <f>IF(Cleaned_Final!$I257&gt;=5000,"High","Low")</f>
        <v>Low</v>
      </c>
    </row>
    <row r="258" spans="1:18" x14ac:dyDescent="0.35">
      <c r="A258" s="34">
        <v>1080</v>
      </c>
      <c r="B258" s="34" t="str">
        <f>_xlfn.XLOOKUP(Table2[[#This Row],[Product ID]],Sheet1!$A$32:$A$200,Sheet1!$B$32:$B$200,"Not Found")</f>
        <v>Headphones</v>
      </c>
      <c r="C258" s="35">
        <v>44943</v>
      </c>
      <c r="D258" s="34" t="s">
        <v>14</v>
      </c>
      <c r="E258" s="34" t="str" cm="1">
        <f t="array" ref="E258">_xlfn.XLOOKUP(Table2[[#This Row],[Sales Rep]],Sheet1!$A$21:$A$25,Sheet1!$B$21:$B$25,Not Found)</f>
        <v>Michael Smith</v>
      </c>
      <c r="F258" s="34" t="s">
        <v>25</v>
      </c>
      <c r="G258" s="34">
        <f>_xlfn.XLOOKUP(Table2[[#This Row],[Region]],Sheet1!$A$12:$A$15,Sheet1!$B$12:$B$15,0)</f>
        <v>0.05</v>
      </c>
      <c r="H258" s="36">
        <f>Table2[[#This Row],[Tax Rate]]*Table2[[#This Row],[Sales Amount]]</f>
        <v>211.20000000000002</v>
      </c>
      <c r="I258" s="36">
        <v>4224</v>
      </c>
      <c r="J258" s="34">
        <v>47</v>
      </c>
      <c r="K258" s="34" t="s">
        <v>16</v>
      </c>
      <c r="L258" s="36">
        <v>4035.33</v>
      </c>
      <c r="M258" s="36">
        <v>4211.25</v>
      </c>
      <c r="N258" s="34" t="s">
        <v>17</v>
      </c>
      <c r="O258" s="37">
        <v>7.0000000000000007E-2</v>
      </c>
      <c r="P258" s="34" t="s">
        <v>27</v>
      </c>
      <c r="Q258" s="34" t="s">
        <v>19</v>
      </c>
      <c r="R258" s="34" t="str">
        <f>IF(Cleaned_Final!$I258&gt;=5000,"High","Low")</f>
        <v>Low</v>
      </c>
    </row>
    <row r="259" spans="1:18" x14ac:dyDescent="0.35">
      <c r="A259" s="38">
        <v>1093</v>
      </c>
      <c r="B259" s="38" t="str">
        <f>_xlfn.XLOOKUP(Table2[[#This Row],[Product ID]],Sheet1!$A$32:$A$200,Sheet1!$B$32:$B$200,"Not Found")</f>
        <v>Dining Table</v>
      </c>
      <c r="C259" s="39">
        <v>45054</v>
      </c>
      <c r="D259" s="38" t="s">
        <v>14</v>
      </c>
      <c r="E259" s="38" t="str" cm="1">
        <f t="array" ref="E259">_xlfn.XLOOKUP(Table2[[#This Row],[Sales Rep]],Sheet1!$A$21:$A$25,Sheet1!$B$21:$B$25,Not Found)</f>
        <v>Michael Smith</v>
      </c>
      <c r="F259" s="38" t="s">
        <v>34</v>
      </c>
      <c r="G259" s="38">
        <f>_xlfn.XLOOKUP(Table2[[#This Row],[Region]],Sheet1!$A$12:$A$15,Sheet1!$B$12:$B$15,0)</f>
        <v>0.06</v>
      </c>
      <c r="H259" s="40">
        <f>Table2[[#This Row],[Tax Rate]]*Table2[[#This Row],[Sales Amount]]</f>
        <v>316.37100000000004</v>
      </c>
      <c r="I259" s="40">
        <v>5272.85</v>
      </c>
      <c r="J259" s="38">
        <v>17</v>
      </c>
      <c r="K259" s="38" t="s">
        <v>16</v>
      </c>
      <c r="L259" s="40">
        <v>727.38</v>
      </c>
      <c r="M259" s="40">
        <v>764.54</v>
      </c>
      <c r="N259" s="38" t="s">
        <v>17</v>
      </c>
      <c r="O259" s="41">
        <v>0.17</v>
      </c>
      <c r="P259" s="38" t="s">
        <v>31</v>
      </c>
      <c r="Q259" s="38" t="s">
        <v>22</v>
      </c>
      <c r="R259" s="38" t="str">
        <f>IF(Cleaned_Final!$I259&gt;=5000,"High","Low")</f>
        <v>High</v>
      </c>
    </row>
    <row r="260" spans="1:18" x14ac:dyDescent="0.35">
      <c r="A260" s="34">
        <v>1003</v>
      </c>
      <c r="B260" s="34" t="str">
        <f>_xlfn.XLOOKUP(Table2[[#This Row],[Product ID]],Sheet1!$A$32:$A$200,Sheet1!$B$32:$B$200,"Not Found")</f>
        <v>Stool</v>
      </c>
      <c r="C260" s="35">
        <v>45290</v>
      </c>
      <c r="D260" s="34" t="s">
        <v>42</v>
      </c>
      <c r="E260" s="34" t="str" cm="1">
        <f t="array" ref="E260">_xlfn.XLOOKUP(Table2[[#This Row],[Sales Rep]],Sheet1!$A$21:$A$25,Sheet1!$B$21:$B$25,Not Found)</f>
        <v>Scott Wayne</v>
      </c>
      <c r="F260" s="34" t="s">
        <v>34</v>
      </c>
      <c r="G260" s="34">
        <f>_xlfn.XLOOKUP(Table2[[#This Row],[Region]],Sheet1!$A$12:$A$15,Sheet1!$B$12:$B$15,0)</f>
        <v>0.06</v>
      </c>
      <c r="H260" s="36">
        <f>Table2[[#This Row],[Tax Rate]]*Table2[[#This Row],[Sales Amount]]</f>
        <v>38.452799999999996</v>
      </c>
      <c r="I260" s="36">
        <v>640.88</v>
      </c>
      <c r="J260" s="34">
        <v>17</v>
      </c>
      <c r="K260" s="34" t="s">
        <v>16</v>
      </c>
      <c r="L260" s="36">
        <v>395.11</v>
      </c>
      <c r="M260" s="36">
        <v>676.66</v>
      </c>
      <c r="N260" s="34" t="s">
        <v>17</v>
      </c>
      <c r="O260" s="37">
        <v>0.25</v>
      </c>
      <c r="P260" s="34" t="s">
        <v>18</v>
      </c>
      <c r="Q260" s="34" t="s">
        <v>22</v>
      </c>
      <c r="R260" s="34" t="str">
        <f>IF(Cleaned_Final!$I260&gt;=5000,"High","Low")</f>
        <v>Low</v>
      </c>
    </row>
    <row r="261" spans="1:18" x14ac:dyDescent="0.35">
      <c r="A261" s="38">
        <v>1020</v>
      </c>
      <c r="B261" s="38" t="str">
        <f>_xlfn.XLOOKUP(Table2[[#This Row],[Product ID]],Sheet1!$A$32:$A$200,Sheet1!$B$32:$B$200,"Not Found")</f>
        <v>Apron</v>
      </c>
      <c r="C261" s="39">
        <v>45177</v>
      </c>
      <c r="D261" s="38" t="s">
        <v>38</v>
      </c>
      <c r="E261" s="38" t="str" cm="1">
        <f t="array" ref="E261">_xlfn.XLOOKUP(Table2[[#This Row],[Sales Rep]],Sheet1!$A$21:$A$25,Sheet1!$B$21:$B$25,Not Found)</f>
        <v>Tracy Moore</v>
      </c>
      <c r="F261" s="38" t="s">
        <v>15</v>
      </c>
      <c r="G261" s="38">
        <f>_xlfn.XLOOKUP(Table2[[#This Row],[Region]],Sheet1!$A$12:$A$15,Sheet1!$B$12:$B$15,0)</f>
        <v>7.4999999999999997E-2</v>
      </c>
      <c r="H261" s="40">
        <f>Table2[[#This Row],[Tax Rate]]*Table2[[#This Row],[Sales Amount]]</f>
        <v>730.01024999999993</v>
      </c>
      <c r="I261" s="40">
        <v>9733.4699999999993</v>
      </c>
      <c r="J261" s="38">
        <v>26</v>
      </c>
      <c r="K261" s="38" t="s">
        <v>29</v>
      </c>
      <c r="L261" s="40">
        <v>4472.3500000000004</v>
      </c>
      <c r="M261" s="40">
        <v>4770.42</v>
      </c>
      <c r="N261" s="38" t="s">
        <v>30</v>
      </c>
      <c r="O261" s="41">
        <v>0.01</v>
      </c>
      <c r="P261" s="38" t="s">
        <v>31</v>
      </c>
      <c r="Q261" s="38" t="s">
        <v>22</v>
      </c>
      <c r="R261" s="38" t="str">
        <f>IF(Cleaned_Final!$I261&gt;=5000,"High","Low")</f>
        <v>High</v>
      </c>
    </row>
    <row r="262" spans="1:18" x14ac:dyDescent="0.35">
      <c r="A262" s="34">
        <v>1059</v>
      </c>
      <c r="B262" s="34" t="str">
        <f>_xlfn.XLOOKUP(Table2[[#This Row],[Product ID]],Sheet1!$A$32:$A$200,Sheet1!$B$32:$B$200,"Not Found")</f>
        <v>Coffee Beans</v>
      </c>
      <c r="C262" s="35">
        <v>45105</v>
      </c>
      <c r="D262" s="34" t="s">
        <v>14</v>
      </c>
      <c r="E262" s="34" t="str" cm="1">
        <f t="array" ref="E262">_xlfn.XLOOKUP(Table2[[#This Row],[Sales Rep]],Sheet1!$A$21:$A$25,Sheet1!$B$21:$B$25,Not Found)</f>
        <v>Michael Smith</v>
      </c>
      <c r="F262" s="34" t="s">
        <v>15</v>
      </c>
      <c r="G262" s="34">
        <f>_xlfn.XLOOKUP(Table2[[#This Row],[Region]],Sheet1!$A$12:$A$15,Sheet1!$B$12:$B$15,0)</f>
        <v>7.4999999999999997E-2</v>
      </c>
      <c r="H262" s="36">
        <f>Table2[[#This Row],[Tax Rate]]*Table2[[#This Row],[Sales Amount]]</f>
        <v>175.398</v>
      </c>
      <c r="I262" s="36">
        <v>2338.64</v>
      </c>
      <c r="J262" s="34">
        <v>13</v>
      </c>
      <c r="K262" s="34" t="s">
        <v>35</v>
      </c>
      <c r="L262" s="36">
        <v>1969.78</v>
      </c>
      <c r="M262" s="36">
        <v>2437.6999999999998</v>
      </c>
      <c r="N262" s="34" t="s">
        <v>30</v>
      </c>
      <c r="O262" s="37">
        <v>0.19</v>
      </c>
      <c r="P262" s="34" t="s">
        <v>31</v>
      </c>
      <c r="Q262" s="34" t="s">
        <v>22</v>
      </c>
      <c r="R262" s="34" t="str">
        <f>IF(Cleaned_Final!$I262&gt;=5000,"High","Low")</f>
        <v>Low</v>
      </c>
    </row>
    <row r="263" spans="1:18" x14ac:dyDescent="0.35">
      <c r="A263" s="38">
        <v>1036</v>
      </c>
      <c r="B263" s="38" t="str">
        <f>_xlfn.XLOOKUP(Table2[[#This Row],[Product ID]],Sheet1!$A$32:$A$200,Sheet1!$B$32:$B$200,"Not Found")</f>
        <v>Shorts</v>
      </c>
      <c r="C263" s="39">
        <v>45108</v>
      </c>
      <c r="D263" s="38" t="s">
        <v>42</v>
      </c>
      <c r="E263" s="38" t="str" cm="1">
        <f t="array" ref="E263">_xlfn.XLOOKUP(Table2[[#This Row],[Sales Rep]],Sheet1!$A$21:$A$25,Sheet1!$B$21:$B$25,Not Found)</f>
        <v>Scott Wayne</v>
      </c>
      <c r="F263" s="38" t="s">
        <v>21</v>
      </c>
      <c r="G263" s="38">
        <f>_xlfn.XLOOKUP(Table2[[#This Row],[Region]],Sheet1!$A$12:$A$15,Sheet1!$B$12:$B$15,0)</f>
        <v>0.08</v>
      </c>
      <c r="H263" s="40">
        <f>Table2[[#This Row],[Tax Rate]]*Table2[[#This Row],[Sales Amount]]</f>
        <v>248.92560000000003</v>
      </c>
      <c r="I263" s="40">
        <v>3111.57</v>
      </c>
      <c r="J263" s="38">
        <v>17</v>
      </c>
      <c r="K263" s="38" t="s">
        <v>16</v>
      </c>
      <c r="L263" s="40">
        <v>1475</v>
      </c>
      <c r="M263" s="40">
        <v>1840.77</v>
      </c>
      <c r="N263" s="38" t="s">
        <v>17</v>
      </c>
      <c r="O263" s="41">
        <v>0.1</v>
      </c>
      <c r="P263" s="38" t="s">
        <v>31</v>
      </c>
      <c r="Q263" s="38" t="s">
        <v>19</v>
      </c>
      <c r="R263" s="38" t="str">
        <f>IF(Cleaned_Final!$I263&gt;=5000,"High","Low")</f>
        <v>Low</v>
      </c>
    </row>
    <row r="264" spans="1:18" x14ac:dyDescent="0.35">
      <c r="A264" s="34">
        <v>1019</v>
      </c>
      <c r="B264" s="34" t="str">
        <f>_xlfn.XLOOKUP(Table2[[#This Row],[Product ID]],Sheet1!$A$32:$A$200,Sheet1!$B$32:$B$200,"Not Found")</f>
        <v>Apple</v>
      </c>
      <c r="C264" s="35">
        <v>45078</v>
      </c>
      <c r="D264" s="34" t="s">
        <v>14</v>
      </c>
      <c r="E264" s="34" t="str" cm="1">
        <f t="array" ref="E264">_xlfn.XLOOKUP(Table2[[#This Row],[Sales Rep]],Sheet1!$A$21:$A$25,Sheet1!$B$21:$B$25,Not Found)</f>
        <v>Michael Smith</v>
      </c>
      <c r="F264" s="34" t="s">
        <v>34</v>
      </c>
      <c r="G264" s="34">
        <f>_xlfn.XLOOKUP(Table2[[#This Row],[Region]],Sheet1!$A$12:$A$15,Sheet1!$B$12:$B$15,0)</f>
        <v>0.06</v>
      </c>
      <c r="H264" s="36">
        <f>Table2[[#This Row],[Tax Rate]]*Table2[[#This Row],[Sales Amount]]</f>
        <v>186.54179999999999</v>
      </c>
      <c r="I264" s="36">
        <v>3109.03</v>
      </c>
      <c r="J264" s="34">
        <v>38</v>
      </c>
      <c r="K264" s="34" t="s">
        <v>29</v>
      </c>
      <c r="L264" s="36">
        <v>3637.25</v>
      </c>
      <c r="M264" s="36">
        <v>4096.96</v>
      </c>
      <c r="N264" s="34" t="s">
        <v>17</v>
      </c>
      <c r="O264" s="37">
        <v>0.09</v>
      </c>
      <c r="P264" s="34" t="s">
        <v>27</v>
      </c>
      <c r="Q264" s="34" t="s">
        <v>19</v>
      </c>
      <c r="R264" s="34" t="str">
        <f>IF(Cleaned_Final!$I264&gt;=5000,"High","Low")</f>
        <v>Low</v>
      </c>
    </row>
    <row r="265" spans="1:18" x14ac:dyDescent="0.35">
      <c r="A265" s="38">
        <v>1090</v>
      </c>
      <c r="B265" s="38" t="str">
        <f>_xlfn.XLOOKUP(Table2[[#This Row],[Product ID]],Sheet1!$A$32:$A$200,Sheet1!$B$32:$B$200,"Not Found")</f>
        <v>Keyboard</v>
      </c>
      <c r="C265" s="39">
        <v>44951</v>
      </c>
      <c r="D265" s="38" t="s">
        <v>33</v>
      </c>
      <c r="E265" s="38" t="str" cm="1">
        <f t="array" ref="E265">_xlfn.XLOOKUP(Table2[[#This Row],[Sales Rep]],Sheet1!$A$21:$A$25,Sheet1!$B$21:$B$25,Not Found)</f>
        <v>Susan Jerkins</v>
      </c>
      <c r="F265" s="38" t="s">
        <v>25</v>
      </c>
      <c r="G265" s="38">
        <f>_xlfn.XLOOKUP(Table2[[#This Row],[Region]],Sheet1!$A$12:$A$15,Sheet1!$B$12:$B$15,0)</f>
        <v>0.05</v>
      </c>
      <c r="H265" s="40">
        <f>Table2[[#This Row],[Tax Rate]]*Table2[[#This Row],[Sales Amount]]</f>
        <v>119.056</v>
      </c>
      <c r="I265" s="40">
        <v>2381.12</v>
      </c>
      <c r="J265" s="38">
        <v>17</v>
      </c>
      <c r="K265" s="38" t="s">
        <v>29</v>
      </c>
      <c r="L265" s="40">
        <v>4190.26</v>
      </c>
      <c r="M265" s="40">
        <v>4645.3500000000004</v>
      </c>
      <c r="N265" s="38" t="s">
        <v>30</v>
      </c>
      <c r="O265" s="41">
        <v>0.12</v>
      </c>
      <c r="P265" s="38" t="s">
        <v>31</v>
      </c>
      <c r="Q265" s="38" t="s">
        <v>22</v>
      </c>
      <c r="R265" s="38" t="str">
        <f>IF(Cleaned_Final!$I265&gt;=5000,"High","Low")</f>
        <v>Low</v>
      </c>
    </row>
    <row r="266" spans="1:18" x14ac:dyDescent="0.35">
      <c r="A266" s="34">
        <v>1067</v>
      </c>
      <c r="B266" s="34" t="str">
        <f>_xlfn.XLOOKUP(Table2[[#This Row],[Product ID]],Sheet1!$A$32:$A$200,Sheet1!$B$32:$B$200,"Not Found")</f>
        <v>Grapes</v>
      </c>
      <c r="C266" s="35">
        <v>45106</v>
      </c>
      <c r="D266" s="34" t="s">
        <v>38</v>
      </c>
      <c r="E266" s="34" t="str" cm="1">
        <f t="array" ref="E266">_xlfn.XLOOKUP(Table2[[#This Row],[Sales Rep]],Sheet1!$A$21:$A$25,Sheet1!$B$21:$B$25,Not Found)</f>
        <v>Tracy Moore</v>
      </c>
      <c r="F266" s="34" t="s">
        <v>25</v>
      </c>
      <c r="G266" s="34">
        <f>_xlfn.XLOOKUP(Table2[[#This Row],[Region]],Sheet1!$A$12:$A$15,Sheet1!$B$12:$B$15,0)</f>
        <v>0.05</v>
      </c>
      <c r="H266" s="36">
        <f>Table2[[#This Row],[Tax Rate]]*Table2[[#This Row],[Sales Amount]]</f>
        <v>5.7295000000000007</v>
      </c>
      <c r="I266" s="36">
        <v>114.59</v>
      </c>
      <c r="J266" s="34">
        <v>48</v>
      </c>
      <c r="K266" s="34" t="s">
        <v>26</v>
      </c>
      <c r="L266" s="36">
        <v>4319.32</v>
      </c>
      <c r="M266" s="36">
        <v>4625.5599999999904</v>
      </c>
      <c r="N266" s="34" t="s">
        <v>17</v>
      </c>
      <c r="O266" s="37">
        <v>0.1</v>
      </c>
      <c r="P266" s="34" t="s">
        <v>27</v>
      </c>
      <c r="Q266" s="34" t="s">
        <v>19</v>
      </c>
      <c r="R266" s="34" t="str">
        <f>IF(Cleaned_Final!$I266&gt;=5000,"High","Low")</f>
        <v>Low</v>
      </c>
    </row>
    <row r="267" spans="1:18" x14ac:dyDescent="0.35">
      <c r="A267" s="38">
        <v>1019</v>
      </c>
      <c r="B267" s="38" t="str">
        <f>_xlfn.XLOOKUP(Table2[[#This Row],[Product ID]],Sheet1!$A$32:$A$200,Sheet1!$B$32:$B$200,"Not Found")</f>
        <v>Apple</v>
      </c>
      <c r="C267" s="39">
        <v>45124</v>
      </c>
      <c r="D267" s="38" t="s">
        <v>24</v>
      </c>
      <c r="E267" s="38" t="str" cm="1">
        <f t="array" ref="E267">_xlfn.XLOOKUP(Table2[[#This Row],[Sales Rep]],Sheet1!$A$21:$A$25,Sheet1!$B$21:$B$25,Not Found)</f>
        <v>Hogan Rock</v>
      </c>
      <c r="F267" s="38" t="s">
        <v>25</v>
      </c>
      <c r="G267" s="38">
        <f>_xlfn.XLOOKUP(Table2[[#This Row],[Region]],Sheet1!$A$12:$A$15,Sheet1!$B$12:$B$15,0)</f>
        <v>0.05</v>
      </c>
      <c r="H267" s="40">
        <f>Table2[[#This Row],[Tax Rate]]*Table2[[#This Row],[Sales Amount]]</f>
        <v>366.02550000000002</v>
      </c>
      <c r="I267" s="40">
        <v>7320.51</v>
      </c>
      <c r="J267" s="38">
        <v>14</v>
      </c>
      <c r="K267" s="38" t="s">
        <v>29</v>
      </c>
      <c r="L267" s="40">
        <v>1614.19</v>
      </c>
      <c r="M267" s="40">
        <v>1882.79</v>
      </c>
      <c r="N267" s="38" t="s">
        <v>30</v>
      </c>
      <c r="O267" s="41">
        <v>0.25</v>
      </c>
      <c r="P267" s="38" t="s">
        <v>31</v>
      </c>
      <c r="Q267" s="38" t="s">
        <v>22</v>
      </c>
      <c r="R267" s="38" t="str">
        <f>IF(Cleaned_Final!$I267&gt;=5000,"High","Low")</f>
        <v>High</v>
      </c>
    </row>
    <row r="268" spans="1:18" x14ac:dyDescent="0.35">
      <c r="A268" s="34">
        <v>1020</v>
      </c>
      <c r="B268" s="34" t="str">
        <f>_xlfn.XLOOKUP(Table2[[#This Row],[Product ID]],Sheet1!$A$32:$A$200,Sheet1!$B$32:$B$200,"Not Found")</f>
        <v>Apron</v>
      </c>
      <c r="C268" s="35">
        <v>45270</v>
      </c>
      <c r="D268" s="34" t="s">
        <v>14</v>
      </c>
      <c r="E268" s="34" t="str" cm="1">
        <f t="array" ref="E268">_xlfn.XLOOKUP(Table2[[#This Row],[Sales Rep]],Sheet1!$A$21:$A$25,Sheet1!$B$21:$B$25,Not Found)</f>
        <v>Michael Smith</v>
      </c>
      <c r="F268" s="34" t="s">
        <v>15</v>
      </c>
      <c r="G268" s="34">
        <f>_xlfn.XLOOKUP(Table2[[#This Row],[Region]],Sheet1!$A$12:$A$15,Sheet1!$B$12:$B$15,0)</f>
        <v>7.4999999999999997E-2</v>
      </c>
      <c r="H268" s="36">
        <f>Table2[[#This Row],[Tax Rate]]*Table2[[#This Row],[Sales Amount]]</f>
        <v>725.38274999999999</v>
      </c>
      <c r="I268" s="36">
        <v>9671.77</v>
      </c>
      <c r="J268" s="34">
        <v>45</v>
      </c>
      <c r="K268" s="34" t="s">
        <v>35</v>
      </c>
      <c r="L268" s="36">
        <v>4268.45</v>
      </c>
      <c r="M268" s="36">
        <v>4551.5999999999904</v>
      </c>
      <c r="N268" s="34" t="s">
        <v>30</v>
      </c>
      <c r="O268" s="37">
        <v>0.08</v>
      </c>
      <c r="P268" s="34" t="s">
        <v>27</v>
      </c>
      <c r="Q268" s="34" t="s">
        <v>19</v>
      </c>
      <c r="R268" s="34" t="str">
        <f>IF(Cleaned_Final!$I268&gt;=5000,"High","Low")</f>
        <v>High</v>
      </c>
    </row>
    <row r="269" spans="1:18" x14ac:dyDescent="0.35">
      <c r="A269" s="38">
        <v>1096</v>
      </c>
      <c r="B269" s="38" t="str">
        <f>_xlfn.XLOOKUP(Table2[[#This Row],[Product ID]],Sheet1!$A$32:$A$200,Sheet1!$B$32:$B$200,"Not Found")</f>
        <v>Radio</v>
      </c>
      <c r="C269" s="39">
        <v>45087</v>
      </c>
      <c r="D269" s="38" t="s">
        <v>33</v>
      </c>
      <c r="E269" s="38" t="str" cm="1">
        <f t="array" ref="E269">_xlfn.XLOOKUP(Table2[[#This Row],[Sales Rep]],Sheet1!$A$21:$A$25,Sheet1!$B$21:$B$25,Not Found)</f>
        <v>Susan Jerkins</v>
      </c>
      <c r="F269" s="38" t="s">
        <v>25</v>
      </c>
      <c r="G269" s="38">
        <f>_xlfn.XLOOKUP(Table2[[#This Row],[Region]],Sheet1!$A$12:$A$15,Sheet1!$B$12:$B$15,0)</f>
        <v>0.05</v>
      </c>
      <c r="H269" s="40">
        <f>Table2[[#This Row],[Tax Rate]]*Table2[[#This Row],[Sales Amount]]</f>
        <v>116.02550000000002</v>
      </c>
      <c r="I269" s="40">
        <v>2320.5100000000002</v>
      </c>
      <c r="J269" s="38">
        <v>6</v>
      </c>
      <c r="K269" s="38" t="s">
        <v>16</v>
      </c>
      <c r="L269" s="40">
        <v>252.62</v>
      </c>
      <c r="M269" s="40">
        <v>742</v>
      </c>
      <c r="N269" s="38" t="s">
        <v>30</v>
      </c>
      <c r="O269" s="41">
        <v>0.22</v>
      </c>
      <c r="P269" s="38" t="s">
        <v>31</v>
      </c>
      <c r="Q269" s="38" t="s">
        <v>22</v>
      </c>
      <c r="R269" s="38" t="str">
        <f>IF(Cleaned_Final!$I269&gt;=5000,"High","Low")</f>
        <v>Low</v>
      </c>
    </row>
    <row r="270" spans="1:18" x14ac:dyDescent="0.35">
      <c r="A270" s="34">
        <v>1071</v>
      </c>
      <c r="B270" s="34" t="str">
        <f>_xlfn.XLOOKUP(Table2[[#This Row],[Product ID]],Sheet1!$A$32:$A$200,Sheet1!$B$32:$B$200,"Not Found")</f>
        <v>Game Table</v>
      </c>
      <c r="C270" s="35">
        <v>45103</v>
      </c>
      <c r="D270" s="34" t="s">
        <v>24</v>
      </c>
      <c r="E270" s="34" t="str" cm="1">
        <f t="array" ref="E270">_xlfn.XLOOKUP(Table2[[#This Row],[Sales Rep]],Sheet1!$A$21:$A$25,Sheet1!$B$21:$B$25,Not Found)</f>
        <v>Hogan Rock</v>
      </c>
      <c r="F270" s="34" t="s">
        <v>15</v>
      </c>
      <c r="G270" s="34">
        <f>_xlfn.XLOOKUP(Table2[[#This Row],[Region]],Sheet1!$A$12:$A$15,Sheet1!$B$12:$B$15,0)</f>
        <v>7.4999999999999997E-2</v>
      </c>
      <c r="H270" s="36">
        <f>Table2[[#This Row],[Tax Rate]]*Table2[[#This Row],[Sales Amount]]</f>
        <v>499.81274999999999</v>
      </c>
      <c r="I270" s="36">
        <v>6664.17</v>
      </c>
      <c r="J270" s="34">
        <v>35</v>
      </c>
      <c r="K270" s="34" t="s">
        <v>29</v>
      </c>
      <c r="L270" s="36">
        <v>295.82</v>
      </c>
      <c r="M270" s="36">
        <v>684.67</v>
      </c>
      <c r="N270" s="34" t="s">
        <v>30</v>
      </c>
      <c r="O270" s="37">
        <v>0.03</v>
      </c>
      <c r="P270" s="34" t="s">
        <v>31</v>
      </c>
      <c r="Q270" s="34" t="s">
        <v>19</v>
      </c>
      <c r="R270" s="34" t="str">
        <f>IF(Cleaned_Final!$I270&gt;=5000,"High","Low")</f>
        <v>High</v>
      </c>
    </row>
    <row r="271" spans="1:18" x14ac:dyDescent="0.35">
      <c r="A271" s="38">
        <v>1052</v>
      </c>
      <c r="B271" s="38" t="str">
        <f>_xlfn.XLOOKUP(Table2[[#This Row],[Product ID]],Sheet1!$A$32:$A$200,Sheet1!$B$32:$B$200,"Not Found")</f>
        <v>Wooden Chair</v>
      </c>
      <c r="C271" s="39">
        <v>45211</v>
      </c>
      <c r="D271" s="38" t="s">
        <v>24</v>
      </c>
      <c r="E271" s="38" t="str" cm="1">
        <f t="array" ref="E271">_xlfn.XLOOKUP(Table2[[#This Row],[Sales Rep]],Sheet1!$A$21:$A$25,Sheet1!$B$21:$B$25,Not Found)</f>
        <v>Hogan Rock</v>
      </c>
      <c r="F271" s="38" t="s">
        <v>15</v>
      </c>
      <c r="G271" s="38">
        <f>_xlfn.XLOOKUP(Table2[[#This Row],[Region]],Sheet1!$A$12:$A$15,Sheet1!$B$12:$B$15,0)</f>
        <v>7.4999999999999997E-2</v>
      </c>
      <c r="H271" s="40">
        <f>Table2[[#This Row],[Tax Rate]]*Table2[[#This Row],[Sales Amount]]</f>
        <v>558.35775000000001</v>
      </c>
      <c r="I271" s="40">
        <v>7444.77</v>
      </c>
      <c r="J271" s="38">
        <v>46</v>
      </c>
      <c r="K271" s="38" t="s">
        <v>35</v>
      </c>
      <c r="L271" s="40">
        <v>3136.42</v>
      </c>
      <c r="M271" s="40">
        <v>3198.49</v>
      </c>
      <c r="N271" s="38" t="s">
        <v>17</v>
      </c>
      <c r="O271" s="41">
        <v>0.28999999999999998</v>
      </c>
      <c r="P271" s="38" t="s">
        <v>18</v>
      </c>
      <c r="Q271" s="38" t="s">
        <v>22</v>
      </c>
      <c r="R271" s="38" t="str">
        <f>IF(Cleaned_Final!$I271&gt;=5000,"High","Low")</f>
        <v>High</v>
      </c>
    </row>
    <row r="272" spans="1:18" x14ac:dyDescent="0.35">
      <c r="A272" s="34">
        <v>1033</v>
      </c>
      <c r="B272" s="34" t="str">
        <f>_xlfn.XLOOKUP(Table2[[#This Row],[Product ID]],Sheet1!$A$32:$A$200,Sheet1!$B$32:$B$200,"Not Found")</f>
        <v>TV Stand</v>
      </c>
      <c r="C272" s="35">
        <v>44989</v>
      </c>
      <c r="D272" s="34" t="s">
        <v>14</v>
      </c>
      <c r="E272" s="34" t="str" cm="1">
        <f t="array" ref="E272">_xlfn.XLOOKUP(Table2[[#This Row],[Sales Rep]],Sheet1!$A$21:$A$25,Sheet1!$B$21:$B$25,Not Found)</f>
        <v>Michael Smith</v>
      </c>
      <c r="F272" s="34" t="s">
        <v>21</v>
      </c>
      <c r="G272" s="34">
        <f>_xlfn.XLOOKUP(Table2[[#This Row],[Region]],Sheet1!$A$12:$A$15,Sheet1!$B$12:$B$15,0)</f>
        <v>0.08</v>
      </c>
      <c r="H272" s="36">
        <f>Table2[[#This Row],[Tax Rate]]*Table2[[#This Row],[Sales Amount]]</f>
        <v>679.95280000000002</v>
      </c>
      <c r="I272" s="36">
        <v>8499.41</v>
      </c>
      <c r="J272" s="34">
        <v>14</v>
      </c>
      <c r="K272" s="34" t="s">
        <v>29</v>
      </c>
      <c r="L272" s="36">
        <v>362.38</v>
      </c>
      <c r="M272" s="36">
        <v>753.81</v>
      </c>
      <c r="N272" s="34" t="s">
        <v>17</v>
      </c>
      <c r="O272" s="37">
        <v>0.19</v>
      </c>
      <c r="P272" s="34" t="s">
        <v>18</v>
      </c>
      <c r="Q272" s="34" t="s">
        <v>22</v>
      </c>
      <c r="R272" s="34" t="str">
        <f>IF(Cleaned_Final!$I272&gt;=5000,"High","Low")</f>
        <v>High</v>
      </c>
    </row>
    <row r="273" spans="1:18" x14ac:dyDescent="0.35">
      <c r="A273" s="38">
        <v>1040</v>
      </c>
      <c r="B273" s="38" t="str">
        <f>_xlfn.XLOOKUP(Table2[[#This Row],[Product ID]],Sheet1!$A$32:$A$200,Sheet1!$B$32:$B$200,"Not Found")</f>
        <v>Cap</v>
      </c>
      <c r="C273" s="39">
        <v>45076</v>
      </c>
      <c r="D273" s="38" t="s">
        <v>42</v>
      </c>
      <c r="E273" s="38" t="str" cm="1">
        <f t="array" ref="E273">_xlfn.XLOOKUP(Table2[[#This Row],[Sales Rep]],Sheet1!$A$21:$A$25,Sheet1!$B$21:$B$25,Not Found)</f>
        <v>Scott Wayne</v>
      </c>
      <c r="F273" s="38" t="s">
        <v>25</v>
      </c>
      <c r="G273" s="38">
        <f>_xlfn.XLOOKUP(Table2[[#This Row],[Region]],Sheet1!$A$12:$A$15,Sheet1!$B$12:$B$15,0)</f>
        <v>0.05</v>
      </c>
      <c r="H273" s="40">
        <f>Table2[[#This Row],[Tax Rate]]*Table2[[#This Row],[Sales Amount]]</f>
        <v>214.20150000000001</v>
      </c>
      <c r="I273" s="40">
        <v>4284.03</v>
      </c>
      <c r="J273" s="38">
        <v>47</v>
      </c>
      <c r="K273" s="38" t="s">
        <v>29</v>
      </c>
      <c r="L273" s="40">
        <v>1656.82</v>
      </c>
      <c r="M273" s="40">
        <v>1750.3799999999901</v>
      </c>
      <c r="N273" s="38" t="s">
        <v>30</v>
      </c>
      <c r="O273" s="41">
        <v>0.21</v>
      </c>
      <c r="P273" s="38" t="s">
        <v>31</v>
      </c>
      <c r="Q273" s="38" t="s">
        <v>19</v>
      </c>
      <c r="R273" s="38" t="str">
        <f>IF(Cleaned_Final!$I273&gt;=5000,"High","Low")</f>
        <v>Low</v>
      </c>
    </row>
    <row r="274" spans="1:18" x14ac:dyDescent="0.35">
      <c r="A274" s="34">
        <v>1039</v>
      </c>
      <c r="B274" s="34" t="str">
        <f>_xlfn.XLOOKUP(Table2[[#This Row],[Product ID]],Sheet1!$A$32:$A$200,Sheet1!$B$32:$B$200,"Not Found")</f>
        <v>Hoodie</v>
      </c>
      <c r="C274" s="35">
        <v>45080</v>
      </c>
      <c r="D274" s="34" t="s">
        <v>14</v>
      </c>
      <c r="E274" s="34" t="str" cm="1">
        <f t="array" ref="E274">_xlfn.XLOOKUP(Table2[[#This Row],[Sales Rep]],Sheet1!$A$21:$A$25,Sheet1!$B$21:$B$25,Not Found)</f>
        <v>Michael Smith</v>
      </c>
      <c r="F274" s="34" t="s">
        <v>25</v>
      </c>
      <c r="G274" s="34">
        <f>_xlfn.XLOOKUP(Table2[[#This Row],[Region]],Sheet1!$A$12:$A$15,Sheet1!$B$12:$B$15,0)</f>
        <v>0.05</v>
      </c>
      <c r="H274" s="36">
        <f>Table2[[#This Row],[Tax Rate]]*Table2[[#This Row],[Sales Amount]]</f>
        <v>154.95100000000002</v>
      </c>
      <c r="I274" s="36">
        <v>3099.02</v>
      </c>
      <c r="J274" s="34">
        <v>8</v>
      </c>
      <c r="K274" s="34" t="s">
        <v>29</v>
      </c>
      <c r="L274" s="36">
        <v>3380.14</v>
      </c>
      <c r="M274" s="36">
        <v>3609.3399999999901</v>
      </c>
      <c r="N274" s="34" t="s">
        <v>17</v>
      </c>
      <c r="O274" s="37">
        <v>0.09</v>
      </c>
      <c r="P274" s="34" t="s">
        <v>31</v>
      </c>
      <c r="Q274" s="34" t="s">
        <v>19</v>
      </c>
      <c r="R274" s="34" t="str">
        <f>IF(Cleaned_Final!$I274&gt;=5000,"High","Low")</f>
        <v>Low</v>
      </c>
    </row>
    <row r="275" spans="1:18" x14ac:dyDescent="0.35">
      <c r="A275" s="38">
        <v>1082</v>
      </c>
      <c r="B275" s="38" t="str">
        <f>_xlfn.XLOOKUP(Table2[[#This Row],[Product ID]],Sheet1!$A$32:$A$200,Sheet1!$B$32:$B$200,"Not Found")</f>
        <v>USB Drive</v>
      </c>
      <c r="C275" s="39">
        <v>45082</v>
      </c>
      <c r="D275" s="38" t="s">
        <v>33</v>
      </c>
      <c r="E275" s="38" t="str" cm="1">
        <f t="array" ref="E275">_xlfn.XLOOKUP(Table2[[#This Row],[Sales Rep]],Sheet1!$A$21:$A$25,Sheet1!$B$21:$B$25,Not Found)</f>
        <v>Susan Jerkins</v>
      </c>
      <c r="F275" s="38" t="s">
        <v>34</v>
      </c>
      <c r="G275" s="38">
        <f>_xlfn.XLOOKUP(Table2[[#This Row],[Region]],Sheet1!$A$12:$A$15,Sheet1!$B$12:$B$15,0)</f>
        <v>0.06</v>
      </c>
      <c r="H275" s="40">
        <f>Table2[[#This Row],[Tax Rate]]*Table2[[#This Row],[Sales Amount]]</f>
        <v>199.2252</v>
      </c>
      <c r="I275" s="40">
        <v>3320.42</v>
      </c>
      <c r="J275" s="38">
        <v>15</v>
      </c>
      <c r="K275" s="38" t="s">
        <v>29</v>
      </c>
      <c r="L275" s="40">
        <v>1719.47</v>
      </c>
      <c r="M275" s="40">
        <v>1832.6</v>
      </c>
      <c r="N275" s="38" t="s">
        <v>17</v>
      </c>
      <c r="O275" s="41">
        <v>0.12</v>
      </c>
      <c r="P275" s="38" t="s">
        <v>31</v>
      </c>
      <c r="Q275" s="38" t="s">
        <v>19</v>
      </c>
      <c r="R275" s="38" t="str">
        <f>IF(Cleaned_Final!$I275&gt;=5000,"High","Low")</f>
        <v>Low</v>
      </c>
    </row>
    <row r="276" spans="1:18" x14ac:dyDescent="0.35">
      <c r="A276" s="34">
        <v>1001</v>
      </c>
      <c r="B276" s="34" t="str">
        <f>_xlfn.XLOOKUP(Table2[[#This Row],[Product ID]],Sheet1!$A$32:$A$200,Sheet1!$B$32:$B$200,"Not Found")</f>
        <v>Camera</v>
      </c>
      <c r="C276" s="35">
        <v>44975</v>
      </c>
      <c r="D276" s="34" t="s">
        <v>24</v>
      </c>
      <c r="E276" s="34" t="str" cm="1">
        <f t="array" ref="E276">_xlfn.XLOOKUP(Table2[[#This Row],[Sales Rep]],Sheet1!$A$21:$A$25,Sheet1!$B$21:$B$25,Not Found)</f>
        <v>Hogan Rock</v>
      </c>
      <c r="F276" s="34" t="s">
        <v>21</v>
      </c>
      <c r="G276" s="34">
        <f>_xlfn.XLOOKUP(Table2[[#This Row],[Region]],Sheet1!$A$12:$A$15,Sheet1!$B$12:$B$15,0)</f>
        <v>0.08</v>
      </c>
      <c r="H276" s="36">
        <f>Table2[[#This Row],[Tax Rate]]*Table2[[#This Row],[Sales Amount]]</f>
        <v>572.39599999999996</v>
      </c>
      <c r="I276" s="36">
        <v>7154.95</v>
      </c>
      <c r="J276" s="34">
        <v>27</v>
      </c>
      <c r="K276" s="34" t="s">
        <v>29</v>
      </c>
      <c r="L276" s="36">
        <v>939.02</v>
      </c>
      <c r="M276" s="36">
        <v>1286.92</v>
      </c>
      <c r="N276" s="34" t="s">
        <v>17</v>
      </c>
      <c r="O276" s="37">
        <v>7.0000000000000007E-2</v>
      </c>
      <c r="P276" s="34" t="s">
        <v>31</v>
      </c>
      <c r="Q276" s="34" t="s">
        <v>22</v>
      </c>
      <c r="R276" s="34" t="str">
        <f>IF(Cleaned_Final!$I276&gt;=5000,"High","Low")</f>
        <v>High</v>
      </c>
    </row>
    <row r="277" spans="1:18" x14ac:dyDescent="0.35">
      <c r="A277" s="38">
        <v>1011</v>
      </c>
      <c r="B277" s="38" t="str">
        <f>_xlfn.XLOOKUP(Table2[[#This Row],[Product ID]],Sheet1!$A$32:$A$200,Sheet1!$B$32:$B$200,"Not Found")</f>
        <v>Coffee Table</v>
      </c>
      <c r="C277" s="39">
        <v>45263</v>
      </c>
      <c r="D277" s="38" t="s">
        <v>14</v>
      </c>
      <c r="E277" s="38" t="str" cm="1">
        <f t="array" ref="E277">_xlfn.XLOOKUP(Table2[[#This Row],[Sales Rep]],Sheet1!$A$21:$A$25,Sheet1!$B$21:$B$25,Not Found)</f>
        <v>Michael Smith</v>
      </c>
      <c r="F277" s="38" t="s">
        <v>34</v>
      </c>
      <c r="G277" s="38">
        <f>_xlfn.XLOOKUP(Table2[[#This Row],[Region]],Sheet1!$A$12:$A$15,Sheet1!$B$12:$B$15,0)</f>
        <v>0.06</v>
      </c>
      <c r="H277" s="40">
        <f>Table2[[#This Row],[Tax Rate]]*Table2[[#This Row],[Sales Amount]]</f>
        <v>491.16719999999998</v>
      </c>
      <c r="I277" s="40">
        <v>8186.12</v>
      </c>
      <c r="J277" s="38">
        <v>13</v>
      </c>
      <c r="K277" s="38" t="s">
        <v>35</v>
      </c>
      <c r="L277" s="40">
        <v>1442.69</v>
      </c>
      <c r="M277" s="40">
        <v>1882.57</v>
      </c>
      <c r="N277" s="38" t="s">
        <v>17</v>
      </c>
      <c r="O277" s="41">
        <v>0.28000000000000003</v>
      </c>
      <c r="P277" s="38" t="s">
        <v>18</v>
      </c>
      <c r="Q277" s="38" t="s">
        <v>19</v>
      </c>
      <c r="R277" s="38" t="str">
        <f>IF(Cleaned_Final!$I277&gt;=5000,"High","Low")</f>
        <v>High</v>
      </c>
    </row>
    <row r="278" spans="1:18" x14ac:dyDescent="0.35">
      <c r="A278" s="34">
        <v>1092</v>
      </c>
      <c r="B278" s="34" t="str">
        <f>_xlfn.XLOOKUP(Table2[[#This Row],[Product ID]],Sheet1!$A$32:$A$200,Sheet1!$B$32:$B$200,"Not Found")</f>
        <v>Recliner</v>
      </c>
      <c r="C278" s="35">
        <v>45010</v>
      </c>
      <c r="D278" s="34" t="s">
        <v>42</v>
      </c>
      <c r="E278" s="34" t="str" cm="1">
        <f t="array" ref="E278">_xlfn.XLOOKUP(Table2[[#This Row],[Sales Rep]],Sheet1!$A$21:$A$25,Sheet1!$B$21:$B$25,Not Found)</f>
        <v>Scott Wayne</v>
      </c>
      <c r="F278" s="34" t="s">
        <v>21</v>
      </c>
      <c r="G278" s="34">
        <f>_xlfn.XLOOKUP(Table2[[#This Row],[Region]],Sheet1!$A$12:$A$15,Sheet1!$B$12:$B$15,0)</f>
        <v>0.08</v>
      </c>
      <c r="H278" s="36">
        <f>Table2[[#This Row],[Tax Rate]]*Table2[[#This Row],[Sales Amount]]</f>
        <v>151.83840000000001</v>
      </c>
      <c r="I278" s="36">
        <v>1897.98</v>
      </c>
      <c r="J278" s="34">
        <v>49</v>
      </c>
      <c r="K278" s="34" t="s">
        <v>16</v>
      </c>
      <c r="L278" s="36">
        <v>2315</v>
      </c>
      <c r="M278" s="36">
        <v>2467.2800000000002</v>
      </c>
      <c r="N278" s="34" t="s">
        <v>30</v>
      </c>
      <c r="O278" s="37">
        <v>0.15</v>
      </c>
      <c r="P278" s="34" t="s">
        <v>27</v>
      </c>
      <c r="Q278" s="34" t="s">
        <v>22</v>
      </c>
      <c r="R278" s="34" t="str">
        <f>IF(Cleaned_Final!$I278&gt;=5000,"High","Low")</f>
        <v>Low</v>
      </c>
    </row>
    <row r="279" spans="1:18" x14ac:dyDescent="0.35">
      <c r="A279" s="38">
        <v>1057</v>
      </c>
      <c r="B279" s="38" t="str">
        <f>_xlfn.XLOOKUP(Table2[[#This Row],[Product ID]],Sheet1!$A$32:$A$200,Sheet1!$B$32:$B$200,"Not Found")</f>
        <v>Avocadro Pear</v>
      </c>
      <c r="C279" s="39">
        <v>45287</v>
      </c>
      <c r="D279" s="38" t="s">
        <v>14</v>
      </c>
      <c r="E279" s="38" t="str" cm="1">
        <f t="array" ref="E279">_xlfn.XLOOKUP(Table2[[#This Row],[Sales Rep]],Sheet1!$A$21:$A$25,Sheet1!$B$21:$B$25,Not Found)</f>
        <v>Michael Smith</v>
      </c>
      <c r="F279" s="38" t="s">
        <v>25</v>
      </c>
      <c r="G279" s="38">
        <f>_xlfn.XLOOKUP(Table2[[#This Row],[Region]],Sheet1!$A$12:$A$15,Sheet1!$B$12:$B$15,0)</f>
        <v>0.05</v>
      </c>
      <c r="H279" s="40">
        <f>Table2[[#This Row],[Tax Rate]]*Table2[[#This Row],[Sales Amount]]</f>
        <v>188.61600000000001</v>
      </c>
      <c r="I279" s="40">
        <v>3772.32</v>
      </c>
      <c r="J279" s="38">
        <v>31</v>
      </c>
      <c r="K279" s="38" t="s">
        <v>16</v>
      </c>
      <c r="L279" s="40">
        <v>2403.16</v>
      </c>
      <c r="M279" s="40">
        <v>2453.35</v>
      </c>
      <c r="N279" s="38" t="s">
        <v>17</v>
      </c>
      <c r="O279" s="41">
        <v>0.19</v>
      </c>
      <c r="P279" s="38" t="s">
        <v>31</v>
      </c>
      <c r="Q279" s="38" t="s">
        <v>19</v>
      </c>
      <c r="R279" s="38" t="str">
        <f>IF(Cleaned_Final!$I279&gt;=5000,"High","Low")</f>
        <v>Low</v>
      </c>
    </row>
    <row r="280" spans="1:18" x14ac:dyDescent="0.35">
      <c r="A280" s="34">
        <v>1089</v>
      </c>
      <c r="B280" s="34" t="str">
        <f>_xlfn.XLOOKUP(Table2[[#This Row],[Product ID]],Sheet1!$A$32:$A$200,Sheet1!$B$32:$B$200,"Not Found")</f>
        <v>Recliner</v>
      </c>
      <c r="C280" s="35">
        <v>45103</v>
      </c>
      <c r="D280" s="34" t="s">
        <v>38</v>
      </c>
      <c r="E280" s="34" t="str" cm="1">
        <f t="array" ref="E280">_xlfn.XLOOKUP(Table2[[#This Row],[Sales Rep]],Sheet1!$A$21:$A$25,Sheet1!$B$21:$B$25,Not Found)</f>
        <v>Tracy Moore</v>
      </c>
      <c r="F280" s="34" t="s">
        <v>15</v>
      </c>
      <c r="G280" s="34">
        <f>_xlfn.XLOOKUP(Table2[[#This Row],[Region]],Sheet1!$A$12:$A$15,Sheet1!$B$12:$B$15,0)</f>
        <v>7.4999999999999997E-2</v>
      </c>
      <c r="H280" s="36">
        <f>Table2[[#This Row],[Tax Rate]]*Table2[[#This Row],[Sales Amount]]</f>
        <v>677.19074999999987</v>
      </c>
      <c r="I280" s="36">
        <v>9029.2099999999991</v>
      </c>
      <c r="J280" s="34">
        <v>35</v>
      </c>
      <c r="K280" s="34" t="s">
        <v>16</v>
      </c>
      <c r="L280" s="36">
        <v>3925.85</v>
      </c>
      <c r="M280" s="36">
        <v>4082.1099999999901</v>
      </c>
      <c r="N280" s="34" t="s">
        <v>30</v>
      </c>
      <c r="O280" s="37">
        <v>0.22</v>
      </c>
      <c r="P280" s="34" t="s">
        <v>18</v>
      </c>
      <c r="Q280" s="34" t="s">
        <v>19</v>
      </c>
      <c r="R280" s="34" t="str">
        <f>IF(Cleaned_Final!$I280&gt;=5000,"High","Low")</f>
        <v>High</v>
      </c>
    </row>
    <row r="281" spans="1:18" x14ac:dyDescent="0.35">
      <c r="A281" s="38">
        <v>1050</v>
      </c>
      <c r="B281" s="38" t="str">
        <f>_xlfn.XLOOKUP(Table2[[#This Row],[Product ID]],Sheet1!$A$32:$A$200,Sheet1!$B$32:$B$200,"Not Found")</f>
        <v>Sneakers</v>
      </c>
      <c r="C281" s="39">
        <v>45074</v>
      </c>
      <c r="D281" s="38" t="s">
        <v>42</v>
      </c>
      <c r="E281" s="38" t="str" cm="1">
        <f t="array" ref="E281">_xlfn.XLOOKUP(Table2[[#This Row],[Sales Rep]],Sheet1!$A$21:$A$25,Sheet1!$B$21:$B$25,Not Found)</f>
        <v>Scott Wayne</v>
      </c>
      <c r="F281" s="38" t="s">
        <v>15</v>
      </c>
      <c r="G281" s="38">
        <f>_xlfn.XLOOKUP(Table2[[#This Row],[Region]],Sheet1!$A$12:$A$15,Sheet1!$B$12:$B$15,0)</f>
        <v>7.4999999999999997E-2</v>
      </c>
      <c r="H281" s="40">
        <f>Table2[[#This Row],[Tax Rate]]*Table2[[#This Row],[Sales Amount]]</f>
        <v>606.47024999999996</v>
      </c>
      <c r="I281" s="40">
        <v>8086.27</v>
      </c>
      <c r="J281" s="38">
        <v>6</v>
      </c>
      <c r="K281" s="38" t="s">
        <v>16</v>
      </c>
      <c r="L281" s="40">
        <v>3763.26</v>
      </c>
      <c r="M281" s="40">
        <v>4102.72</v>
      </c>
      <c r="N281" s="38" t="s">
        <v>30</v>
      </c>
      <c r="O281" s="41">
        <v>0.11</v>
      </c>
      <c r="P281" s="38" t="s">
        <v>31</v>
      </c>
      <c r="Q281" s="38" t="s">
        <v>22</v>
      </c>
      <c r="R281" s="38" t="str">
        <f>IF(Cleaned_Final!$I281&gt;=5000,"High","Low")</f>
        <v>High</v>
      </c>
    </row>
    <row r="282" spans="1:18" x14ac:dyDescent="0.35">
      <c r="A282" s="34">
        <v>1023</v>
      </c>
      <c r="B282" s="34" t="str">
        <f>_xlfn.XLOOKUP(Table2[[#This Row],[Product ID]],Sheet1!$A$32:$A$200,Sheet1!$B$32:$B$200,"Not Found")</f>
        <v>Tights</v>
      </c>
      <c r="C282" s="35">
        <v>45044</v>
      </c>
      <c r="D282" s="34" t="s">
        <v>33</v>
      </c>
      <c r="E282" s="34" t="str" cm="1">
        <f t="array" ref="E282">_xlfn.XLOOKUP(Table2[[#This Row],[Sales Rep]],Sheet1!$A$21:$A$25,Sheet1!$B$21:$B$25,Not Found)</f>
        <v>Susan Jerkins</v>
      </c>
      <c r="F282" s="34" t="s">
        <v>15</v>
      </c>
      <c r="G282" s="34">
        <f>_xlfn.XLOOKUP(Table2[[#This Row],[Region]],Sheet1!$A$12:$A$15,Sheet1!$B$12:$B$15,0)</f>
        <v>7.4999999999999997E-2</v>
      </c>
      <c r="H282" s="36">
        <f>Table2[[#This Row],[Tax Rate]]*Table2[[#This Row],[Sales Amount]]</f>
        <v>738.75750000000005</v>
      </c>
      <c r="I282" s="36">
        <v>9850.1</v>
      </c>
      <c r="J282" s="34">
        <v>5</v>
      </c>
      <c r="K282" s="34" t="s">
        <v>35</v>
      </c>
      <c r="L282" s="36">
        <v>2311.25</v>
      </c>
      <c r="M282" s="36">
        <v>2482.34</v>
      </c>
      <c r="N282" s="34" t="s">
        <v>17</v>
      </c>
      <c r="O282" s="37">
        <v>0.22</v>
      </c>
      <c r="P282" s="34" t="s">
        <v>31</v>
      </c>
      <c r="Q282" s="34" t="s">
        <v>22</v>
      </c>
      <c r="R282" s="34" t="str">
        <f>IF(Cleaned_Final!$I282&gt;=5000,"High","Low")</f>
        <v>High</v>
      </c>
    </row>
    <row r="283" spans="1:18" x14ac:dyDescent="0.35">
      <c r="A283" s="38">
        <v>1031</v>
      </c>
      <c r="B283" s="38" t="str">
        <f>_xlfn.XLOOKUP(Table2[[#This Row],[Product ID]],Sheet1!$A$32:$A$200,Sheet1!$B$32:$B$200,"Not Found")</f>
        <v>Butter</v>
      </c>
      <c r="C283" s="39">
        <v>45268</v>
      </c>
      <c r="D283" s="38" t="s">
        <v>24</v>
      </c>
      <c r="E283" s="38" t="str" cm="1">
        <f t="array" ref="E283">_xlfn.XLOOKUP(Table2[[#This Row],[Sales Rep]],Sheet1!$A$21:$A$25,Sheet1!$B$21:$B$25,Not Found)</f>
        <v>Hogan Rock</v>
      </c>
      <c r="F283" s="38" t="s">
        <v>15</v>
      </c>
      <c r="G283" s="38">
        <f>_xlfn.XLOOKUP(Table2[[#This Row],[Region]],Sheet1!$A$12:$A$15,Sheet1!$B$12:$B$15,0)</f>
        <v>7.4999999999999997E-2</v>
      </c>
      <c r="H283" s="40">
        <f>Table2[[#This Row],[Tax Rate]]*Table2[[#This Row],[Sales Amount]]</f>
        <v>567.52949999999998</v>
      </c>
      <c r="I283" s="40">
        <v>7567.06</v>
      </c>
      <c r="J283" s="38">
        <v>22</v>
      </c>
      <c r="K283" s="38" t="s">
        <v>26</v>
      </c>
      <c r="L283" s="40">
        <v>4236.05</v>
      </c>
      <c r="M283" s="40">
        <v>4382.32</v>
      </c>
      <c r="N283" s="38" t="s">
        <v>30</v>
      </c>
      <c r="O283" s="41">
        <v>0.2</v>
      </c>
      <c r="P283" s="38" t="s">
        <v>27</v>
      </c>
      <c r="Q283" s="38" t="s">
        <v>19</v>
      </c>
      <c r="R283" s="38" t="str">
        <f>IF(Cleaned_Final!$I283&gt;=5000,"High","Low")</f>
        <v>High</v>
      </c>
    </row>
    <row r="284" spans="1:18" x14ac:dyDescent="0.35">
      <c r="A284" s="34">
        <v>1094</v>
      </c>
      <c r="B284" s="34" t="str">
        <f>_xlfn.XLOOKUP(Table2[[#This Row],[Product ID]],Sheet1!$A$32:$A$200,Sheet1!$B$32:$B$200,"Not Found")</f>
        <v>Microwave</v>
      </c>
      <c r="C284" s="35">
        <v>44989</v>
      </c>
      <c r="D284" s="34" t="s">
        <v>14</v>
      </c>
      <c r="E284" s="34" t="str" cm="1">
        <f t="array" ref="E284">_xlfn.XLOOKUP(Table2[[#This Row],[Sales Rep]],Sheet1!$A$21:$A$25,Sheet1!$B$21:$B$25,Not Found)</f>
        <v>Michael Smith</v>
      </c>
      <c r="F284" s="34" t="s">
        <v>15</v>
      </c>
      <c r="G284" s="34">
        <f>_xlfn.XLOOKUP(Table2[[#This Row],[Region]],Sheet1!$A$12:$A$15,Sheet1!$B$12:$B$15,0)</f>
        <v>7.4999999999999997E-2</v>
      </c>
      <c r="H284" s="36">
        <f>Table2[[#This Row],[Tax Rate]]*Table2[[#This Row],[Sales Amount]]</f>
        <v>299.44725</v>
      </c>
      <c r="I284" s="36">
        <v>3992.63</v>
      </c>
      <c r="J284" s="34">
        <v>49</v>
      </c>
      <c r="K284" s="34" t="s">
        <v>26</v>
      </c>
      <c r="L284" s="36">
        <v>615.47</v>
      </c>
      <c r="M284" s="36">
        <v>715.84</v>
      </c>
      <c r="N284" s="34" t="s">
        <v>17</v>
      </c>
      <c r="O284" s="37">
        <v>0.21</v>
      </c>
      <c r="P284" s="34" t="s">
        <v>31</v>
      </c>
      <c r="Q284" s="34" t="s">
        <v>22</v>
      </c>
      <c r="R284" s="34" t="str">
        <f>IF(Cleaned_Final!$I284&gt;=5000,"High","Low")</f>
        <v>Low</v>
      </c>
    </row>
    <row r="285" spans="1:18" x14ac:dyDescent="0.35">
      <c r="A285" s="38">
        <v>1042</v>
      </c>
      <c r="B285" s="38" t="str">
        <f>_xlfn.XLOOKUP(Table2[[#This Row],[Product ID]],Sheet1!$A$32:$A$200,Sheet1!$B$32:$B$200,"Not Found")</f>
        <v>Frozen Pizza</v>
      </c>
      <c r="C285" s="39">
        <v>45115</v>
      </c>
      <c r="D285" s="38" t="s">
        <v>42</v>
      </c>
      <c r="E285" s="38" t="str" cm="1">
        <f t="array" ref="E285">_xlfn.XLOOKUP(Table2[[#This Row],[Sales Rep]],Sheet1!$A$21:$A$25,Sheet1!$B$21:$B$25,Not Found)</f>
        <v>Scott Wayne</v>
      </c>
      <c r="F285" s="38" t="s">
        <v>34</v>
      </c>
      <c r="G285" s="38">
        <f>_xlfn.XLOOKUP(Table2[[#This Row],[Region]],Sheet1!$A$12:$A$15,Sheet1!$B$12:$B$15,0)</f>
        <v>0.06</v>
      </c>
      <c r="H285" s="40">
        <f>Table2[[#This Row],[Tax Rate]]*Table2[[#This Row],[Sales Amount]]</f>
        <v>356.83859999999999</v>
      </c>
      <c r="I285" s="40">
        <v>5947.31</v>
      </c>
      <c r="J285" s="38">
        <v>23</v>
      </c>
      <c r="K285" s="38" t="s">
        <v>35</v>
      </c>
      <c r="L285" s="40">
        <v>1314</v>
      </c>
      <c r="M285" s="40">
        <v>1567.78</v>
      </c>
      <c r="N285" s="38" t="s">
        <v>17</v>
      </c>
      <c r="O285" s="41">
        <v>0.15</v>
      </c>
      <c r="P285" s="38" t="s">
        <v>31</v>
      </c>
      <c r="Q285" s="38" t="s">
        <v>22</v>
      </c>
      <c r="R285" s="38" t="str">
        <f>IF(Cleaned_Final!$I285&gt;=5000,"High","Low")</f>
        <v>High</v>
      </c>
    </row>
    <row r="286" spans="1:18" x14ac:dyDescent="0.35">
      <c r="A286" s="34">
        <v>1099</v>
      </c>
      <c r="B286" s="34" t="str">
        <f>_xlfn.XLOOKUP(Table2[[#This Row],[Product ID]],Sheet1!$A$32:$A$200,Sheet1!$B$32:$B$200,"Not Found")</f>
        <v>Chest</v>
      </c>
      <c r="C286" s="35">
        <v>45286</v>
      </c>
      <c r="D286" s="34" t="s">
        <v>38</v>
      </c>
      <c r="E286" s="34" t="str" cm="1">
        <f t="array" ref="E286">_xlfn.XLOOKUP(Table2[[#This Row],[Sales Rep]],Sheet1!$A$21:$A$25,Sheet1!$B$21:$B$25,Not Found)</f>
        <v>Tracy Moore</v>
      </c>
      <c r="F286" s="34" t="s">
        <v>21</v>
      </c>
      <c r="G286" s="34">
        <f>_xlfn.XLOOKUP(Table2[[#This Row],[Region]],Sheet1!$A$12:$A$15,Sheet1!$B$12:$B$15,0)</f>
        <v>0.08</v>
      </c>
      <c r="H286" s="36">
        <f>Table2[[#This Row],[Tax Rate]]*Table2[[#This Row],[Sales Amount]]</f>
        <v>531.52319999999997</v>
      </c>
      <c r="I286" s="36">
        <v>6644.04</v>
      </c>
      <c r="J286" s="34">
        <v>25</v>
      </c>
      <c r="K286" s="34" t="s">
        <v>35</v>
      </c>
      <c r="L286" s="36">
        <v>4148.4799999999996</v>
      </c>
      <c r="M286" s="36">
        <v>4293.6899999999996</v>
      </c>
      <c r="N286" s="34" t="s">
        <v>30</v>
      </c>
      <c r="O286" s="37">
        <v>0.11</v>
      </c>
      <c r="P286" s="34" t="s">
        <v>27</v>
      </c>
      <c r="Q286" s="34" t="s">
        <v>19</v>
      </c>
      <c r="R286" s="34" t="str">
        <f>IF(Cleaned_Final!$I286&gt;=5000,"High","Low")</f>
        <v>High</v>
      </c>
    </row>
    <row r="287" spans="1:18" x14ac:dyDescent="0.35">
      <c r="A287" s="38">
        <v>1007</v>
      </c>
      <c r="B287" s="38" t="str">
        <f>_xlfn.XLOOKUP(Table2[[#This Row],[Product ID]],Sheet1!$A$32:$A$200,Sheet1!$B$32:$B$200,"Not Found")</f>
        <v>Fruit Jam</v>
      </c>
      <c r="C287" s="39">
        <v>44975</v>
      </c>
      <c r="D287" s="38" t="s">
        <v>42</v>
      </c>
      <c r="E287" s="38" t="str" cm="1">
        <f t="array" ref="E287">_xlfn.XLOOKUP(Table2[[#This Row],[Sales Rep]],Sheet1!$A$21:$A$25,Sheet1!$B$21:$B$25,Not Found)</f>
        <v>Scott Wayne</v>
      </c>
      <c r="F287" s="38" t="s">
        <v>25</v>
      </c>
      <c r="G287" s="38">
        <f>_xlfn.XLOOKUP(Table2[[#This Row],[Region]],Sheet1!$A$12:$A$15,Sheet1!$B$12:$B$15,0)</f>
        <v>0.05</v>
      </c>
      <c r="H287" s="40">
        <f>Table2[[#This Row],[Tax Rate]]*Table2[[#This Row],[Sales Amount]]</f>
        <v>43.835500000000003</v>
      </c>
      <c r="I287" s="40">
        <v>876.71</v>
      </c>
      <c r="J287" s="38">
        <v>34</v>
      </c>
      <c r="K287" s="38" t="s">
        <v>29</v>
      </c>
      <c r="L287" s="40">
        <v>1921.07</v>
      </c>
      <c r="M287" s="40">
        <v>2289.27</v>
      </c>
      <c r="N287" s="38" t="s">
        <v>17</v>
      </c>
      <c r="O287" s="41">
        <v>7.0000000000000007E-2</v>
      </c>
      <c r="P287" s="38" t="s">
        <v>27</v>
      </c>
      <c r="Q287" s="38" t="s">
        <v>22</v>
      </c>
      <c r="R287" s="38" t="str">
        <f>IF(Cleaned_Final!$I287&gt;=5000,"High","Low")</f>
        <v>Low</v>
      </c>
    </row>
    <row r="288" spans="1:18" x14ac:dyDescent="0.35">
      <c r="A288" s="34">
        <v>1016</v>
      </c>
      <c r="B288" s="34" t="str">
        <f>_xlfn.XLOOKUP(Table2[[#This Row],[Product ID]],Sheet1!$A$32:$A$200,Sheet1!$B$32:$B$200,"Not Found")</f>
        <v>Washing Machine</v>
      </c>
      <c r="C288" s="35">
        <v>45253</v>
      </c>
      <c r="D288" s="34" t="s">
        <v>38</v>
      </c>
      <c r="E288" s="34" t="str" cm="1">
        <f t="array" ref="E288">_xlfn.XLOOKUP(Table2[[#This Row],[Sales Rep]],Sheet1!$A$21:$A$25,Sheet1!$B$21:$B$25,Not Found)</f>
        <v>Tracy Moore</v>
      </c>
      <c r="F288" s="34" t="s">
        <v>34</v>
      </c>
      <c r="G288" s="34">
        <f>_xlfn.XLOOKUP(Table2[[#This Row],[Region]],Sheet1!$A$12:$A$15,Sheet1!$B$12:$B$15,0)</f>
        <v>0.06</v>
      </c>
      <c r="H288" s="36">
        <f>Table2[[#This Row],[Tax Rate]]*Table2[[#This Row],[Sales Amount]]</f>
        <v>329.43119999999999</v>
      </c>
      <c r="I288" s="36">
        <v>5490.52</v>
      </c>
      <c r="J288" s="34">
        <v>26</v>
      </c>
      <c r="K288" s="34" t="s">
        <v>29</v>
      </c>
      <c r="L288" s="36">
        <v>4906.8500000000004</v>
      </c>
      <c r="M288" s="36">
        <v>4954.3900000000003</v>
      </c>
      <c r="N288" s="34" t="s">
        <v>30</v>
      </c>
      <c r="O288" s="37">
        <v>0.25</v>
      </c>
      <c r="P288" s="34" t="s">
        <v>27</v>
      </c>
      <c r="Q288" s="34" t="s">
        <v>19</v>
      </c>
      <c r="R288" s="34" t="str">
        <f>IF(Cleaned_Final!$I288&gt;=5000,"High","Low")</f>
        <v>High</v>
      </c>
    </row>
    <row r="289" spans="1:18" x14ac:dyDescent="0.35">
      <c r="A289" s="38">
        <v>1090</v>
      </c>
      <c r="B289" s="38" t="str">
        <f>_xlfn.XLOOKUP(Table2[[#This Row],[Product ID]],Sheet1!$A$32:$A$200,Sheet1!$B$32:$B$200,"Not Found")</f>
        <v>Keyboard</v>
      </c>
      <c r="C289" s="39">
        <v>45183</v>
      </c>
      <c r="D289" s="38" t="s">
        <v>33</v>
      </c>
      <c r="E289" s="38" t="str" cm="1">
        <f t="array" ref="E289">_xlfn.XLOOKUP(Table2[[#This Row],[Sales Rep]],Sheet1!$A$21:$A$25,Sheet1!$B$21:$B$25,Not Found)</f>
        <v>Susan Jerkins</v>
      </c>
      <c r="F289" s="38" t="s">
        <v>21</v>
      </c>
      <c r="G289" s="38">
        <f>_xlfn.XLOOKUP(Table2[[#This Row],[Region]],Sheet1!$A$12:$A$15,Sheet1!$B$12:$B$15,0)</f>
        <v>0.08</v>
      </c>
      <c r="H289" s="40">
        <f>Table2[[#This Row],[Tax Rate]]*Table2[[#This Row],[Sales Amount]]</f>
        <v>569.78239999999994</v>
      </c>
      <c r="I289" s="40">
        <v>7122.28</v>
      </c>
      <c r="J289" s="38">
        <v>47</v>
      </c>
      <c r="K289" s="38" t="s">
        <v>29</v>
      </c>
      <c r="L289" s="40">
        <v>2357.9499999999998</v>
      </c>
      <c r="M289" s="40">
        <v>2693.33</v>
      </c>
      <c r="N289" s="38" t="s">
        <v>30</v>
      </c>
      <c r="O289" s="41">
        <v>0.18</v>
      </c>
      <c r="P289" s="38" t="s">
        <v>27</v>
      </c>
      <c r="Q289" s="38" t="s">
        <v>19</v>
      </c>
      <c r="R289" s="38" t="str">
        <f>IF(Cleaned_Final!$I289&gt;=5000,"High","Low")</f>
        <v>High</v>
      </c>
    </row>
    <row r="290" spans="1:18" x14ac:dyDescent="0.35">
      <c r="A290" s="34">
        <v>1060</v>
      </c>
      <c r="B290" s="34" t="str">
        <f>_xlfn.XLOOKUP(Table2[[#This Row],[Product ID]],Sheet1!$A$32:$A$200,Sheet1!$B$32:$B$200,"Not Found")</f>
        <v>Head Warmer</v>
      </c>
      <c r="C290" s="35">
        <v>45150</v>
      </c>
      <c r="D290" s="34" t="s">
        <v>24</v>
      </c>
      <c r="E290" s="34" t="str" cm="1">
        <f t="array" ref="E290">_xlfn.XLOOKUP(Table2[[#This Row],[Sales Rep]],Sheet1!$A$21:$A$25,Sheet1!$B$21:$B$25,Not Found)</f>
        <v>Hogan Rock</v>
      </c>
      <c r="F290" s="34" t="s">
        <v>15</v>
      </c>
      <c r="G290" s="34">
        <f>_xlfn.XLOOKUP(Table2[[#This Row],[Region]],Sheet1!$A$12:$A$15,Sheet1!$B$12:$B$15,0)</f>
        <v>7.4999999999999997E-2</v>
      </c>
      <c r="H290" s="36">
        <f>Table2[[#This Row],[Tax Rate]]*Table2[[#This Row],[Sales Amount]]</f>
        <v>131.73599999999999</v>
      </c>
      <c r="I290" s="36">
        <v>1756.48</v>
      </c>
      <c r="J290" s="34">
        <v>5</v>
      </c>
      <c r="K290" s="34" t="s">
        <v>16</v>
      </c>
      <c r="L290" s="36">
        <v>3970.08</v>
      </c>
      <c r="M290" s="36">
        <v>4096.4799999999996</v>
      </c>
      <c r="N290" s="34" t="s">
        <v>17</v>
      </c>
      <c r="O290" s="37">
        <v>0.13</v>
      </c>
      <c r="P290" s="34" t="s">
        <v>18</v>
      </c>
      <c r="Q290" s="34" t="s">
        <v>22</v>
      </c>
      <c r="R290" s="34" t="str">
        <f>IF(Cleaned_Final!$I290&gt;=5000,"High","Low")</f>
        <v>Low</v>
      </c>
    </row>
    <row r="291" spans="1:18" x14ac:dyDescent="0.35">
      <c r="A291" s="38">
        <v>1002</v>
      </c>
      <c r="B291" s="38" t="str">
        <f>_xlfn.XLOOKUP(Table2[[#This Row],[Product ID]],Sheet1!$A$32:$A$200,Sheet1!$B$32:$B$200,"Not Found")</f>
        <v>Bench</v>
      </c>
      <c r="C291" s="39">
        <v>45067</v>
      </c>
      <c r="D291" s="38" t="s">
        <v>33</v>
      </c>
      <c r="E291" s="38" t="str" cm="1">
        <f t="array" ref="E291">_xlfn.XLOOKUP(Table2[[#This Row],[Sales Rep]],Sheet1!$A$21:$A$25,Sheet1!$B$21:$B$25,Not Found)</f>
        <v>Susan Jerkins</v>
      </c>
      <c r="F291" s="38" t="s">
        <v>21</v>
      </c>
      <c r="G291" s="38">
        <f>_xlfn.XLOOKUP(Table2[[#This Row],[Region]],Sheet1!$A$12:$A$15,Sheet1!$B$12:$B$15,0)</f>
        <v>0.08</v>
      </c>
      <c r="H291" s="40">
        <f>Table2[[#This Row],[Tax Rate]]*Table2[[#This Row],[Sales Amount]]</f>
        <v>626.26</v>
      </c>
      <c r="I291" s="40">
        <v>7828.25</v>
      </c>
      <c r="J291" s="38">
        <v>26</v>
      </c>
      <c r="K291" s="38" t="s">
        <v>29</v>
      </c>
      <c r="L291" s="40">
        <v>2041.42</v>
      </c>
      <c r="M291" s="40">
        <v>2291.17</v>
      </c>
      <c r="N291" s="38" t="s">
        <v>17</v>
      </c>
      <c r="O291" s="41">
        <v>0.28000000000000003</v>
      </c>
      <c r="P291" s="38" t="s">
        <v>18</v>
      </c>
      <c r="Q291" s="38" t="s">
        <v>19</v>
      </c>
      <c r="R291" s="38" t="str">
        <f>IF(Cleaned_Final!$I291&gt;=5000,"High","Low")</f>
        <v>High</v>
      </c>
    </row>
    <row r="292" spans="1:18" x14ac:dyDescent="0.35">
      <c r="A292" s="34">
        <v>1001</v>
      </c>
      <c r="B292" s="34" t="str">
        <f>_xlfn.XLOOKUP(Table2[[#This Row],[Product ID]],Sheet1!$A$32:$A$200,Sheet1!$B$32:$B$200,"Not Found")</f>
        <v>Camera</v>
      </c>
      <c r="C292" s="35">
        <v>45141</v>
      </c>
      <c r="D292" s="34" t="s">
        <v>14</v>
      </c>
      <c r="E292" s="34" t="str" cm="1">
        <f t="array" ref="E292">_xlfn.XLOOKUP(Table2[[#This Row],[Sales Rep]],Sheet1!$A$21:$A$25,Sheet1!$B$21:$B$25,Not Found)</f>
        <v>Michael Smith</v>
      </c>
      <c r="F292" s="34" t="s">
        <v>21</v>
      </c>
      <c r="G292" s="34">
        <f>_xlfn.XLOOKUP(Table2[[#This Row],[Region]],Sheet1!$A$12:$A$15,Sheet1!$B$12:$B$15,0)</f>
        <v>0.08</v>
      </c>
      <c r="H292" s="36">
        <f>Table2[[#This Row],[Tax Rate]]*Table2[[#This Row],[Sales Amount]]</f>
        <v>470.34800000000001</v>
      </c>
      <c r="I292" s="36">
        <v>5879.35</v>
      </c>
      <c r="J292" s="34">
        <v>20</v>
      </c>
      <c r="K292" s="34" t="s">
        <v>26</v>
      </c>
      <c r="L292" s="36">
        <v>2153.52</v>
      </c>
      <c r="M292" s="36">
        <v>2303.6999999999998</v>
      </c>
      <c r="N292" s="34" t="s">
        <v>17</v>
      </c>
      <c r="O292" s="37">
        <v>0.01</v>
      </c>
      <c r="P292" s="34" t="s">
        <v>18</v>
      </c>
      <c r="Q292" s="34" t="s">
        <v>22</v>
      </c>
      <c r="R292" s="34" t="str">
        <f>IF(Cleaned_Final!$I292&gt;=5000,"High","Low")</f>
        <v>High</v>
      </c>
    </row>
    <row r="293" spans="1:18" x14ac:dyDescent="0.35">
      <c r="A293" s="38">
        <v>1048</v>
      </c>
      <c r="B293" s="38" t="str">
        <f>_xlfn.XLOOKUP(Table2[[#This Row],[Product ID]],Sheet1!$A$32:$A$200,Sheet1!$B$32:$B$200,"Not Found")</f>
        <v>Chaise Lounge</v>
      </c>
      <c r="C293" s="39">
        <v>45137</v>
      </c>
      <c r="D293" s="38" t="s">
        <v>42</v>
      </c>
      <c r="E293" s="38" t="str" cm="1">
        <f t="array" ref="E293">_xlfn.XLOOKUP(Table2[[#This Row],[Sales Rep]],Sheet1!$A$21:$A$25,Sheet1!$B$21:$B$25,Not Found)</f>
        <v>Scott Wayne</v>
      </c>
      <c r="F293" s="38" t="s">
        <v>15</v>
      </c>
      <c r="G293" s="38">
        <f>_xlfn.XLOOKUP(Table2[[#This Row],[Region]],Sheet1!$A$12:$A$15,Sheet1!$B$12:$B$15,0)</f>
        <v>7.4999999999999997E-2</v>
      </c>
      <c r="H293" s="40">
        <f>Table2[[#This Row],[Tax Rate]]*Table2[[#This Row],[Sales Amount]]</f>
        <v>714.52499999999998</v>
      </c>
      <c r="I293" s="40">
        <v>9527</v>
      </c>
      <c r="J293" s="38">
        <v>6</v>
      </c>
      <c r="K293" s="38" t="s">
        <v>16</v>
      </c>
      <c r="L293" s="40">
        <v>1945.27</v>
      </c>
      <c r="M293" s="40">
        <v>2309.4299999999998</v>
      </c>
      <c r="N293" s="38" t="s">
        <v>30</v>
      </c>
      <c r="O293" s="41">
        <v>0.26</v>
      </c>
      <c r="P293" s="38" t="s">
        <v>31</v>
      </c>
      <c r="Q293" s="38" t="s">
        <v>19</v>
      </c>
      <c r="R293" s="38" t="str">
        <f>IF(Cleaned_Final!$I293&gt;=5000,"High","Low")</f>
        <v>High</v>
      </c>
    </row>
    <row r="294" spans="1:18" x14ac:dyDescent="0.35">
      <c r="A294" s="34">
        <v>1012</v>
      </c>
      <c r="B294" s="34" t="str">
        <f>_xlfn.XLOOKUP(Table2[[#This Row],[Product ID]],Sheet1!$A$32:$A$200,Sheet1!$B$32:$B$200,"Not Found")</f>
        <v>Cabinet</v>
      </c>
      <c r="C294" s="35">
        <v>45244</v>
      </c>
      <c r="D294" s="34" t="s">
        <v>38</v>
      </c>
      <c r="E294" s="34" t="str" cm="1">
        <f t="array" ref="E294">_xlfn.XLOOKUP(Table2[[#This Row],[Sales Rep]],Sheet1!$A$21:$A$25,Sheet1!$B$21:$B$25,Not Found)</f>
        <v>Tracy Moore</v>
      </c>
      <c r="F294" s="34" t="s">
        <v>15</v>
      </c>
      <c r="G294" s="34">
        <f>_xlfn.XLOOKUP(Table2[[#This Row],[Region]],Sheet1!$A$12:$A$15,Sheet1!$B$12:$B$15,0)</f>
        <v>7.4999999999999997E-2</v>
      </c>
      <c r="H294" s="36">
        <f>Table2[[#This Row],[Tax Rate]]*Table2[[#This Row],[Sales Amount]]</f>
        <v>38.9985</v>
      </c>
      <c r="I294" s="36">
        <v>519.98</v>
      </c>
      <c r="J294" s="34">
        <v>6</v>
      </c>
      <c r="K294" s="34" t="s">
        <v>29</v>
      </c>
      <c r="L294" s="36">
        <v>3609.42</v>
      </c>
      <c r="M294" s="36">
        <v>4082.62</v>
      </c>
      <c r="N294" s="34" t="s">
        <v>17</v>
      </c>
      <c r="O294" s="37">
        <v>0.3</v>
      </c>
      <c r="P294" s="34" t="s">
        <v>27</v>
      </c>
      <c r="Q294" s="34" t="s">
        <v>22</v>
      </c>
      <c r="R294" s="34" t="str">
        <f>IF(Cleaned_Final!$I294&gt;=5000,"High","Low")</f>
        <v>Low</v>
      </c>
    </row>
    <row r="295" spans="1:18" x14ac:dyDescent="0.35">
      <c r="A295" s="38">
        <v>1069</v>
      </c>
      <c r="B295" s="38" t="str">
        <f>_xlfn.XLOOKUP(Table2[[#This Row],[Product ID]],Sheet1!$A$32:$A$200,Sheet1!$B$32:$B$200,"Not Found")</f>
        <v>Suit</v>
      </c>
      <c r="C295" s="39">
        <v>44958</v>
      </c>
      <c r="D295" s="38" t="s">
        <v>38</v>
      </c>
      <c r="E295" s="38" t="str" cm="1">
        <f t="array" ref="E295">_xlfn.XLOOKUP(Table2[[#This Row],[Sales Rep]],Sheet1!$A$21:$A$25,Sheet1!$B$21:$B$25,Not Found)</f>
        <v>Tracy Moore</v>
      </c>
      <c r="F295" s="38" t="s">
        <v>15</v>
      </c>
      <c r="G295" s="38">
        <f>_xlfn.XLOOKUP(Table2[[#This Row],[Region]],Sheet1!$A$12:$A$15,Sheet1!$B$12:$B$15,0)</f>
        <v>7.4999999999999997E-2</v>
      </c>
      <c r="H295" s="40">
        <f>Table2[[#This Row],[Tax Rate]]*Table2[[#This Row],[Sales Amount]]</f>
        <v>204.50475</v>
      </c>
      <c r="I295" s="40">
        <v>2726.73</v>
      </c>
      <c r="J295" s="38">
        <v>18</v>
      </c>
      <c r="K295" s="38" t="s">
        <v>16</v>
      </c>
      <c r="L295" s="40">
        <v>2760.21</v>
      </c>
      <c r="M295" s="40">
        <v>3219.58</v>
      </c>
      <c r="N295" s="38" t="s">
        <v>30</v>
      </c>
      <c r="O295" s="41">
        <v>0.27</v>
      </c>
      <c r="P295" s="38" t="s">
        <v>27</v>
      </c>
      <c r="Q295" s="38" t="s">
        <v>22</v>
      </c>
      <c r="R295" s="38" t="str">
        <f>IF(Cleaned_Final!$I295&gt;=5000,"High","Low")</f>
        <v>Low</v>
      </c>
    </row>
    <row r="296" spans="1:18" x14ac:dyDescent="0.35">
      <c r="A296" s="34">
        <v>1037</v>
      </c>
      <c r="B296" s="34" t="str">
        <f>_xlfn.XLOOKUP(Table2[[#This Row],[Product ID]],Sheet1!$A$32:$A$200,Sheet1!$B$32:$B$200,"Not Found")</f>
        <v>Turtleneck Top</v>
      </c>
      <c r="C296" s="35">
        <v>45084</v>
      </c>
      <c r="D296" s="34" t="s">
        <v>42</v>
      </c>
      <c r="E296" s="34" t="str" cm="1">
        <f t="array" ref="E296">_xlfn.XLOOKUP(Table2[[#This Row],[Sales Rep]],Sheet1!$A$21:$A$25,Sheet1!$B$21:$B$25,Not Found)</f>
        <v>Scott Wayne</v>
      </c>
      <c r="F296" s="34" t="s">
        <v>25</v>
      </c>
      <c r="G296" s="34">
        <f>_xlfn.XLOOKUP(Table2[[#This Row],[Region]],Sheet1!$A$12:$A$15,Sheet1!$B$12:$B$15,0)</f>
        <v>0.05</v>
      </c>
      <c r="H296" s="36">
        <f>Table2[[#This Row],[Tax Rate]]*Table2[[#This Row],[Sales Amount]]</f>
        <v>302.76900000000001</v>
      </c>
      <c r="I296" s="36">
        <v>6055.38</v>
      </c>
      <c r="J296" s="34">
        <v>4</v>
      </c>
      <c r="K296" s="34" t="s">
        <v>26</v>
      </c>
      <c r="L296" s="36">
        <v>4721.7</v>
      </c>
      <c r="M296" s="36">
        <v>5017.58</v>
      </c>
      <c r="N296" s="34" t="s">
        <v>30</v>
      </c>
      <c r="O296" s="37">
        <v>0.24</v>
      </c>
      <c r="P296" s="34" t="s">
        <v>18</v>
      </c>
      <c r="Q296" s="34" t="s">
        <v>22</v>
      </c>
      <c r="R296" s="34" t="str">
        <f>IF(Cleaned_Final!$I296&gt;=5000,"High","Low")</f>
        <v>High</v>
      </c>
    </row>
    <row r="297" spans="1:18" x14ac:dyDescent="0.35">
      <c r="A297" s="38">
        <v>1032</v>
      </c>
      <c r="B297" s="38" t="str">
        <f>_xlfn.XLOOKUP(Table2[[#This Row],[Product ID]],Sheet1!$A$32:$A$200,Sheet1!$B$32:$B$200,"Not Found")</f>
        <v>Refridgerator</v>
      </c>
      <c r="C297" s="39">
        <v>45211</v>
      </c>
      <c r="D297" s="38" t="s">
        <v>42</v>
      </c>
      <c r="E297" s="38" t="str" cm="1">
        <f t="array" ref="E297">_xlfn.XLOOKUP(Table2[[#This Row],[Sales Rep]],Sheet1!$A$21:$A$25,Sheet1!$B$21:$B$25,Not Found)</f>
        <v>Scott Wayne</v>
      </c>
      <c r="F297" s="38" t="s">
        <v>15</v>
      </c>
      <c r="G297" s="38">
        <f>_xlfn.XLOOKUP(Table2[[#This Row],[Region]],Sheet1!$A$12:$A$15,Sheet1!$B$12:$B$15,0)</f>
        <v>7.4999999999999997E-2</v>
      </c>
      <c r="H297" s="40">
        <f>Table2[[#This Row],[Tax Rate]]*Table2[[#This Row],[Sales Amount]]</f>
        <v>227.69550000000001</v>
      </c>
      <c r="I297" s="40">
        <v>3035.94</v>
      </c>
      <c r="J297" s="38">
        <v>17</v>
      </c>
      <c r="K297" s="38" t="s">
        <v>29</v>
      </c>
      <c r="L297" s="40">
        <v>1291.9100000000001</v>
      </c>
      <c r="M297" s="40">
        <v>1528.59</v>
      </c>
      <c r="N297" s="38" t="s">
        <v>17</v>
      </c>
      <c r="O297" s="41">
        <v>0.11</v>
      </c>
      <c r="P297" s="38" t="s">
        <v>31</v>
      </c>
      <c r="Q297" s="38" t="s">
        <v>22</v>
      </c>
      <c r="R297" s="38" t="str">
        <f>IF(Cleaned_Final!$I297&gt;=5000,"High","Low")</f>
        <v>Low</v>
      </c>
    </row>
    <row r="298" spans="1:18" x14ac:dyDescent="0.35">
      <c r="A298" s="34">
        <v>1009</v>
      </c>
      <c r="B298" s="34" t="str">
        <f>_xlfn.XLOOKUP(Table2[[#This Row],[Product ID]],Sheet1!$A$32:$A$200,Sheet1!$B$32:$B$200,"Not Found")</f>
        <v>Jacket</v>
      </c>
      <c r="C298" s="35">
        <v>45231</v>
      </c>
      <c r="D298" s="34" t="s">
        <v>14</v>
      </c>
      <c r="E298" s="34" t="str" cm="1">
        <f t="array" ref="E298">_xlfn.XLOOKUP(Table2[[#This Row],[Sales Rep]],Sheet1!$A$21:$A$25,Sheet1!$B$21:$B$25,Not Found)</f>
        <v>Michael Smith</v>
      </c>
      <c r="F298" s="34" t="s">
        <v>25</v>
      </c>
      <c r="G298" s="34">
        <f>_xlfn.XLOOKUP(Table2[[#This Row],[Region]],Sheet1!$A$12:$A$15,Sheet1!$B$12:$B$15,0)</f>
        <v>0.05</v>
      </c>
      <c r="H298" s="36">
        <f>Table2[[#This Row],[Tax Rate]]*Table2[[#This Row],[Sales Amount]]</f>
        <v>358.64000000000004</v>
      </c>
      <c r="I298" s="36">
        <v>7172.8</v>
      </c>
      <c r="J298" s="34">
        <v>14</v>
      </c>
      <c r="K298" s="34" t="s">
        <v>26</v>
      </c>
      <c r="L298" s="36">
        <v>547.79</v>
      </c>
      <c r="M298" s="36">
        <v>958.76</v>
      </c>
      <c r="N298" s="34" t="s">
        <v>17</v>
      </c>
      <c r="O298" s="37">
        <v>7.0000000000000007E-2</v>
      </c>
      <c r="P298" s="34" t="s">
        <v>31</v>
      </c>
      <c r="Q298" s="34" t="s">
        <v>22</v>
      </c>
      <c r="R298" s="34" t="str">
        <f>IF(Cleaned_Final!$I298&gt;=5000,"High","Low")</f>
        <v>High</v>
      </c>
    </row>
    <row r="299" spans="1:18" x14ac:dyDescent="0.35">
      <c r="A299" s="38">
        <v>1099</v>
      </c>
      <c r="B299" s="38" t="str">
        <f>_xlfn.XLOOKUP(Table2[[#This Row],[Product ID]],Sheet1!$A$32:$A$200,Sheet1!$B$32:$B$200,"Not Found")</f>
        <v>Chest</v>
      </c>
      <c r="C299" s="39">
        <v>45212</v>
      </c>
      <c r="D299" s="38" t="s">
        <v>33</v>
      </c>
      <c r="E299" s="38" t="str" cm="1">
        <f t="array" ref="E299">_xlfn.XLOOKUP(Table2[[#This Row],[Sales Rep]],Sheet1!$A$21:$A$25,Sheet1!$B$21:$B$25,Not Found)</f>
        <v>Susan Jerkins</v>
      </c>
      <c r="F299" s="38" t="s">
        <v>15</v>
      </c>
      <c r="G299" s="38">
        <f>_xlfn.XLOOKUP(Table2[[#This Row],[Region]],Sheet1!$A$12:$A$15,Sheet1!$B$12:$B$15,0)</f>
        <v>7.4999999999999997E-2</v>
      </c>
      <c r="H299" s="40">
        <f>Table2[[#This Row],[Tax Rate]]*Table2[[#This Row],[Sales Amount]]</f>
        <v>571.06124999999997</v>
      </c>
      <c r="I299" s="40">
        <v>7614.15</v>
      </c>
      <c r="J299" s="38">
        <v>14</v>
      </c>
      <c r="K299" s="38" t="s">
        <v>26</v>
      </c>
      <c r="L299" s="40">
        <v>1996.64</v>
      </c>
      <c r="M299" s="40">
        <v>2341.4699999999998</v>
      </c>
      <c r="N299" s="38" t="s">
        <v>17</v>
      </c>
      <c r="O299" s="41">
        <v>0.22</v>
      </c>
      <c r="P299" s="38" t="s">
        <v>31</v>
      </c>
      <c r="Q299" s="38" t="s">
        <v>19</v>
      </c>
      <c r="R299" s="38" t="str">
        <f>IF(Cleaned_Final!$I299&gt;=5000,"High","Low")</f>
        <v>High</v>
      </c>
    </row>
    <row r="300" spans="1:18" x14ac:dyDescent="0.35">
      <c r="A300" s="34">
        <v>1019</v>
      </c>
      <c r="B300" s="34" t="str">
        <f>_xlfn.XLOOKUP(Table2[[#This Row],[Product ID]],Sheet1!$A$32:$A$200,Sheet1!$B$32:$B$200,"Not Found")</f>
        <v>Apple</v>
      </c>
      <c r="C300" s="35">
        <v>45070</v>
      </c>
      <c r="D300" s="34" t="s">
        <v>38</v>
      </c>
      <c r="E300" s="34" t="str" cm="1">
        <f t="array" ref="E300">_xlfn.XLOOKUP(Table2[[#This Row],[Sales Rep]],Sheet1!$A$21:$A$25,Sheet1!$B$21:$B$25,Not Found)</f>
        <v>Tracy Moore</v>
      </c>
      <c r="F300" s="34" t="s">
        <v>25</v>
      </c>
      <c r="G300" s="34">
        <f>_xlfn.XLOOKUP(Table2[[#This Row],[Region]],Sheet1!$A$12:$A$15,Sheet1!$B$12:$B$15,0)</f>
        <v>0.05</v>
      </c>
      <c r="H300" s="36">
        <f>Table2[[#This Row],[Tax Rate]]*Table2[[#This Row],[Sales Amount]]</f>
        <v>55.745500000000007</v>
      </c>
      <c r="I300" s="36">
        <v>1114.9100000000001</v>
      </c>
      <c r="J300" s="34">
        <v>13</v>
      </c>
      <c r="K300" s="34" t="s">
        <v>26</v>
      </c>
      <c r="L300" s="36">
        <v>3102.73</v>
      </c>
      <c r="M300" s="36">
        <v>3202.68</v>
      </c>
      <c r="N300" s="34" t="s">
        <v>30</v>
      </c>
      <c r="O300" s="37">
        <v>0.09</v>
      </c>
      <c r="P300" s="34" t="s">
        <v>18</v>
      </c>
      <c r="Q300" s="34" t="s">
        <v>19</v>
      </c>
      <c r="R300" s="34" t="str">
        <f>IF(Cleaned_Final!$I300&gt;=5000,"High","Low")</f>
        <v>Low</v>
      </c>
    </row>
    <row r="301" spans="1:18" x14ac:dyDescent="0.35">
      <c r="A301" s="38">
        <v>1048</v>
      </c>
      <c r="B301" s="38" t="str">
        <f>_xlfn.XLOOKUP(Table2[[#This Row],[Product ID]],Sheet1!$A$32:$A$200,Sheet1!$B$32:$B$200,"Not Found")</f>
        <v>Chaise Lounge</v>
      </c>
      <c r="C301" s="39">
        <v>44945</v>
      </c>
      <c r="D301" s="38" t="s">
        <v>14</v>
      </c>
      <c r="E301" s="38" t="str" cm="1">
        <f t="array" ref="E301">_xlfn.XLOOKUP(Table2[[#This Row],[Sales Rep]],Sheet1!$A$21:$A$25,Sheet1!$B$21:$B$25,Not Found)</f>
        <v>Michael Smith</v>
      </c>
      <c r="F301" s="38" t="s">
        <v>21</v>
      </c>
      <c r="G301" s="38">
        <f>_xlfn.XLOOKUP(Table2[[#This Row],[Region]],Sheet1!$A$12:$A$15,Sheet1!$B$12:$B$15,0)</f>
        <v>0.08</v>
      </c>
      <c r="H301" s="40">
        <f>Table2[[#This Row],[Tax Rate]]*Table2[[#This Row],[Sales Amount]]</f>
        <v>414.97280000000001</v>
      </c>
      <c r="I301" s="40">
        <v>5187.16</v>
      </c>
      <c r="J301" s="38">
        <v>7</v>
      </c>
      <c r="K301" s="38" t="s">
        <v>29</v>
      </c>
      <c r="L301" s="40">
        <v>4310.95</v>
      </c>
      <c r="M301" s="40">
        <v>4723.2</v>
      </c>
      <c r="N301" s="38" t="s">
        <v>17</v>
      </c>
      <c r="O301" s="41">
        <v>0.05</v>
      </c>
      <c r="P301" s="38" t="s">
        <v>31</v>
      </c>
      <c r="Q301" s="38" t="s">
        <v>22</v>
      </c>
      <c r="R301" s="38" t="str">
        <f>IF(Cleaned_Final!$I301&gt;=5000,"High","Low")</f>
        <v>High</v>
      </c>
    </row>
    <row r="302" spans="1:18" x14ac:dyDescent="0.35">
      <c r="A302" s="34">
        <v>1080</v>
      </c>
      <c r="B302" s="34" t="str">
        <f>_xlfn.XLOOKUP(Table2[[#This Row],[Product ID]],Sheet1!$A$32:$A$200,Sheet1!$B$32:$B$200,"Not Found")</f>
        <v>Headphones</v>
      </c>
      <c r="C302" s="35">
        <v>44944</v>
      </c>
      <c r="D302" s="34" t="s">
        <v>33</v>
      </c>
      <c r="E302" s="34" t="str" cm="1">
        <f t="array" ref="E302">_xlfn.XLOOKUP(Table2[[#This Row],[Sales Rep]],Sheet1!$A$21:$A$25,Sheet1!$B$21:$B$25,Not Found)</f>
        <v>Susan Jerkins</v>
      </c>
      <c r="F302" s="34" t="s">
        <v>34</v>
      </c>
      <c r="G302" s="34">
        <f>_xlfn.XLOOKUP(Table2[[#This Row],[Region]],Sheet1!$A$12:$A$15,Sheet1!$B$12:$B$15,0)</f>
        <v>0.06</v>
      </c>
      <c r="H302" s="36">
        <f>Table2[[#This Row],[Tax Rate]]*Table2[[#This Row],[Sales Amount]]</f>
        <v>308.28120000000001</v>
      </c>
      <c r="I302" s="36">
        <v>5138.0200000000004</v>
      </c>
      <c r="J302" s="34">
        <v>44</v>
      </c>
      <c r="K302" s="34" t="s">
        <v>35</v>
      </c>
      <c r="L302" s="36">
        <v>1763.67</v>
      </c>
      <c r="M302" s="36">
        <v>1983.82</v>
      </c>
      <c r="N302" s="34" t="s">
        <v>30</v>
      </c>
      <c r="O302" s="37">
        <v>0.24</v>
      </c>
      <c r="P302" s="34" t="s">
        <v>31</v>
      </c>
      <c r="Q302" s="34" t="s">
        <v>19</v>
      </c>
      <c r="R302" s="34" t="str">
        <f>IF(Cleaned_Final!$I302&gt;=5000,"High","Low")</f>
        <v>High</v>
      </c>
    </row>
    <row r="303" spans="1:18" x14ac:dyDescent="0.35">
      <c r="A303" s="38">
        <v>1003</v>
      </c>
      <c r="B303" s="38" t="str">
        <f>_xlfn.XLOOKUP(Table2[[#This Row],[Product ID]],Sheet1!$A$32:$A$200,Sheet1!$B$32:$B$200,"Not Found")</f>
        <v>Stool</v>
      </c>
      <c r="C303" s="39">
        <v>45183</v>
      </c>
      <c r="D303" s="38" t="s">
        <v>14</v>
      </c>
      <c r="E303" s="38" t="str" cm="1">
        <f t="array" ref="E303">_xlfn.XLOOKUP(Table2[[#This Row],[Sales Rep]],Sheet1!$A$21:$A$25,Sheet1!$B$21:$B$25,Not Found)</f>
        <v>Michael Smith</v>
      </c>
      <c r="F303" s="38" t="s">
        <v>21</v>
      </c>
      <c r="G303" s="38">
        <f>_xlfn.XLOOKUP(Table2[[#This Row],[Region]],Sheet1!$A$12:$A$15,Sheet1!$B$12:$B$15,0)</f>
        <v>0.08</v>
      </c>
      <c r="H303" s="40">
        <f>Table2[[#This Row],[Tax Rate]]*Table2[[#This Row],[Sales Amount]]</f>
        <v>300.47040000000004</v>
      </c>
      <c r="I303" s="40">
        <v>3755.88</v>
      </c>
      <c r="J303" s="38">
        <v>15</v>
      </c>
      <c r="K303" s="38" t="s">
        <v>29</v>
      </c>
      <c r="L303" s="40">
        <v>3286.24</v>
      </c>
      <c r="M303" s="40">
        <v>3388.8399999999901</v>
      </c>
      <c r="N303" s="38" t="s">
        <v>17</v>
      </c>
      <c r="O303" s="41">
        <v>0.09</v>
      </c>
      <c r="P303" s="38" t="s">
        <v>31</v>
      </c>
      <c r="Q303" s="38" t="s">
        <v>22</v>
      </c>
      <c r="R303" s="38" t="str">
        <f>IF(Cleaned_Final!$I303&gt;=5000,"High","Low")</f>
        <v>Low</v>
      </c>
    </row>
    <row r="304" spans="1:18" x14ac:dyDescent="0.35">
      <c r="A304" s="34">
        <v>1020</v>
      </c>
      <c r="B304" s="34" t="str">
        <f>_xlfn.XLOOKUP(Table2[[#This Row],[Product ID]],Sheet1!$A$32:$A$200,Sheet1!$B$32:$B$200,"Not Found")</f>
        <v>Apron</v>
      </c>
      <c r="C304" s="35">
        <v>45004</v>
      </c>
      <c r="D304" s="34" t="s">
        <v>38</v>
      </c>
      <c r="E304" s="34" t="str" cm="1">
        <f t="array" ref="E304">_xlfn.XLOOKUP(Table2[[#This Row],[Sales Rep]],Sheet1!$A$21:$A$25,Sheet1!$B$21:$B$25,Not Found)</f>
        <v>Tracy Moore</v>
      </c>
      <c r="F304" s="34" t="s">
        <v>21</v>
      </c>
      <c r="G304" s="34">
        <f>_xlfn.XLOOKUP(Table2[[#This Row],[Region]],Sheet1!$A$12:$A$15,Sheet1!$B$12:$B$15,0)</f>
        <v>0.08</v>
      </c>
      <c r="H304" s="36">
        <f>Table2[[#This Row],[Tax Rate]]*Table2[[#This Row],[Sales Amount]]</f>
        <v>746.87679999999989</v>
      </c>
      <c r="I304" s="36">
        <v>9335.9599999999991</v>
      </c>
      <c r="J304" s="34">
        <v>19</v>
      </c>
      <c r="K304" s="34" t="s">
        <v>26</v>
      </c>
      <c r="L304" s="36">
        <v>1783.48</v>
      </c>
      <c r="M304" s="36">
        <v>1931.56</v>
      </c>
      <c r="N304" s="34" t="s">
        <v>17</v>
      </c>
      <c r="O304" s="37">
        <v>0.27</v>
      </c>
      <c r="P304" s="34" t="s">
        <v>27</v>
      </c>
      <c r="Q304" s="34" t="s">
        <v>22</v>
      </c>
      <c r="R304" s="34" t="str">
        <f>IF(Cleaned_Final!$I304&gt;=5000,"High","Low")</f>
        <v>High</v>
      </c>
    </row>
    <row r="305" spans="1:18" x14ac:dyDescent="0.35">
      <c r="A305" s="38">
        <v>1024</v>
      </c>
      <c r="B305" s="38" t="str">
        <f>_xlfn.XLOOKUP(Table2[[#This Row],[Product ID]],Sheet1!$A$32:$A$200,Sheet1!$B$32:$B$200,"Not Found")</f>
        <v>Pasta Pack</v>
      </c>
      <c r="C305" s="39">
        <v>45101</v>
      </c>
      <c r="D305" s="38" t="s">
        <v>42</v>
      </c>
      <c r="E305" s="38" t="str" cm="1">
        <f t="array" ref="E305">_xlfn.XLOOKUP(Table2[[#This Row],[Sales Rep]],Sheet1!$A$21:$A$25,Sheet1!$B$21:$B$25,Not Found)</f>
        <v>Scott Wayne</v>
      </c>
      <c r="F305" s="38" t="s">
        <v>15</v>
      </c>
      <c r="G305" s="38">
        <f>_xlfn.XLOOKUP(Table2[[#This Row],[Region]],Sheet1!$A$12:$A$15,Sheet1!$B$12:$B$15,0)</f>
        <v>7.4999999999999997E-2</v>
      </c>
      <c r="H305" s="40">
        <f>Table2[[#This Row],[Tax Rate]]*Table2[[#This Row],[Sales Amount]]</f>
        <v>621.92324999999994</v>
      </c>
      <c r="I305" s="40">
        <v>8292.31</v>
      </c>
      <c r="J305" s="38">
        <v>43</v>
      </c>
      <c r="K305" s="38" t="s">
        <v>29</v>
      </c>
      <c r="L305" s="40">
        <v>3105.24</v>
      </c>
      <c r="M305" s="40">
        <v>3246.33</v>
      </c>
      <c r="N305" s="38" t="s">
        <v>30</v>
      </c>
      <c r="O305" s="41">
        <v>0.25</v>
      </c>
      <c r="P305" s="38" t="s">
        <v>18</v>
      </c>
      <c r="Q305" s="38" t="s">
        <v>19</v>
      </c>
      <c r="R305" s="38" t="str">
        <f>IF(Cleaned_Final!$I305&gt;=5000,"High","Low")</f>
        <v>High</v>
      </c>
    </row>
    <row r="306" spans="1:18" x14ac:dyDescent="0.35">
      <c r="A306" s="34">
        <v>1054</v>
      </c>
      <c r="B306" s="34" t="str">
        <f>_xlfn.XLOOKUP(Table2[[#This Row],[Product ID]],Sheet1!$A$32:$A$200,Sheet1!$B$32:$B$200,"Not Found")</f>
        <v>Glider</v>
      </c>
      <c r="C306" s="35">
        <v>45120</v>
      </c>
      <c r="D306" s="34" t="s">
        <v>42</v>
      </c>
      <c r="E306" s="34" t="str" cm="1">
        <f t="array" ref="E306">_xlfn.XLOOKUP(Table2[[#This Row],[Sales Rep]],Sheet1!$A$21:$A$25,Sheet1!$B$21:$B$25,Not Found)</f>
        <v>Scott Wayne</v>
      </c>
      <c r="F306" s="34" t="s">
        <v>25</v>
      </c>
      <c r="G306" s="34">
        <f>_xlfn.XLOOKUP(Table2[[#This Row],[Region]],Sheet1!$A$12:$A$15,Sheet1!$B$12:$B$15,0)</f>
        <v>0.05</v>
      </c>
      <c r="H306" s="36">
        <f>Table2[[#This Row],[Tax Rate]]*Table2[[#This Row],[Sales Amount]]</f>
        <v>350.11850000000004</v>
      </c>
      <c r="I306" s="36">
        <v>7002.37</v>
      </c>
      <c r="J306" s="34">
        <v>47</v>
      </c>
      <c r="K306" s="34" t="s">
        <v>26</v>
      </c>
      <c r="L306" s="36">
        <v>4429.8</v>
      </c>
      <c r="M306" s="36">
        <v>4694.21</v>
      </c>
      <c r="N306" s="34" t="s">
        <v>30</v>
      </c>
      <c r="O306" s="37">
        <v>0.25</v>
      </c>
      <c r="P306" s="34" t="s">
        <v>27</v>
      </c>
      <c r="Q306" s="34" t="s">
        <v>19</v>
      </c>
      <c r="R306" s="34" t="str">
        <f>IF(Cleaned_Final!$I306&gt;=5000,"High","Low")</f>
        <v>High</v>
      </c>
    </row>
    <row r="307" spans="1:18" x14ac:dyDescent="0.35">
      <c r="A307" s="38">
        <v>1033</v>
      </c>
      <c r="B307" s="38" t="str">
        <f>_xlfn.XLOOKUP(Table2[[#This Row],[Product ID]],Sheet1!$A$32:$A$200,Sheet1!$B$32:$B$200,"Not Found")</f>
        <v>TV Stand</v>
      </c>
      <c r="C307" s="39">
        <v>45039</v>
      </c>
      <c r="D307" s="38" t="s">
        <v>33</v>
      </c>
      <c r="E307" s="38" t="str" cm="1">
        <f t="array" ref="E307">_xlfn.XLOOKUP(Table2[[#This Row],[Sales Rep]],Sheet1!$A$21:$A$25,Sheet1!$B$21:$B$25,Not Found)</f>
        <v>Susan Jerkins</v>
      </c>
      <c r="F307" s="38" t="s">
        <v>34</v>
      </c>
      <c r="G307" s="38">
        <f>_xlfn.XLOOKUP(Table2[[#This Row],[Region]],Sheet1!$A$12:$A$15,Sheet1!$B$12:$B$15,0)</f>
        <v>0.06</v>
      </c>
      <c r="H307" s="40">
        <f>Table2[[#This Row],[Tax Rate]]*Table2[[#This Row],[Sales Amount]]</f>
        <v>430.3098</v>
      </c>
      <c r="I307" s="40">
        <v>7171.83</v>
      </c>
      <c r="J307" s="38">
        <v>44</v>
      </c>
      <c r="K307" s="38" t="s">
        <v>35</v>
      </c>
      <c r="L307" s="40">
        <v>1195.22</v>
      </c>
      <c r="M307" s="40">
        <v>1320.06</v>
      </c>
      <c r="N307" s="38" t="s">
        <v>17</v>
      </c>
      <c r="O307" s="41">
        <v>0.23</v>
      </c>
      <c r="P307" s="38" t="s">
        <v>27</v>
      </c>
      <c r="Q307" s="38" t="s">
        <v>22</v>
      </c>
      <c r="R307" s="38" t="str">
        <f>IF(Cleaned_Final!$I307&gt;=5000,"High","Low")</f>
        <v>High</v>
      </c>
    </row>
    <row r="308" spans="1:18" x14ac:dyDescent="0.35">
      <c r="A308" s="34">
        <v>1024</v>
      </c>
      <c r="B308" s="34" t="str">
        <f>_xlfn.XLOOKUP(Table2[[#This Row],[Product ID]],Sheet1!$A$32:$A$200,Sheet1!$B$32:$B$200,"Not Found")</f>
        <v>Pasta Pack</v>
      </c>
      <c r="C308" s="35">
        <v>45040</v>
      </c>
      <c r="D308" s="34" t="s">
        <v>24</v>
      </c>
      <c r="E308" s="34" t="str" cm="1">
        <f t="array" ref="E308">_xlfn.XLOOKUP(Table2[[#This Row],[Sales Rep]],Sheet1!$A$21:$A$25,Sheet1!$B$21:$B$25,Not Found)</f>
        <v>Hogan Rock</v>
      </c>
      <c r="F308" s="34" t="s">
        <v>15</v>
      </c>
      <c r="G308" s="34">
        <f>_xlfn.XLOOKUP(Table2[[#This Row],[Region]],Sheet1!$A$12:$A$15,Sheet1!$B$12:$B$15,0)</f>
        <v>7.4999999999999997E-2</v>
      </c>
      <c r="H308" s="36">
        <f>Table2[[#This Row],[Tax Rate]]*Table2[[#This Row],[Sales Amount]]</f>
        <v>350.32424999999995</v>
      </c>
      <c r="I308" s="36">
        <v>4670.99</v>
      </c>
      <c r="J308" s="34">
        <v>35</v>
      </c>
      <c r="K308" s="34" t="s">
        <v>16</v>
      </c>
      <c r="L308" s="36">
        <v>2051</v>
      </c>
      <c r="M308" s="36">
        <v>2121.5500000000002</v>
      </c>
      <c r="N308" s="34" t="s">
        <v>17</v>
      </c>
      <c r="O308" s="37">
        <v>0.26</v>
      </c>
      <c r="P308" s="34" t="s">
        <v>18</v>
      </c>
      <c r="Q308" s="34" t="s">
        <v>22</v>
      </c>
      <c r="R308" s="34" t="str">
        <f>IF(Cleaned_Final!$I308&gt;=5000,"High","Low")</f>
        <v>Low</v>
      </c>
    </row>
    <row r="309" spans="1:18" x14ac:dyDescent="0.35">
      <c r="A309" s="38">
        <v>1075</v>
      </c>
      <c r="B309" s="38" t="str">
        <f>_xlfn.XLOOKUP(Table2[[#This Row],[Product ID]],Sheet1!$A$32:$A$200,Sheet1!$B$32:$B$200,"Not Found")</f>
        <v>Bookshelf</v>
      </c>
      <c r="C309" s="39">
        <v>45148</v>
      </c>
      <c r="D309" s="38" t="s">
        <v>33</v>
      </c>
      <c r="E309" s="38" t="str" cm="1">
        <f t="array" ref="E309">_xlfn.XLOOKUP(Table2[[#This Row],[Sales Rep]],Sheet1!$A$21:$A$25,Sheet1!$B$21:$B$25,Not Found)</f>
        <v>Susan Jerkins</v>
      </c>
      <c r="F309" s="38" t="s">
        <v>15</v>
      </c>
      <c r="G309" s="38">
        <f>_xlfn.XLOOKUP(Table2[[#This Row],[Region]],Sheet1!$A$12:$A$15,Sheet1!$B$12:$B$15,0)</f>
        <v>7.4999999999999997E-2</v>
      </c>
      <c r="H309" s="40">
        <f>Table2[[#This Row],[Tax Rate]]*Table2[[#This Row],[Sales Amount]]</f>
        <v>691.33875</v>
      </c>
      <c r="I309" s="40">
        <v>9217.85</v>
      </c>
      <c r="J309" s="38">
        <v>17</v>
      </c>
      <c r="K309" s="38" t="s">
        <v>35</v>
      </c>
      <c r="L309" s="40">
        <v>4966.66</v>
      </c>
      <c r="M309" s="40">
        <v>5037.2699999999904</v>
      </c>
      <c r="N309" s="38" t="s">
        <v>17</v>
      </c>
      <c r="O309" s="41">
        <v>0.24</v>
      </c>
      <c r="P309" s="38" t="s">
        <v>27</v>
      </c>
      <c r="Q309" s="38" t="s">
        <v>22</v>
      </c>
      <c r="R309" s="38" t="str">
        <f>IF(Cleaned_Final!$I309&gt;=5000,"High","Low")</f>
        <v>High</v>
      </c>
    </row>
    <row r="310" spans="1:18" x14ac:dyDescent="0.35">
      <c r="A310" s="34">
        <v>1072</v>
      </c>
      <c r="B310" s="34" t="str">
        <f>_xlfn.XLOOKUP(Table2[[#This Row],[Product ID]],Sheet1!$A$32:$A$200,Sheet1!$B$32:$B$200,"Not Found")</f>
        <v>T-Shirt</v>
      </c>
      <c r="C310" s="35">
        <v>45092</v>
      </c>
      <c r="D310" s="34" t="s">
        <v>24</v>
      </c>
      <c r="E310" s="34" t="str" cm="1">
        <f t="array" ref="E310">_xlfn.XLOOKUP(Table2[[#This Row],[Sales Rep]],Sheet1!$A$21:$A$25,Sheet1!$B$21:$B$25,Not Found)</f>
        <v>Hogan Rock</v>
      </c>
      <c r="F310" s="34" t="s">
        <v>15</v>
      </c>
      <c r="G310" s="34">
        <f>_xlfn.XLOOKUP(Table2[[#This Row],[Region]],Sheet1!$A$12:$A$15,Sheet1!$B$12:$B$15,0)</f>
        <v>7.4999999999999997E-2</v>
      </c>
      <c r="H310" s="36">
        <f>Table2[[#This Row],[Tax Rate]]*Table2[[#This Row],[Sales Amount]]</f>
        <v>523.23674999999992</v>
      </c>
      <c r="I310" s="36">
        <v>6976.49</v>
      </c>
      <c r="J310" s="34">
        <v>35</v>
      </c>
      <c r="K310" s="34" t="s">
        <v>35</v>
      </c>
      <c r="L310" s="36">
        <v>4349.3599999999997</v>
      </c>
      <c r="M310" s="36">
        <v>4645.17</v>
      </c>
      <c r="N310" s="34" t="s">
        <v>17</v>
      </c>
      <c r="O310" s="37">
        <v>0.18</v>
      </c>
      <c r="P310" s="34" t="s">
        <v>31</v>
      </c>
      <c r="Q310" s="34" t="s">
        <v>22</v>
      </c>
      <c r="R310" s="34" t="str">
        <f>IF(Cleaned_Final!$I310&gt;=5000,"High","Low")</f>
        <v>High</v>
      </c>
    </row>
    <row r="311" spans="1:18" x14ac:dyDescent="0.35">
      <c r="A311" s="38">
        <v>1036</v>
      </c>
      <c r="B311" s="38" t="str">
        <f>_xlfn.XLOOKUP(Table2[[#This Row],[Product ID]],Sheet1!$A$32:$A$200,Sheet1!$B$32:$B$200,"Not Found")</f>
        <v>Shorts</v>
      </c>
      <c r="C311" s="39">
        <v>45245</v>
      </c>
      <c r="D311" s="38" t="s">
        <v>14</v>
      </c>
      <c r="E311" s="38" t="str" cm="1">
        <f t="array" ref="E311">_xlfn.XLOOKUP(Table2[[#This Row],[Sales Rep]],Sheet1!$A$21:$A$25,Sheet1!$B$21:$B$25,Not Found)</f>
        <v>Michael Smith</v>
      </c>
      <c r="F311" s="38" t="s">
        <v>21</v>
      </c>
      <c r="G311" s="38">
        <f>_xlfn.XLOOKUP(Table2[[#This Row],[Region]],Sheet1!$A$12:$A$15,Sheet1!$B$12:$B$15,0)</f>
        <v>0.08</v>
      </c>
      <c r="H311" s="40">
        <f>Table2[[#This Row],[Tax Rate]]*Table2[[#This Row],[Sales Amount]]</f>
        <v>585.3528</v>
      </c>
      <c r="I311" s="40">
        <v>7316.91</v>
      </c>
      <c r="J311" s="38">
        <v>19</v>
      </c>
      <c r="K311" s="38" t="s">
        <v>16</v>
      </c>
      <c r="L311" s="40">
        <v>2844.97</v>
      </c>
      <c r="M311" s="40">
        <v>3215</v>
      </c>
      <c r="N311" s="38" t="s">
        <v>17</v>
      </c>
      <c r="O311" s="41">
        <v>0.09</v>
      </c>
      <c r="P311" s="38" t="s">
        <v>31</v>
      </c>
      <c r="Q311" s="38" t="s">
        <v>22</v>
      </c>
      <c r="R311" s="38" t="str">
        <f>IF(Cleaned_Final!$I311&gt;=5000,"High","Low")</f>
        <v>High</v>
      </c>
    </row>
    <row r="312" spans="1:18" x14ac:dyDescent="0.35">
      <c r="A312" s="34">
        <v>1038</v>
      </c>
      <c r="B312" s="34" t="str">
        <f>_xlfn.XLOOKUP(Table2[[#This Row],[Product ID]],Sheet1!$A$32:$A$200,Sheet1!$B$32:$B$200,"Not Found")</f>
        <v>Jean Pants</v>
      </c>
      <c r="C312" s="35">
        <v>45058</v>
      </c>
      <c r="D312" s="34" t="s">
        <v>14</v>
      </c>
      <c r="E312" s="34" t="str" cm="1">
        <f t="array" ref="E312">_xlfn.XLOOKUP(Table2[[#This Row],[Sales Rep]],Sheet1!$A$21:$A$25,Sheet1!$B$21:$B$25,Not Found)</f>
        <v>Michael Smith</v>
      </c>
      <c r="F312" s="34" t="s">
        <v>25</v>
      </c>
      <c r="G312" s="34">
        <f>_xlfn.XLOOKUP(Table2[[#This Row],[Region]],Sheet1!$A$12:$A$15,Sheet1!$B$12:$B$15,0)</f>
        <v>0.05</v>
      </c>
      <c r="H312" s="36">
        <f>Table2[[#This Row],[Tax Rate]]*Table2[[#This Row],[Sales Amount]]</f>
        <v>431.53700000000003</v>
      </c>
      <c r="I312" s="36">
        <v>8630.74</v>
      </c>
      <c r="J312" s="34">
        <v>20</v>
      </c>
      <c r="K312" s="34" t="s">
        <v>29</v>
      </c>
      <c r="L312" s="36">
        <v>2607.31</v>
      </c>
      <c r="M312" s="36">
        <v>2774.86</v>
      </c>
      <c r="N312" s="34" t="s">
        <v>30</v>
      </c>
      <c r="O312" s="37">
        <v>0.27</v>
      </c>
      <c r="P312" s="34" t="s">
        <v>31</v>
      </c>
      <c r="Q312" s="34" t="s">
        <v>22</v>
      </c>
      <c r="R312" s="34" t="str">
        <f>IF(Cleaned_Final!$I312&gt;=5000,"High","Low")</f>
        <v>High</v>
      </c>
    </row>
    <row r="313" spans="1:18" x14ac:dyDescent="0.35">
      <c r="A313" s="38">
        <v>1084</v>
      </c>
      <c r="B313" s="38" t="str">
        <f>_xlfn.XLOOKUP(Table2[[#This Row],[Product ID]],Sheet1!$A$32:$A$200,Sheet1!$B$32:$B$200,"Not Found")</f>
        <v>Card Table</v>
      </c>
      <c r="C313" s="39">
        <v>45190</v>
      </c>
      <c r="D313" s="38" t="s">
        <v>38</v>
      </c>
      <c r="E313" s="38" t="str" cm="1">
        <f t="array" ref="E313">_xlfn.XLOOKUP(Table2[[#This Row],[Sales Rep]],Sheet1!$A$21:$A$25,Sheet1!$B$21:$B$25,Not Found)</f>
        <v>Tracy Moore</v>
      </c>
      <c r="F313" s="38" t="s">
        <v>25</v>
      </c>
      <c r="G313" s="38">
        <f>_xlfn.XLOOKUP(Table2[[#This Row],[Region]],Sheet1!$A$12:$A$15,Sheet1!$B$12:$B$15,0)</f>
        <v>0.05</v>
      </c>
      <c r="H313" s="40">
        <f>Table2[[#This Row],[Tax Rate]]*Table2[[#This Row],[Sales Amount]]</f>
        <v>140.66550000000001</v>
      </c>
      <c r="I313" s="40">
        <v>2813.31</v>
      </c>
      <c r="J313" s="38">
        <v>36</v>
      </c>
      <c r="K313" s="38" t="s">
        <v>16</v>
      </c>
      <c r="L313" s="40">
        <v>1458.77</v>
      </c>
      <c r="M313" s="40">
        <v>1485.75</v>
      </c>
      <c r="N313" s="38" t="s">
        <v>30</v>
      </c>
      <c r="O313" s="41">
        <v>0.25</v>
      </c>
      <c r="P313" s="38" t="s">
        <v>31</v>
      </c>
      <c r="Q313" s="38" t="s">
        <v>19</v>
      </c>
      <c r="R313" s="38" t="str">
        <f>IF(Cleaned_Final!$I313&gt;=5000,"High","Low")</f>
        <v>Low</v>
      </c>
    </row>
    <row r="314" spans="1:18" x14ac:dyDescent="0.35">
      <c r="A314" s="34">
        <v>1099</v>
      </c>
      <c r="B314" s="34" t="str">
        <f>_xlfn.XLOOKUP(Table2[[#This Row],[Product ID]],Sheet1!$A$32:$A$200,Sheet1!$B$32:$B$200,"Not Found")</f>
        <v>Chest</v>
      </c>
      <c r="C314" s="35">
        <v>44981</v>
      </c>
      <c r="D314" s="34" t="s">
        <v>24</v>
      </c>
      <c r="E314" s="34" t="str" cm="1">
        <f t="array" ref="E314">_xlfn.XLOOKUP(Table2[[#This Row],[Sales Rep]],Sheet1!$A$21:$A$25,Sheet1!$B$21:$B$25,Not Found)</f>
        <v>Hogan Rock</v>
      </c>
      <c r="F314" s="34" t="s">
        <v>34</v>
      </c>
      <c r="G314" s="34">
        <f>_xlfn.XLOOKUP(Table2[[#This Row],[Region]],Sheet1!$A$12:$A$15,Sheet1!$B$12:$B$15,0)</f>
        <v>0.06</v>
      </c>
      <c r="H314" s="36">
        <f>Table2[[#This Row],[Tax Rate]]*Table2[[#This Row],[Sales Amount]]</f>
        <v>485.4</v>
      </c>
      <c r="I314" s="36">
        <v>8090</v>
      </c>
      <c r="J314" s="34">
        <v>35</v>
      </c>
      <c r="K314" s="34" t="s">
        <v>29</v>
      </c>
      <c r="L314" s="36">
        <v>2610.19</v>
      </c>
      <c r="M314" s="36">
        <v>2682.53</v>
      </c>
      <c r="N314" s="34" t="s">
        <v>30</v>
      </c>
      <c r="O314" s="37">
        <v>0.14000000000000001</v>
      </c>
      <c r="P314" s="34" t="s">
        <v>18</v>
      </c>
      <c r="Q314" s="34" t="s">
        <v>22</v>
      </c>
      <c r="R314" s="34" t="str">
        <f>IF(Cleaned_Final!$I314&gt;=5000,"High","Low")</f>
        <v>High</v>
      </c>
    </row>
    <row r="315" spans="1:18" x14ac:dyDescent="0.35">
      <c r="A315" s="38">
        <v>1089</v>
      </c>
      <c r="B315" s="38" t="str">
        <f>_xlfn.XLOOKUP(Table2[[#This Row],[Product ID]],Sheet1!$A$32:$A$200,Sheet1!$B$32:$B$200,"Not Found")</f>
        <v>Recliner</v>
      </c>
      <c r="C315" s="39">
        <v>45285</v>
      </c>
      <c r="D315" s="38" t="s">
        <v>38</v>
      </c>
      <c r="E315" s="38" t="str" cm="1">
        <f t="array" ref="E315">_xlfn.XLOOKUP(Table2[[#This Row],[Sales Rep]],Sheet1!$A$21:$A$25,Sheet1!$B$21:$B$25,Not Found)</f>
        <v>Tracy Moore</v>
      </c>
      <c r="F315" s="38" t="s">
        <v>25</v>
      </c>
      <c r="G315" s="38">
        <f>_xlfn.XLOOKUP(Table2[[#This Row],[Region]],Sheet1!$A$12:$A$15,Sheet1!$B$12:$B$15,0)</f>
        <v>0.05</v>
      </c>
      <c r="H315" s="40">
        <f>Table2[[#This Row],[Tax Rate]]*Table2[[#This Row],[Sales Amount]]</f>
        <v>101.64400000000001</v>
      </c>
      <c r="I315" s="40">
        <v>2032.88</v>
      </c>
      <c r="J315" s="38">
        <v>32</v>
      </c>
      <c r="K315" s="38" t="s">
        <v>29</v>
      </c>
      <c r="L315" s="40">
        <v>4248.5</v>
      </c>
      <c r="M315" s="40">
        <v>4706.7</v>
      </c>
      <c r="N315" s="38" t="s">
        <v>30</v>
      </c>
      <c r="O315" s="41">
        <v>0.01</v>
      </c>
      <c r="P315" s="38" t="s">
        <v>27</v>
      </c>
      <c r="Q315" s="38" t="s">
        <v>22</v>
      </c>
      <c r="R315" s="38" t="str">
        <f>IF(Cleaned_Final!$I315&gt;=5000,"High","Low")</f>
        <v>Low</v>
      </c>
    </row>
    <row r="316" spans="1:18" x14ac:dyDescent="0.35">
      <c r="A316" s="34">
        <v>1099</v>
      </c>
      <c r="B316" s="34" t="str">
        <f>_xlfn.XLOOKUP(Table2[[#This Row],[Product ID]],Sheet1!$A$32:$A$200,Sheet1!$B$32:$B$200,"Not Found")</f>
        <v>Chest</v>
      </c>
      <c r="C316" s="35">
        <v>45057</v>
      </c>
      <c r="D316" s="34" t="s">
        <v>42</v>
      </c>
      <c r="E316" s="34" t="str" cm="1">
        <f t="array" ref="E316">_xlfn.XLOOKUP(Table2[[#This Row],[Sales Rep]],Sheet1!$A$21:$A$25,Sheet1!$B$21:$B$25,Not Found)</f>
        <v>Scott Wayne</v>
      </c>
      <c r="F316" s="34" t="s">
        <v>25</v>
      </c>
      <c r="G316" s="34">
        <f>_xlfn.XLOOKUP(Table2[[#This Row],[Region]],Sheet1!$A$12:$A$15,Sheet1!$B$12:$B$15,0)</f>
        <v>0.05</v>
      </c>
      <c r="H316" s="36">
        <f>Table2[[#This Row],[Tax Rate]]*Table2[[#This Row],[Sales Amount]]</f>
        <v>175.94450000000001</v>
      </c>
      <c r="I316" s="36">
        <v>3518.89</v>
      </c>
      <c r="J316" s="34">
        <v>48</v>
      </c>
      <c r="K316" s="34" t="s">
        <v>26</v>
      </c>
      <c r="L316" s="36">
        <v>3441.61</v>
      </c>
      <c r="M316" s="36">
        <v>3693.45</v>
      </c>
      <c r="N316" s="34" t="s">
        <v>17</v>
      </c>
      <c r="O316" s="37">
        <v>0.19</v>
      </c>
      <c r="P316" s="34" t="s">
        <v>27</v>
      </c>
      <c r="Q316" s="34" t="s">
        <v>19</v>
      </c>
      <c r="R316" s="34" t="str">
        <f>IF(Cleaned_Final!$I316&gt;=5000,"High","Low")</f>
        <v>Low</v>
      </c>
    </row>
    <row r="317" spans="1:18" x14ac:dyDescent="0.35">
      <c r="A317" s="38">
        <v>1025</v>
      </c>
      <c r="B317" s="38" t="str">
        <f>_xlfn.XLOOKUP(Table2[[#This Row],[Product ID]],Sheet1!$A$32:$A$200,Sheet1!$B$32:$B$200,"Not Found")</f>
        <v>Mayonnaise</v>
      </c>
      <c r="C317" s="39">
        <v>45214</v>
      </c>
      <c r="D317" s="38" t="s">
        <v>24</v>
      </c>
      <c r="E317" s="38" t="str" cm="1">
        <f t="array" ref="E317">_xlfn.XLOOKUP(Table2[[#This Row],[Sales Rep]],Sheet1!$A$21:$A$25,Sheet1!$B$21:$B$25,Not Found)</f>
        <v>Hogan Rock</v>
      </c>
      <c r="F317" s="38" t="s">
        <v>15</v>
      </c>
      <c r="G317" s="38">
        <f>_xlfn.XLOOKUP(Table2[[#This Row],[Region]],Sheet1!$A$12:$A$15,Sheet1!$B$12:$B$15,0)</f>
        <v>7.4999999999999997E-2</v>
      </c>
      <c r="H317" s="40">
        <f>Table2[[#This Row],[Tax Rate]]*Table2[[#This Row],[Sales Amount]]</f>
        <v>256.69049999999999</v>
      </c>
      <c r="I317" s="40">
        <v>3422.54</v>
      </c>
      <c r="J317" s="38">
        <v>44</v>
      </c>
      <c r="K317" s="38" t="s">
        <v>26</v>
      </c>
      <c r="L317" s="40">
        <v>1485.72</v>
      </c>
      <c r="M317" s="40">
        <v>1717.97</v>
      </c>
      <c r="N317" s="38" t="s">
        <v>30</v>
      </c>
      <c r="O317" s="41">
        <v>0.02</v>
      </c>
      <c r="P317" s="38" t="s">
        <v>31</v>
      </c>
      <c r="Q317" s="38" t="s">
        <v>22</v>
      </c>
      <c r="R317" s="38" t="str">
        <f>IF(Cleaned_Final!$I317&gt;=5000,"High","Low")</f>
        <v>Low</v>
      </c>
    </row>
    <row r="318" spans="1:18" x14ac:dyDescent="0.35">
      <c r="A318" s="34">
        <v>1093</v>
      </c>
      <c r="B318" s="34" t="str">
        <f>_xlfn.XLOOKUP(Table2[[#This Row],[Product ID]],Sheet1!$A$32:$A$200,Sheet1!$B$32:$B$200,"Not Found")</f>
        <v>Dining Table</v>
      </c>
      <c r="C318" s="35">
        <v>45192</v>
      </c>
      <c r="D318" s="34" t="s">
        <v>33</v>
      </c>
      <c r="E318" s="34" t="str" cm="1">
        <f t="array" ref="E318">_xlfn.XLOOKUP(Table2[[#This Row],[Sales Rep]],Sheet1!$A$21:$A$25,Sheet1!$B$21:$B$25,Not Found)</f>
        <v>Susan Jerkins</v>
      </c>
      <c r="F318" s="34" t="s">
        <v>15</v>
      </c>
      <c r="G318" s="34">
        <f>_xlfn.XLOOKUP(Table2[[#This Row],[Region]],Sheet1!$A$12:$A$15,Sheet1!$B$12:$B$15,0)</f>
        <v>7.4999999999999997E-2</v>
      </c>
      <c r="H318" s="36">
        <f>Table2[[#This Row],[Tax Rate]]*Table2[[#This Row],[Sales Amount]]</f>
        <v>734.05499999999995</v>
      </c>
      <c r="I318" s="36">
        <v>9787.4</v>
      </c>
      <c r="J318" s="34">
        <v>40</v>
      </c>
      <c r="K318" s="34" t="s">
        <v>16</v>
      </c>
      <c r="L318" s="36">
        <v>1047.25</v>
      </c>
      <c r="M318" s="36">
        <v>1075.8900000000001</v>
      </c>
      <c r="N318" s="34" t="s">
        <v>30</v>
      </c>
      <c r="O318" s="37">
        <v>0.28000000000000003</v>
      </c>
      <c r="P318" s="34" t="s">
        <v>31</v>
      </c>
      <c r="Q318" s="34" t="s">
        <v>22</v>
      </c>
      <c r="R318" s="34" t="str">
        <f>IF(Cleaned_Final!$I318&gt;=5000,"High","Low")</f>
        <v>High</v>
      </c>
    </row>
    <row r="319" spans="1:18" x14ac:dyDescent="0.35">
      <c r="A319" s="38">
        <v>1018</v>
      </c>
      <c r="B319" s="38" t="str">
        <f>_xlfn.XLOOKUP(Table2[[#This Row],[Product ID]],Sheet1!$A$32:$A$200,Sheet1!$B$32:$B$200,"Not Found")</f>
        <v>Dress Shirt</v>
      </c>
      <c r="C319" s="39">
        <v>45292</v>
      </c>
      <c r="D319" s="38" t="s">
        <v>42</v>
      </c>
      <c r="E319" s="38" t="str" cm="1">
        <f t="array" ref="E319">_xlfn.XLOOKUP(Table2[[#This Row],[Sales Rep]],Sheet1!$A$21:$A$25,Sheet1!$B$21:$B$25,Not Found)</f>
        <v>Scott Wayne</v>
      </c>
      <c r="F319" s="38" t="s">
        <v>21</v>
      </c>
      <c r="G319" s="38">
        <f>_xlfn.XLOOKUP(Table2[[#This Row],[Region]],Sheet1!$A$12:$A$15,Sheet1!$B$12:$B$15,0)</f>
        <v>0.08</v>
      </c>
      <c r="H319" s="40">
        <f>Table2[[#This Row],[Tax Rate]]*Table2[[#This Row],[Sales Amount]]</f>
        <v>686.37759999999992</v>
      </c>
      <c r="I319" s="40">
        <v>8579.7199999999993</v>
      </c>
      <c r="J319" s="38">
        <v>24</v>
      </c>
      <c r="K319" s="38" t="s">
        <v>35</v>
      </c>
      <c r="L319" s="40">
        <v>1362.78</v>
      </c>
      <c r="M319" s="40">
        <v>1729.81</v>
      </c>
      <c r="N319" s="38" t="s">
        <v>30</v>
      </c>
      <c r="O319" s="41">
        <v>0.28999999999999998</v>
      </c>
      <c r="P319" s="38" t="s">
        <v>27</v>
      </c>
      <c r="Q319" s="38" t="s">
        <v>19</v>
      </c>
      <c r="R319" s="38" t="str">
        <f>IF(Cleaned_Final!$I319&gt;=5000,"High","Low")</f>
        <v>High</v>
      </c>
    </row>
    <row r="320" spans="1:18" x14ac:dyDescent="0.35">
      <c r="A320" s="34">
        <v>1082</v>
      </c>
      <c r="B320" s="34" t="str">
        <f>_xlfn.XLOOKUP(Table2[[#This Row],[Product ID]],Sheet1!$A$32:$A$200,Sheet1!$B$32:$B$200,"Not Found")</f>
        <v>USB Drive</v>
      </c>
      <c r="C320" s="35">
        <v>45088</v>
      </c>
      <c r="D320" s="34" t="s">
        <v>42</v>
      </c>
      <c r="E320" s="34" t="str" cm="1">
        <f t="array" ref="E320">_xlfn.XLOOKUP(Table2[[#This Row],[Sales Rep]],Sheet1!$A$21:$A$25,Sheet1!$B$21:$B$25,Not Found)</f>
        <v>Scott Wayne</v>
      </c>
      <c r="F320" s="34" t="s">
        <v>15</v>
      </c>
      <c r="G320" s="34">
        <f>_xlfn.XLOOKUP(Table2[[#This Row],[Region]],Sheet1!$A$12:$A$15,Sheet1!$B$12:$B$15,0)</f>
        <v>7.4999999999999997E-2</v>
      </c>
      <c r="H320" s="36">
        <f>Table2[[#This Row],[Tax Rate]]*Table2[[#This Row],[Sales Amount]]</f>
        <v>528.11849999999993</v>
      </c>
      <c r="I320" s="36">
        <v>7041.58</v>
      </c>
      <c r="J320" s="34">
        <v>17</v>
      </c>
      <c r="K320" s="34" t="s">
        <v>16</v>
      </c>
      <c r="L320" s="36">
        <v>890.31</v>
      </c>
      <c r="M320" s="36">
        <v>1159.06</v>
      </c>
      <c r="N320" s="34" t="s">
        <v>17</v>
      </c>
      <c r="O320" s="37">
        <v>0.06</v>
      </c>
      <c r="P320" s="34" t="s">
        <v>18</v>
      </c>
      <c r="Q320" s="34" t="s">
        <v>22</v>
      </c>
      <c r="R320" s="34" t="str">
        <f>IF(Cleaned_Final!$I320&gt;=5000,"High","Low")</f>
        <v>High</v>
      </c>
    </row>
    <row r="321" spans="1:18" x14ac:dyDescent="0.35">
      <c r="A321" s="38">
        <v>1066</v>
      </c>
      <c r="B321" s="38" t="str">
        <f>_xlfn.XLOOKUP(Table2[[#This Row],[Product ID]],Sheet1!$A$32:$A$200,Sheet1!$B$32:$B$200,"Not Found")</f>
        <v>Armoire</v>
      </c>
      <c r="C321" s="39">
        <v>45013</v>
      </c>
      <c r="D321" s="38" t="s">
        <v>33</v>
      </c>
      <c r="E321" s="38" t="str" cm="1">
        <f t="array" ref="E321">_xlfn.XLOOKUP(Table2[[#This Row],[Sales Rep]],Sheet1!$A$21:$A$25,Sheet1!$B$21:$B$25,Not Found)</f>
        <v>Susan Jerkins</v>
      </c>
      <c r="F321" s="38" t="s">
        <v>15</v>
      </c>
      <c r="G321" s="38">
        <f>_xlfn.XLOOKUP(Table2[[#This Row],[Region]],Sheet1!$A$12:$A$15,Sheet1!$B$12:$B$15,0)</f>
        <v>7.4999999999999997E-2</v>
      </c>
      <c r="H321" s="40">
        <f>Table2[[#This Row],[Tax Rate]]*Table2[[#This Row],[Sales Amount]]</f>
        <v>547.33949999999993</v>
      </c>
      <c r="I321" s="40">
        <v>7297.86</v>
      </c>
      <c r="J321" s="38">
        <v>7</v>
      </c>
      <c r="K321" s="38" t="s">
        <v>29</v>
      </c>
      <c r="L321" s="40">
        <v>523.41999999999996</v>
      </c>
      <c r="M321" s="40">
        <v>632.43999999999903</v>
      </c>
      <c r="N321" s="38" t="s">
        <v>30</v>
      </c>
      <c r="O321" s="41">
        <v>0.2</v>
      </c>
      <c r="P321" s="38" t="s">
        <v>27</v>
      </c>
      <c r="Q321" s="38" t="s">
        <v>19</v>
      </c>
      <c r="R321" s="38" t="str">
        <f>IF(Cleaned_Final!$I321&gt;=5000,"High","Low")</f>
        <v>High</v>
      </c>
    </row>
    <row r="322" spans="1:18" x14ac:dyDescent="0.35">
      <c r="A322" s="34">
        <v>1054</v>
      </c>
      <c r="B322" s="34" t="str">
        <f>_xlfn.XLOOKUP(Table2[[#This Row],[Product ID]],Sheet1!$A$32:$A$200,Sheet1!$B$32:$B$200,"Not Found")</f>
        <v>Glider</v>
      </c>
      <c r="C322" s="35">
        <v>44981</v>
      </c>
      <c r="D322" s="34" t="s">
        <v>42</v>
      </c>
      <c r="E322" s="34" t="str" cm="1">
        <f t="array" ref="E322">_xlfn.XLOOKUP(Table2[[#This Row],[Sales Rep]],Sheet1!$A$21:$A$25,Sheet1!$B$21:$B$25,Not Found)</f>
        <v>Scott Wayne</v>
      </c>
      <c r="F322" s="34" t="s">
        <v>15</v>
      </c>
      <c r="G322" s="34">
        <f>_xlfn.XLOOKUP(Table2[[#This Row],[Region]],Sheet1!$A$12:$A$15,Sheet1!$B$12:$B$15,0)</f>
        <v>7.4999999999999997E-2</v>
      </c>
      <c r="H322" s="36">
        <f>Table2[[#This Row],[Tax Rate]]*Table2[[#This Row],[Sales Amount]]</f>
        <v>424.839</v>
      </c>
      <c r="I322" s="36">
        <v>5664.52</v>
      </c>
      <c r="J322" s="34">
        <v>43</v>
      </c>
      <c r="K322" s="34" t="s">
        <v>26</v>
      </c>
      <c r="L322" s="36">
        <v>2124.7199999999998</v>
      </c>
      <c r="M322" s="36">
        <v>2188.66</v>
      </c>
      <c r="N322" s="34" t="s">
        <v>17</v>
      </c>
      <c r="O322" s="37">
        <v>0.03</v>
      </c>
      <c r="P322" s="34" t="s">
        <v>31</v>
      </c>
      <c r="Q322" s="34" t="s">
        <v>22</v>
      </c>
      <c r="R322" s="34" t="str">
        <f>IF(Cleaned_Final!$I322&gt;=5000,"High","Low")</f>
        <v>High</v>
      </c>
    </row>
    <row r="323" spans="1:18" x14ac:dyDescent="0.35">
      <c r="A323" s="38">
        <v>1035</v>
      </c>
      <c r="B323" s="38" t="str">
        <f>_xlfn.XLOOKUP(Table2[[#This Row],[Product ID]],Sheet1!$A$32:$A$200,Sheet1!$B$32:$B$200,"Not Found")</f>
        <v>Doughnut</v>
      </c>
      <c r="C323" s="39">
        <v>45214</v>
      </c>
      <c r="D323" s="38" t="s">
        <v>24</v>
      </c>
      <c r="E323" s="38" t="str" cm="1">
        <f t="array" ref="E323">_xlfn.XLOOKUP(Table2[[#This Row],[Sales Rep]],Sheet1!$A$21:$A$25,Sheet1!$B$21:$B$25,Not Found)</f>
        <v>Hogan Rock</v>
      </c>
      <c r="F323" s="38" t="s">
        <v>15</v>
      </c>
      <c r="G323" s="38">
        <f>_xlfn.XLOOKUP(Table2[[#This Row],[Region]],Sheet1!$A$12:$A$15,Sheet1!$B$12:$B$15,0)</f>
        <v>7.4999999999999997E-2</v>
      </c>
      <c r="H323" s="40">
        <f>Table2[[#This Row],[Tax Rate]]*Table2[[#This Row],[Sales Amount]]</f>
        <v>710.71500000000003</v>
      </c>
      <c r="I323" s="40">
        <v>9476.2000000000007</v>
      </c>
      <c r="J323" s="38">
        <v>1</v>
      </c>
      <c r="K323" s="38" t="s">
        <v>16</v>
      </c>
      <c r="L323" s="40">
        <v>610.83000000000004</v>
      </c>
      <c r="M323" s="40">
        <v>808.69</v>
      </c>
      <c r="N323" s="38" t="s">
        <v>30</v>
      </c>
      <c r="O323" s="41">
        <v>0.22</v>
      </c>
      <c r="P323" s="38" t="s">
        <v>31</v>
      </c>
      <c r="Q323" s="38" t="s">
        <v>19</v>
      </c>
      <c r="R323" s="38" t="str">
        <f>IF(Cleaned_Final!$I323&gt;=5000,"High","Low")</f>
        <v>High</v>
      </c>
    </row>
    <row r="324" spans="1:18" x14ac:dyDescent="0.35">
      <c r="A324" s="34">
        <v>1080</v>
      </c>
      <c r="B324" s="34" t="str">
        <f>_xlfn.XLOOKUP(Table2[[#This Row],[Product ID]],Sheet1!$A$32:$A$200,Sheet1!$B$32:$B$200,"Not Found")</f>
        <v>Headphones</v>
      </c>
      <c r="C324" s="35">
        <v>45104</v>
      </c>
      <c r="D324" s="34" t="s">
        <v>38</v>
      </c>
      <c r="E324" s="34" t="str" cm="1">
        <f t="array" ref="E324">_xlfn.XLOOKUP(Table2[[#This Row],[Sales Rep]],Sheet1!$A$21:$A$25,Sheet1!$B$21:$B$25,Not Found)</f>
        <v>Tracy Moore</v>
      </c>
      <c r="F324" s="34" t="s">
        <v>21</v>
      </c>
      <c r="G324" s="34">
        <f>_xlfn.XLOOKUP(Table2[[#This Row],[Region]],Sheet1!$A$12:$A$15,Sheet1!$B$12:$B$15,0)</f>
        <v>0.08</v>
      </c>
      <c r="H324" s="36">
        <f>Table2[[#This Row],[Tax Rate]]*Table2[[#This Row],[Sales Amount]]</f>
        <v>401.03680000000003</v>
      </c>
      <c r="I324" s="36">
        <v>5012.96</v>
      </c>
      <c r="J324" s="34">
        <v>35</v>
      </c>
      <c r="K324" s="34" t="s">
        <v>16</v>
      </c>
      <c r="L324" s="36">
        <v>900.97</v>
      </c>
      <c r="M324" s="36">
        <v>1321.18</v>
      </c>
      <c r="N324" s="34" t="s">
        <v>17</v>
      </c>
      <c r="O324" s="37">
        <v>0.1</v>
      </c>
      <c r="P324" s="34" t="s">
        <v>18</v>
      </c>
      <c r="Q324" s="34" t="s">
        <v>19</v>
      </c>
      <c r="R324" s="34" t="str">
        <f>IF(Cleaned_Final!$I324&gt;=5000,"High","Low")</f>
        <v>High</v>
      </c>
    </row>
    <row r="325" spans="1:18" x14ac:dyDescent="0.35">
      <c r="A325" s="38">
        <v>1061</v>
      </c>
      <c r="B325" s="38" t="str">
        <f>_xlfn.XLOOKUP(Table2[[#This Row],[Product ID]],Sheet1!$A$32:$A$200,Sheet1!$B$32:$B$200,"Not Found")</f>
        <v>Laptop</v>
      </c>
      <c r="C325" s="39">
        <v>45275</v>
      </c>
      <c r="D325" s="38" t="s">
        <v>42</v>
      </c>
      <c r="E325" s="38" t="str" cm="1">
        <f t="array" ref="E325">_xlfn.XLOOKUP(Table2[[#This Row],[Sales Rep]],Sheet1!$A$21:$A$25,Sheet1!$B$21:$B$25,Not Found)</f>
        <v>Scott Wayne</v>
      </c>
      <c r="F325" s="38" t="s">
        <v>15</v>
      </c>
      <c r="G325" s="38">
        <f>_xlfn.XLOOKUP(Table2[[#This Row],[Region]],Sheet1!$A$12:$A$15,Sheet1!$B$12:$B$15,0)</f>
        <v>7.4999999999999997E-2</v>
      </c>
      <c r="H325" s="40">
        <f>Table2[[#This Row],[Tax Rate]]*Table2[[#This Row],[Sales Amount]]</f>
        <v>290.03474999999997</v>
      </c>
      <c r="I325" s="40">
        <v>3867.13</v>
      </c>
      <c r="J325" s="38">
        <v>32</v>
      </c>
      <c r="K325" s="38" t="s">
        <v>26</v>
      </c>
      <c r="L325" s="40">
        <v>2759.26</v>
      </c>
      <c r="M325" s="40">
        <v>3193.25</v>
      </c>
      <c r="N325" s="38" t="s">
        <v>30</v>
      </c>
      <c r="O325" s="41">
        <v>0.2</v>
      </c>
      <c r="P325" s="38" t="s">
        <v>27</v>
      </c>
      <c r="Q325" s="38" t="s">
        <v>19</v>
      </c>
      <c r="R325" s="38" t="str">
        <f>IF(Cleaned_Final!$I325&gt;=5000,"High","Low")</f>
        <v>Low</v>
      </c>
    </row>
    <row r="326" spans="1:18" x14ac:dyDescent="0.35">
      <c r="A326" s="34">
        <v>1041</v>
      </c>
      <c r="B326" s="34" t="str">
        <f>_xlfn.XLOOKUP(Table2[[#This Row],[Product ID]],Sheet1!$A$32:$A$200,Sheet1!$B$32:$B$200,"Not Found")</f>
        <v>Bread</v>
      </c>
      <c r="C326" s="35">
        <v>44934</v>
      </c>
      <c r="D326" s="34" t="s">
        <v>24</v>
      </c>
      <c r="E326" s="34" t="str" cm="1">
        <f t="array" ref="E326">_xlfn.XLOOKUP(Table2[[#This Row],[Sales Rep]],Sheet1!$A$21:$A$25,Sheet1!$B$21:$B$25,Not Found)</f>
        <v>Hogan Rock</v>
      </c>
      <c r="F326" s="34" t="s">
        <v>34</v>
      </c>
      <c r="G326" s="34">
        <f>_xlfn.XLOOKUP(Table2[[#This Row],[Region]],Sheet1!$A$12:$A$15,Sheet1!$B$12:$B$15,0)</f>
        <v>0.06</v>
      </c>
      <c r="H326" s="36">
        <f>Table2[[#This Row],[Tax Rate]]*Table2[[#This Row],[Sales Amount]]</f>
        <v>102.84299999999999</v>
      </c>
      <c r="I326" s="36">
        <v>1714.05</v>
      </c>
      <c r="J326" s="34">
        <v>36</v>
      </c>
      <c r="K326" s="34" t="s">
        <v>26</v>
      </c>
      <c r="L326" s="36">
        <v>864.77</v>
      </c>
      <c r="M326" s="36">
        <v>1170.1599999999901</v>
      </c>
      <c r="N326" s="34" t="s">
        <v>17</v>
      </c>
      <c r="O326" s="37">
        <v>0.11</v>
      </c>
      <c r="P326" s="34" t="s">
        <v>18</v>
      </c>
      <c r="Q326" s="34" t="s">
        <v>22</v>
      </c>
      <c r="R326" s="34" t="str">
        <f>IF(Cleaned_Final!$I326&gt;=5000,"High","Low")</f>
        <v>Low</v>
      </c>
    </row>
    <row r="327" spans="1:18" x14ac:dyDescent="0.35">
      <c r="A327" s="38">
        <v>1100</v>
      </c>
      <c r="B327" s="38" t="str">
        <f>_xlfn.XLOOKUP(Table2[[#This Row],[Product ID]],Sheet1!$A$32:$A$200,Sheet1!$B$32:$B$200,"Not Found")</f>
        <v>Protein Cookies</v>
      </c>
      <c r="C327" s="39">
        <v>45247</v>
      </c>
      <c r="D327" s="38" t="s">
        <v>14</v>
      </c>
      <c r="E327" s="38" t="str" cm="1">
        <f t="array" ref="E327">_xlfn.XLOOKUP(Table2[[#This Row],[Sales Rep]],Sheet1!$A$21:$A$25,Sheet1!$B$21:$B$25,Not Found)</f>
        <v>Michael Smith</v>
      </c>
      <c r="F327" s="38" t="s">
        <v>34</v>
      </c>
      <c r="G327" s="38">
        <f>_xlfn.XLOOKUP(Table2[[#This Row],[Region]],Sheet1!$A$12:$A$15,Sheet1!$B$12:$B$15,0)</f>
        <v>0.06</v>
      </c>
      <c r="H327" s="40">
        <f>Table2[[#This Row],[Tax Rate]]*Table2[[#This Row],[Sales Amount]]</f>
        <v>473.00639999999999</v>
      </c>
      <c r="I327" s="40">
        <v>7883.44</v>
      </c>
      <c r="J327" s="38">
        <v>13</v>
      </c>
      <c r="K327" s="38" t="s">
        <v>26</v>
      </c>
      <c r="L327" s="40">
        <v>366.2</v>
      </c>
      <c r="M327" s="40">
        <v>732.69</v>
      </c>
      <c r="N327" s="38" t="s">
        <v>30</v>
      </c>
      <c r="O327" s="41">
        <v>0.04</v>
      </c>
      <c r="P327" s="38" t="s">
        <v>18</v>
      </c>
      <c r="Q327" s="38" t="s">
        <v>22</v>
      </c>
      <c r="R327" s="38" t="str">
        <f>IF(Cleaned_Final!$I327&gt;=5000,"High","Low")</f>
        <v>High</v>
      </c>
    </row>
    <row r="328" spans="1:18" x14ac:dyDescent="0.35">
      <c r="A328" s="34">
        <v>1033</v>
      </c>
      <c r="B328" s="34" t="str">
        <f>_xlfn.XLOOKUP(Table2[[#This Row],[Product ID]],Sheet1!$A$32:$A$200,Sheet1!$B$32:$B$200,"Not Found")</f>
        <v>TV Stand</v>
      </c>
      <c r="C328" s="35">
        <v>45239</v>
      </c>
      <c r="D328" s="34" t="s">
        <v>24</v>
      </c>
      <c r="E328" s="34" t="str" cm="1">
        <f t="array" ref="E328">_xlfn.XLOOKUP(Table2[[#This Row],[Sales Rep]],Sheet1!$A$21:$A$25,Sheet1!$B$21:$B$25,Not Found)</f>
        <v>Hogan Rock</v>
      </c>
      <c r="F328" s="34" t="s">
        <v>34</v>
      </c>
      <c r="G328" s="34">
        <f>_xlfn.XLOOKUP(Table2[[#This Row],[Region]],Sheet1!$A$12:$A$15,Sheet1!$B$12:$B$15,0)</f>
        <v>0.06</v>
      </c>
      <c r="H328" s="36">
        <f>Table2[[#This Row],[Tax Rate]]*Table2[[#This Row],[Sales Amount]]</f>
        <v>442.25939999999997</v>
      </c>
      <c r="I328" s="36">
        <v>7370.99</v>
      </c>
      <c r="J328" s="34">
        <v>6</v>
      </c>
      <c r="K328" s="34" t="s">
        <v>29</v>
      </c>
      <c r="L328" s="36">
        <v>1621.07</v>
      </c>
      <c r="M328" s="36">
        <v>1687.5</v>
      </c>
      <c r="N328" s="34" t="s">
        <v>17</v>
      </c>
      <c r="O328" s="37">
        <v>0.12</v>
      </c>
      <c r="P328" s="34" t="s">
        <v>31</v>
      </c>
      <c r="Q328" s="34" t="s">
        <v>19</v>
      </c>
      <c r="R328" s="34" t="str">
        <f>IF(Cleaned_Final!$I328&gt;=5000,"High","Low")</f>
        <v>High</v>
      </c>
    </row>
    <row r="329" spans="1:18" x14ac:dyDescent="0.35">
      <c r="A329" s="38">
        <v>1068</v>
      </c>
      <c r="B329" s="38" t="str">
        <f>_xlfn.XLOOKUP(Table2[[#This Row],[Product ID]],Sheet1!$A$32:$A$200,Sheet1!$B$32:$B$200,"Not Found")</f>
        <v>Leggings</v>
      </c>
      <c r="C329" s="39">
        <v>45173</v>
      </c>
      <c r="D329" s="38" t="s">
        <v>38</v>
      </c>
      <c r="E329" s="38" t="str" cm="1">
        <f t="array" ref="E329">_xlfn.XLOOKUP(Table2[[#This Row],[Sales Rep]],Sheet1!$A$21:$A$25,Sheet1!$B$21:$B$25,Not Found)</f>
        <v>Tracy Moore</v>
      </c>
      <c r="F329" s="38" t="s">
        <v>34</v>
      </c>
      <c r="G329" s="38">
        <f>_xlfn.XLOOKUP(Table2[[#This Row],[Region]],Sheet1!$A$12:$A$15,Sheet1!$B$12:$B$15,0)</f>
        <v>0.06</v>
      </c>
      <c r="H329" s="40">
        <f>Table2[[#This Row],[Tax Rate]]*Table2[[#This Row],[Sales Amount]]</f>
        <v>234.3066</v>
      </c>
      <c r="I329" s="40">
        <v>3905.11</v>
      </c>
      <c r="J329" s="38">
        <v>14</v>
      </c>
      <c r="K329" s="38" t="s">
        <v>26</v>
      </c>
      <c r="L329" s="40">
        <v>1140.58</v>
      </c>
      <c r="M329" s="40">
        <v>1438.76</v>
      </c>
      <c r="N329" s="38" t="s">
        <v>17</v>
      </c>
      <c r="O329" s="41">
        <v>0.03</v>
      </c>
      <c r="P329" s="38" t="s">
        <v>27</v>
      </c>
      <c r="Q329" s="38" t="s">
        <v>19</v>
      </c>
      <c r="R329" s="38" t="str">
        <f>IF(Cleaned_Final!$I329&gt;=5000,"High","Low")</f>
        <v>Low</v>
      </c>
    </row>
    <row r="330" spans="1:18" x14ac:dyDescent="0.35">
      <c r="A330" s="34">
        <v>1033</v>
      </c>
      <c r="B330" s="34" t="str">
        <f>_xlfn.XLOOKUP(Table2[[#This Row],[Product ID]],Sheet1!$A$32:$A$200,Sheet1!$B$32:$B$200,"Not Found")</f>
        <v>TV Stand</v>
      </c>
      <c r="C330" s="35">
        <v>45249</v>
      </c>
      <c r="D330" s="34" t="s">
        <v>24</v>
      </c>
      <c r="E330" s="34" t="str" cm="1">
        <f t="array" ref="E330">_xlfn.XLOOKUP(Table2[[#This Row],[Sales Rep]],Sheet1!$A$21:$A$25,Sheet1!$B$21:$B$25,Not Found)</f>
        <v>Hogan Rock</v>
      </c>
      <c r="F330" s="34" t="s">
        <v>15</v>
      </c>
      <c r="G330" s="34">
        <f>_xlfn.XLOOKUP(Table2[[#This Row],[Region]],Sheet1!$A$12:$A$15,Sheet1!$B$12:$B$15,0)</f>
        <v>7.4999999999999997E-2</v>
      </c>
      <c r="H330" s="36">
        <f>Table2[[#This Row],[Tax Rate]]*Table2[[#This Row],[Sales Amount]]</f>
        <v>26.205750000000002</v>
      </c>
      <c r="I330" s="36">
        <v>349.41</v>
      </c>
      <c r="J330" s="34">
        <v>37</v>
      </c>
      <c r="K330" s="34" t="s">
        <v>35</v>
      </c>
      <c r="L330" s="36">
        <v>2600.7600000000002</v>
      </c>
      <c r="M330" s="36">
        <v>2937.57</v>
      </c>
      <c r="N330" s="34" t="s">
        <v>30</v>
      </c>
      <c r="O330" s="37">
        <v>0.17</v>
      </c>
      <c r="P330" s="34" t="s">
        <v>31</v>
      </c>
      <c r="Q330" s="34" t="s">
        <v>22</v>
      </c>
      <c r="R330" s="34" t="str">
        <f>IF(Cleaned_Final!$I330&gt;=5000,"High","Low")</f>
        <v>Low</v>
      </c>
    </row>
    <row r="331" spans="1:18" x14ac:dyDescent="0.35">
      <c r="A331" s="38">
        <v>1014</v>
      </c>
      <c r="B331" s="38" t="str">
        <f>_xlfn.XLOOKUP(Table2[[#This Row],[Product ID]],Sheet1!$A$32:$A$200,Sheet1!$B$32:$B$200,"Not Found")</f>
        <v>Cheese Block</v>
      </c>
      <c r="C331" s="39">
        <v>45181</v>
      </c>
      <c r="D331" s="38" t="s">
        <v>33</v>
      </c>
      <c r="E331" s="38" t="str" cm="1">
        <f t="array" ref="E331">_xlfn.XLOOKUP(Table2[[#This Row],[Sales Rep]],Sheet1!$A$21:$A$25,Sheet1!$B$21:$B$25,Not Found)</f>
        <v>Susan Jerkins</v>
      </c>
      <c r="F331" s="38" t="s">
        <v>34</v>
      </c>
      <c r="G331" s="38">
        <f>_xlfn.XLOOKUP(Table2[[#This Row],[Region]],Sheet1!$A$12:$A$15,Sheet1!$B$12:$B$15,0)</f>
        <v>0.06</v>
      </c>
      <c r="H331" s="40">
        <f>Table2[[#This Row],[Tax Rate]]*Table2[[#This Row],[Sales Amount]]</f>
        <v>504.36419999999998</v>
      </c>
      <c r="I331" s="40">
        <v>8406.07</v>
      </c>
      <c r="J331" s="38">
        <v>48</v>
      </c>
      <c r="K331" s="38" t="s">
        <v>16</v>
      </c>
      <c r="L331" s="40">
        <v>556.72</v>
      </c>
      <c r="M331" s="40">
        <v>665.07</v>
      </c>
      <c r="N331" s="38" t="s">
        <v>17</v>
      </c>
      <c r="O331" s="41">
        <v>0.01</v>
      </c>
      <c r="P331" s="38" t="s">
        <v>27</v>
      </c>
      <c r="Q331" s="38" t="s">
        <v>22</v>
      </c>
      <c r="R331" s="38" t="str">
        <f>IF(Cleaned_Final!$I331&gt;=5000,"High","Low")</f>
        <v>High</v>
      </c>
    </row>
    <row r="332" spans="1:18" x14ac:dyDescent="0.35">
      <c r="A332" s="34">
        <v>1021</v>
      </c>
      <c r="B332" s="34" t="str">
        <f>_xlfn.XLOOKUP(Table2[[#This Row],[Product ID]],Sheet1!$A$32:$A$200,Sheet1!$B$32:$B$200,"Not Found")</f>
        <v>Almond Milk</v>
      </c>
      <c r="C332" s="35">
        <v>45254</v>
      </c>
      <c r="D332" s="34" t="s">
        <v>38</v>
      </c>
      <c r="E332" s="34" t="str" cm="1">
        <f t="array" ref="E332">_xlfn.XLOOKUP(Table2[[#This Row],[Sales Rep]],Sheet1!$A$21:$A$25,Sheet1!$B$21:$B$25,Not Found)</f>
        <v>Tracy Moore</v>
      </c>
      <c r="F332" s="34" t="s">
        <v>15</v>
      </c>
      <c r="G332" s="34">
        <f>_xlfn.XLOOKUP(Table2[[#This Row],[Region]],Sheet1!$A$12:$A$15,Sheet1!$B$12:$B$15,0)</f>
        <v>7.4999999999999997E-2</v>
      </c>
      <c r="H332" s="36">
        <f>Table2[[#This Row],[Tax Rate]]*Table2[[#This Row],[Sales Amount]]</f>
        <v>15.977999999999998</v>
      </c>
      <c r="I332" s="36">
        <v>213.04</v>
      </c>
      <c r="J332" s="34">
        <v>15</v>
      </c>
      <c r="K332" s="34" t="s">
        <v>26</v>
      </c>
      <c r="L332" s="36">
        <v>3771.27</v>
      </c>
      <c r="M332" s="36">
        <v>4212.55</v>
      </c>
      <c r="N332" s="34" t="s">
        <v>17</v>
      </c>
      <c r="O332" s="37">
        <v>0.16</v>
      </c>
      <c r="P332" s="34" t="s">
        <v>31</v>
      </c>
      <c r="Q332" s="34" t="s">
        <v>22</v>
      </c>
      <c r="R332" s="34" t="str">
        <f>IF(Cleaned_Final!$I332&gt;=5000,"High","Low")</f>
        <v>Low</v>
      </c>
    </row>
    <row r="333" spans="1:18" x14ac:dyDescent="0.35">
      <c r="A333" s="38">
        <v>1048</v>
      </c>
      <c r="B333" s="38" t="str">
        <f>_xlfn.XLOOKUP(Table2[[#This Row],[Product ID]],Sheet1!$A$32:$A$200,Sheet1!$B$32:$B$200,"Not Found")</f>
        <v>Chaise Lounge</v>
      </c>
      <c r="C333" s="39">
        <v>44980</v>
      </c>
      <c r="D333" s="38" t="s">
        <v>14</v>
      </c>
      <c r="E333" s="38" t="str" cm="1">
        <f t="array" ref="E333">_xlfn.XLOOKUP(Table2[[#This Row],[Sales Rep]],Sheet1!$A$21:$A$25,Sheet1!$B$21:$B$25,Not Found)</f>
        <v>Michael Smith</v>
      </c>
      <c r="F333" s="38" t="s">
        <v>21</v>
      </c>
      <c r="G333" s="38">
        <f>_xlfn.XLOOKUP(Table2[[#This Row],[Region]],Sheet1!$A$12:$A$15,Sheet1!$B$12:$B$15,0)</f>
        <v>0.08</v>
      </c>
      <c r="H333" s="40">
        <f>Table2[[#This Row],[Tax Rate]]*Table2[[#This Row],[Sales Amount]]</f>
        <v>565.33040000000005</v>
      </c>
      <c r="I333" s="40">
        <v>7066.63</v>
      </c>
      <c r="J333" s="38">
        <v>47</v>
      </c>
      <c r="K333" s="38" t="s">
        <v>26</v>
      </c>
      <c r="L333" s="40">
        <v>4535.8599999999997</v>
      </c>
      <c r="M333" s="40">
        <v>4641.41</v>
      </c>
      <c r="N333" s="38" t="s">
        <v>30</v>
      </c>
      <c r="O333" s="41">
        <v>0.27</v>
      </c>
      <c r="P333" s="38" t="s">
        <v>31</v>
      </c>
      <c r="Q333" s="38" t="s">
        <v>22</v>
      </c>
      <c r="R333" s="38" t="str">
        <f>IF(Cleaned_Final!$I333&gt;=5000,"High","Low")</f>
        <v>High</v>
      </c>
    </row>
    <row r="334" spans="1:18" x14ac:dyDescent="0.35">
      <c r="A334" s="34">
        <v>1020</v>
      </c>
      <c r="B334" s="34" t="str">
        <f>_xlfn.XLOOKUP(Table2[[#This Row],[Product ID]],Sheet1!$A$32:$A$200,Sheet1!$B$32:$B$200,"Not Found")</f>
        <v>Apron</v>
      </c>
      <c r="C334" s="35">
        <v>45175</v>
      </c>
      <c r="D334" s="34" t="s">
        <v>33</v>
      </c>
      <c r="E334" s="34" t="str" cm="1">
        <f t="array" ref="E334">_xlfn.XLOOKUP(Table2[[#This Row],[Sales Rep]],Sheet1!$A$21:$A$25,Sheet1!$B$21:$B$25,Not Found)</f>
        <v>Susan Jerkins</v>
      </c>
      <c r="F334" s="34" t="s">
        <v>34</v>
      </c>
      <c r="G334" s="34">
        <f>_xlfn.XLOOKUP(Table2[[#This Row],[Region]],Sheet1!$A$12:$A$15,Sheet1!$B$12:$B$15,0)</f>
        <v>0.06</v>
      </c>
      <c r="H334" s="36">
        <f>Table2[[#This Row],[Tax Rate]]*Table2[[#This Row],[Sales Amount]]</f>
        <v>582.33299999999997</v>
      </c>
      <c r="I334" s="36">
        <v>9705.5499999999993</v>
      </c>
      <c r="J334" s="34">
        <v>4</v>
      </c>
      <c r="K334" s="34" t="s">
        <v>29</v>
      </c>
      <c r="L334" s="36">
        <v>3730</v>
      </c>
      <c r="M334" s="36">
        <v>3893.6</v>
      </c>
      <c r="N334" s="34" t="s">
        <v>30</v>
      </c>
      <c r="O334" s="37">
        <v>0.25</v>
      </c>
      <c r="P334" s="34" t="s">
        <v>27</v>
      </c>
      <c r="Q334" s="34" t="s">
        <v>22</v>
      </c>
      <c r="R334" s="34" t="str">
        <f>IF(Cleaned_Final!$I334&gt;=5000,"High","Low")</f>
        <v>High</v>
      </c>
    </row>
    <row r="335" spans="1:18" x14ac:dyDescent="0.35">
      <c r="A335" s="38">
        <v>1008</v>
      </c>
      <c r="B335" s="38" t="str">
        <f>_xlfn.XLOOKUP(Table2[[#This Row],[Product ID]],Sheet1!$A$32:$A$200,Sheet1!$B$32:$B$200,"Not Found")</f>
        <v>Skirt</v>
      </c>
      <c r="C335" s="39">
        <v>45165</v>
      </c>
      <c r="D335" s="38" t="s">
        <v>24</v>
      </c>
      <c r="E335" s="38" t="str" cm="1">
        <f t="array" ref="E335">_xlfn.XLOOKUP(Table2[[#This Row],[Sales Rep]],Sheet1!$A$21:$A$25,Sheet1!$B$21:$B$25,Not Found)</f>
        <v>Hogan Rock</v>
      </c>
      <c r="F335" s="38" t="s">
        <v>25</v>
      </c>
      <c r="G335" s="38">
        <f>_xlfn.XLOOKUP(Table2[[#This Row],[Region]],Sheet1!$A$12:$A$15,Sheet1!$B$12:$B$15,0)</f>
        <v>0.05</v>
      </c>
      <c r="H335" s="40">
        <f>Table2[[#This Row],[Tax Rate]]*Table2[[#This Row],[Sales Amount]]</f>
        <v>221.64250000000004</v>
      </c>
      <c r="I335" s="40">
        <v>4432.8500000000004</v>
      </c>
      <c r="J335" s="38">
        <v>40</v>
      </c>
      <c r="K335" s="38" t="s">
        <v>29</v>
      </c>
      <c r="L335" s="40">
        <v>2687.49</v>
      </c>
      <c r="M335" s="40">
        <v>3001.56</v>
      </c>
      <c r="N335" s="38" t="s">
        <v>17</v>
      </c>
      <c r="O335" s="41">
        <v>0.26</v>
      </c>
      <c r="P335" s="38" t="s">
        <v>27</v>
      </c>
      <c r="Q335" s="38" t="s">
        <v>19</v>
      </c>
      <c r="R335" s="38" t="str">
        <f>IF(Cleaned_Final!$I335&gt;=5000,"High","Low")</f>
        <v>Low</v>
      </c>
    </row>
    <row r="336" spans="1:18" x14ac:dyDescent="0.35">
      <c r="A336" s="34">
        <v>1007</v>
      </c>
      <c r="B336" s="34" t="str">
        <f>_xlfn.XLOOKUP(Table2[[#This Row],[Product ID]],Sheet1!$A$32:$A$200,Sheet1!$B$32:$B$200,"Not Found")</f>
        <v>Fruit Jam</v>
      </c>
      <c r="C336" s="35">
        <v>45155</v>
      </c>
      <c r="D336" s="34" t="s">
        <v>38</v>
      </c>
      <c r="E336" s="34" t="str" cm="1">
        <f t="array" ref="E336">_xlfn.XLOOKUP(Table2[[#This Row],[Sales Rep]],Sheet1!$A$21:$A$25,Sheet1!$B$21:$B$25,Not Found)</f>
        <v>Tracy Moore</v>
      </c>
      <c r="F336" s="34" t="s">
        <v>34</v>
      </c>
      <c r="G336" s="34">
        <f>_xlfn.XLOOKUP(Table2[[#This Row],[Region]],Sheet1!$A$12:$A$15,Sheet1!$B$12:$B$15,0)</f>
        <v>0.06</v>
      </c>
      <c r="H336" s="36">
        <f>Table2[[#This Row],[Tax Rate]]*Table2[[#This Row],[Sales Amount]]</f>
        <v>145.57439999999997</v>
      </c>
      <c r="I336" s="36">
        <v>2426.2399999999998</v>
      </c>
      <c r="J336" s="34">
        <v>16</v>
      </c>
      <c r="K336" s="34" t="s">
        <v>16</v>
      </c>
      <c r="L336" s="36">
        <v>4310.3100000000004</v>
      </c>
      <c r="M336" s="36">
        <v>4633.1000000000004</v>
      </c>
      <c r="N336" s="34" t="s">
        <v>30</v>
      </c>
      <c r="O336" s="37">
        <v>0.28000000000000003</v>
      </c>
      <c r="P336" s="34" t="s">
        <v>31</v>
      </c>
      <c r="Q336" s="34" t="s">
        <v>22</v>
      </c>
      <c r="R336" s="34" t="str">
        <f>IF(Cleaned_Final!$I336&gt;=5000,"High","Low")</f>
        <v>Low</v>
      </c>
    </row>
    <row r="337" spans="1:18" x14ac:dyDescent="0.35">
      <c r="A337" s="38">
        <v>1067</v>
      </c>
      <c r="B337" s="38" t="str">
        <f>_xlfn.XLOOKUP(Table2[[#This Row],[Product ID]],Sheet1!$A$32:$A$200,Sheet1!$B$32:$B$200,"Not Found")</f>
        <v>Grapes</v>
      </c>
      <c r="C337" s="39">
        <v>44993</v>
      </c>
      <c r="D337" s="38" t="s">
        <v>14</v>
      </c>
      <c r="E337" s="38" t="str" cm="1">
        <f t="array" ref="E337">_xlfn.XLOOKUP(Table2[[#This Row],[Sales Rep]],Sheet1!$A$21:$A$25,Sheet1!$B$21:$B$25,Not Found)</f>
        <v>Michael Smith</v>
      </c>
      <c r="F337" s="38" t="s">
        <v>34</v>
      </c>
      <c r="G337" s="38">
        <f>_xlfn.XLOOKUP(Table2[[#This Row],[Region]],Sheet1!$A$12:$A$15,Sheet1!$B$12:$B$15,0)</f>
        <v>0.06</v>
      </c>
      <c r="H337" s="40">
        <f>Table2[[#This Row],[Tax Rate]]*Table2[[#This Row],[Sales Amount]]</f>
        <v>424.69319999999999</v>
      </c>
      <c r="I337" s="40">
        <v>7078.22</v>
      </c>
      <c r="J337" s="38">
        <v>28</v>
      </c>
      <c r="K337" s="38" t="s">
        <v>35</v>
      </c>
      <c r="L337" s="40">
        <v>3489.85</v>
      </c>
      <c r="M337" s="40">
        <v>3842.5499999999902</v>
      </c>
      <c r="N337" s="38" t="s">
        <v>30</v>
      </c>
      <c r="O337" s="41">
        <v>0.03</v>
      </c>
      <c r="P337" s="38" t="s">
        <v>27</v>
      </c>
      <c r="Q337" s="38" t="s">
        <v>19</v>
      </c>
      <c r="R337" s="38" t="str">
        <f>IF(Cleaned_Final!$I337&gt;=5000,"High","Low")</f>
        <v>High</v>
      </c>
    </row>
    <row r="338" spans="1:18" x14ac:dyDescent="0.35">
      <c r="A338" s="34">
        <v>1017</v>
      </c>
      <c r="B338" s="34" t="str">
        <f>_xlfn.XLOOKUP(Table2[[#This Row],[Product ID]],Sheet1!$A$32:$A$200,Sheet1!$B$32:$B$200,"Not Found")</f>
        <v>Peaches</v>
      </c>
      <c r="C338" s="35">
        <v>44977</v>
      </c>
      <c r="D338" s="34" t="s">
        <v>33</v>
      </c>
      <c r="E338" s="34" t="str" cm="1">
        <f t="array" ref="E338">_xlfn.XLOOKUP(Table2[[#This Row],[Sales Rep]],Sheet1!$A$21:$A$25,Sheet1!$B$21:$B$25,Not Found)</f>
        <v>Susan Jerkins</v>
      </c>
      <c r="F338" s="34" t="s">
        <v>15</v>
      </c>
      <c r="G338" s="34">
        <f>_xlfn.XLOOKUP(Table2[[#This Row],[Region]],Sheet1!$A$12:$A$15,Sheet1!$B$12:$B$15,0)</f>
        <v>7.4999999999999997E-2</v>
      </c>
      <c r="H338" s="36">
        <f>Table2[[#This Row],[Tax Rate]]*Table2[[#This Row],[Sales Amount]]</f>
        <v>614.21774999999991</v>
      </c>
      <c r="I338" s="36">
        <v>8189.57</v>
      </c>
      <c r="J338" s="34">
        <v>16</v>
      </c>
      <c r="K338" s="34" t="s">
        <v>16</v>
      </c>
      <c r="L338" s="36">
        <v>102.23</v>
      </c>
      <c r="M338" s="36">
        <v>167.12</v>
      </c>
      <c r="N338" s="34" t="s">
        <v>30</v>
      </c>
      <c r="O338" s="37">
        <v>0.04</v>
      </c>
      <c r="P338" s="34" t="s">
        <v>31</v>
      </c>
      <c r="Q338" s="34" t="s">
        <v>22</v>
      </c>
      <c r="R338" s="34" t="str">
        <f>IF(Cleaned_Final!$I338&gt;=5000,"High","Low")</f>
        <v>High</v>
      </c>
    </row>
    <row r="339" spans="1:18" x14ac:dyDescent="0.35">
      <c r="A339" s="38">
        <v>1033</v>
      </c>
      <c r="B339" s="38" t="str">
        <f>_xlfn.XLOOKUP(Table2[[#This Row],[Product ID]],Sheet1!$A$32:$A$200,Sheet1!$B$32:$B$200,"Not Found")</f>
        <v>TV Stand</v>
      </c>
      <c r="C339" s="39">
        <v>45023</v>
      </c>
      <c r="D339" s="38" t="s">
        <v>14</v>
      </c>
      <c r="E339" s="38" t="str" cm="1">
        <f t="array" ref="E339">_xlfn.XLOOKUP(Table2[[#This Row],[Sales Rep]],Sheet1!$A$21:$A$25,Sheet1!$B$21:$B$25,Not Found)</f>
        <v>Michael Smith</v>
      </c>
      <c r="F339" s="38" t="s">
        <v>34</v>
      </c>
      <c r="G339" s="38">
        <f>_xlfn.XLOOKUP(Table2[[#This Row],[Region]],Sheet1!$A$12:$A$15,Sheet1!$B$12:$B$15,0)</f>
        <v>0.06</v>
      </c>
      <c r="H339" s="40">
        <f>Table2[[#This Row],[Tax Rate]]*Table2[[#This Row],[Sales Amount]]</f>
        <v>330.57959999999997</v>
      </c>
      <c r="I339" s="40">
        <v>5509.66</v>
      </c>
      <c r="J339" s="38">
        <v>4</v>
      </c>
      <c r="K339" s="38" t="s">
        <v>26</v>
      </c>
      <c r="L339" s="40">
        <v>2000.75</v>
      </c>
      <c r="M339" s="40">
        <v>2426.9899999999998</v>
      </c>
      <c r="N339" s="38" t="s">
        <v>17</v>
      </c>
      <c r="O339" s="41">
        <v>0.17</v>
      </c>
      <c r="P339" s="38" t="s">
        <v>27</v>
      </c>
      <c r="Q339" s="38" t="s">
        <v>19</v>
      </c>
      <c r="R339" s="38" t="str">
        <f>IF(Cleaned_Final!$I339&gt;=5000,"High","Low")</f>
        <v>High</v>
      </c>
    </row>
    <row r="340" spans="1:18" x14ac:dyDescent="0.35">
      <c r="A340" s="34">
        <v>1048</v>
      </c>
      <c r="B340" s="34" t="str">
        <f>_xlfn.XLOOKUP(Table2[[#This Row],[Product ID]],Sheet1!$A$32:$A$200,Sheet1!$B$32:$B$200,"Not Found")</f>
        <v>Chaise Lounge</v>
      </c>
      <c r="C340" s="35">
        <v>45018</v>
      </c>
      <c r="D340" s="34" t="s">
        <v>24</v>
      </c>
      <c r="E340" s="34" t="str" cm="1">
        <f t="array" ref="E340">_xlfn.XLOOKUP(Table2[[#This Row],[Sales Rep]],Sheet1!$A$21:$A$25,Sheet1!$B$21:$B$25,Not Found)</f>
        <v>Hogan Rock</v>
      </c>
      <c r="F340" s="34" t="s">
        <v>25</v>
      </c>
      <c r="G340" s="34">
        <f>_xlfn.XLOOKUP(Table2[[#This Row],[Region]],Sheet1!$A$12:$A$15,Sheet1!$B$12:$B$15,0)</f>
        <v>0.05</v>
      </c>
      <c r="H340" s="36">
        <f>Table2[[#This Row],[Tax Rate]]*Table2[[#This Row],[Sales Amount]]</f>
        <v>483.6825</v>
      </c>
      <c r="I340" s="36">
        <v>9673.65</v>
      </c>
      <c r="J340" s="34">
        <v>45</v>
      </c>
      <c r="K340" s="34" t="s">
        <v>35</v>
      </c>
      <c r="L340" s="36">
        <v>4262.21</v>
      </c>
      <c r="M340" s="36">
        <v>4533.3100000000004</v>
      </c>
      <c r="N340" s="34" t="s">
        <v>17</v>
      </c>
      <c r="O340" s="37">
        <v>0.27</v>
      </c>
      <c r="P340" s="34" t="s">
        <v>31</v>
      </c>
      <c r="Q340" s="34" t="s">
        <v>19</v>
      </c>
      <c r="R340" s="34" t="str">
        <f>IF(Cleaned_Final!$I340&gt;=5000,"High","Low")</f>
        <v>High</v>
      </c>
    </row>
    <row r="341" spans="1:18" x14ac:dyDescent="0.35">
      <c r="A341" s="38">
        <v>1076</v>
      </c>
      <c r="B341" s="38" t="str">
        <f>_xlfn.XLOOKUP(Table2[[#This Row],[Product ID]],Sheet1!$A$32:$A$200,Sheet1!$B$32:$B$200,"Not Found")</f>
        <v>Polo Shirt</v>
      </c>
      <c r="C341" s="39">
        <v>45190</v>
      </c>
      <c r="D341" s="38" t="s">
        <v>14</v>
      </c>
      <c r="E341" s="38" t="str" cm="1">
        <f t="array" ref="E341">_xlfn.XLOOKUP(Table2[[#This Row],[Sales Rep]],Sheet1!$A$21:$A$25,Sheet1!$B$21:$B$25,Not Found)</f>
        <v>Michael Smith</v>
      </c>
      <c r="F341" s="38" t="s">
        <v>15</v>
      </c>
      <c r="G341" s="38">
        <f>_xlfn.XLOOKUP(Table2[[#This Row],[Region]],Sheet1!$A$12:$A$15,Sheet1!$B$12:$B$15,0)</f>
        <v>7.4999999999999997E-2</v>
      </c>
      <c r="H341" s="40">
        <f>Table2[[#This Row],[Tax Rate]]*Table2[[#This Row],[Sales Amount]]</f>
        <v>45.863999999999997</v>
      </c>
      <c r="I341" s="40">
        <v>611.52</v>
      </c>
      <c r="J341" s="38">
        <v>26</v>
      </c>
      <c r="K341" s="38" t="s">
        <v>35</v>
      </c>
      <c r="L341" s="40">
        <v>1762</v>
      </c>
      <c r="M341" s="40">
        <v>2002.95</v>
      </c>
      <c r="N341" s="38" t="s">
        <v>17</v>
      </c>
      <c r="O341" s="41">
        <v>0.28999999999999998</v>
      </c>
      <c r="P341" s="38" t="s">
        <v>31</v>
      </c>
      <c r="Q341" s="38" t="s">
        <v>22</v>
      </c>
      <c r="R341" s="38" t="str">
        <f>IF(Cleaned_Final!$I341&gt;=5000,"High","Low")</f>
        <v>Low</v>
      </c>
    </row>
    <row r="342" spans="1:18" x14ac:dyDescent="0.35">
      <c r="A342" s="34">
        <v>1059</v>
      </c>
      <c r="B342" s="34" t="str">
        <f>_xlfn.XLOOKUP(Table2[[#This Row],[Product ID]],Sheet1!$A$32:$A$200,Sheet1!$B$32:$B$200,"Not Found")</f>
        <v>Coffee Beans</v>
      </c>
      <c r="C342" s="35">
        <v>45217</v>
      </c>
      <c r="D342" s="34" t="s">
        <v>42</v>
      </c>
      <c r="E342" s="34" t="str" cm="1">
        <f t="array" ref="E342">_xlfn.XLOOKUP(Table2[[#This Row],[Sales Rep]],Sheet1!$A$21:$A$25,Sheet1!$B$21:$B$25,Not Found)</f>
        <v>Scott Wayne</v>
      </c>
      <c r="F342" s="34" t="s">
        <v>15</v>
      </c>
      <c r="G342" s="34">
        <f>_xlfn.XLOOKUP(Table2[[#This Row],[Region]],Sheet1!$A$12:$A$15,Sheet1!$B$12:$B$15,0)</f>
        <v>7.4999999999999997E-2</v>
      </c>
      <c r="H342" s="36">
        <f>Table2[[#This Row],[Tax Rate]]*Table2[[#This Row],[Sales Amount]]</f>
        <v>382.31099999999998</v>
      </c>
      <c r="I342" s="36">
        <v>5097.4799999999996</v>
      </c>
      <c r="J342" s="34">
        <v>28</v>
      </c>
      <c r="K342" s="34" t="s">
        <v>35</v>
      </c>
      <c r="L342" s="36">
        <v>224.32</v>
      </c>
      <c r="M342" s="36">
        <v>715.06</v>
      </c>
      <c r="N342" s="34" t="s">
        <v>17</v>
      </c>
      <c r="O342" s="37">
        <v>0.01</v>
      </c>
      <c r="P342" s="34" t="s">
        <v>31</v>
      </c>
      <c r="Q342" s="34" t="s">
        <v>19</v>
      </c>
      <c r="R342" s="34" t="str">
        <f>IF(Cleaned_Final!$I342&gt;=5000,"High","Low")</f>
        <v>High</v>
      </c>
    </row>
    <row r="343" spans="1:18" x14ac:dyDescent="0.35">
      <c r="A343" s="38">
        <v>1086</v>
      </c>
      <c r="B343" s="38" t="str">
        <f>_xlfn.XLOOKUP(Table2[[#This Row],[Product ID]],Sheet1!$A$32:$A$200,Sheet1!$B$32:$B$200,"Not Found")</f>
        <v>Gaming Console</v>
      </c>
      <c r="C343" s="39">
        <v>45022</v>
      </c>
      <c r="D343" s="38" t="s">
        <v>33</v>
      </c>
      <c r="E343" s="38" t="str" cm="1">
        <f t="array" ref="E343">_xlfn.XLOOKUP(Table2[[#This Row],[Sales Rep]],Sheet1!$A$21:$A$25,Sheet1!$B$21:$B$25,Not Found)</f>
        <v>Susan Jerkins</v>
      </c>
      <c r="F343" s="38" t="s">
        <v>21</v>
      </c>
      <c r="G343" s="38">
        <f>_xlfn.XLOOKUP(Table2[[#This Row],[Region]],Sheet1!$A$12:$A$15,Sheet1!$B$12:$B$15,0)</f>
        <v>0.08</v>
      </c>
      <c r="H343" s="40">
        <f>Table2[[#This Row],[Tax Rate]]*Table2[[#This Row],[Sales Amount]]</f>
        <v>577.01519999999994</v>
      </c>
      <c r="I343" s="40">
        <v>7212.69</v>
      </c>
      <c r="J343" s="38">
        <v>32</v>
      </c>
      <c r="K343" s="38" t="s">
        <v>35</v>
      </c>
      <c r="L343" s="40">
        <v>3743.59</v>
      </c>
      <c r="M343" s="40">
        <v>4116.38</v>
      </c>
      <c r="N343" s="38" t="s">
        <v>17</v>
      </c>
      <c r="O343" s="41">
        <v>0.11</v>
      </c>
      <c r="P343" s="38" t="s">
        <v>18</v>
      </c>
      <c r="Q343" s="38" t="s">
        <v>19</v>
      </c>
      <c r="R343" s="38" t="str">
        <f>IF(Cleaned_Final!$I343&gt;=5000,"High","Low")</f>
        <v>High</v>
      </c>
    </row>
    <row r="344" spans="1:18" x14ac:dyDescent="0.35">
      <c r="A344" s="34">
        <v>1022</v>
      </c>
      <c r="B344" s="34" t="str">
        <f>_xlfn.XLOOKUP(Table2[[#This Row],[Product ID]],Sheet1!$A$32:$A$200,Sheet1!$B$32:$B$200,"Not Found")</f>
        <v>Organic Honey</v>
      </c>
      <c r="C344" s="35">
        <v>45014</v>
      </c>
      <c r="D344" s="34" t="s">
        <v>14</v>
      </c>
      <c r="E344" s="34" t="str" cm="1">
        <f t="array" ref="E344">_xlfn.XLOOKUP(Table2[[#This Row],[Sales Rep]],Sheet1!$A$21:$A$25,Sheet1!$B$21:$B$25,Not Found)</f>
        <v>Michael Smith</v>
      </c>
      <c r="F344" s="34" t="s">
        <v>21</v>
      </c>
      <c r="G344" s="34">
        <f>_xlfn.XLOOKUP(Table2[[#This Row],[Region]],Sheet1!$A$12:$A$15,Sheet1!$B$12:$B$15,0)</f>
        <v>0.08</v>
      </c>
      <c r="H344" s="36">
        <f>Table2[[#This Row],[Tax Rate]]*Table2[[#This Row],[Sales Amount]]</f>
        <v>691.21119999999996</v>
      </c>
      <c r="I344" s="36">
        <v>8640.14</v>
      </c>
      <c r="J344" s="34">
        <v>45</v>
      </c>
      <c r="K344" s="34" t="s">
        <v>16</v>
      </c>
      <c r="L344" s="36">
        <v>4020.09</v>
      </c>
      <c r="M344" s="36">
        <v>4087.91</v>
      </c>
      <c r="N344" s="34" t="s">
        <v>17</v>
      </c>
      <c r="O344" s="37">
        <v>0.06</v>
      </c>
      <c r="P344" s="34" t="s">
        <v>27</v>
      </c>
      <c r="Q344" s="34" t="s">
        <v>19</v>
      </c>
      <c r="R344" s="34" t="str">
        <f>IF(Cleaned_Final!$I344&gt;=5000,"High","Low")</f>
        <v>High</v>
      </c>
    </row>
    <row r="345" spans="1:18" x14ac:dyDescent="0.35">
      <c r="A345" s="38">
        <v>1030</v>
      </c>
      <c r="B345" s="38" t="str">
        <f>_xlfn.XLOOKUP(Table2[[#This Row],[Product ID]],Sheet1!$A$32:$A$200,Sheet1!$B$32:$B$200,"Not Found")</f>
        <v>Jeans</v>
      </c>
      <c r="C345" s="39">
        <v>45004</v>
      </c>
      <c r="D345" s="38" t="s">
        <v>24</v>
      </c>
      <c r="E345" s="38" t="str" cm="1">
        <f t="array" ref="E345">_xlfn.XLOOKUP(Table2[[#This Row],[Sales Rep]],Sheet1!$A$21:$A$25,Sheet1!$B$21:$B$25,Not Found)</f>
        <v>Hogan Rock</v>
      </c>
      <c r="F345" s="38" t="s">
        <v>34</v>
      </c>
      <c r="G345" s="38">
        <f>_xlfn.XLOOKUP(Table2[[#This Row],[Region]],Sheet1!$A$12:$A$15,Sheet1!$B$12:$B$15,0)</f>
        <v>0.06</v>
      </c>
      <c r="H345" s="40">
        <f>Table2[[#This Row],[Tax Rate]]*Table2[[#This Row],[Sales Amount]]</f>
        <v>112.4778</v>
      </c>
      <c r="I345" s="40">
        <v>1874.63</v>
      </c>
      <c r="J345" s="38">
        <v>2</v>
      </c>
      <c r="K345" s="38" t="s">
        <v>29</v>
      </c>
      <c r="L345" s="40">
        <v>844.94</v>
      </c>
      <c r="M345" s="40">
        <v>1225.6400000000001</v>
      </c>
      <c r="N345" s="38" t="s">
        <v>17</v>
      </c>
      <c r="O345" s="41">
        <v>0.23</v>
      </c>
      <c r="P345" s="38" t="s">
        <v>31</v>
      </c>
      <c r="Q345" s="38" t="s">
        <v>19</v>
      </c>
      <c r="R345" s="38" t="str">
        <f>IF(Cleaned_Final!$I345&gt;=5000,"High","Low")</f>
        <v>Low</v>
      </c>
    </row>
    <row r="346" spans="1:18" x14ac:dyDescent="0.35">
      <c r="A346" s="34">
        <v>1038</v>
      </c>
      <c r="B346" s="34" t="str">
        <f>_xlfn.XLOOKUP(Table2[[#This Row],[Product ID]],Sheet1!$A$32:$A$200,Sheet1!$B$32:$B$200,"Not Found")</f>
        <v>Jean Pants</v>
      </c>
      <c r="C346" s="35">
        <v>45214</v>
      </c>
      <c r="D346" s="34" t="s">
        <v>24</v>
      </c>
      <c r="E346" s="34" t="str" cm="1">
        <f t="array" ref="E346">_xlfn.XLOOKUP(Table2[[#This Row],[Sales Rep]],Sheet1!$A$21:$A$25,Sheet1!$B$21:$B$25,Not Found)</f>
        <v>Hogan Rock</v>
      </c>
      <c r="F346" s="34" t="s">
        <v>21</v>
      </c>
      <c r="G346" s="34">
        <f>_xlfn.XLOOKUP(Table2[[#This Row],[Region]],Sheet1!$A$12:$A$15,Sheet1!$B$12:$B$15,0)</f>
        <v>0.08</v>
      </c>
      <c r="H346" s="36">
        <f>Table2[[#This Row],[Tax Rate]]*Table2[[#This Row],[Sales Amount]]</f>
        <v>641.60239999999999</v>
      </c>
      <c r="I346" s="36">
        <v>8020.03</v>
      </c>
      <c r="J346" s="34">
        <v>31</v>
      </c>
      <c r="K346" s="34" t="s">
        <v>29</v>
      </c>
      <c r="L346" s="36">
        <v>2709.84</v>
      </c>
      <c r="M346" s="36">
        <v>2766.51</v>
      </c>
      <c r="N346" s="34" t="s">
        <v>30</v>
      </c>
      <c r="O346" s="37">
        <v>0.19</v>
      </c>
      <c r="P346" s="34" t="s">
        <v>18</v>
      </c>
      <c r="Q346" s="34" t="s">
        <v>22</v>
      </c>
      <c r="R346" s="34" t="str">
        <f>IF(Cleaned_Final!$I346&gt;=5000,"High","Low")</f>
        <v>High</v>
      </c>
    </row>
    <row r="347" spans="1:18" x14ac:dyDescent="0.35">
      <c r="A347" s="38">
        <v>1051</v>
      </c>
      <c r="B347" s="38" t="str">
        <f>_xlfn.XLOOKUP(Table2[[#This Row],[Product ID]],Sheet1!$A$32:$A$200,Sheet1!$B$32:$B$200,"Not Found")</f>
        <v>Tablet</v>
      </c>
      <c r="C347" s="39">
        <v>45046</v>
      </c>
      <c r="D347" s="38" t="s">
        <v>14</v>
      </c>
      <c r="E347" s="38" t="str" cm="1">
        <f t="array" ref="E347">_xlfn.XLOOKUP(Table2[[#This Row],[Sales Rep]],Sheet1!$A$21:$A$25,Sheet1!$B$21:$B$25,Not Found)</f>
        <v>Michael Smith</v>
      </c>
      <c r="F347" s="38" t="s">
        <v>21</v>
      </c>
      <c r="G347" s="38">
        <f>_xlfn.XLOOKUP(Table2[[#This Row],[Region]],Sheet1!$A$12:$A$15,Sheet1!$B$12:$B$15,0)</f>
        <v>0.08</v>
      </c>
      <c r="H347" s="40">
        <f>Table2[[#This Row],[Tax Rate]]*Table2[[#This Row],[Sales Amount]]</f>
        <v>445.74400000000003</v>
      </c>
      <c r="I347" s="40">
        <v>5571.8</v>
      </c>
      <c r="J347" s="38">
        <v>3</v>
      </c>
      <c r="K347" s="38" t="s">
        <v>26</v>
      </c>
      <c r="L347" s="40">
        <v>1000.18</v>
      </c>
      <c r="M347" s="40">
        <v>1023.64</v>
      </c>
      <c r="N347" s="38" t="s">
        <v>17</v>
      </c>
      <c r="O347" s="41">
        <v>0.04</v>
      </c>
      <c r="P347" s="38" t="s">
        <v>31</v>
      </c>
      <c r="Q347" s="38" t="s">
        <v>19</v>
      </c>
      <c r="R347" s="38" t="str">
        <f>IF(Cleaned_Final!$I347&gt;=5000,"High","Low")</f>
        <v>High</v>
      </c>
    </row>
    <row r="348" spans="1:18" x14ac:dyDescent="0.35">
      <c r="A348" s="34">
        <v>1054</v>
      </c>
      <c r="B348" s="34" t="str">
        <f>_xlfn.XLOOKUP(Table2[[#This Row],[Product ID]],Sheet1!$A$32:$A$200,Sheet1!$B$32:$B$200,"Not Found")</f>
        <v>Glider</v>
      </c>
      <c r="C348" s="35">
        <v>45228</v>
      </c>
      <c r="D348" s="34" t="s">
        <v>24</v>
      </c>
      <c r="E348" s="34" t="str" cm="1">
        <f t="array" ref="E348">_xlfn.XLOOKUP(Table2[[#This Row],[Sales Rep]],Sheet1!$A$21:$A$25,Sheet1!$B$21:$B$25,Not Found)</f>
        <v>Hogan Rock</v>
      </c>
      <c r="F348" s="34" t="s">
        <v>21</v>
      </c>
      <c r="G348" s="34">
        <f>_xlfn.XLOOKUP(Table2[[#This Row],[Region]],Sheet1!$A$12:$A$15,Sheet1!$B$12:$B$15,0)</f>
        <v>0.08</v>
      </c>
      <c r="H348" s="36">
        <f>Table2[[#This Row],[Tax Rate]]*Table2[[#This Row],[Sales Amount]]</f>
        <v>322.07040000000001</v>
      </c>
      <c r="I348" s="36">
        <v>4025.88</v>
      </c>
      <c r="J348" s="34">
        <v>8</v>
      </c>
      <c r="K348" s="34" t="s">
        <v>29</v>
      </c>
      <c r="L348" s="36">
        <v>3610.21</v>
      </c>
      <c r="M348" s="36">
        <v>3817.99</v>
      </c>
      <c r="N348" s="34" t="s">
        <v>17</v>
      </c>
      <c r="O348" s="37">
        <v>0.15</v>
      </c>
      <c r="P348" s="34" t="s">
        <v>18</v>
      </c>
      <c r="Q348" s="34" t="s">
        <v>22</v>
      </c>
      <c r="R348" s="34" t="str">
        <f>IF(Cleaned_Final!$I348&gt;=5000,"High","Low")</f>
        <v>Low</v>
      </c>
    </row>
    <row r="349" spans="1:18" x14ac:dyDescent="0.35">
      <c r="A349" s="38">
        <v>1008</v>
      </c>
      <c r="B349" s="38" t="str">
        <f>_xlfn.XLOOKUP(Table2[[#This Row],[Product ID]],Sheet1!$A$32:$A$200,Sheet1!$B$32:$B$200,"Not Found")</f>
        <v>Skirt</v>
      </c>
      <c r="C349" s="39">
        <v>45091</v>
      </c>
      <c r="D349" s="38" t="s">
        <v>38</v>
      </c>
      <c r="E349" s="38" t="str" cm="1">
        <f t="array" ref="E349">_xlfn.XLOOKUP(Table2[[#This Row],[Sales Rep]],Sheet1!$A$21:$A$25,Sheet1!$B$21:$B$25,Not Found)</f>
        <v>Tracy Moore</v>
      </c>
      <c r="F349" s="38" t="s">
        <v>15</v>
      </c>
      <c r="G349" s="38">
        <f>_xlfn.XLOOKUP(Table2[[#This Row],[Region]],Sheet1!$A$12:$A$15,Sheet1!$B$12:$B$15,0)</f>
        <v>7.4999999999999997E-2</v>
      </c>
      <c r="H349" s="40">
        <f>Table2[[#This Row],[Tax Rate]]*Table2[[#This Row],[Sales Amount]]</f>
        <v>105.2985</v>
      </c>
      <c r="I349" s="40">
        <v>1403.98</v>
      </c>
      <c r="J349" s="38">
        <v>24</v>
      </c>
      <c r="K349" s="38" t="s">
        <v>29</v>
      </c>
      <c r="L349" s="40">
        <v>1394.17</v>
      </c>
      <c r="M349" s="40">
        <v>1891.02</v>
      </c>
      <c r="N349" s="38" t="s">
        <v>30</v>
      </c>
      <c r="O349" s="41">
        <v>0.21</v>
      </c>
      <c r="P349" s="38" t="s">
        <v>31</v>
      </c>
      <c r="Q349" s="38" t="s">
        <v>19</v>
      </c>
      <c r="R349" s="38" t="str">
        <f>IF(Cleaned_Final!$I349&gt;=5000,"High","Low")</f>
        <v>Low</v>
      </c>
    </row>
    <row r="350" spans="1:18" x14ac:dyDescent="0.35">
      <c r="A350" s="34">
        <v>1027</v>
      </c>
      <c r="B350" s="34" t="str">
        <f>_xlfn.XLOOKUP(Table2[[#This Row],[Product ID]],Sheet1!$A$32:$A$200,Sheet1!$B$32:$B$200,"Not Found")</f>
        <v>Cookies</v>
      </c>
      <c r="C350" s="35">
        <v>45108</v>
      </c>
      <c r="D350" s="34" t="s">
        <v>38</v>
      </c>
      <c r="E350" s="34" t="str" cm="1">
        <f t="array" ref="E350">_xlfn.XLOOKUP(Table2[[#This Row],[Sales Rep]],Sheet1!$A$21:$A$25,Sheet1!$B$21:$B$25,Not Found)</f>
        <v>Tracy Moore</v>
      </c>
      <c r="F350" s="34" t="s">
        <v>15</v>
      </c>
      <c r="G350" s="34">
        <f>_xlfn.XLOOKUP(Table2[[#This Row],[Region]],Sheet1!$A$12:$A$15,Sheet1!$B$12:$B$15,0)</f>
        <v>7.4999999999999997E-2</v>
      </c>
      <c r="H350" s="36">
        <f>Table2[[#This Row],[Tax Rate]]*Table2[[#This Row],[Sales Amount]]</f>
        <v>649.98225000000002</v>
      </c>
      <c r="I350" s="36">
        <v>8666.43</v>
      </c>
      <c r="J350" s="34">
        <v>15</v>
      </c>
      <c r="K350" s="34" t="s">
        <v>29</v>
      </c>
      <c r="L350" s="36">
        <v>1615.26</v>
      </c>
      <c r="M350" s="36">
        <v>1710.95</v>
      </c>
      <c r="N350" s="34" t="s">
        <v>30</v>
      </c>
      <c r="O350" s="37">
        <v>0.23</v>
      </c>
      <c r="P350" s="34" t="s">
        <v>31</v>
      </c>
      <c r="Q350" s="34" t="s">
        <v>22</v>
      </c>
      <c r="R350" s="34" t="str">
        <f>IF(Cleaned_Final!$I350&gt;=5000,"High","Low")</f>
        <v>High</v>
      </c>
    </row>
    <row r="351" spans="1:18" x14ac:dyDescent="0.35">
      <c r="A351" s="38">
        <v>1027</v>
      </c>
      <c r="B351" s="38" t="str">
        <f>_xlfn.XLOOKUP(Table2[[#This Row],[Product ID]],Sheet1!$A$32:$A$200,Sheet1!$B$32:$B$200,"Not Found")</f>
        <v>Cookies</v>
      </c>
      <c r="C351" s="39">
        <v>45149</v>
      </c>
      <c r="D351" s="38" t="s">
        <v>38</v>
      </c>
      <c r="E351" s="38" t="str" cm="1">
        <f t="array" ref="E351">_xlfn.XLOOKUP(Table2[[#This Row],[Sales Rep]],Sheet1!$A$21:$A$25,Sheet1!$B$21:$B$25,Not Found)</f>
        <v>Tracy Moore</v>
      </c>
      <c r="F351" s="38" t="s">
        <v>15</v>
      </c>
      <c r="G351" s="38">
        <f>_xlfn.XLOOKUP(Table2[[#This Row],[Region]],Sheet1!$A$12:$A$15,Sheet1!$B$12:$B$15,0)</f>
        <v>7.4999999999999997E-2</v>
      </c>
      <c r="H351" s="40">
        <f>Table2[[#This Row],[Tax Rate]]*Table2[[#This Row],[Sales Amount]]</f>
        <v>124.27499999999999</v>
      </c>
      <c r="I351" s="40">
        <v>1657</v>
      </c>
      <c r="J351" s="38">
        <v>43</v>
      </c>
      <c r="K351" s="38" t="s">
        <v>29</v>
      </c>
      <c r="L351" s="40">
        <v>4232.6099999999997</v>
      </c>
      <c r="M351" s="40">
        <v>4572.21</v>
      </c>
      <c r="N351" s="38" t="s">
        <v>30</v>
      </c>
      <c r="O351" s="41">
        <v>0.01</v>
      </c>
      <c r="P351" s="38" t="s">
        <v>18</v>
      </c>
      <c r="Q351" s="38" t="s">
        <v>22</v>
      </c>
      <c r="R351" s="38" t="str">
        <f>IF(Cleaned_Final!$I351&gt;=5000,"High","Low")</f>
        <v>Low</v>
      </c>
    </row>
    <row r="352" spans="1:18" x14ac:dyDescent="0.35">
      <c r="A352" s="34">
        <v>1098</v>
      </c>
      <c r="B352" s="34" t="str">
        <f>_xlfn.XLOOKUP(Table2[[#This Row],[Product ID]],Sheet1!$A$32:$A$200,Sheet1!$B$32:$B$200,"Not Found")</f>
        <v>File Cabinet</v>
      </c>
      <c r="C352" s="35">
        <v>45237</v>
      </c>
      <c r="D352" s="34" t="s">
        <v>42</v>
      </c>
      <c r="E352" s="34" t="str" cm="1">
        <f t="array" ref="E352">_xlfn.XLOOKUP(Table2[[#This Row],[Sales Rep]],Sheet1!$A$21:$A$25,Sheet1!$B$21:$B$25,Not Found)</f>
        <v>Scott Wayne</v>
      </c>
      <c r="F352" s="34" t="s">
        <v>21</v>
      </c>
      <c r="G352" s="34">
        <f>_xlfn.XLOOKUP(Table2[[#This Row],[Region]],Sheet1!$A$12:$A$15,Sheet1!$B$12:$B$15,0)</f>
        <v>0.08</v>
      </c>
      <c r="H352" s="36">
        <f>Table2[[#This Row],[Tax Rate]]*Table2[[#This Row],[Sales Amount]]</f>
        <v>253.352</v>
      </c>
      <c r="I352" s="36">
        <v>3166.9</v>
      </c>
      <c r="J352" s="34">
        <v>31</v>
      </c>
      <c r="K352" s="34" t="s">
        <v>26</v>
      </c>
      <c r="L352" s="36">
        <v>2407.8000000000002</v>
      </c>
      <c r="M352" s="36">
        <v>2502.7600000000002</v>
      </c>
      <c r="N352" s="34" t="s">
        <v>17</v>
      </c>
      <c r="O352" s="37">
        <v>0.27</v>
      </c>
      <c r="P352" s="34" t="s">
        <v>18</v>
      </c>
      <c r="Q352" s="34" t="s">
        <v>22</v>
      </c>
      <c r="R352" s="34" t="str">
        <f>IF(Cleaned_Final!$I352&gt;=5000,"High","Low")</f>
        <v>Low</v>
      </c>
    </row>
    <row r="353" spans="1:18" x14ac:dyDescent="0.35">
      <c r="A353" s="38">
        <v>1021</v>
      </c>
      <c r="B353" s="38" t="str">
        <f>_xlfn.XLOOKUP(Table2[[#This Row],[Product ID]],Sheet1!$A$32:$A$200,Sheet1!$B$32:$B$200,"Not Found")</f>
        <v>Almond Milk</v>
      </c>
      <c r="C353" s="39">
        <v>44933</v>
      </c>
      <c r="D353" s="38" t="s">
        <v>14</v>
      </c>
      <c r="E353" s="38" t="str" cm="1">
        <f t="array" ref="E353">_xlfn.XLOOKUP(Table2[[#This Row],[Sales Rep]],Sheet1!$A$21:$A$25,Sheet1!$B$21:$B$25,Not Found)</f>
        <v>Michael Smith</v>
      </c>
      <c r="F353" s="38" t="s">
        <v>15</v>
      </c>
      <c r="G353" s="38">
        <f>_xlfn.XLOOKUP(Table2[[#This Row],[Region]],Sheet1!$A$12:$A$15,Sheet1!$B$12:$B$15,0)</f>
        <v>7.4999999999999997E-2</v>
      </c>
      <c r="H353" s="40">
        <f>Table2[[#This Row],[Tax Rate]]*Table2[[#This Row],[Sales Amount]]</f>
        <v>222.85874999999999</v>
      </c>
      <c r="I353" s="40">
        <v>2971.45</v>
      </c>
      <c r="J353" s="38">
        <v>9</v>
      </c>
      <c r="K353" s="38" t="s">
        <v>16</v>
      </c>
      <c r="L353" s="40">
        <v>3365.28</v>
      </c>
      <c r="M353" s="40">
        <v>3730.43</v>
      </c>
      <c r="N353" s="38" t="s">
        <v>30</v>
      </c>
      <c r="O353" s="41">
        <v>0.17</v>
      </c>
      <c r="P353" s="38" t="s">
        <v>27</v>
      </c>
      <c r="Q353" s="38" t="s">
        <v>19</v>
      </c>
      <c r="R353" s="38" t="str">
        <f>IF(Cleaned_Final!$I353&gt;=5000,"High","Low")</f>
        <v>Low</v>
      </c>
    </row>
    <row r="354" spans="1:18" x14ac:dyDescent="0.35">
      <c r="A354" s="34">
        <v>1030</v>
      </c>
      <c r="B354" s="34" t="str">
        <f>_xlfn.XLOOKUP(Table2[[#This Row],[Product ID]],Sheet1!$A$32:$A$200,Sheet1!$B$32:$B$200,"Not Found")</f>
        <v>Jeans</v>
      </c>
      <c r="C354" s="35">
        <v>45256</v>
      </c>
      <c r="D354" s="34" t="s">
        <v>42</v>
      </c>
      <c r="E354" s="34" t="str" cm="1">
        <f t="array" ref="E354">_xlfn.XLOOKUP(Table2[[#This Row],[Sales Rep]],Sheet1!$A$21:$A$25,Sheet1!$B$21:$B$25,Not Found)</f>
        <v>Scott Wayne</v>
      </c>
      <c r="F354" s="34" t="s">
        <v>21</v>
      </c>
      <c r="G354" s="34">
        <f>_xlfn.XLOOKUP(Table2[[#This Row],[Region]],Sheet1!$A$12:$A$15,Sheet1!$B$12:$B$15,0)</f>
        <v>0.08</v>
      </c>
      <c r="H354" s="36">
        <f>Table2[[#This Row],[Tax Rate]]*Table2[[#This Row],[Sales Amount]]</f>
        <v>698.16</v>
      </c>
      <c r="I354" s="36">
        <v>8727</v>
      </c>
      <c r="J354" s="34">
        <v>39</v>
      </c>
      <c r="K354" s="34" t="s">
        <v>35</v>
      </c>
      <c r="L354" s="36">
        <v>2041.75</v>
      </c>
      <c r="M354" s="36">
        <v>2299.37</v>
      </c>
      <c r="N354" s="34" t="s">
        <v>17</v>
      </c>
      <c r="O354" s="37">
        <v>0.24</v>
      </c>
      <c r="P354" s="34" t="s">
        <v>27</v>
      </c>
      <c r="Q354" s="34" t="s">
        <v>22</v>
      </c>
      <c r="R354" s="34" t="str">
        <f>IF(Cleaned_Final!$I354&gt;=5000,"High","Low")</f>
        <v>High</v>
      </c>
    </row>
    <row r="355" spans="1:18" x14ac:dyDescent="0.35">
      <c r="A355" s="38">
        <v>1097</v>
      </c>
      <c r="B355" s="38" t="str">
        <f>_xlfn.XLOOKUP(Table2[[#This Row],[Product ID]],Sheet1!$A$32:$A$200,Sheet1!$B$32:$B$200,"Not Found")</f>
        <v>Freezer</v>
      </c>
      <c r="C355" s="39">
        <v>45189</v>
      </c>
      <c r="D355" s="38" t="s">
        <v>24</v>
      </c>
      <c r="E355" s="38" t="str" cm="1">
        <f t="array" ref="E355">_xlfn.XLOOKUP(Table2[[#This Row],[Sales Rep]],Sheet1!$A$21:$A$25,Sheet1!$B$21:$B$25,Not Found)</f>
        <v>Hogan Rock</v>
      </c>
      <c r="F355" s="38" t="s">
        <v>15</v>
      </c>
      <c r="G355" s="38">
        <f>_xlfn.XLOOKUP(Table2[[#This Row],[Region]],Sheet1!$A$12:$A$15,Sheet1!$B$12:$B$15,0)</f>
        <v>7.4999999999999997E-2</v>
      </c>
      <c r="H355" s="40">
        <f>Table2[[#This Row],[Tax Rate]]*Table2[[#This Row],[Sales Amount]]</f>
        <v>506.98199999999997</v>
      </c>
      <c r="I355" s="40">
        <v>6759.76</v>
      </c>
      <c r="J355" s="38">
        <v>45</v>
      </c>
      <c r="K355" s="38" t="s">
        <v>29</v>
      </c>
      <c r="L355" s="40">
        <v>1525.13</v>
      </c>
      <c r="M355" s="40">
        <v>1868.32</v>
      </c>
      <c r="N355" s="38" t="s">
        <v>17</v>
      </c>
      <c r="O355" s="41">
        <v>0.24</v>
      </c>
      <c r="P355" s="38" t="s">
        <v>18</v>
      </c>
      <c r="Q355" s="38" t="s">
        <v>22</v>
      </c>
      <c r="R355" s="38" t="str">
        <f>IF(Cleaned_Final!$I355&gt;=5000,"High","Low")</f>
        <v>High</v>
      </c>
    </row>
    <row r="356" spans="1:18" x14ac:dyDescent="0.35">
      <c r="A356" s="34">
        <v>1028</v>
      </c>
      <c r="B356" s="34" t="str">
        <f>_xlfn.XLOOKUP(Table2[[#This Row],[Product ID]],Sheet1!$A$32:$A$200,Sheet1!$B$32:$B$200,"Not Found")</f>
        <v>Pyjamas</v>
      </c>
      <c r="C356" s="35">
        <v>45087</v>
      </c>
      <c r="D356" s="34" t="s">
        <v>42</v>
      </c>
      <c r="E356" s="34" t="str" cm="1">
        <f t="array" ref="E356">_xlfn.XLOOKUP(Table2[[#This Row],[Sales Rep]],Sheet1!$A$21:$A$25,Sheet1!$B$21:$B$25,Not Found)</f>
        <v>Scott Wayne</v>
      </c>
      <c r="F356" s="34" t="s">
        <v>15</v>
      </c>
      <c r="G356" s="34">
        <f>_xlfn.XLOOKUP(Table2[[#This Row],[Region]],Sheet1!$A$12:$A$15,Sheet1!$B$12:$B$15,0)</f>
        <v>7.4999999999999997E-2</v>
      </c>
      <c r="H356" s="36">
        <f>Table2[[#This Row],[Tax Rate]]*Table2[[#This Row],[Sales Amount]]</f>
        <v>599.03625</v>
      </c>
      <c r="I356" s="36">
        <v>7987.15</v>
      </c>
      <c r="J356" s="34">
        <v>2</v>
      </c>
      <c r="K356" s="34" t="s">
        <v>16</v>
      </c>
      <c r="L356" s="36">
        <v>3146.12</v>
      </c>
      <c r="M356" s="36">
        <v>3255.5299999999902</v>
      </c>
      <c r="N356" s="34" t="s">
        <v>17</v>
      </c>
      <c r="O356" s="37">
        <v>0.06</v>
      </c>
      <c r="P356" s="34" t="s">
        <v>27</v>
      </c>
      <c r="Q356" s="34" t="s">
        <v>19</v>
      </c>
      <c r="R356" s="34" t="str">
        <f>IF(Cleaned_Final!$I356&gt;=5000,"High","Low")</f>
        <v>High</v>
      </c>
    </row>
    <row r="357" spans="1:18" x14ac:dyDescent="0.35">
      <c r="A357" s="38">
        <v>1064</v>
      </c>
      <c r="B357" s="38" t="str">
        <f>_xlfn.XLOOKUP(Table2[[#This Row],[Product ID]],Sheet1!$A$32:$A$200,Sheet1!$B$32:$B$200,"Not Found")</f>
        <v>Smartphone</v>
      </c>
      <c r="C357" s="39">
        <v>45077</v>
      </c>
      <c r="D357" s="38" t="s">
        <v>24</v>
      </c>
      <c r="E357" s="38" t="str" cm="1">
        <f t="array" ref="E357">_xlfn.XLOOKUP(Table2[[#This Row],[Sales Rep]],Sheet1!$A$21:$A$25,Sheet1!$B$21:$B$25,Not Found)</f>
        <v>Hogan Rock</v>
      </c>
      <c r="F357" s="38" t="s">
        <v>25</v>
      </c>
      <c r="G357" s="38">
        <f>_xlfn.XLOOKUP(Table2[[#This Row],[Region]],Sheet1!$A$12:$A$15,Sheet1!$B$12:$B$15,0)</f>
        <v>0.05</v>
      </c>
      <c r="H357" s="40">
        <f>Table2[[#This Row],[Tax Rate]]*Table2[[#This Row],[Sales Amount]]</f>
        <v>128.98150000000001</v>
      </c>
      <c r="I357" s="40">
        <v>2579.63</v>
      </c>
      <c r="J357" s="38">
        <v>8</v>
      </c>
      <c r="K357" s="38" t="s">
        <v>29</v>
      </c>
      <c r="L357" s="40">
        <v>816.54</v>
      </c>
      <c r="M357" s="40">
        <v>1191.9000000000001</v>
      </c>
      <c r="N357" s="38" t="s">
        <v>30</v>
      </c>
      <c r="O357" s="41">
        <v>0.03</v>
      </c>
      <c r="P357" s="38" t="s">
        <v>18</v>
      </c>
      <c r="Q357" s="38" t="s">
        <v>22</v>
      </c>
      <c r="R357" s="38" t="str">
        <f>IF(Cleaned_Final!$I357&gt;=5000,"High","Low")</f>
        <v>Low</v>
      </c>
    </row>
    <row r="358" spans="1:18" x14ac:dyDescent="0.35">
      <c r="A358" s="34">
        <v>1097</v>
      </c>
      <c r="B358" s="34" t="str">
        <f>_xlfn.XLOOKUP(Table2[[#This Row],[Product ID]],Sheet1!$A$32:$A$200,Sheet1!$B$32:$B$200,"Not Found")</f>
        <v>Freezer</v>
      </c>
      <c r="C358" s="35">
        <v>45011</v>
      </c>
      <c r="D358" s="34" t="s">
        <v>24</v>
      </c>
      <c r="E358" s="34" t="str" cm="1">
        <f t="array" ref="E358">_xlfn.XLOOKUP(Table2[[#This Row],[Sales Rep]],Sheet1!$A$21:$A$25,Sheet1!$B$21:$B$25,Not Found)</f>
        <v>Hogan Rock</v>
      </c>
      <c r="F358" s="34" t="s">
        <v>34</v>
      </c>
      <c r="G358" s="34">
        <f>_xlfn.XLOOKUP(Table2[[#This Row],[Region]],Sheet1!$A$12:$A$15,Sheet1!$B$12:$B$15,0)</f>
        <v>0.06</v>
      </c>
      <c r="H358" s="36">
        <f>Table2[[#This Row],[Tax Rate]]*Table2[[#This Row],[Sales Amount]]</f>
        <v>377.17500000000001</v>
      </c>
      <c r="I358" s="36">
        <v>6286.25</v>
      </c>
      <c r="J358" s="34">
        <v>7</v>
      </c>
      <c r="K358" s="34" t="s">
        <v>29</v>
      </c>
      <c r="L358" s="36">
        <v>1896.35</v>
      </c>
      <c r="M358" s="36">
        <v>2394.1999999999998</v>
      </c>
      <c r="N358" s="34" t="s">
        <v>30</v>
      </c>
      <c r="O358" s="37">
        <v>0.22</v>
      </c>
      <c r="P358" s="34" t="s">
        <v>27</v>
      </c>
      <c r="Q358" s="34" t="s">
        <v>19</v>
      </c>
      <c r="R358" s="34" t="str">
        <f>IF(Cleaned_Final!$I358&gt;=5000,"High","Low")</f>
        <v>High</v>
      </c>
    </row>
    <row r="359" spans="1:18" x14ac:dyDescent="0.35">
      <c r="A359" s="38">
        <v>1069</v>
      </c>
      <c r="B359" s="38" t="str">
        <f>_xlfn.XLOOKUP(Table2[[#This Row],[Product ID]],Sheet1!$A$32:$A$200,Sheet1!$B$32:$B$200,"Not Found")</f>
        <v>Suit</v>
      </c>
      <c r="C359" s="39">
        <v>45073</v>
      </c>
      <c r="D359" s="38" t="s">
        <v>33</v>
      </c>
      <c r="E359" s="38" t="str" cm="1">
        <f t="array" ref="E359">_xlfn.XLOOKUP(Table2[[#This Row],[Sales Rep]],Sheet1!$A$21:$A$25,Sheet1!$B$21:$B$25,Not Found)</f>
        <v>Susan Jerkins</v>
      </c>
      <c r="F359" s="38" t="s">
        <v>21</v>
      </c>
      <c r="G359" s="38">
        <f>_xlfn.XLOOKUP(Table2[[#This Row],[Region]],Sheet1!$A$12:$A$15,Sheet1!$B$12:$B$15,0)</f>
        <v>0.08</v>
      </c>
      <c r="H359" s="40">
        <f>Table2[[#This Row],[Tax Rate]]*Table2[[#This Row],[Sales Amount]]</f>
        <v>460.82319999999999</v>
      </c>
      <c r="I359" s="40">
        <v>5760.29</v>
      </c>
      <c r="J359" s="38">
        <v>44</v>
      </c>
      <c r="K359" s="38" t="s">
        <v>35</v>
      </c>
      <c r="L359" s="40">
        <v>1084.73</v>
      </c>
      <c r="M359" s="40">
        <v>1420.9</v>
      </c>
      <c r="N359" s="38" t="s">
        <v>17</v>
      </c>
      <c r="O359" s="41">
        <v>0.05</v>
      </c>
      <c r="P359" s="38" t="s">
        <v>31</v>
      </c>
      <c r="Q359" s="38" t="s">
        <v>19</v>
      </c>
      <c r="R359" s="38" t="str">
        <f>IF(Cleaned_Final!$I359&gt;=5000,"High","Low")</f>
        <v>High</v>
      </c>
    </row>
    <row r="360" spans="1:18" x14ac:dyDescent="0.35">
      <c r="A360" s="34">
        <v>1061</v>
      </c>
      <c r="B360" s="34" t="str">
        <f>_xlfn.XLOOKUP(Table2[[#This Row],[Product ID]],Sheet1!$A$32:$A$200,Sheet1!$B$32:$B$200,"Not Found")</f>
        <v>Laptop</v>
      </c>
      <c r="C360" s="35">
        <v>45038</v>
      </c>
      <c r="D360" s="34" t="s">
        <v>38</v>
      </c>
      <c r="E360" s="34" t="str" cm="1">
        <f t="array" ref="E360">_xlfn.XLOOKUP(Table2[[#This Row],[Sales Rep]],Sheet1!$A$21:$A$25,Sheet1!$B$21:$B$25,Not Found)</f>
        <v>Tracy Moore</v>
      </c>
      <c r="F360" s="34" t="s">
        <v>25</v>
      </c>
      <c r="G360" s="34">
        <f>_xlfn.XLOOKUP(Table2[[#This Row],[Region]],Sheet1!$A$12:$A$15,Sheet1!$B$12:$B$15,0)</f>
        <v>0.05</v>
      </c>
      <c r="H360" s="36">
        <f>Table2[[#This Row],[Tax Rate]]*Table2[[#This Row],[Sales Amount]]</f>
        <v>417.25100000000003</v>
      </c>
      <c r="I360" s="36">
        <v>8345.02</v>
      </c>
      <c r="J360" s="34">
        <v>39</v>
      </c>
      <c r="K360" s="34" t="s">
        <v>35</v>
      </c>
      <c r="L360" s="36">
        <v>3494.19</v>
      </c>
      <c r="M360" s="36">
        <v>3746</v>
      </c>
      <c r="N360" s="34" t="s">
        <v>17</v>
      </c>
      <c r="O360" s="37">
        <v>0.25</v>
      </c>
      <c r="P360" s="34" t="s">
        <v>27</v>
      </c>
      <c r="Q360" s="34" t="s">
        <v>22</v>
      </c>
      <c r="R360" s="34" t="str">
        <f>IF(Cleaned_Final!$I360&gt;=5000,"High","Low")</f>
        <v>High</v>
      </c>
    </row>
    <row r="361" spans="1:18" x14ac:dyDescent="0.35">
      <c r="A361" s="38">
        <v>1048</v>
      </c>
      <c r="B361" s="38" t="str">
        <f>_xlfn.XLOOKUP(Table2[[#This Row],[Product ID]],Sheet1!$A$32:$A$200,Sheet1!$B$32:$B$200,"Not Found")</f>
        <v>Chaise Lounge</v>
      </c>
      <c r="C361" s="39">
        <v>44962</v>
      </c>
      <c r="D361" s="38" t="s">
        <v>24</v>
      </c>
      <c r="E361" s="38" t="str" cm="1">
        <f t="array" ref="E361">_xlfn.XLOOKUP(Table2[[#This Row],[Sales Rep]],Sheet1!$A$21:$A$25,Sheet1!$B$21:$B$25,Not Found)</f>
        <v>Hogan Rock</v>
      </c>
      <c r="F361" s="38" t="s">
        <v>15</v>
      </c>
      <c r="G361" s="38">
        <f>_xlfn.XLOOKUP(Table2[[#This Row],[Region]],Sheet1!$A$12:$A$15,Sheet1!$B$12:$B$15,0)</f>
        <v>7.4999999999999997E-2</v>
      </c>
      <c r="H361" s="40">
        <f>Table2[[#This Row],[Tax Rate]]*Table2[[#This Row],[Sales Amount]]</f>
        <v>680.26949999999999</v>
      </c>
      <c r="I361" s="40">
        <v>9070.26</v>
      </c>
      <c r="J361" s="38">
        <v>42</v>
      </c>
      <c r="K361" s="38" t="s">
        <v>35</v>
      </c>
      <c r="L361" s="40">
        <v>4723.83</v>
      </c>
      <c r="M361" s="40">
        <v>5186.1899999999996</v>
      </c>
      <c r="N361" s="38" t="s">
        <v>17</v>
      </c>
      <c r="O361" s="41">
        <v>0.22</v>
      </c>
      <c r="P361" s="38" t="s">
        <v>31</v>
      </c>
      <c r="Q361" s="38" t="s">
        <v>19</v>
      </c>
      <c r="R361" s="38" t="str">
        <f>IF(Cleaned_Final!$I361&gt;=5000,"High","Low")</f>
        <v>High</v>
      </c>
    </row>
    <row r="362" spans="1:18" x14ac:dyDescent="0.35">
      <c r="A362" s="34">
        <v>1019</v>
      </c>
      <c r="B362" s="34" t="str">
        <f>_xlfn.XLOOKUP(Table2[[#This Row],[Product ID]],Sheet1!$A$32:$A$200,Sheet1!$B$32:$B$200,"Not Found")</f>
        <v>Apple</v>
      </c>
      <c r="C362" s="35">
        <v>45211</v>
      </c>
      <c r="D362" s="34" t="s">
        <v>33</v>
      </c>
      <c r="E362" s="34" t="str" cm="1">
        <f t="array" ref="E362">_xlfn.XLOOKUP(Table2[[#This Row],[Sales Rep]],Sheet1!$A$21:$A$25,Sheet1!$B$21:$B$25,Not Found)</f>
        <v>Susan Jerkins</v>
      </c>
      <c r="F362" s="34" t="s">
        <v>21</v>
      </c>
      <c r="G362" s="34">
        <f>_xlfn.XLOOKUP(Table2[[#This Row],[Region]],Sheet1!$A$12:$A$15,Sheet1!$B$12:$B$15,0)</f>
        <v>0.08</v>
      </c>
      <c r="H362" s="36">
        <f>Table2[[#This Row],[Tax Rate]]*Table2[[#This Row],[Sales Amount]]</f>
        <v>17.628</v>
      </c>
      <c r="I362" s="36">
        <v>220.35</v>
      </c>
      <c r="J362" s="34">
        <v>16</v>
      </c>
      <c r="K362" s="34" t="s">
        <v>29</v>
      </c>
      <c r="L362" s="36">
        <v>4977.78</v>
      </c>
      <c r="M362" s="36">
        <v>4995.55</v>
      </c>
      <c r="N362" s="34" t="s">
        <v>30</v>
      </c>
      <c r="O362" s="37">
        <v>0.25</v>
      </c>
      <c r="P362" s="34" t="s">
        <v>31</v>
      </c>
      <c r="Q362" s="34" t="s">
        <v>19</v>
      </c>
      <c r="R362" s="34" t="str">
        <f>IF(Cleaned_Final!$I362&gt;=5000,"High","Low")</f>
        <v>Low</v>
      </c>
    </row>
    <row r="363" spans="1:18" x14ac:dyDescent="0.35">
      <c r="A363" s="38">
        <v>1004</v>
      </c>
      <c r="B363" s="38" t="str">
        <f>_xlfn.XLOOKUP(Table2[[#This Row],[Product ID]],Sheet1!$A$32:$A$200,Sheet1!$B$32:$B$200,"Not Found")</f>
        <v>Smartwatch</v>
      </c>
      <c r="C363" s="39">
        <v>45114</v>
      </c>
      <c r="D363" s="38" t="s">
        <v>38</v>
      </c>
      <c r="E363" s="38" t="str" cm="1">
        <f t="array" ref="E363">_xlfn.XLOOKUP(Table2[[#This Row],[Sales Rep]],Sheet1!$A$21:$A$25,Sheet1!$B$21:$B$25,Not Found)</f>
        <v>Tracy Moore</v>
      </c>
      <c r="F363" s="38" t="s">
        <v>15</v>
      </c>
      <c r="G363" s="38">
        <f>_xlfn.XLOOKUP(Table2[[#This Row],[Region]],Sheet1!$A$12:$A$15,Sheet1!$B$12:$B$15,0)</f>
        <v>7.4999999999999997E-2</v>
      </c>
      <c r="H363" s="40">
        <f>Table2[[#This Row],[Tax Rate]]*Table2[[#This Row],[Sales Amount]]</f>
        <v>507.96</v>
      </c>
      <c r="I363" s="40">
        <v>6772.8</v>
      </c>
      <c r="J363" s="38">
        <v>35</v>
      </c>
      <c r="K363" s="38" t="s">
        <v>29</v>
      </c>
      <c r="L363" s="40">
        <v>2278.87</v>
      </c>
      <c r="M363" s="40">
        <v>2646.5299999999902</v>
      </c>
      <c r="N363" s="38" t="s">
        <v>17</v>
      </c>
      <c r="O363" s="41">
        <v>0.09</v>
      </c>
      <c r="P363" s="38" t="s">
        <v>27</v>
      </c>
      <c r="Q363" s="38" t="s">
        <v>19</v>
      </c>
      <c r="R363" s="38" t="str">
        <f>IF(Cleaned_Final!$I363&gt;=5000,"High","Low")</f>
        <v>High</v>
      </c>
    </row>
    <row r="364" spans="1:18" x14ac:dyDescent="0.35">
      <c r="A364" s="34">
        <v>1035</v>
      </c>
      <c r="B364" s="34" t="str">
        <f>_xlfn.XLOOKUP(Table2[[#This Row],[Product ID]],Sheet1!$A$32:$A$200,Sheet1!$B$32:$B$200,"Not Found")</f>
        <v>Doughnut</v>
      </c>
      <c r="C364" s="35">
        <v>45008</v>
      </c>
      <c r="D364" s="34" t="s">
        <v>24</v>
      </c>
      <c r="E364" s="34" t="str" cm="1">
        <f t="array" ref="E364">_xlfn.XLOOKUP(Table2[[#This Row],[Sales Rep]],Sheet1!$A$21:$A$25,Sheet1!$B$21:$B$25,Not Found)</f>
        <v>Hogan Rock</v>
      </c>
      <c r="F364" s="34" t="s">
        <v>34</v>
      </c>
      <c r="G364" s="34">
        <f>_xlfn.XLOOKUP(Table2[[#This Row],[Region]],Sheet1!$A$12:$A$15,Sheet1!$B$12:$B$15,0)</f>
        <v>0.06</v>
      </c>
      <c r="H364" s="36">
        <f>Table2[[#This Row],[Tax Rate]]*Table2[[#This Row],[Sales Amount]]</f>
        <v>36.790199999999999</v>
      </c>
      <c r="I364" s="36">
        <v>613.16999999999996</v>
      </c>
      <c r="J364" s="34">
        <v>30</v>
      </c>
      <c r="K364" s="34" t="s">
        <v>29</v>
      </c>
      <c r="L364" s="36">
        <v>1300.03</v>
      </c>
      <c r="M364" s="36">
        <v>1745.52</v>
      </c>
      <c r="N364" s="34" t="s">
        <v>30</v>
      </c>
      <c r="O364" s="37">
        <v>0.09</v>
      </c>
      <c r="P364" s="34" t="s">
        <v>18</v>
      </c>
      <c r="Q364" s="34" t="s">
        <v>22</v>
      </c>
      <c r="R364" s="34" t="str">
        <f>IF(Cleaned_Final!$I364&gt;=5000,"High","Low")</f>
        <v>Low</v>
      </c>
    </row>
    <row r="365" spans="1:18" x14ac:dyDescent="0.35">
      <c r="A365" s="38">
        <v>1064</v>
      </c>
      <c r="B365" s="38" t="str">
        <f>_xlfn.XLOOKUP(Table2[[#This Row],[Product ID]],Sheet1!$A$32:$A$200,Sheet1!$B$32:$B$200,"Not Found")</f>
        <v>Smartphone</v>
      </c>
      <c r="C365" s="39">
        <v>44928</v>
      </c>
      <c r="D365" s="38" t="s">
        <v>24</v>
      </c>
      <c r="E365" s="38" t="str" cm="1">
        <f t="array" ref="E365">_xlfn.XLOOKUP(Table2[[#This Row],[Sales Rep]],Sheet1!$A$21:$A$25,Sheet1!$B$21:$B$25,Not Found)</f>
        <v>Hogan Rock</v>
      </c>
      <c r="F365" s="38" t="s">
        <v>25</v>
      </c>
      <c r="G365" s="38">
        <f>_xlfn.XLOOKUP(Table2[[#This Row],[Region]],Sheet1!$A$12:$A$15,Sheet1!$B$12:$B$15,0)</f>
        <v>0.05</v>
      </c>
      <c r="H365" s="40">
        <f>Table2[[#This Row],[Tax Rate]]*Table2[[#This Row],[Sales Amount]]</f>
        <v>276.685</v>
      </c>
      <c r="I365" s="40">
        <v>5533.7</v>
      </c>
      <c r="J365" s="38">
        <v>10</v>
      </c>
      <c r="K365" s="38" t="s">
        <v>35</v>
      </c>
      <c r="L365" s="40">
        <v>2242.0100000000002</v>
      </c>
      <c r="M365" s="40">
        <v>2282.23</v>
      </c>
      <c r="N365" s="38" t="s">
        <v>17</v>
      </c>
      <c r="O365" s="41">
        <v>0.2</v>
      </c>
      <c r="P365" s="38" t="s">
        <v>31</v>
      </c>
      <c r="Q365" s="38" t="s">
        <v>19</v>
      </c>
      <c r="R365" s="38" t="str">
        <f>IF(Cleaned_Final!$I365&gt;=5000,"High","Low")</f>
        <v>High</v>
      </c>
    </row>
    <row r="366" spans="1:18" x14ac:dyDescent="0.35">
      <c r="A366" s="34">
        <v>1049</v>
      </c>
      <c r="B366" s="34" t="str">
        <f>_xlfn.XLOOKUP(Table2[[#This Row],[Product ID]],Sheet1!$A$32:$A$200,Sheet1!$B$32:$B$200,"Not Found")</f>
        <v>Coffee Table</v>
      </c>
      <c r="C366" s="35">
        <v>45229</v>
      </c>
      <c r="D366" s="34" t="s">
        <v>42</v>
      </c>
      <c r="E366" s="34" t="str" cm="1">
        <f t="array" ref="E366">_xlfn.XLOOKUP(Table2[[#This Row],[Sales Rep]],Sheet1!$A$21:$A$25,Sheet1!$B$21:$B$25,Not Found)</f>
        <v>Scott Wayne</v>
      </c>
      <c r="F366" s="34" t="s">
        <v>34</v>
      </c>
      <c r="G366" s="34">
        <f>_xlfn.XLOOKUP(Table2[[#This Row],[Region]],Sheet1!$A$12:$A$15,Sheet1!$B$12:$B$15,0)</f>
        <v>0.06</v>
      </c>
      <c r="H366" s="36">
        <f>Table2[[#This Row],[Tax Rate]]*Table2[[#This Row],[Sales Amount]]</f>
        <v>176.8536</v>
      </c>
      <c r="I366" s="36">
        <v>2947.56</v>
      </c>
      <c r="J366" s="34">
        <v>38</v>
      </c>
      <c r="K366" s="34" t="s">
        <v>26</v>
      </c>
      <c r="L366" s="36">
        <v>4243.9799999999996</v>
      </c>
      <c r="M366" s="36">
        <v>4474.5099999999902</v>
      </c>
      <c r="N366" s="34" t="s">
        <v>30</v>
      </c>
      <c r="O366" s="37">
        <v>0.01</v>
      </c>
      <c r="P366" s="34" t="s">
        <v>31</v>
      </c>
      <c r="Q366" s="34" t="s">
        <v>19</v>
      </c>
      <c r="R366" s="34" t="str">
        <f>IF(Cleaned_Final!$I366&gt;=5000,"High","Low")</f>
        <v>Low</v>
      </c>
    </row>
    <row r="367" spans="1:18" x14ac:dyDescent="0.35">
      <c r="A367" s="38">
        <v>1017</v>
      </c>
      <c r="B367" s="38" t="str">
        <f>_xlfn.XLOOKUP(Table2[[#This Row],[Product ID]],Sheet1!$A$32:$A$200,Sheet1!$B$32:$B$200,"Not Found")</f>
        <v>Peaches</v>
      </c>
      <c r="C367" s="39">
        <v>45123</v>
      </c>
      <c r="D367" s="38" t="s">
        <v>42</v>
      </c>
      <c r="E367" s="38" t="str" cm="1">
        <f t="array" ref="E367">_xlfn.XLOOKUP(Table2[[#This Row],[Sales Rep]],Sheet1!$A$21:$A$25,Sheet1!$B$21:$B$25,Not Found)</f>
        <v>Scott Wayne</v>
      </c>
      <c r="F367" s="38" t="s">
        <v>25</v>
      </c>
      <c r="G367" s="38">
        <f>_xlfn.XLOOKUP(Table2[[#This Row],[Region]],Sheet1!$A$12:$A$15,Sheet1!$B$12:$B$15,0)</f>
        <v>0.05</v>
      </c>
      <c r="H367" s="40">
        <f>Table2[[#This Row],[Tax Rate]]*Table2[[#This Row],[Sales Amount]]</f>
        <v>156.85450000000003</v>
      </c>
      <c r="I367" s="40">
        <v>3137.09</v>
      </c>
      <c r="J367" s="38">
        <v>18</v>
      </c>
      <c r="K367" s="38" t="s">
        <v>16</v>
      </c>
      <c r="L367" s="40">
        <v>1069.73</v>
      </c>
      <c r="M367" s="40">
        <v>1180.04</v>
      </c>
      <c r="N367" s="38" t="s">
        <v>17</v>
      </c>
      <c r="O367" s="41">
        <v>0.22</v>
      </c>
      <c r="P367" s="38" t="s">
        <v>27</v>
      </c>
      <c r="Q367" s="38" t="s">
        <v>19</v>
      </c>
      <c r="R367" s="38" t="str">
        <f>IF(Cleaned_Final!$I367&gt;=5000,"High","Low")</f>
        <v>Low</v>
      </c>
    </row>
    <row r="368" spans="1:18" x14ac:dyDescent="0.35">
      <c r="A368" s="34">
        <v>1044</v>
      </c>
      <c r="B368" s="34" t="str">
        <f>_xlfn.XLOOKUP(Table2[[#This Row],[Product ID]],Sheet1!$A$32:$A$200,Sheet1!$B$32:$B$200,"Not Found")</f>
        <v>Burger</v>
      </c>
      <c r="C368" s="35">
        <v>44937</v>
      </c>
      <c r="D368" s="34" t="s">
        <v>38</v>
      </c>
      <c r="E368" s="34" t="str" cm="1">
        <f t="array" ref="E368">_xlfn.XLOOKUP(Table2[[#This Row],[Sales Rep]],Sheet1!$A$21:$A$25,Sheet1!$B$21:$B$25,Not Found)</f>
        <v>Tracy Moore</v>
      </c>
      <c r="F368" s="34" t="s">
        <v>15</v>
      </c>
      <c r="G368" s="34">
        <f>_xlfn.XLOOKUP(Table2[[#This Row],[Region]],Sheet1!$A$12:$A$15,Sheet1!$B$12:$B$15,0)</f>
        <v>7.4999999999999997E-2</v>
      </c>
      <c r="H368" s="36">
        <f>Table2[[#This Row],[Tax Rate]]*Table2[[#This Row],[Sales Amount]]</f>
        <v>269.57175000000001</v>
      </c>
      <c r="I368" s="36">
        <v>3594.29</v>
      </c>
      <c r="J368" s="34">
        <v>5</v>
      </c>
      <c r="K368" s="34" t="s">
        <v>26</v>
      </c>
      <c r="L368" s="36">
        <v>4762.87</v>
      </c>
      <c r="M368" s="36">
        <v>5050.46</v>
      </c>
      <c r="N368" s="34" t="s">
        <v>30</v>
      </c>
      <c r="O368" s="37">
        <v>0.25</v>
      </c>
      <c r="P368" s="34" t="s">
        <v>18</v>
      </c>
      <c r="Q368" s="34" t="s">
        <v>22</v>
      </c>
      <c r="R368" s="34" t="str">
        <f>IF(Cleaned_Final!$I368&gt;=5000,"High","Low")</f>
        <v>Low</v>
      </c>
    </row>
    <row r="369" spans="1:18" x14ac:dyDescent="0.35">
      <c r="A369" s="38">
        <v>1092</v>
      </c>
      <c r="B369" s="38" t="str">
        <f>_xlfn.XLOOKUP(Table2[[#This Row],[Product ID]],Sheet1!$A$32:$A$200,Sheet1!$B$32:$B$200,"Not Found")</f>
        <v>Recliner</v>
      </c>
      <c r="C369" s="39">
        <v>45160</v>
      </c>
      <c r="D369" s="38" t="s">
        <v>24</v>
      </c>
      <c r="E369" s="38" t="str" cm="1">
        <f t="array" ref="E369">_xlfn.XLOOKUP(Table2[[#This Row],[Sales Rep]],Sheet1!$A$21:$A$25,Sheet1!$B$21:$B$25,Not Found)</f>
        <v>Hogan Rock</v>
      </c>
      <c r="F369" s="38" t="s">
        <v>34</v>
      </c>
      <c r="G369" s="38">
        <f>_xlfn.XLOOKUP(Table2[[#This Row],[Region]],Sheet1!$A$12:$A$15,Sheet1!$B$12:$B$15,0)</f>
        <v>0.06</v>
      </c>
      <c r="H369" s="40">
        <f>Table2[[#This Row],[Tax Rate]]*Table2[[#This Row],[Sales Amount]]</f>
        <v>375.048</v>
      </c>
      <c r="I369" s="40">
        <v>6250.8</v>
      </c>
      <c r="J369" s="38">
        <v>29</v>
      </c>
      <c r="K369" s="38" t="s">
        <v>29</v>
      </c>
      <c r="L369" s="40">
        <v>1742.24</v>
      </c>
      <c r="M369" s="40">
        <v>2070.52</v>
      </c>
      <c r="N369" s="38" t="s">
        <v>30</v>
      </c>
      <c r="O369" s="41">
        <v>0.12</v>
      </c>
      <c r="P369" s="38" t="s">
        <v>18</v>
      </c>
      <c r="Q369" s="38" t="s">
        <v>19</v>
      </c>
      <c r="R369" s="38" t="str">
        <f>IF(Cleaned_Final!$I369&gt;=5000,"High","Low")</f>
        <v>High</v>
      </c>
    </row>
    <row r="370" spans="1:18" x14ac:dyDescent="0.35">
      <c r="A370" s="34">
        <v>1030</v>
      </c>
      <c r="B370" s="34" t="str">
        <f>_xlfn.XLOOKUP(Table2[[#This Row],[Product ID]],Sheet1!$A$32:$A$200,Sheet1!$B$32:$B$200,"Not Found")</f>
        <v>Jeans</v>
      </c>
      <c r="C370" s="35">
        <v>45121</v>
      </c>
      <c r="D370" s="34" t="s">
        <v>14</v>
      </c>
      <c r="E370" s="34" t="str" cm="1">
        <f t="array" ref="E370">_xlfn.XLOOKUP(Table2[[#This Row],[Sales Rep]],Sheet1!$A$21:$A$25,Sheet1!$B$21:$B$25,Not Found)</f>
        <v>Michael Smith</v>
      </c>
      <c r="F370" s="34" t="s">
        <v>34</v>
      </c>
      <c r="G370" s="34">
        <f>_xlfn.XLOOKUP(Table2[[#This Row],[Region]],Sheet1!$A$12:$A$15,Sheet1!$B$12:$B$15,0)</f>
        <v>0.06</v>
      </c>
      <c r="H370" s="36">
        <f>Table2[[#This Row],[Tax Rate]]*Table2[[#This Row],[Sales Amount]]</f>
        <v>204.4254</v>
      </c>
      <c r="I370" s="36">
        <v>3407.09</v>
      </c>
      <c r="J370" s="34">
        <v>39</v>
      </c>
      <c r="K370" s="34" t="s">
        <v>29</v>
      </c>
      <c r="L370" s="36">
        <v>4929.7299999999996</v>
      </c>
      <c r="M370" s="36">
        <v>5088.0199999999904</v>
      </c>
      <c r="N370" s="34" t="s">
        <v>30</v>
      </c>
      <c r="O370" s="37">
        <v>0.23</v>
      </c>
      <c r="P370" s="34" t="s">
        <v>27</v>
      </c>
      <c r="Q370" s="34" t="s">
        <v>22</v>
      </c>
      <c r="R370" s="34" t="str">
        <f>IF(Cleaned_Final!$I370&gt;=5000,"High","Low")</f>
        <v>Low</v>
      </c>
    </row>
    <row r="371" spans="1:18" x14ac:dyDescent="0.35">
      <c r="A371" s="38">
        <v>1093</v>
      </c>
      <c r="B371" s="38" t="str">
        <f>_xlfn.XLOOKUP(Table2[[#This Row],[Product ID]],Sheet1!$A$32:$A$200,Sheet1!$B$32:$B$200,"Not Found")</f>
        <v>Dining Table</v>
      </c>
      <c r="C371" s="39">
        <v>45045</v>
      </c>
      <c r="D371" s="38" t="s">
        <v>42</v>
      </c>
      <c r="E371" s="38" t="str" cm="1">
        <f t="array" ref="E371">_xlfn.XLOOKUP(Table2[[#This Row],[Sales Rep]],Sheet1!$A$21:$A$25,Sheet1!$B$21:$B$25,Not Found)</f>
        <v>Scott Wayne</v>
      </c>
      <c r="F371" s="38" t="s">
        <v>15</v>
      </c>
      <c r="G371" s="38">
        <f>_xlfn.XLOOKUP(Table2[[#This Row],[Region]],Sheet1!$A$12:$A$15,Sheet1!$B$12:$B$15,0)</f>
        <v>7.4999999999999997E-2</v>
      </c>
      <c r="H371" s="40">
        <f>Table2[[#This Row],[Tax Rate]]*Table2[[#This Row],[Sales Amount]]</f>
        <v>551.529</v>
      </c>
      <c r="I371" s="40">
        <v>7353.72</v>
      </c>
      <c r="J371" s="38">
        <v>34</v>
      </c>
      <c r="K371" s="38" t="s">
        <v>26</v>
      </c>
      <c r="L371" s="40">
        <v>4201.1099999999997</v>
      </c>
      <c r="M371" s="40">
        <v>4436.5</v>
      </c>
      <c r="N371" s="38" t="s">
        <v>30</v>
      </c>
      <c r="O371" s="41">
        <v>0.05</v>
      </c>
      <c r="P371" s="38" t="s">
        <v>18</v>
      </c>
      <c r="Q371" s="38" t="s">
        <v>19</v>
      </c>
      <c r="R371" s="38" t="str">
        <f>IF(Cleaned_Final!$I371&gt;=5000,"High","Low")</f>
        <v>High</v>
      </c>
    </row>
    <row r="372" spans="1:18" x14ac:dyDescent="0.35">
      <c r="A372" s="34">
        <v>1046</v>
      </c>
      <c r="B372" s="34" t="str">
        <f>_xlfn.XLOOKUP(Table2[[#This Row],[Product ID]],Sheet1!$A$32:$A$200,Sheet1!$B$32:$B$200,"Not Found")</f>
        <v>Sweat Shirts</v>
      </c>
      <c r="C372" s="35">
        <v>44946</v>
      </c>
      <c r="D372" s="34" t="s">
        <v>38</v>
      </c>
      <c r="E372" s="34" t="str" cm="1">
        <f t="array" ref="E372">_xlfn.XLOOKUP(Table2[[#This Row],[Sales Rep]],Sheet1!$A$21:$A$25,Sheet1!$B$21:$B$25,Not Found)</f>
        <v>Tracy Moore</v>
      </c>
      <c r="F372" s="34" t="s">
        <v>34</v>
      </c>
      <c r="G372" s="34">
        <f>_xlfn.XLOOKUP(Table2[[#This Row],[Region]],Sheet1!$A$12:$A$15,Sheet1!$B$12:$B$15,0)</f>
        <v>0.06</v>
      </c>
      <c r="H372" s="36">
        <f>Table2[[#This Row],[Tax Rate]]*Table2[[#This Row],[Sales Amount]]</f>
        <v>246.28919999999997</v>
      </c>
      <c r="I372" s="36">
        <v>4104.82</v>
      </c>
      <c r="J372" s="34">
        <v>43</v>
      </c>
      <c r="K372" s="34" t="s">
        <v>29</v>
      </c>
      <c r="L372" s="36">
        <v>4052.42</v>
      </c>
      <c r="M372" s="36">
        <v>4199.3</v>
      </c>
      <c r="N372" s="34" t="s">
        <v>30</v>
      </c>
      <c r="O372" s="37">
        <v>0.1</v>
      </c>
      <c r="P372" s="34" t="s">
        <v>27</v>
      </c>
      <c r="Q372" s="34" t="s">
        <v>22</v>
      </c>
      <c r="R372" s="34" t="str">
        <f>IF(Cleaned_Final!$I372&gt;=5000,"High","Low")</f>
        <v>Low</v>
      </c>
    </row>
    <row r="373" spans="1:18" x14ac:dyDescent="0.35">
      <c r="A373" s="38">
        <v>1006</v>
      </c>
      <c r="B373" s="38" t="str">
        <f>_xlfn.XLOOKUP(Table2[[#This Row],[Product ID]],Sheet1!$A$32:$A$200,Sheet1!$B$32:$B$200,"Not Found")</f>
        <v>Monitor</v>
      </c>
      <c r="C373" s="39">
        <v>45187</v>
      </c>
      <c r="D373" s="38" t="s">
        <v>24</v>
      </c>
      <c r="E373" s="38" t="str" cm="1">
        <f t="array" ref="E373">_xlfn.XLOOKUP(Table2[[#This Row],[Sales Rep]],Sheet1!$A$21:$A$25,Sheet1!$B$21:$B$25,Not Found)</f>
        <v>Hogan Rock</v>
      </c>
      <c r="F373" s="38" t="s">
        <v>21</v>
      </c>
      <c r="G373" s="38">
        <f>_xlfn.XLOOKUP(Table2[[#This Row],[Region]],Sheet1!$A$12:$A$15,Sheet1!$B$12:$B$15,0)</f>
        <v>0.08</v>
      </c>
      <c r="H373" s="40">
        <f>Table2[[#This Row],[Tax Rate]]*Table2[[#This Row],[Sales Amount]]</f>
        <v>62.136000000000003</v>
      </c>
      <c r="I373" s="40">
        <v>776.7</v>
      </c>
      <c r="J373" s="38">
        <v>45</v>
      </c>
      <c r="K373" s="38" t="s">
        <v>16</v>
      </c>
      <c r="L373" s="40">
        <v>1623.63</v>
      </c>
      <c r="M373" s="40">
        <v>1814.63</v>
      </c>
      <c r="N373" s="38" t="s">
        <v>30</v>
      </c>
      <c r="O373" s="41">
        <v>0.28999999999999998</v>
      </c>
      <c r="P373" s="38" t="s">
        <v>27</v>
      </c>
      <c r="Q373" s="38" t="s">
        <v>22</v>
      </c>
      <c r="R373" s="38" t="str">
        <f>IF(Cleaned_Final!$I373&gt;=5000,"High","Low")</f>
        <v>Low</v>
      </c>
    </row>
    <row r="374" spans="1:18" x14ac:dyDescent="0.35">
      <c r="A374" s="34">
        <v>1099</v>
      </c>
      <c r="B374" s="34" t="str">
        <f>_xlfn.XLOOKUP(Table2[[#This Row],[Product ID]],Sheet1!$A$32:$A$200,Sheet1!$B$32:$B$200,"Not Found")</f>
        <v>Chest</v>
      </c>
      <c r="C374" s="35">
        <v>45219</v>
      </c>
      <c r="D374" s="34" t="s">
        <v>24</v>
      </c>
      <c r="E374" s="34" t="str" cm="1">
        <f t="array" ref="E374">_xlfn.XLOOKUP(Table2[[#This Row],[Sales Rep]],Sheet1!$A$21:$A$25,Sheet1!$B$21:$B$25,Not Found)</f>
        <v>Hogan Rock</v>
      </c>
      <c r="F374" s="34" t="s">
        <v>25</v>
      </c>
      <c r="G374" s="34">
        <f>_xlfn.XLOOKUP(Table2[[#This Row],[Region]],Sheet1!$A$12:$A$15,Sheet1!$B$12:$B$15,0)</f>
        <v>0.05</v>
      </c>
      <c r="H374" s="36">
        <f>Table2[[#This Row],[Tax Rate]]*Table2[[#This Row],[Sales Amount]]</f>
        <v>392.96100000000001</v>
      </c>
      <c r="I374" s="36">
        <v>7859.22</v>
      </c>
      <c r="J374" s="34">
        <v>23</v>
      </c>
      <c r="K374" s="34" t="s">
        <v>29</v>
      </c>
      <c r="L374" s="36">
        <v>93.45</v>
      </c>
      <c r="M374" s="36">
        <v>181.62</v>
      </c>
      <c r="N374" s="34" t="s">
        <v>17</v>
      </c>
      <c r="O374" s="37">
        <v>0.3</v>
      </c>
      <c r="P374" s="34" t="s">
        <v>27</v>
      </c>
      <c r="Q374" s="34" t="s">
        <v>22</v>
      </c>
      <c r="R374" s="34" t="str">
        <f>IF(Cleaned_Final!$I374&gt;=5000,"High","Low")</f>
        <v>High</v>
      </c>
    </row>
    <row r="375" spans="1:18" x14ac:dyDescent="0.35">
      <c r="A375" s="38">
        <v>1037</v>
      </c>
      <c r="B375" s="38" t="str">
        <f>_xlfn.XLOOKUP(Table2[[#This Row],[Product ID]],Sheet1!$A$32:$A$200,Sheet1!$B$32:$B$200,"Not Found")</f>
        <v>Turtleneck Top</v>
      </c>
      <c r="C375" s="39">
        <v>45182</v>
      </c>
      <c r="D375" s="38" t="s">
        <v>14</v>
      </c>
      <c r="E375" s="38" t="str" cm="1">
        <f t="array" ref="E375">_xlfn.XLOOKUP(Table2[[#This Row],[Sales Rep]],Sheet1!$A$21:$A$25,Sheet1!$B$21:$B$25,Not Found)</f>
        <v>Michael Smith</v>
      </c>
      <c r="F375" s="38" t="s">
        <v>25</v>
      </c>
      <c r="G375" s="38">
        <f>_xlfn.XLOOKUP(Table2[[#This Row],[Region]],Sheet1!$A$12:$A$15,Sheet1!$B$12:$B$15,0)</f>
        <v>0.05</v>
      </c>
      <c r="H375" s="40">
        <f>Table2[[#This Row],[Tax Rate]]*Table2[[#This Row],[Sales Amount]]</f>
        <v>146.45050000000001</v>
      </c>
      <c r="I375" s="40">
        <v>2929.01</v>
      </c>
      <c r="J375" s="38">
        <v>5</v>
      </c>
      <c r="K375" s="38" t="s">
        <v>16</v>
      </c>
      <c r="L375" s="40">
        <v>1941.56</v>
      </c>
      <c r="M375" s="40">
        <v>2385.48</v>
      </c>
      <c r="N375" s="38" t="s">
        <v>17</v>
      </c>
      <c r="O375" s="41">
        <v>0.15</v>
      </c>
      <c r="P375" s="38" t="s">
        <v>31</v>
      </c>
      <c r="Q375" s="38" t="s">
        <v>19</v>
      </c>
      <c r="R375" s="38" t="str">
        <f>IF(Cleaned_Final!$I375&gt;=5000,"High","Low")</f>
        <v>Low</v>
      </c>
    </row>
    <row r="376" spans="1:18" x14ac:dyDescent="0.35">
      <c r="A376" s="34">
        <v>1024</v>
      </c>
      <c r="B376" s="34" t="str">
        <f>_xlfn.XLOOKUP(Table2[[#This Row],[Product ID]],Sheet1!$A$32:$A$200,Sheet1!$B$32:$B$200,"Not Found")</f>
        <v>Pasta Pack</v>
      </c>
      <c r="C376" s="35">
        <v>45148</v>
      </c>
      <c r="D376" s="34" t="s">
        <v>38</v>
      </c>
      <c r="E376" s="34" t="str" cm="1">
        <f t="array" ref="E376">_xlfn.XLOOKUP(Table2[[#This Row],[Sales Rep]],Sheet1!$A$21:$A$25,Sheet1!$B$21:$B$25,Not Found)</f>
        <v>Tracy Moore</v>
      </c>
      <c r="F376" s="34" t="s">
        <v>25</v>
      </c>
      <c r="G376" s="34">
        <f>_xlfn.XLOOKUP(Table2[[#This Row],[Region]],Sheet1!$A$12:$A$15,Sheet1!$B$12:$B$15,0)</f>
        <v>0.05</v>
      </c>
      <c r="H376" s="36">
        <f>Table2[[#This Row],[Tax Rate]]*Table2[[#This Row],[Sales Amount]]</f>
        <v>219.21950000000004</v>
      </c>
      <c r="I376" s="36">
        <v>4384.3900000000003</v>
      </c>
      <c r="J376" s="34">
        <v>30</v>
      </c>
      <c r="K376" s="34" t="s">
        <v>26</v>
      </c>
      <c r="L376" s="36">
        <v>1543.96</v>
      </c>
      <c r="M376" s="36">
        <v>1558.87</v>
      </c>
      <c r="N376" s="34" t="s">
        <v>17</v>
      </c>
      <c r="O376" s="37">
        <v>0.28000000000000003</v>
      </c>
      <c r="P376" s="34" t="s">
        <v>31</v>
      </c>
      <c r="Q376" s="34" t="s">
        <v>19</v>
      </c>
      <c r="R376" s="34" t="str">
        <f>IF(Cleaned_Final!$I376&gt;=5000,"High","Low")</f>
        <v>Low</v>
      </c>
    </row>
    <row r="377" spans="1:18" x14ac:dyDescent="0.35">
      <c r="A377" s="38">
        <v>1093</v>
      </c>
      <c r="B377" s="38" t="str">
        <f>_xlfn.XLOOKUP(Table2[[#This Row],[Product ID]],Sheet1!$A$32:$A$200,Sheet1!$B$32:$B$200,"Not Found")</f>
        <v>Dining Table</v>
      </c>
      <c r="C377" s="39">
        <v>45152</v>
      </c>
      <c r="D377" s="38" t="s">
        <v>24</v>
      </c>
      <c r="E377" s="38" t="str" cm="1">
        <f t="array" ref="E377">_xlfn.XLOOKUP(Table2[[#This Row],[Sales Rep]],Sheet1!$A$21:$A$25,Sheet1!$B$21:$B$25,Not Found)</f>
        <v>Hogan Rock</v>
      </c>
      <c r="F377" s="38" t="s">
        <v>21</v>
      </c>
      <c r="G377" s="38">
        <f>_xlfn.XLOOKUP(Table2[[#This Row],[Region]],Sheet1!$A$12:$A$15,Sheet1!$B$12:$B$15,0)</f>
        <v>0.08</v>
      </c>
      <c r="H377" s="40">
        <f>Table2[[#This Row],[Tax Rate]]*Table2[[#This Row],[Sales Amount]]</f>
        <v>550.87120000000004</v>
      </c>
      <c r="I377" s="40">
        <v>6885.89</v>
      </c>
      <c r="J377" s="38">
        <v>6</v>
      </c>
      <c r="K377" s="38" t="s">
        <v>26</v>
      </c>
      <c r="L377" s="40">
        <v>235.12</v>
      </c>
      <c r="M377" s="40">
        <v>677.5</v>
      </c>
      <c r="N377" s="38" t="s">
        <v>17</v>
      </c>
      <c r="O377" s="41">
        <v>0.16</v>
      </c>
      <c r="P377" s="38" t="s">
        <v>31</v>
      </c>
      <c r="Q377" s="38" t="s">
        <v>19</v>
      </c>
      <c r="R377" s="38" t="str">
        <f>IF(Cleaned_Final!$I377&gt;=5000,"High","Low")</f>
        <v>High</v>
      </c>
    </row>
    <row r="378" spans="1:18" x14ac:dyDescent="0.35">
      <c r="A378" s="34">
        <v>1046</v>
      </c>
      <c r="B378" s="34" t="str">
        <f>_xlfn.XLOOKUP(Table2[[#This Row],[Product ID]],Sheet1!$A$32:$A$200,Sheet1!$B$32:$B$200,"Not Found")</f>
        <v>Sweat Shirts</v>
      </c>
      <c r="C378" s="35">
        <v>44979</v>
      </c>
      <c r="D378" s="34" t="s">
        <v>42</v>
      </c>
      <c r="E378" s="34" t="str" cm="1">
        <f t="array" ref="E378">_xlfn.XLOOKUP(Table2[[#This Row],[Sales Rep]],Sheet1!$A$21:$A$25,Sheet1!$B$21:$B$25,Not Found)</f>
        <v>Scott Wayne</v>
      </c>
      <c r="F378" s="34" t="s">
        <v>25</v>
      </c>
      <c r="G378" s="34">
        <f>_xlfn.XLOOKUP(Table2[[#This Row],[Region]],Sheet1!$A$12:$A$15,Sheet1!$B$12:$B$15,0)</f>
        <v>0.05</v>
      </c>
      <c r="H378" s="36">
        <f>Table2[[#This Row],[Tax Rate]]*Table2[[#This Row],[Sales Amount]]</f>
        <v>169.56600000000003</v>
      </c>
      <c r="I378" s="36">
        <v>3391.32</v>
      </c>
      <c r="J378" s="34">
        <v>46</v>
      </c>
      <c r="K378" s="34" t="s">
        <v>29</v>
      </c>
      <c r="L378" s="36">
        <v>2551.56</v>
      </c>
      <c r="M378" s="36">
        <v>2841.68</v>
      </c>
      <c r="N378" s="34" t="s">
        <v>30</v>
      </c>
      <c r="O378" s="37">
        <v>0.09</v>
      </c>
      <c r="P378" s="34" t="s">
        <v>27</v>
      </c>
      <c r="Q378" s="34" t="s">
        <v>22</v>
      </c>
      <c r="R378" s="34" t="str">
        <f>IF(Cleaned_Final!$I378&gt;=5000,"High","Low")</f>
        <v>Low</v>
      </c>
    </row>
    <row r="379" spans="1:18" x14ac:dyDescent="0.35">
      <c r="A379" s="38">
        <v>1053</v>
      </c>
      <c r="B379" s="38" t="str">
        <f>_xlfn.XLOOKUP(Table2[[#This Row],[Product ID]],Sheet1!$A$32:$A$200,Sheet1!$B$32:$B$200,"Not Found")</f>
        <v>Bed</v>
      </c>
      <c r="C379" s="39">
        <v>45281</v>
      </c>
      <c r="D379" s="38" t="s">
        <v>14</v>
      </c>
      <c r="E379" s="38" t="str" cm="1">
        <f t="array" ref="E379">_xlfn.XLOOKUP(Table2[[#This Row],[Sales Rep]],Sheet1!$A$21:$A$25,Sheet1!$B$21:$B$25,Not Found)</f>
        <v>Michael Smith</v>
      </c>
      <c r="F379" s="38" t="s">
        <v>15</v>
      </c>
      <c r="G379" s="38">
        <f>_xlfn.XLOOKUP(Table2[[#This Row],[Region]],Sheet1!$A$12:$A$15,Sheet1!$B$12:$B$15,0)</f>
        <v>7.4999999999999997E-2</v>
      </c>
      <c r="H379" s="40">
        <f>Table2[[#This Row],[Tax Rate]]*Table2[[#This Row],[Sales Amount]]</f>
        <v>49.515000000000001</v>
      </c>
      <c r="I379" s="40">
        <v>660.2</v>
      </c>
      <c r="J379" s="38">
        <v>44</v>
      </c>
      <c r="K379" s="38" t="s">
        <v>16</v>
      </c>
      <c r="L379" s="40">
        <v>2045</v>
      </c>
      <c r="M379" s="40">
        <v>2217.5100000000002</v>
      </c>
      <c r="N379" s="38" t="s">
        <v>17</v>
      </c>
      <c r="O379" s="41">
        <v>0.08</v>
      </c>
      <c r="P379" s="38" t="s">
        <v>31</v>
      </c>
      <c r="Q379" s="38" t="s">
        <v>19</v>
      </c>
      <c r="R379" s="38" t="str">
        <f>IF(Cleaned_Final!$I379&gt;=5000,"High","Low")</f>
        <v>Low</v>
      </c>
    </row>
    <row r="380" spans="1:18" x14ac:dyDescent="0.35">
      <c r="A380" s="34">
        <v>1095</v>
      </c>
      <c r="B380" s="34" t="str">
        <f>_xlfn.XLOOKUP(Table2[[#This Row],[Product ID]],Sheet1!$A$32:$A$200,Sheet1!$B$32:$B$200,"Not Found")</f>
        <v>Bluetooth Speaker</v>
      </c>
      <c r="C380" s="35">
        <v>45268</v>
      </c>
      <c r="D380" s="34" t="s">
        <v>38</v>
      </c>
      <c r="E380" s="34" t="str" cm="1">
        <f t="array" ref="E380">_xlfn.XLOOKUP(Table2[[#This Row],[Sales Rep]],Sheet1!$A$21:$A$25,Sheet1!$B$21:$B$25,Not Found)</f>
        <v>Tracy Moore</v>
      </c>
      <c r="F380" s="34" t="s">
        <v>34</v>
      </c>
      <c r="G380" s="34">
        <f>_xlfn.XLOOKUP(Table2[[#This Row],[Region]],Sheet1!$A$12:$A$15,Sheet1!$B$12:$B$15,0)</f>
        <v>0.06</v>
      </c>
      <c r="H380" s="36">
        <f>Table2[[#This Row],[Tax Rate]]*Table2[[#This Row],[Sales Amount]]</f>
        <v>228.10920000000002</v>
      </c>
      <c r="I380" s="36">
        <v>3801.82</v>
      </c>
      <c r="J380" s="34">
        <v>4</v>
      </c>
      <c r="K380" s="34" t="s">
        <v>29</v>
      </c>
      <c r="L380" s="36">
        <v>3191.05</v>
      </c>
      <c r="M380" s="36">
        <v>3555.35</v>
      </c>
      <c r="N380" s="34" t="s">
        <v>30</v>
      </c>
      <c r="O380" s="37">
        <v>0.28000000000000003</v>
      </c>
      <c r="P380" s="34" t="s">
        <v>31</v>
      </c>
      <c r="Q380" s="34" t="s">
        <v>19</v>
      </c>
      <c r="R380" s="34" t="str">
        <f>IF(Cleaned_Final!$I380&gt;=5000,"High","Low")</f>
        <v>Low</v>
      </c>
    </row>
    <row r="381" spans="1:18" x14ac:dyDescent="0.35">
      <c r="A381" s="38">
        <v>1099</v>
      </c>
      <c r="B381" s="38" t="str">
        <f>_xlfn.XLOOKUP(Table2[[#This Row],[Product ID]],Sheet1!$A$32:$A$200,Sheet1!$B$32:$B$200,"Not Found")</f>
        <v>Chest</v>
      </c>
      <c r="C381" s="39">
        <v>45290</v>
      </c>
      <c r="D381" s="38" t="s">
        <v>14</v>
      </c>
      <c r="E381" s="38" t="str" cm="1">
        <f t="array" ref="E381">_xlfn.XLOOKUP(Table2[[#This Row],[Sales Rep]],Sheet1!$A$21:$A$25,Sheet1!$B$21:$B$25,Not Found)</f>
        <v>Michael Smith</v>
      </c>
      <c r="F381" s="38" t="s">
        <v>21</v>
      </c>
      <c r="G381" s="38">
        <f>_xlfn.XLOOKUP(Table2[[#This Row],[Region]],Sheet1!$A$12:$A$15,Sheet1!$B$12:$B$15,0)</f>
        <v>0.08</v>
      </c>
      <c r="H381" s="40">
        <f>Table2[[#This Row],[Tax Rate]]*Table2[[#This Row],[Sales Amount]]</f>
        <v>756.00320000000011</v>
      </c>
      <c r="I381" s="40">
        <v>9450.0400000000009</v>
      </c>
      <c r="J381" s="38">
        <v>29</v>
      </c>
      <c r="K381" s="38" t="s">
        <v>35</v>
      </c>
      <c r="L381" s="40">
        <v>3124.87</v>
      </c>
      <c r="M381" s="40">
        <v>3383.67</v>
      </c>
      <c r="N381" s="38" t="s">
        <v>30</v>
      </c>
      <c r="O381" s="41">
        <v>0.05</v>
      </c>
      <c r="P381" s="38" t="s">
        <v>31</v>
      </c>
      <c r="Q381" s="38" t="s">
        <v>22</v>
      </c>
      <c r="R381" s="38" t="str">
        <f>IF(Cleaned_Final!$I381&gt;=5000,"High","Low")</f>
        <v>High</v>
      </c>
    </row>
    <row r="382" spans="1:18" x14ac:dyDescent="0.35">
      <c r="A382" s="34">
        <v>1060</v>
      </c>
      <c r="B382" s="34" t="str">
        <f>_xlfn.XLOOKUP(Table2[[#This Row],[Product ID]],Sheet1!$A$32:$A$200,Sheet1!$B$32:$B$200,"Not Found")</f>
        <v>Head Warmer</v>
      </c>
      <c r="C382" s="35">
        <v>45206</v>
      </c>
      <c r="D382" s="34" t="s">
        <v>42</v>
      </c>
      <c r="E382" s="34" t="str" cm="1">
        <f t="array" ref="E382">_xlfn.XLOOKUP(Table2[[#This Row],[Sales Rep]],Sheet1!$A$21:$A$25,Sheet1!$B$21:$B$25,Not Found)</f>
        <v>Scott Wayne</v>
      </c>
      <c r="F382" s="34" t="s">
        <v>25</v>
      </c>
      <c r="G382" s="34">
        <f>_xlfn.XLOOKUP(Table2[[#This Row],[Region]],Sheet1!$A$12:$A$15,Sheet1!$B$12:$B$15,0)</f>
        <v>0.05</v>
      </c>
      <c r="H382" s="36">
        <f>Table2[[#This Row],[Tax Rate]]*Table2[[#This Row],[Sales Amount]]</f>
        <v>322.6585</v>
      </c>
      <c r="I382" s="36">
        <v>6453.17</v>
      </c>
      <c r="J382" s="34">
        <v>23</v>
      </c>
      <c r="K382" s="34" t="s">
        <v>35</v>
      </c>
      <c r="L382" s="36">
        <v>647.70000000000005</v>
      </c>
      <c r="M382" s="36">
        <v>902.26</v>
      </c>
      <c r="N382" s="34" t="s">
        <v>30</v>
      </c>
      <c r="O382" s="37">
        <v>0.17</v>
      </c>
      <c r="P382" s="34" t="s">
        <v>27</v>
      </c>
      <c r="Q382" s="34" t="s">
        <v>19</v>
      </c>
      <c r="R382" s="34" t="str">
        <f>IF(Cleaned_Final!$I382&gt;=5000,"High","Low")</f>
        <v>High</v>
      </c>
    </row>
    <row r="383" spans="1:18" x14ac:dyDescent="0.35">
      <c r="A383" s="38">
        <v>1097</v>
      </c>
      <c r="B383" s="38" t="str">
        <f>_xlfn.XLOOKUP(Table2[[#This Row],[Product ID]],Sheet1!$A$32:$A$200,Sheet1!$B$32:$B$200,"Not Found")</f>
        <v>Freezer</v>
      </c>
      <c r="C383" s="39">
        <v>45007</v>
      </c>
      <c r="D383" s="38" t="s">
        <v>38</v>
      </c>
      <c r="E383" s="38" t="str" cm="1">
        <f t="array" ref="E383">_xlfn.XLOOKUP(Table2[[#This Row],[Sales Rep]],Sheet1!$A$21:$A$25,Sheet1!$B$21:$B$25,Not Found)</f>
        <v>Tracy Moore</v>
      </c>
      <c r="F383" s="38" t="s">
        <v>15</v>
      </c>
      <c r="G383" s="38">
        <f>_xlfn.XLOOKUP(Table2[[#This Row],[Region]],Sheet1!$A$12:$A$15,Sheet1!$B$12:$B$15,0)</f>
        <v>7.4999999999999997E-2</v>
      </c>
      <c r="H383" s="40">
        <f>Table2[[#This Row],[Tax Rate]]*Table2[[#This Row],[Sales Amount]]</f>
        <v>506.07299999999998</v>
      </c>
      <c r="I383" s="40">
        <v>6747.64</v>
      </c>
      <c r="J383" s="38">
        <v>6</v>
      </c>
      <c r="K383" s="38" t="s">
        <v>35</v>
      </c>
      <c r="L383" s="40">
        <v>4885.9799999999996</v>
      </c>
      <c r="M383" s="40">
        <v>4949.95</v>
      </c>
      <c r="N383" s="38" t="s">
        <v>17</v>
      </c>
      <c r="O383" s="41">
        <v>0.17</v>
      </c>
      <c r="P383" s="38" t="s">
        <v>27</v>
      </c>
      <c r="Q383" s="38" t="s">
        <v>19</v>
      </c>
      <c r="R383" s="38" t="str">
        <f>IF(Cleaned_Final!$I383&gt;=5000,"High","Low")</f>
        <v>High</v>
      </c>
    </row>
    <row r="384" spans="1:18" x14ac:dyDescent="0.35">
      <c r="A384" s="34">
        <v>1063</v>
      </c>
      <c r="B384" s="34" t="str">
        <f>_xlfn.XLOOKUP(Table2[[#This Row],[Product ID]],Sheet1!$A$32:$A$200,Sheet1!$B$32:$B$200,"Not Found")</f>
        <v>Noodles</v>
      </c>
      <c r="C384" s="35">
        <v>45128</v>
      </c>
      <c r="D384" s="34" t="s">
        <v>14</v>
      </c>
      <c r="E384" s="34" t="str" cm="1">
        <f t="array" ref="E384">_xlfn.XLOOKUP(Table2[[#This Row],[Sales Rep]],Sheet1!$A$21:$A$25,Sheet1!$B$21:$B$25,Not Found)</f>
        <v>Michael Smith</v>
      </c>
      <c r="F384" s="34" t="s">
        <v>34</v>
      </c>
      <c r="G384" s="34">
        <f>_xlfn.XLOOKUP(Table2[[#This Row],[Region]],Sheet1!$A$12:$A$15,Sheet1!$B$12:$B$15,0)</f>
        <v>0.06</v>
      </c>
      <c r="H384" s="36">
        <f>Table2[[#This Row],[Tax Rate]]*Table2[[#This Row],[Sales Amount]]</f>
        <v>381.5754</v>
      </c>
      <c r="I384" s="36">
        <v>6359.59</v>
      </c>
      <c r="J384" s="34">
        <v>32</v>
      </c>
      <c r="K384" s="34" t="s">
        <v>35</v>
      </c>
      <c r="L384" s="36">
        <v>975.31</v>
      </c>
      <c r="M384" s="36">
        <v>1176.17</v>
      </c>
      <c r="N384" s="34" t="s">
        <v>30</v>
      </c>
      <c r="O384" s="37">
        <v>0.22</v>
      </c>
      <c r="P384" s="34" t="s">
        <v>27</v>
      </c>
      <c r="Q384" s="34" t="s">
        <v>22</v>
      </c>
      <c r="R384" s="34" t="str">
        <f>IF(Cleaned_Final!$I384&gt;=5000,"High","Low")</f>
        <v>High</v>
      </c>
    </row>
    <row r="385" spans="1:18" x14ac:dyDescent="0.35">
      <c r="A385" s="38">
        <v>1085</v>
      </c>
      <c r="B385" s="38" t="str">
        <f>_xlfn.XLOOKUP(Table2[[#This Row],[Product ID]],Sheet1!$A$32:$A$200,Sheet1!$B$32:$B$200,"Not Found")</f>
        <v>Settee</v>
      </c>
      <c r="C385" s="39">
        <v>45084</v>
      </c>
      <c r="D385" s="38" t="s">
        <v>33</v>
      </c>
      <c r="E385" s="38" t="str" cm="1">
        <f t="array" ref="E385">_xlfn.XLOOKUP(Table2[[#This Row],[Sales Rep]],Sheet1!$A$21:$A$25,Sheet1!$B$21:$B$25,Not Found)</f>
        <v>Susan Jerkins</v>
      </c>
      <c r="F385" s="38" t="s">
        <v>34</v>
      </c>
      <c r="G385" s="38">
        <f>_xlfn.XLOOKUP(Table2[[#This Row],[Region]],Sheet1!$A$12:$A$15,Sheet1!$B$12:$B$15,0)</f>
        <v>0.06</v>
      </c>
      <c r="H385" s="40">
        <f>Table2[[#This Row],[Tax Rate]]*Table2[[#This Row],[Sales Amount]]</f>
        <v>124.2012</v>
      </c>
      <c r="I385" s="40">
        <v>2070.02</v>
      </c>
      <c r="J385" s="38">
        <v>42</v>
      </c>
      <c r="K385" s="38" t="s">
        <v>29</v>
      </c>
      <c r="L385" s="40">
        <v>2254.11</v>
      </c>
      <c r="M385" s="40">
        <v>2382.23</v>
      </c>
      <c r="N385" s="38" t="s">
        <v>17</v>
      </c>
      <c r="O385" s="41">
        <v>0.15</v>
      </c>
      <c r="P385" s="38" t="s">
        <v>31</v>
      </c>
      <c r="Q385" s="38" t="s">
        <v>22</v>
      </c>
      <c r="R385" s="38" t="str">
        <f>IF(Cleaned_Final!$I385&gt;=5000,"High","Low")</f>
        <v>Low</v>
      </c>
    </row>
    <row r="386" spans="1:18" x14ac:dyDescent="0.35">
      <c r="A386" s="34">
        <v>1032</v>
      </c>
      <c r="B386" s="34" t="str">
        <f>_xlfn.XLOOKUP(Table2[[#This Row],[Product ID]],Sheet1!$A$32:$A$200,Sheet1!$B$32:$B$200,"Not Found")</f>
        <v>Refridgerator</v>
      </c>
      <c r="C386" s="35">
        <v>45046</v>
      </c>
      <c r="D386" s="34" t="s">
        <v>42</v>
      </c>
      <c r="E386" s="34" t="str" cm="1">
        <f t="array" ref="E386">_xlfn.XLOOKUP(Table2[[#This Row],[Sales Rep]],Sheet1!$A$21:$A$25,Sheet1!$B$21:$B$25,Not Found)</f>
        <v>Scott Wayne</v>
      </c>
      <c r="F386" s="34" t="s">
        <v>21</v>
      </c>
      <c r="G386" s="34">
        <f>_xlfn.XLOOKUP(Table2[[#This Row],[Region]],Sheet1!$A$12:$A$15,Sheet1!$B$12:$B$15,0)</f>
        <v>0.08</v>
      </c>
      <c r="H386" s="36">
        <f>Table2[[#This Row],[Tax Rate]]*Table2[[#This Row],[Sales Amount]]</f>
        <v>339.32080000000002</v>
      </c>
      <c r="I386" s="36">
        <v>4241.51</v>
      </c>
      <c r="J386" s="34">
        <v>18</v>
      </c>
      <c r="K386" s="34" t="s">
        <v>35</v>
      </c>
      <c r="L386" s="36">
        <v>2466.1799999999998</v>
      </c>
      <c r="M386" s="36">
        <v>2483.87</v>
      </c>
      <c r="N386" s="34" t="s">
        <v>17</v>
      </c>
      <c r="O386" s="37">
        <v>0.08</v>
      </c>
      <c r="P386" s="34" t="s">
        <v>18</v>
      </c>
      <c r="Q386" s="34" t="s">
        <v>19</v>
      </c>
      <c r="R386" s="34" t="str">
        <f>IF(Cleaned_Final!$I386&gt;=5000,"High","Low")</f>
        <v>Low</v>
      </c>
    </row>
    <row r="387" spans="1:18" x14ac:dyDescent="0.35">
      <c r="A387" s="38">
        <v>1087</v>
      </c>
      <c r="B387" s="38" t="str">
        <f>_xlfn.XLOOKUP(Table2[[#This Row],[Product ID]],Sheet1!$A$32:$A$200,Sheet1!$B$32:$B$200,"Not Found")</f>
        <v>Sofa Set</v>
      </c>
      <c r="C387" s="39">
        <v>44985</v>
      </c>
      <c r="D387" s="38" t="s">
        <v>42</v>
      </c>
      <c r="E387" s="38" t="str" cm="1">
        <f t="array" ref="E387">_xlfn.XLOOKUP(Table2[[#This Row],[Sales Rep]],Sheet1!$A$21:$A$25,Sheet1!$B$21:$B$25,Not Found)</f>
        <v>Scott Wayne</v>
      </c>
      <c r="F387" s="38" t="s">
        <v>21</v>
      </c>
      <c r="G387" s="38">
        <f>_xlfn.XLOOKUP(Table2[[#This Row],[Region]],Sheet1!$A$12:$A$15,Sheet1!$B$12:$B$15,0)</f>
        <v>0.08</v>
      </c>
      <c r="H387" s="40">
        <f>Table2[[#This Row],[Tax Rate]]*Table2[[#This Row],[Sales Amount]]</f>
        <v>602.74400000000003</v>
      </c>
      <c r="I387" s="40">
        <v>7534.3</v>
      </c>
      <c r="J387" s="38">
        <v>15</v>
      </c>
      <c r="K387" s="38" t="s">
        <v>16</v>
      </c>
      <c r="L387" s="40">
        <v>4074.66</v>
      </c>
      <c r="M387" s="40">
        <v>4261.1099999999997</v>
      </c>
      <c r="N387" s="38" t="s">
        <v>17</v>
      </c>
      <c r="O387" s="41">
        <v>0.05</v>
      </c>
      <c r="P387" s="38" t="s">
        <v>31</v>
      </c>
      <c r="Q387" s="38" t="s">
        <v>22</v>
      </c>
      <c r="R387" s="38" t="str">
        <f>IF(Cleaned_Final!$I387&gt;=5000,"High","Low")</f>
        <v>High</v>
      </c>
    </row>
    <row r="388" spans="1:18" x14ac:dyDescent="0.35">
      <c r="A388" s="34">
        <v>1033</v>
      </c>
      <c r="B388" s="34" t="str">
        <f>_xlfn.XLOOKUP(Table2[[#This Row],[Product ID]],Sheet1!$A$32:$A$200,Sheet1!$B$32:$B$200,"Not Found")</f>
        <v>TV Stand</v>
      </c>
      <c r="C388" s="35">
        <v>45141</v>
      </c>
      <c r="D388" s="34" t="s">
        <v>42</v>
      </c>
      <c r="E388" s="34" t="str" cm="1">
        <f t="array" ref="E388">_xlfn.XLOOKUP(Table2[[#This Row],[Sales Rep]],Sheet1!$A$21:$A$25,Sheet1!$B$21:$B$25,Not Found)</f>
        <v>Scott Wayne</v>
      </c>
      <c r="F388" s="34" t="s">
        <v>21</v>
      </c>
      <c r="G388" s="34">
        <f>_xlfn.XLOOKUP(Table2[[#This Row],[Region]],Sheet1!$A$12:$A$15,Sheet1!$B$12:$B$15,0)</f>
        <v>0.08</v>
      </c>
      <c r="H388" s="36">
        <f>Table2[[#This Row],[Tax Rate]]*Table2[[#This Row],[Sales Amount]]</f>
        <v>88.287199999999999</v>
      </c>
      <c r="I388" s="36">
        <v>1103.5899999999999</v>
      </c>
      <c r="J388" s="34">
        <v>40</v>
      </c>
      <c r="K388" s="34" t="s">
        <v>26</v>
      </c>
      <c r="L388" s="36">
        <v>541.19000000000005</v>
      </c>
      <c r="M388" s="36">
        <v>595.20000000000005</v>
      </c>
      <c r="N388" s="34" t="s">
        <v>17</v>
      </c>
      <c r="O388" s="37">
        <v>0.19</v>
      </c>
      <c r="P388" s="34" t="s">
        <v>31</v>
      </c>
      <c r="Q388" s="34" t="s">
        <v>19</v>
      </c>
      <c r="R388" s="34" t="str">
        <f>IF(Cleaned_Final!$I388&gt;=5000,"High","Low")</f>
        <v>Low</v>
      </c>
    </row>
    <row r="389" spans="1:18" x14ac:dyDescent="0.35">
      <c r="A389" s="38">
        <v>1067</v>
      </c>
      <c r="B389" s="38" t="str">
        <f>_xlfn.XLOOKUP(Table2[[#This Row],[Product ID]],Sheet1!$A$32:$A$200,Sheet1!$B$32:$B$200,"Not Found")</f>
        <v>Grapes</v>
      </c>
      <c r="C389" s="39">
        <v>45054</v>
      </c>
      <c r="D389" s="38" t="s">
        <v>33</v>
      </c>
      <c r="E389" s="38" t="str" cm="1">
        <f t="array" ref="E389">_xlfn.XLOOKUP(Table2[[#This Row],[Sales Rep]],Sheet1!$A$21:$A$25,Sheet1!$B$21:$B$25,Not Found)</f>
        <v>Susan Jerkins</v>
      </c>
      <c r="F389" s="38" t="s">
        <v>15</v>
      </c>
      <c r="G389" s="38">
        <f>_xlfn.XLOOKUP(Table2[[#This Row],[Region]],Sheet1!$A$12:$A$15,Sheet1!$B$12:$B$15,0)</f>
        <v>7.4999999999999997E-2</v>
      </c>
      <c r="H389" s="40">
        <f>Table2[[#This Row],[Tax Rate]]*Table2[[#This Row],[Sales Amount]]</f>
        <v>213.80549999999997</v>
      </c>
      <c r="I389" s="40">
        <v>2850.74</v>
      </c>
      <c r="J389" s="38">
        <v>32</v>
      </c>
      <c r="K389" s="38" t="s">
        <v>26</v>
      </c>
      <c r="L389" s="40">
        <v>2171.79</v>
      </c>
      <c r="M389" s="40">
        <v>2307.64</v>
      </c>
      <c r="N389" s="38" t="s">
        <v>17</v>
      </c>
      <c r="O389" s="41">
        <v>0.22</v>
      </c>
      <c r="P389" s="38" t="s">
        <v>27</v>
      </c>
      <c r="Q389" s="38" t="s">
        <v>19</v>
      </c>
      <c r="R389" s="38" t="str">
        <f>IF(Cleaned_Final!$I389&gt;=5000,"High","Low")</f>
        <v>Low</v>
      </c>
    </row>
    <row r="390" spans="1:18" x14ac:dyDescent="0.35">
      <c r="A390" s="34">
        <v>1018</v>
      </c>
      <c r="B390" s="34" t="str">
        <f>_xlfn.XLOOKUP(Table2[[#This Row],[Product ID]],Sheet1!$A$32:$A$200,Sheet1!$B$32:$B$200,"Not Found")</f>
        <v>Dress Shirt</v>
      </c>
      <c r="C390" s="35">
        <v>45150</v>
      </c>
      <c r="D390" s="34" t="s">
        <v>33</v>
      </c>
      <c r="E390" s="34" t="str" cm="1">
        <f t="array" ref="E390">_xlfn.XLOOKUP(Table2[[#This Row],[Sales Rep]],Sheet1!$A$21:$A$25,Sheet1!$B$21:$B$25,Not Found)</f>
        <v>Susan Jerkins</v>
      </c>
      <c r="F390" s="34" t="s">
        <v>15</v>
      </c>
      <c r="G390" s="34">
        <f>_xlfn.XLOOKUP(Table2[[#This Row],[Region]],Sheet1!$A$12:$A$15,Sheet1!$B$12:$B$15,0)</f>
        <v>7.4999999999999997E-2</v>
      </c>
      <c r="H390" s="36">
        <f>Table2[[#This Row],[Tax Rate]]*Table2[[#This Row],[Sales Amount]]</f>
        <v>212.667</v>
      </c>
      <c r="I390" s="36">
        <v>2835.56</v>
      </c>
      <c r="J390" s="34">
        <v>9</v>
      </c>
      <c r="K390" s="34" t="s">
        <v>35</v>
      </c>
      <c r="L390" s="36">
        <v>3161.09</v>
      </c>
      <c r="M390" s="36">
        <v>3216.42</v>
      </c>
      <c r="N390" s="34" t="s">
        <v>30</v>
      </c>
      <c r="O390" s="37">
        <v>0.17</v>
      </c>
      <c r="P390" s="34" t="s">
        <v>27</v>
      </c>
      <c r="Q390" s="34" t="s">
        <v>19</v>
      </c>
      <c r="R390" s="34" t="str">
        <f>IF(Cleaned_Final!$I390&gt;=5000,"High","Low")</f>
        <v>Low</v>
      </c>
    </row>
    <row r="391" spans="1:18" x14ac:dyDescent="0.35">
      <c r="A391" s="38">
        <v>1025</v>
      </c>
      <c r="B391" s="38" t="str">
        <f>_xlfn.XLOOKUP(Table2[[#This Row],[Product ID]],Sheet1!$A$32:$A$200,Sheet1!$B$32:$B$200,"Not Found")</f>
        <v>Mayonnaise</v>
      </c>
      <c r="C391" s="39">
        <v>45135</v>
      </c>
      <c r="D391" s="38" t="s">
        <v>24</v>
      </c>
      <c r="E391" s="38" t="str" cm="1">
        <f t="array" ref="E391">_xlfn.XLOOKUP(Table2[[#This Row],[Sales Rep]],Sheet1!$A$21:$A$25,Sheet1!$B$21:$B$25,Not Found)</f>
        <v>Hogan Rock</v>
      </c>
      <c r="F391" s="38" t="s">
        <v>21</v>
      </c>
      <c r="G391" s="38">
        <f>_xlfn.XLOOKUP(Table2[[#This Row],[Region]],Sheet1!$A$12:$A$15,Sheet1!$B$12:$B$15,0)</f>
        <v>0.08</v>
      </c>
      <c r="H391" s="40">
        <f>Table2[[#This Row],[Tax Rate]]*Table2[[#This Row],[Sales Amount]]</f>
        <v>350.1592</v>
      </c>
      <c r="I391" s="40">
        <v>4376.99</v>
      </c>
      <c r="J391" s="38">
        <v>37</v>
      </c>
      <c r="K391" s="38" t="s">
        <v>35</v>
      </c>
      <c r="L391" s="40">
        <v>1115.02</v>
      </c>
      <c r="M391" s="40">
        <v>1174.48</v>
      </c>
      <c r="N391" s="38" t="s">
        <v>30</v>
      </c>
      <c r="O391" s="41">
        <v>0.22</v>
      </c>
      <c r="P391" s="38" t="s">
        <v>31</v>
      </c>
      <c r="Q391" s="38" t="s">
        <v>19</v>
      </c>
      <c r="R391" s="38" t="str">
        <f>IF(Cleaned_Final!$I391&gt;=5000,"High","Low")</f>
        <v>Low</v>
      </c>
    </row>
    <row r="392" spans="1:18" x14ac:dyDescent="0.35">
      <c r="A392" s="34">
        <v>1095</v>
      </c>
      <c r="B392" s="34" t="str">
        <f>_xlfn.XLOOKUP(Table2[[#This Row],[Product ID]],Sheet1!$A$32:$A$200,Sheet1!$B$32:$B$200,"Not Found")</f>
        <v>Bluetooth Speaker</v>
      </c>
      <c r="C392" s="35">
        <v>45041</v>
      </c>
      <c r="D392" s="34" t="s">
        <v>14</v>
      </c>
      <c r="E392" s="34" t="str" cm="1">
        <f t="array" ref="E392">_xlfn.XLOOKUP(Table2[[#This Row],[Sales Rep]],Sheet1!$A$21:$A$25,Sheet1!$B$21:$B$25,Not Found)</f>
        <v>Michael Smith</v>
      </c>
      <c r="F392" s="34" t="s">
        <v>25</v>
      </c>
      <c r="G392" s="34">
        <f>_xlfn.XLOOKUP(Table2[[#This Row],[Region]],Sheet1!$A$12:$A$15,Sheet1!$B$12:$B$15,0)</f>
        <v>0.05</v>
      </c>
      <c r="H392" s="36">
        <f>Table2[[#This Row],[Tax Rate]]*Table2[[#This Row],[Sales Amount]]</f>
        <v>490.28250000000003</v>
      </c>
      <c r="I392" s="36">
        <v>9805.65</v>
      </c>
      <c r="J392" s="34">
        <v>10</v>
      </c>
      <c r="K392" s="34" t="s">
        <v>35</v>
      </c>
      <c r="L392" s="36">
        <v>3155.97</v>
      </c>
      <c r="M392" s="36">
        <v>3263.49</v>
      </c>
      <c r="N392" s="34" t="s">
        <v>17</v>
      </c>
      <c r="O392" s="37">
        <v>0.04</v>
      </c>
      <c r="P392" s="34" t="s">
        <v>31</v>
      </c>
      <c r="Q392" s="34" t="s">
        <v>19</v>
      </c>
      <c r="R392" s="34" t="str">
        <f>IF(Cleaned_Final!$I392&gt;=5000,"High","Low")</f>
        <v>High</v>
      </c>
    </row>
    <row r="393" spans="1:18" x14ac:dyDescent="0.35">
      <c r="A393" s="38">
        <v>1054</v>
      </c>
      <c r="B393" s="38" t="str">
        <f>_xlfn.XLOOKUP(Table2[[#This Row],[Product ID]],Sheet1!$A$32:$A$200,Sheet1!$B$32:$B$200,"Not Found")</f>
        <v>Glider</v>
      </c>
      <c r="C393" s="39">
        <v>45135</v>
      </c>
      <c r="D393" s="38" t="s">
        <v>24</v>
      </c>
      <c r="E393" s="38" t="str" cm="1">
        <f t="array" ref="E393">_xlfn.XLOOKUP(Table2[[#This Row],[Sales Rep]],Sheet1!$A$21:$A$25,Sheet1!$B$21:$B$25,Not Found)</f>
        <v>Hogan Rock</v>
      </c>
      <c r="F393" s="38" t="s">
        <v>34</v>
      </c>
      <c r="G393" s="38">
        <f>_xlfn.XLOOKUP(Table2[[#This Row],[Region]],Sheet1!$A$12:$A$15,Sheet1!$B$12:$B$15,0)</f>
        <v>0.06</v>
      </c>
      <c r="H393" s="40">
        <f>Table2[[#This Row],[Tax Rate]]*Table2[[#This Row],[Sales Amount]]</f>
        <v>46.096799999999995</v>
      </c>
      <c r="I393" s="40">
        <v>768.28</v>
      </c>
      <c r="J393" s="38">
        <v>20</v>
      </c>
      <c r="K393" s="38" t="s">
        <v>29</v>
      </c>
      <c r="L393" s="40">
        <v>4622.1400000000003</v>
      </c>
      <c r="M393" s="40">
        <v>5122.07</v>
      </c>
      <c r="N393" s="38" t="s">
        <v>30</v>
      </c>
      <c r="O393" s="41">
        <v>0.26</v>
      </c>
      <c r="P393" s="38" t="s">
        <v>18</v>
      </c>
      <c r="Q393" s="38" t="s">
        <v>22</v>
      </c>
      <c r="R393" s="38" t="str">
        <f>IF(Cleaned_Final!$I393&gt;=5000,"High","Low")</f>
        <v>Low</v>
      </c>
    </row>
    <row r="394" spans="1:18" x14ac:dyDescent="0.35">
      <c r="A394" s="34">
        <v>1058</v>
      </c>
      <c r="B394" s="34" t="str">
        <f>_xlfn.XLOOKUP(Table2[[#This Row],[Product ID]],Sheet1!$A$32:$A$200,Sheet1!$B$32:$B$200,"Not Found")</f>
        <v>Wardrobe</v>
      </c>
      <c r="C394" s="35">
        <v>44940</v>
      </c>
      <c r="D394" s="34" t="s">
        <v>14</v>
      </c>
      <c r="E394" s="34" t="str" cm="1">
        <f t="array" ref="E394">_xlfn.XLOOKUP(Table2[[#This Row],[Sales Rep]],Sheet1!$A$21:$A$25,Sheet1!$B$21:$B$25,Not Found)</f>
        <v>Michael Smith</v>
      </c>
      <c r="F394" s="34" t="s">
        <v>34</v>
      </c>
      <c r="G394" s="34">
        <f>_xlfn.XLOOKUP(Table2[[#This Row],[Region]],Sheet1!$A$12:$A$15,Sheet1!$B$12:$B$15,0)</f>
        <v>0.06</v>
      </c>
      <c r="H394" s="36">
        <f>Table2[[#This Row],[Tax Rate]]*Table2[[#This Row],[Sales Amount]]</f>
        <v>314.10840000000002</v>
      </c>
      <c r="I394" s="36">
        <v>5235.1400000000003</v>
      </c>
      <c r="J394" s="34">
        <v>6</v>
      </c>
      <c r="K394" s="34" t="s">
        <v>26</v>
      </c>
      <c r="L394" s="36">
        <v>4987.71</v>
      </c>
      <c r="M394" s="36">
        <v>4998.78</v>
      </c>
      <c r="N394" s="34" t="s">
        <v>17</v>
      </c>
      <c r="O394" s="37">
        <v>0.17</v>
      </c>
      <c r="P394" s="34" t="s">
        <v>18</v>
      </c>
      <c r="Q394" s="34" t="s">
        <v>22</v>
      </c>
      <c r="R394" s="34" t="str">
        <f>IF(Cleaned_Final!$I394&gt;=5000,"High","Low")</f>
        <v>High</v>
      </c>
    </row>
    <row r="395" spans="1:18" x14ac:dyDescent="0.35">
      <c r="A395" s="38">
        <v>1067</v>
      </c>
      <c r="B395" s="38" t="str">
        <f>_xlfn.XLOOKUP(Table2[[#This Row],[Product ID]],Sheet1!$A$32:$A$200,Sheet1!$B$32:$B$200,"Not Found")</f>
        <v>Grapes</v>
      </c>
      <c r="C395" s="39">
        <v>44935</v>
      </c>
      <c r="D395" s="38" t="s">
        <v>33</v>
      </c>
      <c r="E395" s="38" t="str" cm="1">
        <f t="array" ref="E395">_xlfn.XLOOKUP(Table2[[#This Row],[Sales Rep]],Sheet1!$A$21:$A$25,Sheet1!$B$21:$B$25,Not Found)</f>
        <v>Susan Jerkins</v>
      </c>
      <c r="F395" s="38" t="s">
        <v>15</v>
      </c>
      <c r="G395" s="38">
        <f>_xlfn.XLOOKUP(Table2[[#This Row],[Region]],Sheet1!$A$12:$A$15,Sheet1!$B$12:$B$15,0)</f>
        <v>7.4999999999999997E-2</v>
      </c>
      <c r="H395" s="40">
        <f>Table2[[#This Row],[Tax Rate]]*Table2[[#This Row],[Sales Amount]]</f>
        <v>140.67824999999999</v>
      </c>
      <c r="I395" s="40">
        <v>1875.71</v>
      </c>
      <c r="J395" s="38">
        <v>48</v>
      </c>
      <c r="K395" s="38" t="s">
        <v>35</v>
      </c>
      <c r="L395" s="40">
        <v>210.63</v>
      </c>
      <c r="M395" s="40">
        <v>533.57999999999902</v>
      </c>
      <c r="N395" s="38" t="s">
        <v>30</v>
      </c>
      <c r="O395" s="41">
        <v>0.04</v>
      </c>
      <c r="P395" s="38" t="s">
        <v>27</v>
      </c>
      <c r="Q395" s="38" t="s">
        <v>19</v>
      </c>
      <c r="R395" s="38" t="str">
        <f>IF(Cleaned_Final!$I395&gt;=5000,"High","Low")</f>
        <v>Low</v>
      </c>
    </row>
    <row r="396" spans="1:18" x14ac:dyDescent="0.35">
      <c r="A396" s="34">
        <v>1046</v>
      </c>
      <c r="B396" s="34" t="str">
        <f>_xlfn.XLOOKUP(Table2[[#This Row],[Product ID]],Sheet1!$A$32:$A$200,Sheet1!$B$32:$B$200,"Not Found")</f>
        <v>Sweat Shirts</v>
      </c>
      <c r="C396" s="35">
        <v>44966</v>
      </c>
      <c r="D396" s="34" t="s">
        <v>33</v>
      </c>
      <c r="E396" s="34" t="str" cm="1">
        <f t="array" ref="E396">_xlfn.XLOOKUP(Table2[[#This Row],[Sales Rep]],Sheet1!$A$21:$A$25,Sheet1!$B$21:$B$25,Not Found)</f>
        <v>Susan Jerkins</v>
      </c>
      <c r="F396" s="34" t="s">
        <v>34</v>
      </c>
      <c r="G396" s="34">
        <f>_xlfn.XLOOKUP(Table2[[#This Row],[Region]],Sheet1!$A$12:$A$15,Sheet1!$B$12:$B$15,0)</f>
        <v>0.06</v>
      </c>
      <c r="H396" s="36">
        <f>Table2[[#This Row],[Tax Rate]]*Table2[[#This Row],[Sales Amount]]</f>
        <v>582.58199999999999</v>
      </c>
      <c r="I396" s="36">
        <v>9709.7000000000007</v>
      </c>
      <c r="J396" s="34">
        <v>3</v>
      </c>
      <c r="K396" s="34" t="s">
        <v>16</v>
      </c>
      <c r="L396" s="36">
        <v>1216.1600000000001</v>
      </c>
      <c r="M396" s="36">
        <v>1295.3699999999999</v>
      </c>
      <c r="N396" s="34" t="s">
        <v>30</v>
      </c>
      <c r="O396" s="37">
        <v>0.14000000000000001</v>
      </c>
      <c r="P396" s="34" t="s">
        <v>18</v>
      </c>
      <c r="Q396" s="34" t="s">
        <v>22</v>
      </c>
      <c r="R396" s="34" t="str">
        <f>IF(Cleaned_Final!$I396&gt;=5000,"High","Low")</f>
        <v>High</v>
      </c>
    </row>
    <row r="397" spans="1:18" x14ac:dyDescent="0.35">
      <c r="A397" s="38">
        <v>1024</v>
      </c>
      <c r="B397" s="38" t="str">
        <f>_xlfn.XLOOKUP(Table2[[#This Row],[Product ID]],Sheet1!$A$32:$A$200,Sheet1!$B$32:$B$200,"Not Found")</f>
        <v>Pasta Pack</v>
      </c>
      <c r="C397" s="39">
        <v>45163</v>
      </c>
      <c r="D397" s="38" t="s">
        <v>24</v>
      </c>
      <c r="E397" s="38" t="str" cm="1">
        <f t="array" ref="E397">_xlfn.XLOOKUP(Table2[[#This Row],[Sales Rep]],Sheet1!$A$21:$A$25,Sheet1!$B$21:$B$25,Not Found)</f>
        <v>Hogan Rock</v>
      </c>
      <c r="F397" s="38" t="s">
        <v>25</v>
      </c>
      <c r="G397" s="38">
        <f>_xlfn.XLOOKUP(Table2[[#This Row],[Region]],Sheet1!$A$12:$A$15,Sheet1!$B$12:$B$15,0)</f>
        <v>0.05</v>
      </c>
      <c r="H397" s="40">
        <f>Table2[[#This Row],[Tax Rate]]*Table2[[#This Row],[Sales Amount]]</f>
        <v>61.085000000000008</v>
      </c>
      <c r="I397" s="40">
        <v>1221.7</v>
      </c>
      <c r="J397" s="38">
        <v>42</v>
      </c>
      <c r="K397" s="38" t="s">
        <v>35</v>
      </c>
      <c r="L397" s="40">
        <v>1586.02</v>
      </c>
      <c r="M397" s="40">
        <v>2047.13</v>
      </c>
      <c r="N397" s="38" t="s">
        <v>30</v>
      </c>
      <c r="O397" s="41">
        <v>0.25</v>
      </c>
      <c r="P397" s="38" t="s">
        <v>18</v>
      </c>
      <c r="Q397" s="38" t="s">
        <v>22</v>
      </c>
      <c r="R397" s="38" t="str">
        <f>IF(Cleaned_Final!$I397&gt;=5000,"High","Low")</f>
        <v>Low</v>
      </c>
    </row>
    <row r="398" spans="1:18" x14ac:dyDescent="0.35">
      <c r="A398" s="34">
        <v>1032</v>
      </c>
      <c r="B398" s="34" t="str">
        <f>_xlfn.XLOOKUP(Table2[[#This Row],[Product ID]],Sheet1!$A$32:$A$200,Sheet1!$B$32:$B$200,"Not Found")</f>
        <v>Refridgerator</v>
      </c>
      <c r="C398" s="35">
        <v>45207</v>
      </c>
      <c r="D398" s="34" t="s">
        <v>38</v>
      </c>
      <c r="E398" s="34" t="str" cm="1">
        <f t="array" ref="E398">_xlfn.XLOOKUP(Table2[[#This Row],[Sales Rep]],Sheet1!$A$21:$A$25,Sheet1!$B$21:$B$25,Not Found)</f>
        <v>Tracy Moore</v>
      </c>
      <c r="F398" s="34" t="s">
        <v>34</v>
      </c>
      <c r="G398" s="34">
        <f>_xlfn.XLOOKUP(Table2[[#This Row],[Region]],Sheet1!$A$12:$A$15,Sheet1!$B$12:$B$15,0)</f>
        <v>0.06</v>
      </c>
      <c r="H398" s="36">
        <f>Table2[[#This Row],[Tax Rate]]*Table2[[#This Row],[Sales Amount]]</f>
        <v>245.739</v>
      </c>
      <c r="I398" s="36">
        <v>4095.65</v>
      </c>
      <c r="J398" s="34">
        <v>11</v>
      </c>
      <c r="K398" s="34" t="s">
        <v>26</v>
      </c>
      <c r="L398" s="36">
        <v>2025.67</v>
      </c>
      <c r="M398" s="36">
        <v>2081.5500000000002</v>
      </c>
      <c r="N398" s="34" t="s">
        <v>30</v>
      </c>
      <c r="O398" s="37">
        <v>0.27</v>
      </c>
      <c r="P398" s="34" t="s">
        <v>27</v>
      </c>
      <c r="Q398" s="34" t="s">
        <v>19</v>
      </c>
      <c r="R398" s="34" t="str">
        <f>IF(Cleaned_Final!$I398&gt;=5000,"High","Low")</f>
        <v>Low</v>
      </c>
    </row>
    <row r="399" spans="1:18" x14ac:dyDescent="0.35">
      <c r="A399" s="38">
        <v>1047</v>
      </c>
      <c r="B399" s="38" t="str">
        <f>_xlfn.XLOOKUP(Table2[[#This Row],[Product ID]],Sheet1!$A$32:$A$200,Sheet1!$B$32:$B$200,"Not Found")</f>
        <v>Mouse</v>
      </c>
      <c r="C399" s="39">
        <v>45285</v>
      </c>
      <c r="D399" s="38" t="s">
        <v>24</v>
      </c>
      <c r="E399" s="38" t="str" cm="1">
        <f t="array" ref="E399">_xlfn.XLOOKUP(Table2[[#This Row],[Sales Rep]],Sheet1!$A$21:$A$25,Sheet1!$B$21:$B$25,Not Found)</f>
        <v>Hogan Rock</v>
      </c>
      <c r="F399" s="38" t="s">
        <v>15</v>
      </c>
      <c r="G399" s="38">
        <f>_xlfn.XLOOKUP(Table2[[#This Row],[Region]],Sheet1!$A$12:$A$15,Sheet1!$B$12:$B$15,0)</f>
        <v>7.4999999999999997E-2</v>
      </c>
      <c r="H399" s="40">
        <f>Table2[[#This Row],[Tax Rate]]*Table2[[#This Row],[Sales Amount]]</f>
        <v>555.37950000000001</v>
      </c>
      <c r="I399" s="40">
        <v>7405.06</v>
      </c>
      <c r="J399" s="38">
        <v>43</v>
      </c>
      <c r="K399" s="38" t="s">
        <v>35</v>
      </c>
      <c r="L399" s="40">
        <v>1249.17</v>
      </c>
      <c r="M399" s="40">
        <v>1727.15</v>
      </c>
      <c r="N399" s="38" t="s">
        <v>30</v>
      </c>
      <c r="O399" s="41">
        <v>0.08</v>
      </c>
      <c r="P399" s="38" t="s">
        <v>18</v>
      </c>
      <c r="Q399" s="38" t="s">
        <v>22</v>
      </c>
      <c r="R399" s="38" t="str">
        <f>IF(Cleaned_Final!$I399&gt;=5000,"High","Low")</f>
        <v>High</v>
      </c>
    </row>
    <row r="400" spans="1:18" x14ac:dyDescent="0.35">
      <c r="A400" s="34">
        <v>1086</v>
      </c>
      <c r="B400" s="34" t="str">
        <f>_xlfn.XLOOKUP(Table2[[#This Row],[Product ID]],Sheet1!$A$32:$A$200,Sheet1!$B$32:$B$200,"Not Found")</f>
        <v>Gaming Console</v>
      </c>
      <c r="C400" s="35">
        <v>45127</v>
      </c>
      <c r="D400" s="34" t="s">
        <v>14</v>
      </c>
      <c r="E400" s="34" t="str" cm="1">
        <f t="array" ref="E400">_xlfn.XLOOKUP(Table2[[#This Row],[Sales Rep]],Sheet1!$A$21:$A$25,Sheet1!$B$21:$B$25,Not Found)</f>
        <v>Michael Smith</v>
      </c>
      <c r="F400" s="34" t="s">
        <v>15</v>
      </c>
      <c r="G400" s="34">
        <f>_xlfn.XLOOKUP(Table2[[#This Row],[Region]],Sheet1!$A$12:$A$15,Sheet1!$B$12:$B$15,0)</f>
        <v>7.4999999999999997E-2</v>
      </c>
      <c r="H400" s="36">
        <f>Table2[[#This Row],[Tax Rate]]*Table2[[#This Row],[Sales Amount]]</f>
        <v>530.63175000000001</v>
      </c>
      <c r="I400" s="36">
        <v>7075.09</v>
      </c>
      <c r="J400" s="34">
        <v>17</v>
      </c>
      <c r="K400" s="34" t="s">
        <v>26</v>
      </c>
      <c r="L400" s="36">
        <v>1057.27</v>
      </c>
      <c r="M400" s="36">
        <v>1366.62</v>
      </c>
      <c r="N400" s="34" t="s">
        <v>30</v>
      </c>
      <c r="O400" s="37">
        <v>0.21</v>
      </c>
      <c r="P400" s="34" t="s">
        <v>31</v>
      </c>
      <c r="Q400" s="34" t="s">
        <v>22</v>
      </c>
      <c r="R400" s="34" t="str">
        <f>IF(Cleaned_Final!$I400&gt;=5000,"High","Low")</f>
        <v>High</v>
      </c>
    </row>
    <row r="401" spans="1:18" x14ac:dyDescent="0.35">
      <c r="A401" s="38">
        <v>1023</v>
      </c>
      <c r="B401" s="38" t="str">
        <f>_xlfn.XLOOKUP(Table2[[#This Row],[Product ID]],Sheet1!$A$32:$A$200,Sheet1!$B$32:$B$200,"Not Found")</f>
        <v>Tights</v>
      </c>
      <c r="C401" s="39">
        <v>45172</v>
      </c>
      <c r="D401" s="38" t="s">
        <v>24</v>
      </c>
      <c r="E401" s="38" t="str" cm="1">
        <f t="array" ref="E401">_xlfn.XLOOKUP(Table2[[#This Row],[Sales Rep]],Sheet1!$A$21:$A$25,Sheet1!$B$21:$B$25,Not Found)</f>
        <v>Hogan Rock</v>
      </c>
      <c r="F401" s="38" t="s">
        <v>25</v>
      </c>
      <c r="G401" s="38">
        <f>_xlfn.XLOOKUP(Table2[[#This Row],[Region]],Sheet1!$A$12:$A$15,Sheet1!$B$12:$B$15,0)</f>
        <v>0.05</v>
      </c>
      <c r="H401" s="40">
        <f>Table2[[#This Row],[Tax Rate]]*Table2[[#This Row],[Sales Amount]]</f>
        <v>214.25050000000002</v>
      </c>
      <c r="I401" s="40">
        <v>4285.01</v>
      </c>
      <c r="J401" s="38">
        <v>32</v>
      </c>
      <c r="K401" s="38" t="s">
        <v>35</v>
      </c>
      <c r="L401" s="40">
        <v>4775.04</v>
      </c>
      <c r="M401" s="40">
        <v>4785.66</v>
      </c>
      <c r="N401" s="38" t="s">
        <v>30</v>
      </c>
      <c r="O401" s="41">
        <v>0.03</v>
      </c>
      <c r="P401" s="38" t="s">
        <v>18</v>
      </c>
      <c r="Q401" s="38" t="s">
        <v>19</v>
      </c>
      <c r="R401" s="38" t="str">
        <f>IF(Cleaned_Final!$I401&gt;=5000,"High","Low")</f>
        <v>Low</v>
      </c>
    </row>
    <row r="402" spans="1:18" x14ac:dyDescent="0.35">
      <c r="A402" s="34">
        <v>1066</v>
      </c>
      <c r="B402" s="34" t="str">
        <f>_xlfn.XLOOKUP(Table2[[#This Row],[Product ID]],Sheet1!$A$32:$A$200,Sheet1!$B$32:$B$200,"Not Found")</f>
        <v>Armoire</v>
      </c>
      <c r="C402" s="35">
        <v>45204</v>
      </c>
      <c r="D402" s="34" t="s">
        <v>42</v>
      </c>
      <c r="E402" s="34" t="str" cm="1">
        <f t="array" ref="E402">_xlfn.XLOOKUP(Table2[[#This Row],[Sales Rep]],Sheet1!$A$21:$A$25,Sheet1!$B$21:$B$25,Not Found)</f>
        <v>Scott Wayne</v>
      </c>
      <c r="F402" s="34" t="s">
        <v>25</v>
      </c>
      <c r="G402" s="34">
        <f>_xlfn.XLOOKUP(Table2[[#This Row],[Region]],Sheet1!$A$12:$A$15,Sheet1!$B$12:$B$15,0)</f>
        <v>0.05</v>
      </c>
      <c r="H402" s="36">
        <f>Table2[[#This Row],[Tax Rate]]*Table2[[#This Row],[Sales Amount]]</f>
        <v>176.52950000000001</v>
      </c>
      <c r="I402" s="36">
        <v>3530.59</v>
      </c>
      <c r="J402" s="34">
        <v>4</v>
      </c>
      <c r="K402" s="34" t="s">
        <v>16</v>
      </c>
      <c r="L402" s="36">
        <v>4596.68</v>
      </c>
      <c r="M402" s="36">
        <v>5044.74</v>
      </c>
      <c r="N402" s="34" t="s">
        <v>30</v>
      </c>
      <c r="O402" s="37">
        <v>0.01</v>
      </c>
      <c r="P402" s="34" t="s">
        <v>27</v>
      </c>
      <c r="Q402" s="34" t="s">
        <v>19</v>
      </c>
      <c r="R402" s="34" t="str">
        <f>IF(Cleaned_Final!$I402&gt;=5000,"High","Low")</f>
        <v>Low</v>
      </c>
    </row>
    <row r="403" spans="1:18" x14ac:dyDescent="0.35">
      <c r="A403" s="38">
        <v>1027</v>
      </c>
      <c r="B403" s="38" t="str">
        <f>_xlfn.XLOOKUP(Table2[[#This Row],[Product ID]],Sheet1!$A$32:$A$200,Sheet1!$B$32:$B$200,"Not Found")</f>
        <v>Cookies</v>
      </c>
      <c r="C403" s="39">
        <v>45161</v>
      </c>
      <c r="D403" s="38" t="s">
        <v>14</v>
      </c>
      <c r="E403" s="38" t="str" cm="1">
        <f t="array" ref="E403">_xlfn.XLOOKUP(Table2[[#This Row],[Sales Rep]],Sheet1!$A$21:$A$25,Sheet1!$B$21:$B$25,Not Found)</f>
        <v>Michael Smith</v>
      </c>
      <c r="F403" s="38" t="s">
        <v>34</v>
      </c>
      <c r="G403" s="38">
        <f>_xlfn.XLOOKUP(Table2[[#This Row],[Region]],Sheet1!$A$12:$A$15,Sheet1!$B$12:$B$15,0)</f>
        <v>0.06</v>
      </c>
      <c r="H403" s="40">
        <f>Table2[[#This Row],[Tax Rate]]*Table2[[#This Row],[Sales Amount]]</f>
        <v>242.1816</v>
      </c>
      <c r="I403" s="40">
        <v>4036.36</v>
      </c>
      <c r="J403" s="38">
        <v>4</v>
      </c>
      <c r="K403" s="38" t="s">
        <v>35</v>
      </c>
      <c r="L403" s="40">
        <v>282.61</v>
      </c>
      <c r="M403" s="40">
        <v>548.25</v>
      </c>
      <c r="N403" s="38" t="s">
        <v>30</v>
      </c>
      <c r="O403" s="41">
        <v>0.17</v>
      </c>
      <c r="P403" s="38" t="s">
        <v>31</v>
      </c>
      <c r="Q403" s="38" t="s">
        <v>19</v>
      </c>
      <c r="R403" s="38" t="str">
        <f>IF(Cleaned_Final!$I403&gt;=5000,"High","Low")</f>
        <v>Low</v>
      </c>
    </row>
    <row r="404" spans="1:18" x14ac:dyDescent="0.35">
      <c r="A404" s="34">
        <v>1002</v>
      </c>
      <c r="B404" s="34" t="str">
        <f>_xlfn.XLOOKUP(Table2[[#This Row],[Product ID]],Sheet1!$A$32:$A$200,Sheet1!$B$32:$B$200,"Not Found")</f>
        <v>Bench</v>
      </c>
      <c r="C404" s="35">
        <v>44930</v>
      </c>
      <c r="D404" s="34" t="s">
        <v>14</v>
      </c>
      <c r="E404" s="34" t="str" cm="1">
        <f t="array" ref="E404">_xlfn.XLOOKUP(Table2[[#This Row],[Sales Rep]],Sheet1!$A$21:$A$25,Sheet1!$B$21:$B$25,Not Found)</f>
        <v>Michael Smith</v>
      </c>
      <c r="F404" s="34" t="s">
        <v>34</v>
      </c>
      <c r="G404" s="34">
        <f>_xlfn.XLOOKUP(Table2[[#This Row],[Region]],Sheet1!$A$12:$A$15,Sheet1!$B$12:$B$15,0)</f>
        <v>0.06</v>
      </c>
      <c r="H404" s="36">
        <f>Table2[[#This Row],[Tax Rate]]*Table2[[#This Row],[Sales Amount]]</f>
        <v>162.9804</v>
      </c>
      <c r="I404" s="36">
        <v>2716.34</v>
      </c>
      <c r="J404" s="34">
        <v>17</v>
      </c>
      <c r="K404" s="34" t="s">
        <v>16</v>
      </c>
      <c r="L404" s="36">
        <v>1727.12</v>
      </c>
      <c r="M404" s="36">
        <v>1865.83</v>
      </c>
      <c r="N404" s="34" t="s">
        <v>30</v>
      </c>
      <c r="O404" s="37">
        <v>0.21</v>
      </c>
      <c r="P404" s="34" t="s">
        <v>18</v>
      </c>
      <c r="Q404" s="34" t="s">
        <v>19</v>
      </c>
      <c r="R404" s="34" t="str">
        <f>IF(Cleaned_Final!$I404&gt;=5000,"High","Low")</f>
        <v>Low</v>
      </c>
    </row>
    <row r="405" spans="1:18" x14ac:dyDescent="0.35">
      <c r="A405" s="38">
        <v>1090</v>
      </c>
      <c r="B405" s="38" t="str">
        <f>_xlfn.XLOOKUP(Table2[[#This Row],[Product ID]],Sheet1!$A$32:$A$200,Sheet1!$B$32:$B$200,"Not Found")</f>
        <v>Keyboard</v>
      </c>
      <c r="C405" s="39">
        <v>45080</v>
      </c>
      <c r="D405" s="38" t="s">
        <v>38</v>
      </c>
      <c r="E405" s="38" t="str" cm="1">
        <f t="array" ref="E405">_xlfn.XLOOKUP(Table2[[#This Row],[Sales Rep]],Sheet1!$A$21:$A$25,Sheet1!$B$21:$B$25,Not Found)</f>
        <v>Tracy Moore</v>
      </c>
      <c r="F405" s="38" t="s">
        <v>15</v>
      </c>
      <c r="G405" s="38">
        <f>_xlfn.XLOOKUP(Table2[[#This Row],[Region]],Sheet1!$A$12:$A$15,Sheet1!$B$12:$B$15,0)</f>
        <v>7.4999999999999997E-2</v>
      </c>
      <c r="H405" s="40">
        <f>Table2[[#This Row],[Tax Rate]]*Table2[[#This Row],[Sales Amount]]</f>
        <v>159.96</v>
      </c>
      <c r="I405" s="40">
        <v>2132.8000000000002</v>
      </c>
      <c r="J405" s="38">
        <v>41</v>
      </c>
      <c r="K405" s="38" t="s">
        <v>16</v>
      </c>
      <c r="L405" s="40">
        <v>2055.4899999999998</v>
      </c>
      <c r="M405" s="40">
        <v>2441.46</v>
      </c>
      <c r="N405" s="38" t="s">
        <v>30</v>
      </c>
      <c r="O405" s="41">
        <v>0.24</v>
      </c>
      <c r="P405" s="38" t="s">
        <v>31</v>
      </c>
      <c r="Q405" s="38" t="s">
        <v>19</v>
      </c>
      <c r="R405" s="38" t="str">
        <f>IF(Cleaned_Final!$I405&gt;=5000,"High","Low")</f>
        <v>Low</v>
      </c>
    </row>
    <row r="406" spans="1:18" x14ac:dyDescent="0.35">
      <c r="A406" s="34">
        <v>1017</v>
      </c>
      <c r="B406" s="34" t="str">
        <f>_xlfn.XLOOKUP(Table2[[#This Row],[Product ID]],Sheet1!$A$32:$A$200,Sheet1!$B$32:$B$200,"Not Found")</f>
        <v>Peaches</v>
      </c>
      <c r="C406" s="35">
        <v>44955</v>
      </c>
      <c r="D406" s="34" t="s">
        <v>33</v>
      </c>
      <c r="E406" s="34" t="str" cm="1">
        <f t="array" ref="E406">_xlfn.XLOOKUP(Table2[[#This Row],[Sales Rep]],Sheet1!$A$21:$A$25,Sheet1!$B$21:$B$25,Not Found)</f>
        <v>Susan Jerkins</v>
      </c>
      <c r="F406" s="34" t="s">
        <v>25</v>
      </c>
      <c r="G406" s="34">
        <f>_xlfn.XLOOKUP(Table2[[#This Row],[Region]],Sheet1!$A$12:$A$15,Sheet1!$B$12:$B$15,0)</f>
        <v>0.05</v>
      </c>
      <c r="H406" s="36">
        <f>Table2[[#This Row],[Tax Rate]]*Table2[[#This Row],[Sales Amount]]</f>
        <v>244.10450000000003</v>
      </c>
      <c r="I406" s="36">
        <v>4882.09</v>
      </c>
      <c r="J406" s="34">
        <v>19</v>
      </c>
      <c r="K406" s="34" t="s">
        <v>35</v>
      </c>
      <c r="L406" s="36">
        <v>1233.1199999999999</v>
      </c>
      <c r="M406" s="36">
        <v>1697.1899999999901</v>
      </c>
      <c r="N406" s="34" t="s">
        <v>30</v>
      </c>
      <c r="O406" s="37">
        <v>0.1</v>
      </c>
      <c r="P406" s="34" t="s">
        <v>31</v>
      </c>
      <c r="Q406" s="34" t="s">
        <v>19</v>
      </c>
      <c r="R406" s="34" t="str">
        <f>IF(Cleaned_Final!$I406&gt;=5000,"High","Low")</f>
        <v>Low</v>
      </c>
    </row>
    <row r="407" spans="1:18" x14ac:dyDescent="0.35">
      <c r="A407" s="38">
        <v>1033</v>
      </c>
      <c r="B407" s="38" t="str">
        <f>_xlfn.XLOOKUP(Table2[[#This Row],[Product ID]],Sheet1!$A$32:$A$200,Sheet1!$B$32:$B$200,"Not Found")</f>
        <v>TV Stand</v>
      </c>
      <c r="C407" s="39">
        <v>45035</v>
      </c>
      <c r="D407" s="38" t="s">
        <v>14</v>
      </c>
      <c r="E407" s="38" t="str" cm="1">
        <f t="array" ref="E407">_xlfn.XLOOKUP(Table2[[#This Row],[Sales Rep]],Sheet1!$A$21:$A$25,Sheet1!$B$21:$B$25,Not Found)</f>
        <v>Michael Smith</v>
      </c>
      <c r="F407" s="38" t="s">
        <v>25</v>
      </c>
      <c r="G407" s="38">
        <f>_xlfn.XLOOKUP(Table2[[#This Row],[Region]],Sheet1!$A$12:$A$15,Sheet1!$B$12:$B$15,0)</f>
        <v>0.05</v>
      </c>
      <c r="H407" s="40">
        <f>Table2[[#This Row],[Tax Rate]]*Table2[[#This Row],[Sales Amount]]</f>
        <v>137.92400000000001</v>
      </c>
      <c r="I407" s="40">
        <v>2758.48</v>
      </c>
      <c r="J407" s="38">
        <v>5</v>
      </c>
      <c r="K407" s="38" t="s">
        <v>16</v>
      </c>
      <c r="L407" s="40">
        <v>3162.92</v>
      </c>
      <c r="M407" s="40">
        <v>3409.93</v>
      </c>
      <c r="N407" s="38" t="s">
        <v>30</v>
      </c>
      <c r="O407" s="41">
        <v>0</v>
      </c>
      <c r="P407" s="38" t="s">
        <v>18</v>
      </c>
      <c r="Q407" s="38" t="s">
        <v>19</v>
      </c>
      <c r="R407" s="38" t="str">
        <f>IF(Cleaned_Final!$I407&gt;=5000,"High","Low")</f>
        <v>Low</v>
      </c>
    </row>
    <row r="408" spans="1:18" x14ac:dyDescent="0.35">
      <c r="A408" s="34">
        <v>1009</v>
      </c>
      <c r="B408" s="34" t="str">
        <f>_xlfn.XLOOKUP(Table2[[#This Row],[Product ID]],Sheet1!$A$32:$A$200,Sheet1!$B$32:$B$200,"Not Found")</f>
        <v>Jacket</v>
      </c>
      <c r="C408" s="35">
        <v>45024</v>
      </c>
      <c r="D408" s="34" t="s">
        <v>33</v>
      </c>
      <c r="E408" s="34" t="str" cm="1">
        <f t="array" ref="E408">_xlfn.XLOOKUP(Table2[[#This Row],[Sales Rep]],Sheet1!$A$21:$A$25,Sheet1!$B$21:$B$25,Not Found)</f>
        <v>Susan Jerkins</v>
      </c>
      <c r="F408" s="34" t="s">
        <v>25</v>
      </c>
      <c r="G408" s="34">
        <f>_xlfn.XLOOKUP(Table2[[#This Row],[Region]],Sheet1!$A$12:$A$15,Sheet1!$B$12:$B$15,0)</f>
        <v>0.05</v>
      </c>
      <c r="H408" s="36">
        <f>Table2[[#This Row],[Tax Rate]]*Table2[[#This Row],[Sales Amount]]</f>
        <v>147.29349999999999</v>
      </c>
      <c r="I408" s="36">
        <v>2945.87</v>
      </c>
      <c r="J408" s="34">
        <v>32</v>
      </c>
      <c r="K408" s="34" t="s">
        <v>29</v>
      </c>
      <c r="L408" s="36">
        <v>3219.88</v>
      </c>
      <c r="M408" s="36">
        <v>3384.5</v>
      </c>
      <c r="N408" s="34" t="s">
        <v>17</v>
      </c>
      <c r="O408" s="37">
        <v>0.14000000000000001</v>
      </c>
      <c r="P408" s="34" t="s">
        <v>18</v>
      </c>
      <c r="Q408" s="34" t="s">
        <v>22</v>
      </c>
      <c r="R408" s="34" t="str">
        <f>IF(Cleaned_Final!$I408&gt;=5000,"High","Low")</f>
        <v>Low</v>
      </c>
    </row>
    <row r="409" spans="1:18" x14ac:dyDescent="0.35">
      <c r="A409" s="38">
        <v>1043</v>
      </c>
      <c r="B409" s="38" t="str">
        <f>_xlfn.XLOOKUP(Table2[[#This Row],[Product ID]],Sheet1!$A$32:$A$200,Sheet1!$B$32:$B$200,"Not Found")</f>
        <v>Oven</v>
      </c>
      <c r="C409" s="39">
        <v>45141</v>
      </c>
      <c r="D409" s="38" t="s">
        <v>24</v>
      </c>
      <c r="E409" s="38" t="str" cm="1">
        <f t="array" ref="E409">_xlfn.XLOOKUP(Table2[[#This Row],[Sales Rep]],Sheet1!$A$21:$A$25,Sheet1!$B$21:$B$25,Not Found)</f>
        <v>Hogan Rock</v>
      </c>
      <c r="F409" s="38" t="s">
        <v>34</v>
      </c>
      <c r="G409" s="38">
        <f>_xlfn.XLOOKUP(Table2[[#This Row],[Region]],Sheet1!$A$12:$A$15,Sheet1!$B$12:$B$15,0)</f>
        <v>0.06</v>
      </c>
      <c r="H409" s="40">
        <f>Table2[[#This Row],[Tax Rate]]*Table2[[#This Row],[Sales Amount]]</f>
        <v>396.11340000000001</v>
      </c>
      <c r="I409" s="40">
        <v>6601.89</v>
      </c>
      <c r="J409" s="38">
        <v>22</v>
      </c>
      <c r="K409" s="38" t="s">
        <v>35</v>
      </c>
      <c r="L409" s="40">
        <v>4260</v>
      </c>
      <c r="M409" s="40">
        <v>4656.58</v>
      </c>
      <c r="N409" s="38" t="s">
        <v>30</v>
      </c>
      <c r="O409" s="41">
        <v>0</v>
      </c>
      <c r="P409" s="38" t="s">
        <v>27</v>
      </c>
      <c r="Q409" s="38" t="s">
        <v>19</v>
      </c>
      <c r="R409" s="38" t="str">
        <f>IF(Cleaned_Final!$I409&gt;=5000,"High","Low")</f>
        <v>High</v>
      </c>
    </row>
    <row r="410" spans="1:18" x14ac:dyDescent="0.35">
      <c r="A410" s="34">
        <v>1048</v>
      </c>
      <c r="B410" s="34" t="str">
        <f>_xlfn.XLOOKUP(Table2[[#This Row],[Product ID]],Sheet1!$A$32:$A$200,Sheet1!$B$32:$B$200,"Not Found")</f>
        <v>Chaise Lounge</v>
      </c>
      <c r="C410" s="35">
        <v>45219</v>
      </c>
      <c r="D410" s="34" t="s">
        <v>42</v>
      </c>
      <c r="E410" s="34" t="str" cm="1">
        <f t="array" ref="E410">_xlfn.XLOOKUP(Table2[[#This Row],[Sales Rep]],Sheet1!$A$21:$A$25,Sheet1!$B$21:$B$25,Not Found)</f>
        <v>Scott Wayne</v>
      </c>
      <c r="F410" s="34" t="s">
        <v>25</v>
      </c>
      <c r="G410" s="34">
        <f>_xlfn.XLOOKUP(Table2[[#This Row],[Region]],Sheet1!$A$12:$A$15,Sheet1!$B$12:$B$15,0)</f>
        <v>0.05</v>
      </c>
      <c r="H410" s="36">
        <f>Table2[[#This Row],[Tax Rate]]*Table2[[#This Row],[Sales Amount]]</f>
        <v>484.42600000000004</v>
      </c>
      <c r="I410" s="36">
        <v>9688.52</v>
      </c>
      <c r="J410" s="34">
        <v>6</v>
      </c>
      <c r="K410" s="34" t="s">
        <v>35</v>
      </c>
      <c r="L410" s="36">
        <v>3717.3</v>
      </c>
      <c r="M410" s="36">
        <v>4061.37</v>
      </c>
      <c r="N410" s="34" t="s">
        <v>30</v>
      </c>
      <c r="O410" s="37">
        <v>0.03</v>
      </c>
      <c r="P410" s="34" t="s">
        <v>27</v>
      </c>
      <c r="Q410" s="34" t="s">
        <v>22</v>
      </c>
      <c r="R410" s="34" t="str">
        <f>IF(Cleaned_Final!$I410&gt;=5000,"High","Low")</f>
        <v>High</v>
      </c>
    </row>
    <row r="411" spans="1:18" x14ac:dyDescent="0.35">
      <c r="A411" s="38">
        <v>1039</v>
      </c>
      <c r="B411" s="38" t="str">
        <f>_xlfn.XLOOKUP(Table2[[#This Row],[Product ID]],Sheet1!$A$32:$A$200,Sheet1!$B$32:$B$200,"Not Found")</f>
        <v>Hoodie</v>
      </c>
      <c r="C411" s="39">
        <v>45001</v>
      </c>
      <c r="D411" s="38" t="s">
        <v>38</v>
      </c>
      <c r="E411" s="38" t="str" cm="1">
        <f t="array" ref="E411">_xlfn.XLOOKUP(Table2[[#This Row],[Sales Rep]],Sheet1!$A$21:$A$25,Sheet1!$B$21:$B$25,Not Found)</f>
        <v>Tracy Moore</v>
      </c>
      <c r="F411" s="38" t="s">
        <v>15</v>
      </c>
      <c r="G411" s="38">
        <f>_xlfn.XLOOKUP(Table2[[#This Row],[Region]],Sheet1!$A$12:$A$15,Sheet1!$B$12:$B$15,0)</f>
        <v>7.4999999999999997E-2</v>
      </c>
      <c r="H411" s="40">
        <f>Table2[[#This Row],[Tax Rate]]*Table2[[#This Row],[Sales Amount]]</f>
        <v>455.70075000000003</v>
      </c>
      <c r="I411" s="40">
        <v>6076.01</v>
      </c>
      <c r="J411" s="38">
        <v>35</v>
      </c>
      <c r="K411" s="38" t="s">
        <v>16</v>
      </c>
      <c r="L411" s="40">
        <v>2735.74</v>
      </c>
      <c r="M411" s="40">
        <v>3181.22999999999</v>
      </c>
      <c r="N411" s="38" t="s">
        <v>30</v>
      </c>
      <c r="O411" s="41">
        <v>0.1</v>
      </c>
      <c r="P411" s="38" t="s">
        <v>31</v>
      </c>
      <c r="Q411" s="38" t="s">
        <v>22</v>
      </c>
      <c r="R411" s="38" t="str">
        <f>IF(Cleaned_Final!$I411&gt;=5000,"High","Low")</f>
        <v>High</v>
      </c>
    </row>
    <row r="412" spans="1:18" x14ac:dyDescent="0.35">
      <c r="A412" s="34">
        <v>1093</v>
      </c>
      <c r="B412" s="34" t="str">
        <f>_xlfn.XLOOKUP(Table2[[#This Row],[Product ID]],Sheet1!$A$32:$A$200,Sheet1!$B$32:$B$200,"Not Found")</f>
        <v>Dining Table</v>
      </c>
      <c r="C412" s="35">
        <v>45252</v>
      </c>
      <c r="D412" s="34" t="s">
        <v>33</v>
      </c>
      <c r="E412" s="34" t="str" cm="1">
        <f t="array" ref="E412">_xlfn.XLOOKUP(Table2[[#This Row],[Sales Rep]],Sheet1!$A$21:$A$25,Sheet1!$B$21:$B$25,Not Found)</f>
        <v>Susan Jerkins</v>
      </c>
      <c r="F412" s="34" t="s">
        <v>15</v>
      </c>
      <c r="G412" s="34">
        <f>_xlfn.XLOOKUP(Table2[[#This Row],[Region]],Sheet1!$A$12:$A$15,Sheet1!$B$12:$B$15,0)</f>
        <v>7.4999999999999997E-2</v>
      </c>
      <c r="H412" s="36">
        <f>Table2[[#This Row],[Tax Rate]]*Table2[[#This Row],[Sales Amount]]</f>
        <v>64.657499999999999</v>
      </c>
      <c r="I412" s="36">
        <v>862.1</v>
      </c>
      <c r="J412" s="34">
        <v>22</v>
      </c>
      <c r="K412" s="34" t="s">
        <v>16</v>
      </c>
      <c r="L412" s="36">
        <v>3285.25</v>
      </c>
      <c r="M412" s="36">
        <v>3634.58</v>
      </c>
      <c r="N412" s="34" t="s">
        <v>30</v>
      </c>
      <c r="O412" s="37">
        <v>0.13</v>
      </c>
      <c r="P412" s="34" t="s">
        <v>27</v>
      </c>
      <c r="Q412" s="34" t="s">
        <v>19</v>
      </c>
      <c r="R412" s="34" t="str">
        <f>IF(Cleaned_Final!$I412&gt;=5000,"High","Low")</f>
        <v>Low</v>
      </c>
    </row>
    <row r="413" spans="1:18" x14ac:dyDescent="0.35">
      <c r="A413" s="38">
        <v>1042</v>
      </c>
      <c r="B413" s="38" t="str">
        <f>_xlfn.XLOOKUP(Table2[[#This Row],[Product ID]],Sheet1!$A$32:$A$200,Sheet1!$B$32:$B$200,"Not Found")</f>
        <v>Frozen Pizza</v>
      </c>
      <c r="C413" s="39">
        <v>45072</v>
      </c>
      <c r="D413" s="38" t="s">
        <v>14</v>
      </c>
      <c r="E413" s="38" t="str" cm="1">
        <f t="array" ref="E413">_xlfn.XLOOKUP(Table2[[#This Row],[Sales Rep]],Sheet1!$A$21:$A$25,Sheet1!$B$21:$B$25,Not Found)</f>
        <v>Michael Smith</v>
      </c>
      <c r="F413" s="38" t="s">
        <v>34</v>
      </c>
      <c r="G413" s="38">
        <f>_xlfn.XLOOKUP(Table2[[#This Row],[Region]],Sheet1!$A$12:$A$15,Sheet1!$B$12:$B$15,0)</f>
        <v>0.06</v>
      </c>
      <c r="H413" s="40">
        <f>Table2[[#This Row],[Tax Rate]]*Table2[[#This Row],[Sales Amount]]</f>
        <v>50.896799999999999</v>
      </c>
      <c r="I413" s="40">
        <v>848.28</v>
      </c>
      <c r="J413" s="38">
        <v>1</v>
      </c>
      <c r="K413" s="38" t="s">
        <v>35</v>
      </c>
      <c r="L413" s="40">
        <v>1406.24</v>
      </c>
      <c r="M413" s="40">
        <v>1535.57</v>
      </c>
      <c r="N413" s="38" t="s">
        <v>30</v>
      </c>
      <c r="O413" s="41">
        <v>0.08</v>
      </c>
      <c r="P413" s="38" t="s">
        <v>31</v>
      </c>
      <c r="Q413" s="38" t="s">
        <v>22</v>
      </c>
      <c r="R413" s="38" t="str">
        <f>IF(Cleaned_Final!$I413&gt;=5000,"High","Low")</f>
        <v>Low</v>
      </c>
    </row>
    <row r="414" spans="1:18" x14ac:dyDescent="0.35">
      <c r="A414" s="34">
        <v>1026</v>
      </c>
      <c r="B414" s="34" t="str">
        <f>_xlfn.XLOOKUP(Table2[[#This Row],[Product ID]],Sheet1!$A$32:$A$200,Sheet1!$B$32:$B$200,"Not Found")</f>
        <v>Television</v>
      </c>
      <c r="C414" s="35">
        <v>45054</v>
      </c>
      <c r="D414" s="34" t="s">
        <v>33</v>
      </c>
      <c r="E414" s="34" t="str" cm="1">
        <f t="array" ref="E414">_xlfn.XLOOKUP(Table2[[#This Row],[Sales Rep]],Sheet1!$A$21:$A$25,Sheet1!$B$21:$B$25,Not Found)</f>
        <v>Susan Jerkins</v>
      </c>
      <c r="F414" s="34" t="s">
        <v>21</v>
      </c>
      <c r="G414" s="34">
        <f>_xlfn.XLOOKUP(Table2[[#This Row],[Region]],Sheet1!$A$12:$A$15,Sheet1!$B$12:$B$15,0)</f>
        <v>0.08</v>
      </c>
      <c r="H414" s="36">
        <f>Table2[[#This Row],[Tax Rate]]*Table2[[#This Row],[Sales Amount]]</f>
        <v>761.52719999999999</v>
      </c>
      <c r="I414" s="36">
        <v>9519.09</v>
      </c>
      <c r="J414" s="34">
        <v>20</v>
      </c>
      <c r="K414" s="34" t="s">
        <v>29</v>
      </c>
      <c r="L414" s="36">
        <v>2985.63</v>
      </c>
      <c r="M414" s="36">
        <v>3452.14</v>
      </c>
      <c r="N414" s="34" t="s">
        <v>30</v>
      </c>
      <c r="O414" s="37">
        <v>0.17</v>
      </c>
      <c r="P414" s="34" t="s">
        <v>31</v>
      </c>
      <c r="Q414" s="34" t="s">
        <v>22</v>
      </c>
      <c r="R414" s="34" t="str">
        <f>IF(Cleaned_Final!$I414&gt;=5000,"High","Low")</f>
        <v>High</v>
      </c>
    </row>
    <row r="415" spans="1:18" x14ac:dyDescent="0.35">
      <c r="A415" s="38">
        <v>1099</v>
      </c>
      <c r="B415" s="38" t="str">
        <f>_xlfn.XLOOKUP(Table2[[#This Row],[Product ID]],Sheet1!$A$32:$A$200,Sheet1!$B$32:$B$200,"Not Found")</f>
        <v>Chest</v>
      </c>
      <c r="C415" s="39">
        <v>45267</v>
      </c>
      <c r="D415" s="38" t="s">
        <v>14</v>
      </c>
      <c r="E415" s="38" t="str" cm="1">
        <f t="array" ref="E415">_xlfn.XLOOKUP(Table2[[#This Row],[Sales Rep]],Sheet1!$A$21:$A$25,Sheet1!$B$21:$B$25,Not Found)</f>
        <v>Michael Smith</v>
      </c>
      <c r="F415" s="38" t="s">
        <v>34</v>
      </c>
      <c r="G415" s="38">
        <f>_xlfn.XLOOKUP(Table2[[#This Row],[Region]],Sheet1!$A$12:$A$15,Sheet1!$B$12:$B$15,0)</f>
        <v>0.06</v>
      </c>
      <c r="H415" s="40">
        <f>Table2[[#This Row],[Tax Rate]]*Table2[[#This Row],[Sales Amount]]</f>
        <v>182.59079999999997</v>
      </c>
      <c r="I415" s="40">
        <v>3043.18</v>
      </c>
      <c r="J415" s="38">
        <v>22</v>
      </c>
      <c r="K415" s="38" t="s">
        <v>16</v>
      </c>
      <c r="L415" s="40">
        <v>2471.67</v>
      </c>
      <c r="M415" s="40">
        <v>2533.04</v>
      </c>
      <c r="N415" s="38" t="s">
        <v>17</v>
      </c>
      <c r="O415" s="41">
        <v>0.02</v>
      </c>
      <c r="P415" s="38" t="s">
        <v>27</v>
      </c>
      <c r="Q415" s="38" t="s">
        <v>22</v>
      </c>
      <c r="R415" s="38" t="str">
        <f>IF(Cleaned_Final!$I415&gt;=5000,"High","Low")</f>
        <v>Low</v>
      </c>
    </row>
    <row r="416" spans="1:18" x14ac:dyDescent="0.35">
      <c r="A416" s="34">
        <v>1050</v>
      </c>
      <c r="B416" s="34" t="str">
        <f>_xlfn.XLOOKUP(Table2[[#This Row],[Product ID]],Sheet1!$A$32:$A$200,Sheet1!$B$32:$B$200,"Not Found")</f>
        <v>Sneakers</v>
      </c>
      <c r="C416" s="35">
        <v>44968</v>
      </c>
      <c r="D416" s="34" t="s">
        <v>33</v>
      </c>
      <c r="E416" s="34" t="str" cm="1">
        <f t="array" ref="E416">_xlfn.XLOOKUP(Table2[[#This Row],[Sales Rep]],Sheet1!$A$21:$A$25,Sheet1!$B$21:$B$25,Not Found)</f>
        <v>Susan Jerkins</v>
      </c>
      <c r="F416" s="34" t="s">
        <v>21</v>
      </c>
      <c r="G416" s="34">
        <f>_xlfn.XLOOKUP(Table2[[#This Row],[Region]],Sheet1!$A$12:$A$15,Sheet1!$B$12:$B$15,0)</f>
        <v>0.08</v>
      </c>
      <c r="H416" s="36">
        <f>Table2[[#This Row],[Tax Rate]]*Table2[[#This Row],[Sales Amount]]</f>
        <v>80.916800000000009</v>
      </c>
      <c r="I416" s="36">
        <v>1011.46</v>
      </c>
      <c r="J416" s="34">
        <v>48</v>
      </c>
      <c r="K416" s="34" t="s">
        <v>16</v>
      </c>
      <c r="L416" s="36">
        <v>710.06</v>
      </c>
      <c r="M416" s="36">
        <v>851.349999999999</v>
      </c>
      <c r="N416" s="34" t="s">
        <v>17</v>
      </c>
      <c r="O416" s="37">
        <v>0.04</v>
      </c>
      <c r="P416" s="34" t="s">
        <v>27</v>
      </c>
      <c r="Q416" s="34" t="s">
        <v>19</v>
      </c>
      <c r="R416" s="34" t="str">
        <f>IF(Cleaned_Final!$I416&gt;=5000,"High","Low")</f>
        <v>Low</v>
      </c>
    </row>
    <row r="417" spans="1:18" x14ac:dyDescent="0.35">
      <c r="A417" s="38">
        <v>1025</v>
      </c>
      <c r="B417" s="38" t="str">
        <f>_xlfn.XLOOKUP(Table2[[#This Row],[Product ID]],Sheet1!$A$32:$A$200,Sheet1!$B$32:$B$200,"Not Found")</f>
        <v>Mayonnaise</v>
      </c>
      <c r="C417" s="39">
        <v>45282</v>
      </c>
      <c r="D417" s="38" t="s">
        <v>14</v>
      </c>
      <c r="E417" s="38" t="str" cm="1">
        <f t="array" ref="E417">_xlfn.XLOOKUP(Table2[[#This Row],[Sales Rep]],Sheet1!$A$21:$A$25,Sheet1!$B$21:$B$25,Not Found)</f>
        <v>Michael Smith</v>
      </c>
      <c r="F417" s="38" t="s">
        <v>25</v>
      </c>
      <c r="G417" s="38">
        <f>_xlfn.XLOOKUP(Table2[[#This Row],[Region]],Sheet1!$A$12:$A$15,Sheet1!$B$12:$B$15,0)</f>
        <v>0.05</v>
      </c>
      <c r="H417" s="40">
        <f>Table2[[#This Row],[Tax Rate]]*Table2[[#This Row],[Sales Amount]]</f>
        <v>301.52699999999999</v>
      </c>
      <c r="I417" s="40">
        <v>6030.54</v>
      </c>
      <c r="J417" s="38">
        <v>11</v>
      </c>
      <c r="K417" s="38" t="s">
        <v>26</v>
      </c>
      <c r="L417" s="40">
        <v>1250.5899999999999</v>
      </c>
      <c r="M417" s="40">
        <v>1515.48999999999</v>
      </c>
      <c r="N417" s="38" t="s">
        <v>17</v>
      </c>
      <c r="O417" s="41">
        <v>0.21</v>
      </c>
      <c r="P417" s="38" t="s">
        <v>27</v>
      </c>
      <c r="Q417" s="38" t="s">
        <v>22</v>
      </c>
      <c r="R417" s="38" t="str">
        <f>IF(Cleaned_Final!$I417&gt;=5000,"High","Low")</f>
        <v>High</v>
      </c>
    </row>
    <row r="418" spans="1:18" x14ac:dyDescent="0.35">
      <c r="A418" s="34">
        <v>1024</v>
      </c>
      <c r="B418" s="34" t="str">
        <f>_xlfn.XLOOKUP(Table2[[#This Row],[Product ID]],Sheet1!$A$32:$A$200,Sheet1!$B$32:$B$200,"Not Found")</f>
        <v>Pasta Pack</v>
      </c>
      <c r="C418" s="35">
        <v>44967</v>
      </c>
      <c r="D418" s="34" t="s">
        <v>24</v>
      </c>
      <c r="E418" s="34" t="str" cm="1">
        <f t="array" ref="E418">_xlfn.XLOOKUP(Table2[[#This Row],[Sales Rep]],Sheet1!$A$21:$A$25,Sheet1!$B$21:$B$25,Not Found)</f>
        <v>Hogan Rock</v>
      </c>
      <c r="F418" s="34" t="s">
        <v>34</v>
      </c>
      <c r="G418" s="34">
        <f>_xlfn.XLOOKUP(Table2[[#This Row],[Region]],Sheet1!$A$12:$A$15,Sheet1!$B$12:$B$15,0)</f>
        <v>0.06</v>
      </c>
      <c r="H418" s="36">
        <f>Table2[[#This Row],[Tax Rate]]*Table2[[#This Row],[Sales Amount]]</f>
        <v>376.44719999999995</v>
      </c>
      <c r="I418" s="36">
        <v>6274.12</v>
      </c>
      <c r="J418" s="34">
        <v>13</v>
      </c>
      <c r="K418" s="34" t="s">
        <v>29</v>
      </c>
      <c r="L418" s="36">
        <v>1493.88</v>
      </c>
      <c r="M418" s="36">
        <v>1781.09</v>
      </c>
      <c r="N418" s="34" t="s">
        <v>30</v>
      </c>
      <c r="O418" s="37">
        <v>0.04</v>
      </c>
      <c r="P418" s="34" t="s">
        <v>18</v>
      </c>
      <c r="Q418" s="34" t="s">
        <v>22</v>
      </c>
      <c r="R418" s="34" t="str">
        <f>IF(Cleaned_Final!$I418&gt;=5000,"High","Low")</f>
        <v>High</v>
      </c>
    </row>
    <row r="419" spans="1:18" x14ac:dyDescent="0.35">
      <c r="A419" s="38">
        <v>1013</v>
      </c>
      <c r="B419" s="38" t="str">
        <f>_xlfn.XLOOKUP(Table2[[#This Row],[Product ID]],Sheet1!$A$32:$A$200,Sheet1!$B$32:$B$200,"Not Found")</f>
        <v>Gas Cooker</v>
      </c>
      <c r="C419" s="39">
        <v>44960</v>
      </c>
      <c r="D419" s="38" t="s">
        <v>14</v>
      </c>
      <c r="E419" s="38" t="str" cm="1">
        <f t="array" ref="E419">_xlfn.XLOOKUP(Table2[[#This Row],[Sales Rep]],Sheet1!$A$21:$A$25,Sheet1!$B$21:$B$25,Not Found)</f>
        <v>Michael Smith</v>
      </c>
      <c r="F419" s="38" t="s">
        <v>15</v>
      </c>
      <c r="G419" s="38">
        <f>_xlfn.XLOOKUP(Table2[[#This Row],[Region]],Sheet1!$A$12:$A$15,Sheet1!$B$12:$B$15,0)</f>
        <v>7.4999999999999997E-2</v>
      </c>
      <c r="H419" s="40">
        <f>Table2[[#This Row],[Tax Rate]]*Table2[[#This Row],[Sales Amount]]</f>
        <v>489.01499999999999</v>
      </c>
      <c r="I419" s="40">
        <v>6520.2</v>
      </c>
      <c r="J419" s="38">
        <v>42</v>
      </c>
      <c r="K419" s="38" t="s">
        <v>29</v>
      </c>
      <c r="L419" s="40">
        <v>4625.33</v>
      </c>
      <c r="M419" s="40">
        <v>4642.83</v>
      </c>
      <c r="N419" s="38" t="s">
        <v>30</v>
      </c>
      <c r="O419" s="41">
        <v>0.19</v>
      </c>
      <c r="P419" s="38" t="s">
        <v>31</v>
      </c>
      <c r="Q419" s="38" t="s">
        <v>19</v>
      </c>
      <c r="R419" s="38" t="str">
        <f>IF(Cleaned_Final!$I419&gt;=5000,"High","Low")</f>
        <v>High</v>
      </c>
    </row>
    <row r="420" spans="1:18" x14ac:dyDescent="0.35">
      <c r="A420" s="34">
        <v>1060</v>
      </c>
      <c r="B420" s="34" t="str">
        <f>_xlfn.XLOOKUP(Table2[[#This Row],[Product ID]],Sheet1!$A$32:$A$200,Sheet1!$B$32:$B$200,"Not Found")</f>
        <v>Head Warmer</v>
      </c>
      <c r="C420" s="35">
        <v>44943</v>
      </c>
      <c r="D420" s="34" t="s">
        <v>14</v>
      </c>
      <c r="E420" s="34" t="str" cm="1">
        <f t="array" ref="E420">_xlfn.XLOOKUP(Table2[[#This Row],[Sales Rep]],Sheet1!$A$21:$A$25,Sheet1!$B$21:$B$25,Not Found)</f>
        <v>Michael Smith</v>
      </c>
      <c r="F420" s="34" t="s">
        <v>25</v>
      </c>
      <c r="G420" s="34">
        <f>_xlfn.XLOOKUP(Table2[[#This Row],[Region]],Sheet1!$A$12:$A$15,Sheet1!$B$12:$B$15,0)</f>
        <v>0.05</v>
      </c>
      <c r="H420" s="36">
        <f>Table2[[#This Row],[Tax Rate]]*Table2[[#This Row],[Sales Amount]]</f>
        <v>137.364</v>
      </c>
      <c r="I420" s="36">
        <v>2747.28</v>
      </c>
      <c r="J420" s="34">
        <v>3</v>
      </c>
      <c r="K420" s="34" t="s">
        <v>35</v>
      </c>
      <c r="L420" s="36">
        <v>1190.4100000000001</v>
      </c>
      <c r="M420" s="36">
        <v>1582.89</v>
      </c>
      <c r="N420" s="34" t="s">
        <v>30</v>
      </c>
      <c r="O420" s="37">
        <v>0.02</v>
      </c>
      <c r="P420" s="34" t="s">
        <v>31</v>
      </c>
      <c r="Q420" s="34" t="s">
        <v>22</v>
      </c>
      <c r="R420" s="34" t="str">
        <f>IF(Cleaned_Final!$I420&gt;=5000,"High","Low")</f>
        <v>Low</v>
      </c>
    </row>
    <row r="421" spans="1:18" x14ac:dyDescent="0.35">
      <c r="A421" s="38">
        <v>1007</v>
      </c>
      <c r="B421" s="38" t="str">
        <f>_xlfn.XLOOKUP(Table2[[#This Row],[Product ID]],Sheet1!$A$32:$A$200,Sheet1!$B$32:$B$200,"Not Found")</f>
        <v>Fruit Jam</v>
      </c>
      <c r="C421" s="39">
        <v>45091</v>
      </c>
      <c r="D421" s="38" t="s">
        <v>42</v>
      </c>
      <c r="E421" s="38" t="str" cm="1">
        <f t="array" ref="E421">_xlfn.XLOOKUP(Table2[[#This Row],[Sales Rep]],Sheet1!$A$21:$A$25,Sheet1!$B$21:$B$25,Not Found)</f>
        <v>Scott Wayne</v>
      </c>
      <c r="F421" s="38" t="s">
        <v>15</v>
      </c>
      <c r="G421" s="38">
        <f>_xlfn.XLOOKUP(Table2[[#This Row],[Region]],Sheet1!$A$12:$A$15,Sheet1!$B$12:$B$15,0)</f>
        <v>7.4999999999999997E-2</v>
      </c>
      <c r="H421" s="40">
        <f>Table2[[#This Row],[Tax Rate]]*Table2[[#This Row],[Sales Amount]]</f>
        <v>18.72</v>
      </c>
      <c r="I421" s="40">
        <v>249.6</v>
      </c>
      <c r="J421" s="38">
        <v>9</v>
      </c>
      <c r="K421" s="38" t="s">
        <v>29</v>
      </c>
      <c r="L421" s="40">
        <v>1481.76</v>
      </c>
      <c r="M421" s="40">
        <v>1668.95</v>
      </c>
      <c r="N421" s="38" t="s">
        <v>17</v>
      </c>
      <c r="O421" s="41">
        <v>0.12</v>
      </c>
      <c r="P421" s="38" t="s">
        <v>31</v>
      </c>
      <c r="Q421" s="38" t="s">
        <v>22</v>
      </c>
      <c r="R421" s="38" t="str">
        <f>IF(Cleaned_Final!$I421&gt;=5000,"High","Low")</f>
        <v>Low</v>
      </c>
    </row>
    <row r="422" spans="1:18" x14ac:dyDescent="0.35">
      <c r="A422" s="34">
        <v>1057</v>
      </c>
      <c r="B422" s="34" t="str">
        <f>_xlfn.XLOOKUP(Table2[[#This Row],[Product ID]],Sheet1!$A$32:$A$200,Sheet1!$B$32:$B$200,"Not Found")</f>
        <v>Avocadro Pear</v>
      </c>
      <c r="C422" s="35">
        <v>45079</v>
      </c>
      <c r="D422" s="34" t="s">
        <v>14</v>
      </c>
      <c r="E422" s="34" t="str" cm="1">
        <f t="array" ref="E422">_xlfn.XLOOKUP(Table2[[#This Row],[Sales Rep]],Sheet1!$A$21:$A$25,Sheet1!$B$21:$B$25,Not Found)</f>
        <v>Michael Smith</v>
      </c>
      <c r="F422" s="34" t="s">
        <v>25</v>
      </c>
      <c r="G422" s="34">
        <f>_xlfn.XLOOKUP(Table2[[#This Row],[Region]],Sheet1!$A$12:$A$15,Sheet1!$B$12:$B$15,0)</f>
        <v>0.05</v>
      </c>
      <c r="H422" s="36">
        <f>Table2[[#This Row],[Tax Rate]]*Table2[[#This Row],[Sales Amount]]</f>
        <v>482.6825</v>
      </c>
      <c r="I422" s="36">
        <v>9653.65</v>
      </c>
      <c r="J422" s="34">
        <v>12</v>
      </c>
      <c r="K422" s="34" t="s">
        <v>35</v>
      </c>
      <c r="L422" s="36">
        <v>1878.3</v>
      </c>
      <c r="M422" s="36">
        <v>2087.4499999999998</v>
      </c>
      <c r="N422" s="34" t="s">
        <v>30</v>
      </c>
      <c r="O422" s="37">
        <v>0.05</v>
      </c>
      <c r="P422" s="34" t="s">
        <v>27</v>
      </c>
      <c r="Q422" s="34" t="s">
        <v>22</v>
      </c>
      <c r="R422" s="34" t="str">
        <f>IF(Cleaned_Final!$I422&gt;=5000,"High","Low")</f>
        <v>High</v>
      </c>
    </row>
    <row r="423" spans="1:18" x14ac:dyDescent="0.35">
      <c r="A423" s="38">
        <v>1036</v>
      </c>
      <c r="B423" s="38" t="str">
        <f>_xlfn.XLOOKUP(Table2[[#This Row],[Product ID]],Sheet1!$A$32:$A$200,Sheet1!$B$32:$B$200,"Not Found")</f>
        <v>Shorts</v>
      </c>
      <c r="C423" s="39">
        <v>45002</v>
      </c>
      <c r="D423" s="38" t="s">
        <v>42</v>
      </c>
      <c r="E423" s="38" t="str" cm="1">
        <f t="array" ref="E423">_xlfn.XLOOKUP(Table2[[#This Row],[Sales Rep]],Sheet1!$A$21:$A$25,Sheet1!$B$21:$B$25,Not Found)</f>
        <v>Scott Wayne</v>
      </c>
      <c r="F423" s="38" t="s">
        <v>34</v>
      </c>
      <c r="G423" s="38">
        <f>_xlfn.XLOOKUP(Table2[[#This Row],[Region]],Sheet1!$A$12:$A$15,Sheet1!$B$12:$B$15,0)</f>
        <v>0.06</v>
      </c>
      <c r="H423" s="40">
        <f>Table2[[#This Row],[Tax Rate]]*Table2[[#This Row],[Sales Amount]]</f>
        <v>155.03040000000001</v>
      </c>
      <c r="I423" s="40">
        <v>2583.84</v>
      </c>
      <c r="J423" s="38">
        <v>23</v>
      </c>
      <c r="K423" s="38" t="s">
        <v>26</v>
      </c>
      <c r="L423" s="40">
        <v>3335.53</v>
      </c>
      <c r="M423" s="40">
        <v>3742.12</v>
      </c>
      <c r="N423" s="38" t="s">
        <v>30</v>
      </c>
      <c r="O423" s="41">
        <v>0.03</v>
      </c>
      <c r="P423" s="38" t="s">
        <v>27</v>
      </c>
      <c r="Q423" s="38" t="s">
        <v>22</v>
      </c>
      <c r="R423" s="38" t="str">
        <f>IF(Cleaned_Final!$I423&gt;=5000,"High","Low")</f>
        <v>Low</v>
      </c>
    </row>
    <row r="424" spans="1:18" x14ac:dyDescent="0.35">
      <c r="A424" s="34">
        <v>1045</v>
      </c>
      <c r="B424" s="34" t="str">
        <f>_xlfn.XLOOKUP(Table2[[#This Row],[Product ID]],Sheet1!$A$32:$A$200,Sheet1!$B$32:$B$200,"Not Found")</f>
        <v>Bikers Shorts</v>
      </c>
      <c r="C424" s="35">
        <v>45013</v>
      </c>
      <c r="D424" s="34" t="s">
        <v>38</v>
      </c>
      <c r="E424" s="34" t="str" cm="1">
        <f t="array" ref="E424">_xlfn.XLOOKUP(Table2[[#This Row],[Sales Rep]],Sheet1!$A$21:$A$25,Sheet1!$B$21:$B$25,Not Found)</f>
        <v>Tracy Moore</v>
      </c>
      <c r="F424" s="34" t="s">
        <v>21</v>
      </c>
      <c r="G424" s="34">
        <f>_xlfn.XLOOKUP(Table2[[#This Row],[Region]],Sheet1!$A$12:$A$15,Sheet1!$B$12:$B$15,0)</f>
        <v>0.08</v>
      </c>
      <c r="H424" s="36">
        <f>Table2[[#This Row],[Tax Rate]]*Table2[[#This Row],[Sales Amount]]</f>
        <v>543.41279999999995</v>
      </c>
      <c r="I424" s="36">
        <v>6792.66</v>
      </c>
      <c r="J424" s="34">
        <v>14</v>
      </c>
      <c r="K424" s="34" t="s">
        <v>29</v>
      </c>
      <c r="L424" s="36">
        <v>635.28</v>
      </c>
      <c r="M424" s="36">
        <v>831.13</v>
      </c>
      <c r="N424" s="34" t="s">
        <v>17</v>
      </c>
      <c r="O424" s="37">
        <v>0.17</v>
      </c>
      <c r="P424" s="34" t="s">
        <v>27</v>
      </c>
      <c r="Q424" s="34" t="s">
        <v>22</v>
      </c>
      <c r="R424" s="34" t="str">
        <f>IF(Cleaned_Final!$I424&gt;=5000,"High","Low")</f>
        <v>High</v>
      </c>
    </row>
    <row r="425" spans="1:18" x14ac:dyDescent="0.35">
      <c r="A425" s="38">
        <v>1020</v>
      </c>
      <c r="B425" s="38" t="str">
        <f>_xlfn.XLOOKUP(Table2[[#This Row],[Product ID]],Sheet1!$A$32:$A$200,Sheet1!$B$32:$B$200,"Not Found")</f>
        <v>Apron</v>
      </c>
      <c r="C425" s="39">
        <v>45043</v>
      </c>
      <c r="D425" s="38" t="s">
        <v>42</v>
      </c>
      <c r="E425" s="38" t="str" cm="1">
        <f t="array" ref="E425">_xlfn.XLOOKUP(Table2[[#This Row],[Sales Rep]],Sheet1!$A$21:$A$25,Sheet1!$B$21:$B$25,Not Found)</f>
        <v>Scott Wayne</v>
      </c>
      <c r="F425" s="38" t="s">
        <v>25</v>
      </c>
      <c r="G425" s="38">
        <f>_xlfn.XLOOKUP(Table2[[#This Row],[Region]],Sheet1!$A$12:$A$15,Sheet1!$B$12:$B$15,0)</f>
        <v>0.05</v>
      </c>
      <c r="H425" s="40">
        <f>Table2[[#This Row],[Tax Rate]]*Table2[[#This Row],[Sales Amount]]</f>
        <v>354.78200000000004</v>
      </c>
      <c r="I425" s="40">
        <v>7095.64</v>
      </c>
      <c r="J425" s="38">
        <v>33</v>
      </c>
      <c r="K425" s="38" t="s">
        <v>16</v>
      </c>
      <c r="L425" s="40">
        <v>4772.03</v>
      </c>
      <c r="M425" s="40">
        <v>4805.17</v>
      </c>
      <c r="N425" s="38" t="s">
        <v>17</v>
      </c>
      <c r="O425" s="41">
        <v>0.28000000000000003</v>
      </c>
      <c r="P425" s="38" t="s">
        <v>27</v>
      </c>
      <c r="Q425" s="38" t="s">
        <v>19</v>
      </c>
      <c r="R425" s="38" t="str">
        <f>IF(Cleaned_Final!$I425&gt;=5000,"High","Low")</f>
        <v>High</v>
      </c>
    </row>
    <row r="426" spans="1:18" x14ac:dyDescent="0.35">
      <c r="A426" s="34">
        <v>1065</v>
      </c>
      <c r="B426" s="34" t="str">
        <f>_xlfn.XLOOKUP(Table2[[#This Row],[Product ID]],Sheet1!$A$32:$A$200,Sheet1!$B$32:$B$200,"Not Found")</f>
        <v>Potatoes</v>
      </c>
      <c r="C426" s="35">
        <v>45288</v>
      </c>
      <c r="D426" s="34" t="s">
        <v>24</v>
      </c>
      <c r="E426" s="34" t="str" cm="1">
        <f t="array" ref="E426">_xlfn.XLOOKUP(Table2[[#This Row],[Sales Rep]],Sheet1!$A$21:$A$25,Sheet1!$B$21:$B$25,Not Found)</f>
        <v>Hogan Rock</v>
      </c>
      <c r="F426" s="34" t="s">
        <v>21</v>
      </c>
      <c r="G426" s="34">
        <f>_xlfn.XLOOKUP(Table2[[#This Row],[Region]],Sheet1!$A$12:$A$15,Sheet1!$B$12:$B$15,0)</f>
        <v>0.08</v>
      </c>
      <c r="H426" s="36">
        <f>Table2[[#This Row],[Tax Rate]]*Table2[[#This Row],[Sales Amount]]</f>
        <v>491.12559999999996</v>
      </c>
      <c r="I426" s="36">
        <v>6139.07</v>
      </c>
      <c r="J426" s="34">
        <v>18</v>
      </c>
      <c r="K426" s="34" t="s">
        <v>26</v>
      </c>
      <c r="L426" s="36">
        <v>4334.58</v>
      </c>
      <c r="M426" s="36">
        <v>4431.04</v>
      </c>
      <c r="N426" s="34" t="s">
        <v>30</v>
      </c>
      <c r="O426" s="37">
        <v>0.02</v>
      </c>
      <c r="P426" s="34" t="s">
        <v>27</v>
      </c>
      <c r="Q426" s="34" t="s">
        <v>22</v>
      </c>
      <c r="R426" s="34" t="str">
        <f>IF(Cleaned_Final!$I426&gt;=5000,"High","Low")</f>
        <v>High</v>
      </c>
    </row>
    <row r="427" spans="1:18" x14ac:dyDescent="0.35">
      <c r="A427" s="38">
        <v>1008</v>
      </c>
      <c r="B427" s="38" t="str">
        <f>_xlfn.XLOOKUP(Table2[[#This Row],[Product ID]],Sheet1!$A$32:$A$200,Sheet1!$B$32:$B$200,"Not Found")</f>
        <v>Skirt</v>
      </c>
      <c r="C427" s="39">
        <v>45268</v>
      </c>
      <c r="D427" s="38" t="s">
        <v>42</v>
      </c>
      <c r="E427" s="38" t="str" cm="1">
        <f t="array" ref="E427">_xlfn.XLOOKUP(Table2[[#This Row],[Sales Rep]],Sheet1!$A$21:$A$25,Sheet1!$B$21:$B$25,Not Found)</f>
        <v>Scott Wayne</v>
      </c>
      <c r="F427" s="38" t="s">
        <v>25</v>
      </c>
      <c r="G427" s="38">
        <f>_xlfn.XLOOKUP(Table2[[#This Row],[Region]],Sheet1!$A$12:$A$15,Sheet1!$B$12:$B$15,0)</f>
        <v>0.05</v>
      </c>
      <c r="H427" s="40">
        <f>Table2[[#This Row],[Tax Rate]]*Table2[[#This Row],[Sales Amount]]</f>
        <v>159.88900000000001</v>
      </c>
      <c r="I427" s="40">
        <v>3197.78</v>
      </c>
      <c r="J427" s="38">
        <v>49</v>
      </c>
      <c r="K427" s="38" t="s">
        <v>35</v>
      </c>
      <c r="L427" s="40">
        <v>2907.22</v>
      </c>
      <c r="M427" s="40">
        <v>3385.6099999999901</v>
      </c>
      <c r="N427" s="38" t="s">
        <v>30</v>
      </c>
      <c r="O427" s="41">
        <v>0.13</v>
      </c>
      <c r="P427" s="38" t="s">
        <v>18</v>
      </c>
      <c r="Q427" s="38" t="s">
        <v>19</v>
      </c>
      <c r="R427" s="38" t="str">
        <f>IF(Cleaned_Final!$I427&gt;=5000,"High","Low")</f>
        <v>Low</v>
      </c>
    </row>
    <row r="428" spans="1:18" x14ac:dyDescent="0.35">
      <c r="A428" s="34">
        <v>1016</v>
      </c>
      <c r="B428" s="34" t="str">
        <f>_xlfn.XLOOKUP(Table2[[#This Row],[Product ID]],Sheet1!$A$32:$A$200,Sheet1!$B$32:$B$200,"Not Found")</f>
        <v>Washing Machine</v>
      </c>
      <c r="C428" s="35">
        <v>44953</v>
      </c>
      <c r="D428" s="34" t="s">
        <v>38</v>
      </c>
      <c r="E428" s="34" t="str" cm="1">
        <f t="array" ref="E428">_xlfn.XLOOKUP(Table2[[#This Row],[Sales Rep]],Sheet1!$A$21:$A$25,Sheet1!$B$21:$B$25,Not Found)</f>
        <v>Tracy Moore</v>
      </c>
      <c r="F428" s="34" t="s">
        <v>15</v>
      </c>
      <c r="G428" s="34">
        <f>_xlfn.XLOOKUP(Table2[[#This Row],[Region]],Sheet1!$A$12:$A$15,Sheet1!$B$12:$B$15,0)</f>
        <v>7.4999999999999997E-2</v>
      </c>
      <c r="H428" s="36">
        <f>Table2[[#This Row],[Tax Rate]]*Table2[[#This Row],[Sales Amount]]</f>
        <v>208.78874999999999</v>
      </c>
      <c r="I428" s="36">
        <v>2783.85</v>
      </c>
      <c r="J428" s="34">
        <v>41</v>
      </c>
      <c r="K428" s="34" t="s">
        <v>26</v>
      </c>
      <c r="L428" s="36">
        <v>3386.49</v>
      </c>
      <c r="M428" s="36">
        <v>3430.99</v>
      </c>
      <c r="N428" s="34" t="s">
        <v>30</v>
      </c>
      <c r="O428" s="37">
        <v>0.21</v>
      </c>
      <c r="P428" s="34" t="s">
        <v>27</v>
      </c>
      <c r="Q428" s="34" t="s">
        <v>22</v>
      </c>
      <c r="R428" s="34" t="str">
        <f>IF(Cleaned_Final!$I428&gt;=5000,"High","Low")</f>
        <v>Low</v>
      </c>
    </row>
    <row r="429" spans="1:18" x14ac:dyDescent="0.35">
      <c r="A429" s="38">
        <v>1014</v>
      </c>
      <c r="B429" s="38" t="str">
        <f>_xlfn.XLOOKUP(Table2[[#This Row],[Product ID]],Sheet1!$A$32:$A$200,Sheet1!$B$32:$B$200,"Not Found")</f>
        <v>Cheese Block</v>
      </c>
      <c r="C429" s="39">
        <v>45239</v>
      </c>
      <c r="D429" s="38" t="s">
        <v>24</v>
      </c>
      <c r="E429" s="38" t="str" cm="1">
        <f t="array" ref="E429">_xlfn.XLOOKUP(Table2[[#This Row],[Sales Rep]],Sheet1!$A$21:$A$25,Sheet1!$B$21:$B$25,Not Found)</f>
        <v>Hogan Rock</v>
      </c>
      <c r="F429" s="38" t="s">
        <v>15</v>
      </c>
      <c r="G429" s="38">
        <f>_xlfn.XLOOKUP(Table2[[#This Row],[Region]],Sheet1!$A$12:$A$15,Sheet1!$B$12:$B$15,0)</f>
        <v>7.4999999999999997E-2</v>
      </c>
      <c r="H429" s="40">
        <f>Table2[[#This Row],[Tax Rate]]*Table2[[#This Row],[Sales Amount]]</f>
        <v>451.26900000000001</v>
      </c>
      <c r="I429" s="40">
        <v>6016.92</v>
      </c>
      <c r="J429" s="38">
        <v>9</v>
      </c>
      <c r="K429" s="38" t="s">
        <v>35</v>
      </c>
      <c r="L429" s="40">
        <v>132.47</v>
      </c>
      <c r="M429" s="40">
        <v>316.39</v>
      </c>
      <c r="N429" s="38" t="s">
        <v>30</v>
      </c>
      <c r="O429" s="41">
        <v>0.14000000000000001</v>
      </c>
      <c r="P429" s="38" t="s">
        <v>31</v>
      </c>
      <c r="Q429" s="38" t="s">
        <v>19</v>
      </c>
      <c r="R429" s="38" t="str">
        <f>IF(Cleaned_Final!$I429&gt;=5000,"High","Low")</f>
        <v>High</v>
      </c>
    </row>
    <row r="430" spans="1:18" x14ac:dyDescent="0.35">
      <c r="A430" s="34">
        <v>1076</v>
      </c>
      <c r="B430" s="34" t="str">
        <f>_xlfn.XLOOKUP(Table2[[#This Row],[Product ID]],Sheet1!$A$32:$A$200,Sheet1!$B$32:$B$200,"Not Found")</f>
        <v>Polo Shirt</v>
      </c>
      <c r="C430" s="35">
        <v>45213</v>
      </c>
      <c r="D430" s="34" t="s">
        <v>33</v>
      </c>
      <c r="E430" s="34" t="str" cm="1">
        <f t="array" ref="E430">_xlfn.XLOOKUP(Table2[[#This Row],[Sales Rep]],Sheet1!$A$21:$A$25,Sheet1!$B$21:$B$25,Not Found)</f>
        <v>Susan Jerkins</v>
      </c>
      <c r="F430" s="34" t="s">
        <v>25</v>
      </c>
      <c r="G430" s="34">
        <f>_xlfn.XLOOKUP(Table2[[#This Row],[Region]],Sheet1!$A$12:$A$15,Sheet1!$B$12:$B$15,0)</f>
        <v>0.05</v>
      </c>
      <c r="H430" s="36">
        <f>Table2[[#This Row],[Tax Rate]]*Table2[[#This Row],[Sales Amount]]</f>
        <v>433.71750000000003</v>
      </c>
      <c r="I430" s="36">
        <v>8674.35</v>
      </c>
      <c r="J430" s="34">
        <v>23</v>
      </c>
      <c r="K430" s="34" t="s">
        <v>26</v>
      </c>
      <c r="L430" s="36">
        <v>1727.78</v>
      </c>
      <c r="M430" s="36">
        <v>1984.34</v>
      </c>
      <c r="N430" s="34" t="s">
        <v>17</v>
      </c>
      <c r="O430" s="37">
        <v>0.24</v>
      </c>
      <c r="P430" s="34" t="s">
        <v>27</v>
      </c>
      <c r="Q430" s="34" t="s">
        <v>19</v>
      </c>
      <c r="R430" s="34" t="str">
        <f>IF(Cleaned_Final!$I430&gt;=5000,"High","Low")</f>
        <v>High</v>
      </c>
    </row>
    <row r="431" spans="1:18" x14ac:dyDescent="0.35">
      <c r="A431" s="38">
        <v>1087</v>
      </c>
      <c r="B431" s="38" t="str">
        <f>_xlfn.XLOOKUP(Table2[[#This Row],[Product ID]],Sheet1!$A$32:$A$200,Sheet1!$B$32:$B$200,"Not Found")</f>
        <v>Sofa Set</v>
      </c>
      <c r="C431" s="39">
        <v>45060</v>
      </c>
      <c r="D431" s="38" t="s">
        <v>33</v>
      </c>
      <c r="E431" s="38" t="str" cm="1">
        <f t="array" ref="E431">_xlfn.XLOOKUP(Table2[[#This Row],[Sales Rep]],Sheet1!$A$21:$A$25,Sheet1!$B$21:$B$25,Not Found)</f>
        <v>Susan Jerkins</v>
      </c>
      <c r="F431" s="38" t="s">
        <v>21</v>
      </c>
      <c r="G431" s="38">
        <f>_xlfn.XLOOKUP(Table2[[#This Row],[Region]],Sheet1!$A$12:$A$15,Sheet1!$B$12:$B$15,0)</f>
        <v>0.08</v>
      </c>
      <c r="H431" s="40">
        <f>Table2[[#This Row],[Tax Rate]]*Table2[[#This Row],[Sales Amount]]</f>
        <v>757.81280000000004</v>
      </c>
      <c r="I431" s="40">
        <v>9472.66</v>
      </c>
      <c r="J431" s="38">
        <v>10</v>
      </c>
      <c r="K431" s="38" t="s">
        <v>35</v>
      </c>
      <c r="L431" s="40">
        <v>3988.52</v>
      </c>
      <c r="M431" s="40">
        <v>4240.2299999999996</v>
      </c>
      <c r="N431" s="38" t="s">
        <v>30</v>
      </c>
      <c r="O431" s="41">
        <v>0.05</v>
      </c>
      <c r="P431" s="38" t="s">
        <v>31</v>
      </c>
      <c r="Q431" s="38" t="s">
        <v>19</v>
      </c>
      <c r="R431" s="38" t="str">
        <f>IF(Cleaned_Final!$I431&gt;=5000,"High","Low")</f>
        <v>High</v>
      </c>
    </row>
    <row r="432" spans="1:18" x14ac:dyDescent="0.35">
      <c r="A432" s="34">
        <v>1015</v>
      </c>
      <c r="B432" s="34" t="str">
        <f>_xlfn.XLOOKUP(Table2[[#This Row],[Product ID]],Sheet1!$A$32:$A$200,Sheet1!$B$32:$B$200,"Not Found")</f>
        <v>Chocolate Bar</v>
      </c>
      <c r="C432" s="35">
        <v>45145</v>
      </c>
      <c r="D432" s="34" t="s">
        <v>42</v>
      </c>
      <c r="E432" s="34" t="str" cm="1">
        <f t="array" ref="E432">_xlfn.XLOOKUP(Table2[[#This Row],[Sales Rep]],Sheet1!$A$21:$A$25,Sheet1!$B$21:$B$25,Not Found)</f>
        <v>Scott Wayne</v>
      </c>
      <c r="F432" s="34" t="s">
        <v>34</v>
      </c>
      <c r="G432" s="34">
        <f>_xlfn.XLOOKUP(Table2[[#This Row],[Region]],Sheet1!$A$12:$A$15,Sheet1!$B$12:$B$15,0)</f>
        <v>0.06</v>
      </c>
      <c r="H432" s="36">
        <f>Table2[[#This Row],[Tax Rate]]*Table2[[#This Row],[Sales Amount]]</f>
        <v>68.908199999999994</v>
      </c>
      <c r="I432" s="36">
        <v>1148.47</v>
      </c>
      <c r="J432" s="34">
        <v>19</v>
      </c>
      <c r="K432" s="34" t="s">
        <v>29</v>
      </c>
      <c r="L432" s="36">
        <v>433.54</v>
      </c>
      <c r="M432" s="36">
        <v>445.48</v>
      </c>
      <c r="N432" s="34" t="s">
        <v>30</v>
      </c>
      <c r="O432" s="37">
        <v>0.28999999999999998</v>
      </c>
      <c r="P432" s="34" t="s">
        <v>27</v>
      </c>
      <c r="Q432" s="34" t="s">
        <v>22</v>
      </c>
      <c r="R432" s="34" t="str">
        <f>IF(Cleaned_Final!$I432&gt;=5000,"High","Low")</f>
        <v>Low</v>
      </c>
    </row>
    <row r="433" spans="1:18" x14ac:dyDescent="0.35">
      <c r="A433" s="38">
        <v>1092</v>
      </c>
      <c r="B433" s="38" t="str">
        <f>_xlfn.XLOOKUP(Table2[[#This Row],[Product ID]],Sheet1!$A$32:$A$200,Sheet1!$B$32:$B$200,"Not Found")</f>
        <v>Recliner</v>
      </c>
      <c r="C433" s="39">
        <v>45094</v>
      </c>
      <c r="D433" s="38" t="s">
        <v>42</v>
      </c>
      <c r="E433" s="38" t="str" cm="1">
        <f t="array" ref="E433">_xlfn.XLOOKUP(Table2[[#This Row],[Sales Rep]],Sheet1!$A$21:$A$25,Sheet1!$B$21:$B$25,Not Found)</f>
        <v>Scott Wayne</v>
      </c>
      <c r="F433" s="38" t="s">
        <v>34</v>
      </c>
      <c r="G433" s="38">
        <f>_xlfn.XLOOKUP(Table2[[#This Row],[Region]],Sheet1!$A$12:$A$15,Sheet1!$B$12:$B$15,0)</f>
        <v>0.06</v>
      </c>
      <c r="H433" s="40">
        <f>Table2[[#This Row],[Tax Rate]]*Table2[[#This Row],[Sales Amount]]</f>
        <v>97.967999999999989</v>
      </c>
      <c r="I433" s="40">
        <v>1632.8</v>
      </c>
      <c r="J433" s="38">
        <v>47</v>
      </c>
      <c r="K433" s="38" t="s">
        <v>16</v>
      </c>
      <c r="L433" s="40">
        <v>1447.45</v>
      </c>
      <c r="M433" s="40">
        <v>1703.02</v>
      </c>
      <c r="N433" s="38" t="s">
        <v>17</v>
      </c>
      <c r="O433" s="41">
        <v>0.12</v>
      </c>
      <c r="P433" s="38" t="s">
        <v>27</v>
      </c>
      <c r="Q433" s="38" t="s">
        <v>22</v>
      </c>
      <c r="R433" s="38" t="str">
        <f>IF(Cleaned_Final!$I433&gt;=5000,"High","Low")</f>
        <v>Low</v>
      </c>
    </row>
    <row r="434" spans="1:18" x14ac:dyDescent="0.35">
      <c r="A434" s="34">
        <v>1098</v>
      </c>
      <c r="B434" s="34" t="str">
        <f>_xlfn.XLOOKUP(Table2[[#This Row],[Product ID]],Sheet1!$A$32:$A$200,Sheet1!$B$32:$B$200,"Not Found")</f>
        <v>File Cabinet</v>
      </c>
      <c r="C434" s="35">
        <v>45024</v>
      </c>
      <c r="D434" s="34" t="s">
        <v>38</v>
      </c>
      <c r="E434" s="34" t="str" cm="1">
        <f t="array" ref="E434">_xlfn.XLOOKUP(Table2[[#This Row],[Sales Rep]],Sheet1!$A$21:$A$25,Sheet1!$B$21:$B$25,Not Found)</f>
        <v>Tracy Moore</v>
      </c>
      <c r="F434" s="34" t="s">
        <v>15</v>
      </c>
      <c r="G434" s="34">
        <f>_xlfn.XLOOKUP(Table2[[#This Row],[Region]],Sheet1!$A$12:$A$15,Sheet1!$B$12:$B$15,0)</f>
        <v>7.4999999999999997E-2</v>
      </c>
      <c r="H434" s="36">
        <f>Table2[[#This Row],[Tax Rate]]*Table2[[#This Row],[Sales Amount]]</f>
        <v>708.96674999999993</v>
      </c>
      <c r="I434" s="36">
        <v>9452.89</v>
      </c>
      <c r="J434" s="34">
        <v>5</v>
      </c>
      <c r="K434" s="34" t="s">
        <v>35</v>
      </c>
      <c r="L434" s="36">
        <v>2947.22</v>
      </c>
      <c r="M434" s="36">
        <v>3145.27</v>
      </c>
      <c r="N434" s="34" t="s">
        <v>30</v>
      </c>
      <c r="O434" s="37">
        <v>0.1</v>
      </c>
      <c r="P434" s="34" t="s">
        <v>31</v>
      </c>
      <c r="Q434" s="34" t="s">
        <v>22</v>
      </c>
      <c r="R434" s="34" t="str">
        <f>IF(Cleaned_Final!$I434&gt;=5000,"High","Low")</f>
        <v>High</v>
      </c>
    </row>
    <row r="435" spans="1:18" x14ac:dyDescent="0.35">
      <c r="A435" s="38">
        <v>1066</v>
      </c>
      <c r="B435" s="38" t="str">
        <f>_xlfn.XLOOKUP(Table2[[#This Row],[Product ID]],Sheet1!$A$32:$A$200,Sheet1!$B$32:$B$200,"Not Found")</f>
        <v>Armoire</v>
      </c>
      <c r="C435" s="39">
        <v>45194</v>
      </c>
      <c r="D435" s="38" t="s">
        <v>38</v>
      </c>
      <c r="E435" s="38" t="str" cm="1">
        <f t="array" ref="E435">_xlfn.XLOOKUP(Table2[[#This Row],[Sales Rep]],Sheet1!$A$21:$A$25,Sheet1!$B$21:$B$25,Not Found)</f>
        <v>Tracy Moore</v>
      </c>
      <c r="F435" s="38" t="s">
        <v>34</v>
      </c>
      <c r="G435" s="38">
        <f>_xlfn.XLOOKUP(Table2[[#This Row],[Region]],Sheet1!$A$12:$A$15,Sheet1!$B$12:$B$15,0)</f>
        <v>0.06</v>
      </c>
      <c r="H435" s="40">
        <f>Table2[[#This Row],[Tax Rate]]*Table2[[#This Row],[Sales Amount]]</f>
        <v>443.50199999999995</v>
      </c>
      <c r="I435" s="40">
        <v>7391.7</v>
      </c>
      <c r="J435" s="38">
        <v>47</v>
      </c>
      <c r="K435" s="38" t="s">
        <v>26</v>
      </c>
      <c r="L435" s="40">
        <v>1319.24</v>
      </c>
      <c r="M435" s="40">
        <v>1805.56</v>
      </c>
      <c r="N435" s="38" t="s">
        <v>30</v>
      </c>
      <c r="O435" s="41">
        <v>0.26</v>
      </c>
      <c r="P435" s="38" t="s">
        <v>31</v>
      </c>
      <c r="Q435" s="38" t="s">
        <v>22</v>
      </c>
      <c r="R435" s="38" t="str">
        <f>IF(Cleaned_Final!$I435&gt;=5000,"High","Low")</f>
        <v>High</v>
      </c>
    </row>
    <row r="436" spans="1:18" x14ac:dyDescent="0.35">
      <c r="A436" s="34">
        <v>1032</v>
      </c>
      <c r="B436" s="34" t="str">
        <f>_xlfn.XLOOKUP(Table2[[#This Row],[Product ID]],Sheet1!$A$32:$A$200,Sheet1!$B$32:$B$200,"Not Found")</f>
        <v>Refridgerator</v>
      </c>
      <c r="C436" s="35">
        <v>45163</v>
      </c>
      <c r="D436" s="34" t="s">
        <v>14</v>
      </c>
      <c r="E436" s="34" t="str" cm="1">
        <f t="array" ref="E436">_xlfn.XLOOKUP(Table2[[#This Row],[Sales Rep]],Sheet1!$A$21:$A$25,Sheet1!$B$21:$B$25,Not Found)</f>
        <v>Michael Smith</v>
      </c>
      <c r="F436" s="34" t="s">
        <v>15</v>
      </c>
      <c r="G436" s="34">
        <f>_xlfn.XLOOKUP(Table2[[#This Row],[Region]],Sheet1!$A$12:$A$15,Sheet1!$B$12:$B$15,0)</f>
        <v>7.4999999999999997E-2</v>
      </c>
      <c r="H436" s="36">
        <f>Table2[[#This Row],[Tax Rate]]*Table2[[#This Row],[Sales Amount]]</f>
        <v>663.12299999999993</v>
      </c>
      <c r="I436" s="36">
        <v>8841.64</v>
      </c>
      <c r="J436" s="34">
        <v>23</v>
      </c>
      <c r="K436" s="34" t="s">
        <v>35</v>
      </c>
      <c r="L436" s="36">
        <v>4673.1899999999996</v>
      </c>
      <c r="M436" s="36">
        <v>4761.1799999999903</v>
      </c>
      <c r="N436" s="34" t="s">
        <v>17</v>
      </c>
      <c r="O436" s="37">
        <v>0.17</v>
      </c>
      <c r="P436" s="34" t="s">
        <v>31</v>
      </c>
      <c r="Q436" s="34" t="s">
        <v>22</v>
      </c>
      <c r="R436" s="34" t="str">
        <f>IF(Cleaned_Final!$I436&gt;=5000,"High","Low")</f>
        <v>High</v>
      </c>
    </row>
    <row r="437" spans="1:18" x14ac:dyDescent="0.35">
      <c r="A437" s="38">
        <v>1087</v>
      </c>
      <c r="B437" s="38" t="str">
        <f>_xlfn.XLOOKUP(Table2[[#This Row],[Product ID]],Sheet1!$A$32:$A$200,Sheet1!$B$32:$B$200,"Not Found")</f>
        <v>Sofa Set</v>
      </c>
      <c r="C437" s="39">
        <v>45235</v>
      </c>
      <c r="D437" s="38" t="s">
        <v>38</v>
      </c>
      <c r="E437" s="38" t="str" cm="1">
        <f t="array" ref="E437">_xlfn.XLOOKUP(Table2[[#This Row],[Sales Rep]],Sheet1!$A$21:$A$25,Sheet1!$B$21:$B$25,Not Found)</f>
        <v>Tracy Moore</v>
      </c>
      <c r="F437" s="38" t="s">
        <v>34</v>
      </c>
      <c r="G437" s="38">
        <f>_xlfn.XLOOKUP(Table2[[#This Row],[Region]],Sheet1!$A$12:$A$15,Sheet1!$B$12:$B$15,0)</f>
        <v>0.06</v>
      </c>
      <c r="H437" s="40">
        <f>Table2[[#This Row],[Tax Rate]]*Table2[[#This Row],[Sales Amount]]</f>
        <v>126.36359999999999</v>
      </c>
      <c r="I437" s="40">
        <v>2106.06</v>
      </c>
      <c r="J437" s="38">
        <v>30</v>
      </c>
      <c r="K437" s="38" t="s">
        <v>35</v>
      </c>
      <c r="L437" s="40">
        <v>698.74</v>
      </c>
      <c r="M437" s="40">
        <v>882.28</v>
      </c>
      <c r="N437" s="38" t="s">
        <v>17</v>
      </c>
      <c r="O437" s="41">
        <v>0.15</v>
      </c>
      <c r="P437" s="38" t="s">
        <v>31</v>
      </c>
      <c r="Q437" s="38" t="s">
        <v>19</v>
      </c>
      <c r="R437" s="38" t="str">
        <f>IF(Cleaned_Final!$I437&gt;=5000,"High","Low")</f>
        <v>Low</v>
      </c>
    </row>
    <row r="438" spans="1:18" x14ac:dyDescent="0.35">
      <c r="A438" s="34">
        <v>1063</v>
      </c>
      <c r="B438" s="34" t="str">
        <f>_xlfn.XLOOKUP(Table2[[#This Row],[Product ID]],Sheet1!$A$32:$A$200,Sheet1!$B$32:$B$200,"Not Found")</f>
        <v>Noodles</v>
      </c>
      <c r="C438" s="35">
        <v>45099</v>
      </c>
      <c r="D438" s="34" t="s">
        <v>14</v>
      </c>
      <c r="E438" s="34" t="str" cm="1">
        <f t="array" ref="E438">_xlfn.XLOOKUP(Table2[[#This Row],[Sales Rep]],Sheet1!$A$21:$A$25,Sheet1!$B$21:$B$25,Not Found)</f>
        <v>Michael Smith</v>
      </c>
      <c r="F438" s="34" t="s">
        <v>25</v>
      </c>
      <c r="G438" s="34">
        <f>_xlfn.XLOOKUP(Table2[[#This Row],[Region]],Sheet1!$A$12:$A$15,Sheet1!$B$12:$B$15,0)</f>
        <v>0.05</v>
      </c>
      <c r="H438" s="36">
        <f>Table2[[#This Row],[Tax Rate]]*Table2[[#This Row],[Sales Amount]]</f>
        <v>295.85500000000002</v>
      </c>
      <c r="I438" s="36">
        <v>5917.1</v>
      </c>
      <c r="J438" s="34">
        <v>25</v>
      </c>
      <c r="K438" s="34" t="s">
        <v>35</v>
      </c>
      <c r="L438" s="36">
        <v>3997.1</v>
      </c>
      <c r="M438" s="36">
        <v>4212.6499999999996</v>
      </c>
      <c r="N438" s="34" t="s">
        <v>30</v>
      </c>
      <c r="O438" s="37">
        <v>0.22</v>
      </c>
      <c r="P438" s="34" t="s">
        <v>18</v>
      </c>
      <c r="Q438" s="34" t="s">
        <v>19</v>
      </c>
      <c r="R438" s="34" t="str">
        <f>IF(Cleaned_Final!$I438&gt;=5000,"High","Low")</f>
        <v>High</v>
      </c>
    </row>
    <row r="439" spans="1:18" x14ac:dyDescent="0.35">
      <c r="A439" s="38">
        <v>1086</v>
      </c>
      <c r="B439" s="38" t="str">
        <f>_xlfn.XLOOKUP(Table2[[#This Row],[Product ID]],Sheet1!$A$32:$A$200,Sheet1!$B$32:$B$200,"Not Found")</f>
        <v>Gaming Console</v>
      </c>
      <c r="C439" s="39">
        <v>45116</v>
      </c>
      <c r="D439" s="38" t="s">
        <v>24</v>
      </c>
      <c r="E439" s="38" t="str" cm="1">
        <f t="array" ref="E439">_xlfn.XLOOKUP(Table2[[#This Row],[Sales Rep]],Sheet1!$A$21:$A$25,Sheet1!$B$21:$B$25,Not Found)</f>
        <v>Hogan Rock</v>
      </c>
      <c r="F439" s="38" t="s">
        <v>15</v>
      </c>
      <c r="G439" s="38">
        <f>_xlfn.XLOOKUP(Table2[[#This Row],[Region]],Sheet1!$A$12:$A$15,Sheet1!$B$12:$B$15,0)</f>
        <v>7.4999999999999997E-2</v>
      </c>
      <c r="H439" s="40">
        <f>Table2[[#This Row],[Tax Rate]]*Table2[[#This Row],[Sales Amount]]</f>
        <v>528.096</v>
      </c>
      <c r="I439" s="40">
        <v>7041.28</v>
      </c>
      <c r="J439" s="38">
        <v>28</v>
      </c>
      <c r="K439" s="38" t="s">
        <v>26</v>
      </c>
      <c r="L439" s="40">
        <v>2564.35</v>
      </c>
      <c r="M439" s="40">
        <v>2765.79</v>
      </c>
      <c r="N439" s="38" t="s">
        <v>17</v>
      </c>
      <c r="O439" s="41">
        <v>0.17</v>
      </c>
      <c r="P439" s="38" t="s">
        <v>31</v>
      </c>
      <c r="Q439" s="38" t="s">
        <v>19</v>
      </c>
      <c r="R439" s="38" t="str">
        <f>IF(Cleaned_Final!$I439&gt;=5000,"High","Low")</f>
        <v>High</v>
      </c>
    </row>
    <row r="440" spans="1:18" x14ac:dyDescent="0.35">
      <c r="A440" s="34">
        <v>1051</v>
      </c>
      <c r="B440" s="34" t="str">
        <f>_xlfn.XLOOKUP(Table2[[#This Row],[Product ID]],Sheet1!$A$32:$A$200,Sheet1!$B$32:$B$200,"Not Found")</f>
        <v>Tablet</v>
      </c>
      <c r="C440" s="35">
        <v>45048</v>
      </c>
      <c r="D440" s="34" t="s">
        <v>42</v>
      </c>
      <c r="E440" s="34" t="str" cm="1">
        <f t="array" ref="E440">_xlfn.XLOOKUP(Table2[[#This Row],[Sales Rep]],Sheet1!$A$21:$A$25,Sheet1!$B$21:$B$25,Not Found)</f>
        <v>Scott Wayne</v>
      </c>
      <c r="F440" s="34" t="s">
        <v>15</v>
      </c>
      <c r="G440" s="34">
        <f>_xlfn.XLOOKUP(Table2[[#This Row],[Region]],Sheet1!$A$12:$A$15,Sheet1!$B$12:$B$15,0)</f>
        <v>7.4999999999999997E-2</v>
      </c>
      <c r="H440" s="36">
        <f>Table2[[#This Row],[Tax Rate]]*Table2[[#This Row],[Sales Amount]]</f>
        <v>512.48325</v>
      </c>
      <c r="I440" s="36">
        <v>6833.11</v>
      </c>
      <c r="J440" s="34">
        <v>34</v>
      </c>
      <c r="K440" s="34" t="s">
        <v>16</v>
      </c>
      <c r="L440" s="36">
        <v>3764.14</v>
      </c>
      <c r="M440" s="36">
        <v>4100.3999999999996</v>
      </c>
      <c r="N440" s="34" t="s">
        <v>17</v>
      </c>
      <c r="O440" s="37">
        <v>0.05</v>
      </c>
      <c r="P440" s="34" t="s">
        <v>27</v>
      </c>
      <c r="Q440" s="34" t="s">
        <v>22</v>
      </c>
      <c r="R440" s="34" t="str">
        <f>IF(Cleaned_Final!$I440&gt;=5000,"High","Low")</f>
        <v>High</v>
      </c>
    </row>
    <row r="441" spans="1:18" x14ac:dyDescent="0.35">
      <c r="A441" s="38">
        <v>1025</v>
      </c>
      <c r="B441" s="38" t="str">
        <f>_xlfn.XLOOKUP(Table2[[#This Row],[Product ID]],Sheet1!$A$32:$A$200,Sheet1!$B$32:$B$200,"Not Found")</f>
        <v>Mayonnaise</v>
      </c>
      <c r="C441" s="39">
        <v>44972</v>
      </c>
      <c r="D441" s="38" t="s">
        <v>24</v>
      </c>
      <c r="E441" s="38" t="str" cm="1">
        <f t="array" ref="E441">_xlfn.XLOOKUP(Table2[[#This Row],[Sales Rep]],Sheet1!$A$21:$A$25,Sheet1!$B$21:$B$25,Not Found)</f>
        <v>Hogan Rock</v>
      </c>
      <c r="F441" s="38" t="s">
        <v>25</v>
      </c>
      <c r="G441" s="38">
        <f>_xlfn.XLOOKUP(Table2[[#This Row],[Region]],Sheet1!$A$12:$A$15,Sheet1!$B$12:$B$15,0)</f>
        <v>0.05</v>
      </c>
      <c r="H441" s="40">
        <f>Table2[[#This Row],[Tax Rate]]*Table2[[#This Row],[Sales Amount]]</f>
        <v>207.035</v>
      </c>
      <c r="I441" s="40">
        <v>4140.7</v>
      </c>
      <c r="J441" s="38">
        <v>45</v>
      </c>
      <c r="K441" s="38" t="s">
        <v>29</v>
      </c>
      <c r="L441" s="40">
        <v>1588.04</v>
      </c>
      <c r="M441" s="40">
        <v>1703.6399999999901</v>
      </c>
      <c r="N441" s="38" t="s">
        <v>30</v>
      </c>
      <c r="O441" s="41">
        <v>0.2</v>
      </c>
      <c r="P441" s="38" t="s">
        <v>27</v>
      </c>
      <c r="Q441" s="38" t="s">
        <v>22</v>
      </c>
      <c r="R441" s="38" t="str">
        <f>IF(Cleaned_Final!$I441&gt;=5000,"High","Low")</f>
        <v>Low</v>
      </c>
    </row>
    <row r="442" spans="1:18" x14ac:dyDescent="0.35">
      <c r="A442" s="34">
        <v>1058</v>
      </c>
      <c r="B442" s="34" t="str">
        <f>_xlfn.XLOOKUP(Table2[[#This Row],[Product ID]],Sheet1!$A$32:$A$200,Sheet1!$B$32:$B$200,"Not Found")</f>
        <v>Wardrobe</v>
      </c>
      <c r="C442" s="35">
        <v>44990</v>
      </c>
      <c r="D442" s="34" t="s">
        <v>38</v>
      </c>
      <c r="E442" s="34" t="str" cm="1">
        <f t="array" ref="E442">_xlfn.XLOOKUP(Table2[[#This Row],[Sales Rep]],Sheet1!$A$21:$A$25,Sheet1!$B$21:$B$25,Not Found)</f>
        <v>Tracy Moore</v>
      </c>
      <c r="F442" s="34" t="s">
        <v>15</v>
      </c>
      <c r="G442" s="34">
        <f>_xlfn.XLOOKUP(Table2[[#This Row],[Region]],Sheet1!$A$12:$A$15,Sheet1!$B$12:$B$15,0)</f>
        <v>7.4999999999999997E-2</v>
      </c>
      <c r="H442" s="36">
        <f>Table2[[#This Row],[Tax Rate]]*Table2[[#This Row],[Sales Amount]]</f>
        <v>18.93075</v>
      </c>
      <c r="I442" s="36">
        <v>252.41</v>
      </c>
      <c r="J442" s="34">
        <v>48</v>
      </c>
      <c r="K442" s="34" t="s">
        <v>16</v>
      </c>
      <c r="L442" s="36">
        <v>2596.7199999999998</v>
      </c>
      <c r="M442" s="36">
        <v>2715.0499999999902</v>
      </c>
      <c r="N442" s="34" t="s">
        <v>17</v>
      </c>
      <c r="O442" s="37">
        <v>0.04</v>
      </c>
      <c r="P442" s="34" t="s">
        <v>18</v>
      </c>
      <c r="Q442" s="34" t="s">
        <v>19</v>
      </c>
      <c r="R442" s="34" t="str">
        <f>IF(Cleaned_Final!$I442&gt;=5000,"High","Low")</f>
        <v>Low</v>
      </c>
    </row>
    <row r="443" spans="1:18" x14ac:dyDescent="0.35">
      <c r="A443" s="38">
        <v>1063</v>
      </c>
      <c r="B443" s="38" t="str">
        <f>_xlfn.XLOOKUP(Table2[[#This Row],[Product ID]],Sheet1!$A$32:$A$200,Sheet1!$B$32:$B$200,"Not Found")</f>
        <v>Noodles</v>
      </c>
      <c r="C443" s="39">
        <v>45056</v>
      </c>
      <c r="D443" s="38" t="s">
        <v>24</v>
      </c>
      <c r="E443" s="38" t="str" cm="1">
        <f t="array" ref="E443">_xlfn.XLOOKUP(Table2[[#This Row],[Sales Rep]],Sheet1!$A$21:$A$25,Sheet1!$B$21:$B$25,Not Found)</f>
        <v>Hogan Rock</v>
      </c>
      <c r="F443" s="38" t="s">
        <v>34</v>
      </c>
      <c r="G443" s="38">
        <f>_xlfn.XLOOKUP(Table2[[#This Row],[Region]],Sheet1!$A$12:$A$15,Sheet1!$B$12:$B$15,0)</f>
        <v>0.06</v>
      </c>
      <c r="H443" s="40">
        <f>Table2[[#This Row],[Tax Rate]]*Table2[[#This Row],[Sales Amount]]</f>
        <v>352.25819999999999</v>
      </c>
      <c r="I443" s="40">
        <v>5870.97</v>
      </c>
      <c r="J443" s="38">
        <v>47</v>
      </c>
      <c r="K443" s="38" t="s">
        <v>35</v>
      </c>
      <c r="L443" s="40">
        <v>4291.33</v>
      </c>
      <c r="M443" s="40">
        <v>4658.6400000000003</v>
      </c>
      <c r="N443" s="38" t="s">
        <v>30</v>
      </c>
      <c r="O443" s="41">
        <v>0.24</v>
      </c>
      <c r="P443" s="38" t="s">
        <v>31</v>
      </c>
      <c r="Q443" s="38" t="s">
        <v>22</v>
      </c>
      <c r="R443" s="38" t="str">
        <f>IF(Cleaned_Final!$I443&gt;=5000,"High","Low")</f>
        <v>High</v>
      </c>
    </row>
    <row r="444" spans="1:18" x14ac:dyDescent="0.35">
      <c r="A444" s="34">
        <v>1062</v>
      </c>
      <c r="B444" s="34" t="str">
        <f>_xlfn.XLOOKUP(Table2[[#This Row],[Product ID]],Sheet1!$A$32:$A$200,Sheet1!$B$32:$B$200,"Not Found")</f>
        <v>Boxers</v>
      </c>
      <c r="C444" s="35">
        <v>45236</v>
      </c>
      <c r="D444" s="34" t="s">
        <v>24</v>
      </c>
      <c r="E444" s="34" t="str" cm="1">
        <f t="array" ref="E444">_xlfn.XLOOKUP(Table2[[#This Row],[Sales Rep]],Sheet1!$A$21:$A$25,Sheet1!$B$21:$B$25,Not Found)</f>
        <v>Hogan Rock</v>
      </c>
      <c r="F444" s="34" t="s">
        <v>34</v>
      </c>
      <c r="G444" s="34">
        <f>_xlfn.XLOOKUP(Table2[[#This Row],[Region]],Sheet1!$A$12:$A$15,Sheet1!$B$12:$B$15,0)</f>
        <v>0.06</v>
      </c>
      <c r="H444" s="36">
        <f>Table2[[#This Row],[Tax Rate]]*Table2[[#This Row],[Sales Amount]]</f>
        <v>156.3426</v>
      </c>
      <c r="I444" s="36">
        <v>2605.71</v>
      </c>
      <c r="J444" s="34">
        <v>25</v>
      </c>
      <c r="K444" s="34" t="s">
        <v>26</v>
      </c>
      <c r="L444" s="36">
        <v>2361.0500000000002</v>
      </c>
      <c r="M444" s="36">
        <v>2616.19</v>
      </c>
      <c r="N444" s="34" t="s">
        <v>30</v>
      </c>
      <c r="O444" s="37">
        <v>0.3</v>
      </c>
      <c r="P444" s="34" t="s">
        <v>27</v>
      </c>
      <c r="Q444" s="34" t="s">
        <v>22</v>
      </c>
      <c r="R444" s="34" t="str">
        <f>IF(Cleaned_Final!$I444&gt;=5000,"High","Low")</f>
        <v>Low</v>
      </c>
    </row>
    <row r="445" spans="1:18" x14ac:dyDescent="0.35">
      <c r="A445" s="38">
        <v>1022</v>
      </c>
      <c r="B445" s="38" t="str">
        <f>_xlfn.XLOOKUP(Table2[[#This Row],[Product ID]],Sheet1!$A$32:$A$200,Sheet1!$B$32:$B$200,"Not Found")</f>
        <v>Organic Honey</v>
      </c>
      <c r="C445" s="39">
        <v>45289</v>
      </c>
      <c r="D445" s="38" t="s">
        <v>24</v>
      </c>
      <c r="E445" s="38" t="str" cm="1">
        <f t="array" ref="E445">_xlfn.XLOOKUP(Table2[[#This Row],[Sales Rep]],Sheet1!$A$21:$A$25,Sheet1!$B$21:$B$25,Not Found)</f>
        <v>Hogan Rock</v>
      </c>
      <c r="F445" s="38" t="s">
        <v>15</v>
      </c>
      <c r="G445" s="38">
        <f>_xlfn.XLOOKUP(Table2[[#This Row],[Region]],Sheet1!$A$12:$A$15,Sheet1!$B$12:$B$15,0)</f>
        <v>7.4999999999999997E-2</v>
      </c>
      <c r="H445" s="40">
        <f>Table2[[#This Row],[Tax Rate]]*Table2[[#This Row],[Sales Amount]]</f>
        <v>341.81400000000002</v>
      </c>
      <c r="I445" s="40">
        <v>4557.5200000000004</v>
      </c>
      <c r="J445" s="38">
        <v>10</v>
      </c>
      <c r="K445" s="38" t="s">
        <v>16</v>
      </c>
      <c r="L445" s="40">
        <v>1830.61</v>
      </c>
      <c r="M445" s="40">
        <v>2044.04</v>
      </c>
      <c r="N445" s="38" t="s">
        <v>30</v>
      </c>
      <c r="O445" s="41">
        <v>0.11</v>
      </c>
      <c r="P445" s="38" t="s">
        <v>18</v>
      </c>
      <c r="Q445" s="38" t="s">
        <v>19</v>
      </c>
      <c r="R445" s="38" t="str">
        <f>IF(Cleaned_Final!$I445&gt;=5000,"High","Low")</f>
        <v>Low</v>
      </c>
    </row>
    <row r="446" spans="1:18" x14ac:dyDescent="0.35">
      <c r="A446" s="34">
        <v>1058</v>
      </c>
      <c r="B446" s="34" t="str">
        <f>_xlfn.XLOOKUP(Table2[[#This Row],[Product ID]],Sheet1!$A$32:$A$200,Sheet1!$B$32:$B$200,"Not Found")</f>
        <v>Wardrobe</v>
      </c>
      <c r="C446" s="35">
        <v>45119</v>
      </c>
      <c r="D446" s="34" t="s">
        <v>38</v>
      </c>
      <c r="E446" s="34" t="str" cm="1">
        <f t="array" ref="E446">_xlfn.XLOOKUP(Table2[[#This Row],[Sales Rep]],Sheet1!$A$21:$A$25,Sheet1!$B$21:$B$25,Not Found)</f>
        <v>Tracy Moore</v>
      </c>
      <c r="F446" s="34" t="s">
        <v>34</v>
      </c>
      <c r="G446" s="34">
        <f>_xlfn.XLOOKUP(Table2[[#This Row],[Region]],Sheet1!$A$12:$A$15,Sheet1!$B$12:$B$15,0)</f>
        <v>0.06</v>
      </c>
      <c r="H446" s="36">
        <f>Table2[[#This Row],[Tax Rate]]*Table2[[#This Row],[Sales Amount]]</f>
        <v>574.80299999999988</v>
      </c>
      <c r="I446" s="36">
        <v>9580.0499999999993</v>
      </c>
      <c r="J446" s="34">
        <v>14</v>
      </c>
      <c r="K446" s="34" t="s">
        <v>35</v>
      </c>
      <c r="L446" s="36">
        <v>2703.97</v>
      </c>
      <c r="M446" s="36">
        <v>2796.8799999999901</v>
      </c>
      <c r="N446" s="34" t="s">
        <v>30</v>
      </c>
      <c r="O446" s="37">
        <v>0.13</v>
      </c>
      <c r="P446" s="34" t="s">
        <v>27</v>
      </c>
      <c r="Q446" s="34" t="s">
        <v>19</v>
      </c>
      <c r="R446" s="34" t="str">
        <f>IF(Cleaned_Final!$I446&gt;=5000,"High","Low")</f>
        <v>High</v>
      </c>
    </row>
    <row r="447" spans="1:18" x14ac:dyDescent="0.35">
      <c r="A447" s="38">
        <v>1058</v>
      </c>
      <c r="B447" s="38" t="str">
        <f>_xlfn.XLOOKUP(Table2[[#This Row],[Product ID]],Sheet1!$A$32:$A$200,Sheet1!$B$32:$B$200,"Not Found")</f>
        <v>Wardrobe</v>
      </c>
      <c r="C447" s="39">
        <v>45233</v>
      </c>
      <c r="D447" s="38" t="s">
        <v>24</v>
      </c>
      <c r="E447" s="38" t="str" cm="1">
        <f t="array" ref="E447">_xlfn.XLOOKUP(Table2[[#This Row],[Sales Rep]],Sheet1!$A$21:$A$25,Sheet1!$B$21:$B$25,Not Found)</f>
        <v>Hogan Rock</v>
      </c>
      <c r="F447" s="38" t="s">
        <v>21</v>
      </c>
      <c r="G447" s="38">
        <f>_xlfn.XLOOKUP(Table2[[#This Row],[Region]],Sheet1!$A$12:$A$15,Sheet1!$B$12:$B$15,0)</f>
        <v>0.08</v>
      </c>
      <c r="H447" s="40">
        <f>Table2[[#This Row],[Tax Rate]]*Table2[[#This Row],[Sales Amount]]</f>
        <v>324.036</v>
      </c>
      <c r="I447" s="40">
        <v>4050.45</v>
      </c>
      <c r="J447" s="38">
        <v>42</v>
      </c>
      <c r="K447" s="38" t="s">
        <v>29</v>
      </c>
      <c r="L447" s="40">
        <v>3600.95</v>
      </c>
      <c r="M447" s="40">
        <v>3702.8399999999901</v>
      </c>
      <c r="N447" s="38" t="s">
        <v>17</v>
      </c>
      <c r="O447" s="41">
        <v>0.01</v>
      </c>
      <c r="P447" s="38" t="s">
        <v>18</v>
      </c>
      <c r="Q447" s="38" t="s">
        <v>22</v>
      </c>
      <c r="R447" s="38" t="str">
        <f>IF(Cleaned_Final!$I447&gt;=5000,"High","Low")</f>
        <v>Low</v>
      </c>
    </row>
    <row r="448" spans="1:18" x14ac:dyDescent="0.35">
      <c r="A448" s="34">
        <v>1086</v>
      </c>
      <c r="B448" s="34" t="str">
        <f>_xlfn.XLOOKUP(Table2[[#This Row],[Product ID]],Sheet1!$A$32:$A$200,Sheet1!$B$32:$B$200,"Not Found")</f>
        <v>Gaming Console</v>
      </c>
      <c r="C448" s="35">
        <v>45107</v>
      </c>
      <c r="D448" s="34" t="s">
        <v>14</v>
      </c>
      <c r="E448" s="34" t="str" cm="1">
        <f t="array" ref="E448">_xlfn.XLOOKUP(Table2[[#This Row],[Sales Rep]],Sheet1!$A$21:$A$25,Sheet1!$B$21:$B$25,Not Found)</f>
        <v>Michael Smith</v>
      </c>
      <c r="F448" s="34" t="s">
        <v>15</v>
      </c>
      <c r="G448" s="34">
        <f>_xlfn.XLOOKUP(Table2[[#This Row],[Region]],Sheet1!$A$12:$A$15,Sheet1!$B$12:$B$15,0)</f>
        <v>7.4999999999999997E-2</v>
      </c>
      <c r="H448" s="36">
        <f>Table2[[#This Row],[Tax Rate]]*Table2[[#This Row],[Sales Amount]]</f>
        <v>631.053</v>
      </c>
      <c r="I448" s="36">
        <v>8414.0400000000009</v>
      </c>
      <c r="J448" s="34">
        <v>46</v>
      </c>
      <c r="K448" s="34" t="s">
        <v>29</v>
      </c>
      <c r="L448" s="36">
        <v>2245.64</v>
      </c>
      <c r="M448" s="36">
        <v>2260.81</v>
      </c>
      <c r="N448" s="34" t="s">
        <v>30</v>
      </c>
      <c r="O448" s="37">
        <v>0</v>
      </c>
      <c r="P448" s="34" t="s">
        <v>18</v>
      </c>
      <c r="Q448" s="34" t="s">
        <v>22</v>
      </c>
      <c r="R448" s="34" t="str">
        <f>IF(Cleaned_Final!$I448&gt;=5000,"High","Low")</f>
        <v>High</v>
      </c>
    </row>
    <row r="449" spans="1:18" x14ac:dyDescent="0.35">
      <c r="A449" s="38">
        <v>1049</v>
      </c>
      <c r="B449" s="38" t="str">
        <f>_xlfn.XLOOKUP(Table2[[#This Row],[Product ID]],Sheet1!$A$32:$A$200,Sheet1!$B$32:$B$200,"Not Found")</f>
        <v>Coffee Table</v>
      </c>
      <c r="C449" s="39">
        <v>45218</v>
      </c>
      <c r="D449" s="38" t="s">
        <v>38</v>
      </c>
      <c r="E449" s="38" t="str" cm="1">
        <f t="array" ref="E449">_xlfn.XLOOKUP(Table2[[#This Row],[Sales Rep]],Sheet1!$A$21:$A$25,Sheet1!$B$21:$B$25,Not Found)</f>
        <v>Tracy Moore</v>
      </c>
      <c r="F449" s="38" t="s">
        <v>25</v>
      </c>
      <c r="G449" s="38">
        <f>_xlfn.XLOOKUP(Table2[[#This Row],[Region]],Sheet1!$A$12:$A$15,Sheet1!$B$12:$B$15,0)</f>
        <v>0.05</v>
      </c>
      <c r="H449" s="40">
        <f>Table2[[#This Row],[Tax Rate]]*Table2[[#This Row],[Sales Amount]]</f>
        <v>98.327500000000001</v>
      </c>
      <c r="I449" s="40">
        <v>1966.55</v>
      </c>
      <c r="J449" s="38">
        <v>30</v>
      </c>
      <c r="K449" s="38" t="s">
        <v>29</v>
      </c>
      <c r="L449" s="40">
        <v>4697.4399999999996</v>
      </c>
      <c r="M449" s="40">
        <v>4752.24</v>
      </c>
      <c r="N449" s="38" t="s">
        <v>30</v>
      </c>
      <c r="O449" s="41">
        <v>0.28000000000000003</v>
      </c>
      <c r="P449" s="38" t="s">
        <v>31</v>
      </c>
      <c r="Q449" s="38" t="s">
        <v>19</v>
      </c>
      <c r="R449" s="38" t="str">
        <f>IF(Cleaned_Final!$I449&gt;=5000,"High","Low")</f>
        <v>Low</v>
      </c>
    </row>
    <row r="450" spans="1:18" x14ac:dyDescent="0.35">
      <c r="A450" s="34">
        <v>1052</v>
      </c>
      <c r="B450" s="34" t="str">
        <f>_xlfn.XLOOKUP(Table2[[#This Row],[Product ID]],Sheet1!$A$32:$A$200,Sheet1!$B$32:$B$200,"Not Found")</f>
        <v>Wooden Chair</v>
      </c>
      <c r="C450" s="35">
        <v>45208</v>
      </c>
      <c r="D450" s="34" t="s">
        <v>24</v>
      </c>
      <c r="E450" s="34" t="str" cm="1">
        <f t="array" ref="E450">_xlfn.XLOOKUP(Table2[[#This Row],[Sales Rep]],Sheet1!$A$21:$A$25,Sheet1!$B$21:$B$25,Not Found)</f>
        <v>Hogan Rock</v>
      </c>
      <c r="F450" s="34" t="s">
        <v>21</v>
      </c>
      <c r="G450" s="34">
        <f>_xlfn.XLOOKUP(Table2[[#This Row],[Region]],Sheet1!$A$12:$A$15,Sheet1!$B$12:$B$15,0)</f>
        <v>0.08</v>
      </c>
      <c r="H450" s="36">
        <f>Table2[[#This Row],[Tax Rate]]*Table2[[#This Row],[Sales Amount]]</f>
        <v>540.58879999999999</v>
      </c>
      <c r="I450" s="36">
        <v>6757.36</v>
      </c>
      <c r="J450" s="34">
        <v>41</v>
      </c>
      <c r="K450" s="34" t="s">
        <v>35</v>
      </c>
      <c r="L450" s="36">
        <v>1509.98</v>
      </c>
      <c r="M450" s="36">
        <v>1792.83</v>
      </c>
      <c r="N450" s="34" t="s">
        <v>30</v>
      </c>
      <c r="O450" s="37">
        <v>0.04</v>
      </c>
      <c r="P450" s="34" t="s">
        <v>18</v>
      </c>
      <c r="Q450" s="34" t="s">
        <v>22</v>
      </c>
      <c r="R450" s="34" t="str">
        <f>IF(Cleaned_Final!$I450&gt;=5000,"High","Low")</f>
        <v>High</v>
      </c>
    </row>
    <row r="451" spans="1:18" x14ac:dyDescent="0.35">
      <c r="A451" s="38">
        <v>1042</v>
      </c>
      <c r="B451" s="38" t="str">
        <f>_xlfn.XLOOKUP(Table2[[#This Row],[Product ID]],Sheet1!$A$32:$A$200,Sheet1!$B$32:$B$200,"Not Found")</f>
        <v>Frozen Pizza</v>
      </c>
      <c r="C451" s="39">
        <v>44955</v>
      </c>
      <c r="D451" s="38" t="s">
        <v>38</v>
      </c>
      <c r="E451" s="38" t="str" cm="1">
        <f t="array" ref="E451">_xlfn.XLOOKUP(Table2[[#This Row],[Sales Rep]],Sheet1!$A$21:$A$25,Sheet1!$B$21:$B$25,Not Found)</f>
        <v>Tracy Moore</v>
      </c>
      <c r="F451" s="38" t="s">
        <v>15</v>
      </c>
      <c r="G451" s="38">
        <f>_xlfn.XLOOKUP(Table2[[#This Row],[Region]],Sheet1!$A$12:$A$15,Sheet1!$B$12:$B$15,0)</f>
        <v>7.4999999999999997E-2</v>
      </c>
      <c r="H451" s="40">
        <f>Table2[[#This Row],[Tax Rate]]*Table2[[#This Row],[Sales Amount]]</f>
        <v>732.92775000000006</v>
      </c>
      <c r="I451" s="40">
        <v>9772.3700000000008</v>
      </c>
      <c r="J451" s="38">
        <v>25</v>
      </c>
      <c r="K451" s="38" t="s">
        <v>26</v>
      </c>
      <c r="L451" s="40">
        <v>2403.54</v>
      </c>
      <c r="M451" s="40">
        <v>2850.56</v>
      </c>
      <c r="N451" s="38" t="s">
        <v>30</v>
      </c>
      <c r="O451" s="41">
        <v>0.13</v>
      </c>
      <c r="P451" s="38" t="s">
        <v>27</v>
      </c>
      <c r="Q451" s="38" t="s">
        <v>19</v>
      </c>
      <c r="R451" s="38" t="str">
        <f>IF(Cleaned_Final!$I451&gt;=5000,"High","Low")</f>
        <v>High</v>
      </c>
    </row>
    <row r="452" spans="1:18" x14ac:dyDescent="0.35">
      <c r="A452" s="34">
        <v>1070</v>
      </c>
      <c r="B452" s="34" t="str">
        <f>_xlfn.XLOOKUP(Table2[[#This Row],[Product ID]],Sheet1!$A$32:$A$200,Sheet1!$B$32:$B$200,"Not Found")</f>
        <v>Hutch</v>
      </c>
      <c r="C452" s="35">
        <v>45075</v>
      </c>
      <c r="D452" s="34" t="s">
        <v>33</v>
      </c>
      <c r="E452" s="34" t="str" cm="1">
        <f t="array" ref="E452">_xlfn.XLOOKUP(Table2[[#This Row],[Sales Rep]],Sheet1!$A$21:$A$25,Sheet1!$B$21:$B$25,Not Found)</f>
        <v>Susan Jerkins</v>
      </c>
      <c r="F452" s="34" t="s">
        <v>25</v>
      </c>
      <c r="G452" s="34">
        <f>_xlfn.XLOOKUP(Table2[[#This Row],[Region]],Sheet1!$A$12:$A$15,Sheet1!$B$12:$B$15,0)</f>
        <v>0.05</v>
      </c>
      <c r="H452" s="36">
        <f>Table2[[#This Row],[Tax Rate]]*Table2[[#This Row],[Sales Amount]]</f>
        <v>55.437000000000005</v>
      </c>
      <c r="I452" s="36">
        <v>1108.74</v>
      </c>
      <c r="J452" s="34">
        <v>14</v>
      </c>
      <c r="K452" s="34" t="s">
        <v>16</v>
      </c>
      <c r="L452" s="36">
        <v>3796.79</v>
      </c>
      <c r="M452" s="36">
        <v>3947.5</v>
      </c>
      <c r="N452" s="34" t="s">
        <v>17</v>
      </c>
      <c r="O452" s="37">
        <v>0.24</v>
      </c>
      <c r="P452" s="34" t="s">
        <v>27</v>
      </c>
      <c r="Q452" s="34" t="s">
        <v>19</v>
      </c>
      <c r="R452" s="34" t="str">
        <f>IF(Cleaned_Final!$I452&gt;=5000,"High","Low")</f>
        <v>Low</v>
      </c>
    </row>
    <row r="453" spans="1:18" x14ac:dyDescent="0.35">
      <c r="A453" s="38">
        <v>1015</v>
      </c>
      <c r="B453" s="38" t="str">
        <f>_xlfn.XLOOKUP(Table2[[#This Row],[Product ID]],Sheet1!$A$32:$A$200,Sheet1!$B$32:$B$200,"Not Found")</f>
        <v>Chocolate Bar</v>
      </c>
      <c r="C453" s="39">
        <v>45193</v>
      </c>
      <c r="D453" s="38" t="s">
        <v>14</v>
      </c>
      <c r="E453" s="38" t="str" cm="1">
        <f t="array" ref="E453">_xlfn.XLOOKUP(Table2[[#This Row],[Sales Rep]],Sheet1!$A$21:$A$25,Sheet1!$B$21:$B$25,Not Found)</f>
        <v>Michael Smith</v>
      </c>
      <c r="F453" s="38" t="s">
        <v>34</v>
      </c>
      <c r="G453" s="38">
        <f>_xlfn.XLOOKUP(Table2[[#This Row],[Region]],Sheet1!$A$12:$A$15,Sheet1!$B$12:$B$15,0)</f>
        <v>0.06</v>
      </c>
      <c r="H453" s="40">
        <f>Table2[[#This Row],[Tax Rate]]*Table2[[#This Row],[Sales Amount]]</f>
        <v>10.9422</v>
      </c>
      <c r="I453" s="40">
        <v>182.37</v>
      </c>
      <c r="J453" s="38">
        <v>35</v>
      </c>
      <c r="K453" s="38" t="s">
        <v>29</v>
      </c>
      <c r="L453" s="40">
        <v>3461.15</v>
      </c>
      <c r="M453" s="40">
        <v>3631.75</v>
      </c>
      <c r="N453" s="38" t="s">
        <v>17</v>
      </c>
      <c r="O453" s="41">
        <v>0.27</v>
      </c>
      <c r="P453" s="38" t="s">
        <v>31</v>
      </c>
      <c r="Q453" s="38" t="s">
        <v>19</v>
      </c>
      <c r="R453" s="38" t="str">
        <f>IF(Cleaned_Final!$I453&gt;=5000,"High","Low")</f>
        <v>Low</v>
      </c>
    </row>
    <row r="454" spans="1:18" x14ac:dyDescent="0.35">
      <c r="A454" s="34">
        <v>1054</v>
      </c>
      <c r="B454" s="34" t="str">
        <f>_xlfn.XLOOKUP(Table2[[#This Row],[Product ID]],Sheet1!$A$32:$A$200,Sheet1!$B$32:$B$200,"Not Found")</f>
        <v>Glider</v>
      </c>
      <c r="C454" s="35">
        <v>45222</v>
      </c>
      <c r="D454" s="34" t="s">
        <v>24</v>
      </c>
      <c r="E454" s="34" t="str" cm="1">
        <f t="array" ref="E454">_xlfn.XLOOKUP(Table2[[#This Row],[Sales Rep]],Sheet1!$A$21:$A$25,Sheet1!$B$21:$B$25,Not Found)</f>
        <v>Hogan Rock</v>
      </c>
      <c r="F454" s="34" t="s">
        <v>25</v>
      </c>
      <c r="G454" s="34">
        <f>_xlfn.XLOOKUP(Table2[[#This Row],[Region]],Sheet1!$A$12:$A$15,Sheet1!$B$12:$B$15,0)</f>
        <v>0.05</v>
      </c>
      <c r="H454" s="36">
        <f>Table2[[#This Row],[Tax Rate]]*Table2[[#This Row],[Sales Amount]]</f>
        <v>219.62350000000004</v>
      </c>
      <c r="I454" s="36">
        <v>4392.47</v>
      </c>
      <c r="J454" s="34">
        <v>48</v>
      </c>
      <c r="K454" s="34" t="s">
        <v>35</v>
      </c>
      <c r="L454" s="36">
        <v>4325.0200000000004</v>
      </c>
      <c r="M454" s="36">
        <v>4391.67</v>
      </c>
      <c r="N454" s="34" t="s">
        <v>17</v>
      </c>
      <c r="O454" s="37">
        <v>0.16</v>
      </c>
      <c r="P454" s="34" t="s">
        <v>31</v>
      </c>
      <c r="Q454" s="34" t="s">
        <v>22</v>
      </c>
      <c r="R454" s="34" t="str">
        <f>IF(Cleaned_Final!$I454&gt;=5000,"High","Low")</f>
        <v>Low</v>
      </c>
    </row>
    <row r="455" spans="1:18" x14ac:dyDescent="0.35">
      <c r="A455" s="38">
        <v>1060</v>
      </c>
      <c r="B455" s="38" t="str">
        <f>_xlfn.XLOOKUP(Table2[[#This Row],[Product ID]],Sheet1!$A$32:$A$200,Sheet1!$B$32:$B$200,"Not Found")</f>
        <v>Head Warmer</v>
      </c>
      <c r="C455" s="39">
        <v>44937</v>
      </c>
      <c r="D455" s="38" t="s">
        <v>33</v>
      </c>
      <c r="E455" s="38" t="str" cm="1">
        <f t="array" ref="E455">_xlfn.XLOOKUP(Table2[[#This Row],[Sales Rep]],Sheet1!$A$21:$A$25,Sheet1!$B$21:$B$25,Not Found)</f>
        <v>Susan Jerkins</v>
      </c>
      <c r="F455" s="38" t="s">
        <v>21</v>
      </c>
      <c r="G455" s="38">
        <f>_xlfn.XLOOKUP(Table2[[#This Row],[Region]],Sheet1!$A$12:$A$15,Sheet1!$B$12:$B$15,0)</f>
        <v>0.08</v>
      </c>
      <c r="H455" s="40">
        <f>Table2[[#This Row],[Tax Rate]]*Table2[[#This Row],[Sales Amount]]</f>
        <v>81.359200000000001</v>
      </c>
      <c r="I455" s="40">
        <v>1016.99</v>
      </c>
      <c r="J455" s="38">
        <v>34</v>
      </c>
      <c r="K455" s="38" t="s">
        <v>35</v>
      </c>
      <c r="L455" s="40">
        <v>4984.21</v>
      </c>
      <c r="M455" s="40">
        <v>5184.6400000000003</v>
      </c>
      <c r="N455" s="38" t="s">
        <v>30</v>
      </c>
      <c r="O455" s="41">
        <v>0.17</v>
      </c>
      <c r="P455" s="38" t="s">
        <v>18</v>
      </c>
      <c r="Q455" s="38" t="s">
        <v>19</v>
      </c>
      <c r="R455" s="38" t="str">
        <f>IF(Cleaned_Final!$I455&gt;=5000,"High","Low")</f>
        <v>Low</v>
      </c>
    </row>
    <row r="456" spans="1:18" x14ac:dyDescent="0.35">
      <c r="A456" s="34">
        <v>1097</v>
      </c>
      <c r="B456" s="34" t="str">
        <f>_xlfn.XLOOKUP(Table2[[#This Row],[Product ID]],Sheet1!$A$32:$A$200,Sheet1!$B$32:$B$200,"Not Found")</f>
        <v>Freezer</v>
      </c>
      <c r="C456" s="35">
        <v>45090</v>
      </c>
      <c r="D456" s="34" t="s">
        <v>33</v>
      </c>
      <c r="E456" s="34" t="str" cm="1">
        <f t="array" ref="E456">_xlfn.XLOOKUP(Table2[[#This Row],[Sales Rep]],Sheet1!$A$21:$A$25,Sheet1!$B$21:$B$25,Not Found)</f>
        <v>Susan Jerkins</v>
      </c>
      <c r="F456" s="34" t="s">
        <v>34</v>
      </c>
      <c r="G456" s="34">
        <f>_xlfn.XLOOKUP(Table2[[#This Row],[Region]],Sheet1!$A$12:$A$15,Sheet1!$B$12:$B$15,0)</f>
        <v>0.06</v>
      </c>
      <c r="H456" s="36">
        <f>Table2[[#This Row],[Tax Rate]]*Table2[[#This Row],[Sales Amount]]</f>
        <v>450.54059999999998</v>
      </c>
      <c r="I456" s="36">
        <v>7509.01</v>
      </c>
      <c r="J456" s="34">
        <v>10</v>
      </c>
      <c r="K456" s="34" t="s">
        <v>16</v>
      </c>
      <c r="L456" s="36">
        <v>2162.9499999999998</v>
      </c>
      <c r="M456" s="36">
        <v>2191.1899999999901</v>
      </c>
      <c r="N456" s="34" t="s">
        <v>17</v>
      </c>
      <c r="O456" s="37">
        <v>0.2</v>
      </c>
      <c r="P456" s="34" t="s">
        <v>31</v>
      </c>
      <c r="Q456" s="34" t="s">
        <v>19</v>
      </c>
      <c r="R456" s="34" t="str">
        <f>IF(Cleaned_Final!$I456&gt;=5000,"High","Low")</f>
        <v>High</v>
      </c>
    </row>
    <row r="457" spans="1:18" x14ac:dyDescent="0.35">
      <c r="A457" s="38">
        <v>1008</v>
      </c>
      <c r="B457" s="38" t="str">
        <f>_xlfn.XLOOKUP(Table2[[#This Row],[Product ID]],Sheet1!$A$32:$A$200,Sheet1!$B$32:$B$200,"Not Found")</f>
        <v>Skirt</v>
      </c>
      <c r="C457" s="39">
        <v>45039</v>
      </c>
      <c r="D457" s="38" t="s">
        <v>38</v>
      </c>
      <c r="E457" s="38" t="str" cm="1">
        <f t="array" ref="E457">_xlfn.XLOOKUP(Table2[[#This Row],[Sales Rep]],Sheet1!$A$21:$A$25,Sheet1!$B$21:$B$25,Not Found)</f>
        <v>Tracy Moore</v>
      </c>
      <c r="F457" s="38" t="s">
        <v>15</v>
      </c>
      <c r="G457" s="38">
        <f>_xlfn.XLOOKUP(Table2[[#This Row],[Region]],Sheet1!$A$12:$A$15,Sheet1!$B$12:$B$15,0)</f>
        <v>7.4999999999999997E-2</v>
      </c>
      <c r="H457" s="40">
        <f>Table2[[#This Row],[Tax Rate]]*Table2[[#This Row],[Sales Amount]]</f>
        <v>686.55225000000007</v>
      </c>
      <c r="I457" s="40">
        <v>9154.0300000000007</v>
      </c>
      <c r="J457" s="38">
        <v>35</v>
      </c>
      <c r="K457" s="38" t="s">
        <v>29</v>
      </c>
      <c r="L457" s="40">
        <v>600.20000000000005</v>
      </c>
      <c r="M457" s="40">
        <v>1059.82</v>
      </c>
      <c r="N457" s="38" t="s">
        <v>17</v>
      </c>
      <c r="O457" s="41">
        <v>0.28999999999999998</v>
      </c>
      <c r="P457" s="38" t="s">
        <v>27</v>
      </c>
      <c r="Q457" s="38" t="s">
        <v>22</v>
      </c>
      <c r="R457" s="38" t="str">
        <f>IF(Cleaned_Final!$I457&gt;=5000,"High","Low")</f>
        <v>High</v>
      </c>
    </row>
    <row r="458" spans="1:18" x14ac:dyDescent="0.35">
      <c r="A458" s="34">
        <v>1053</v>
      </c>
      <c r="B458" s="34" t="str">
        <f>_xlfn.XLOOKUP(Table2[[#This Row],[Product ID]],Sheet1!$A$32:$A$200,Sheet1!$B$32:$B$200,"Not Found")</f>
        <v>Bed</v>
      </c>
      <c r="C458" s="35">
        <v>45113</v>
      </c>
      <c r="D458" s="34" t="s">
        <v>33</v>
      </c>
      <c r="E458" s="34" t="str" cm="1">
        <f t="array" ref="E458">_xlfn.XLOOKUP(Table2[[#This Row],[Sales Rep]],Sheet1!$A$21:$A$25,Sheet1!$B$21:$B$25,Not Found)</f>
        <v>Susan Jerkins</v>
      </c>
      <c r="F458" s="34" t="s">
        <v>34</v>
      </c>
      <c r="G458" s="34">
        <f>_xlfn.XLOOKUP(Table2[[#This Row],[Region]],Sheet1!$A$12:$A$15,Sheet1!$B$12:$B$15,0)</f>
        <v>0.06</v>
      </c>
      <c r="H458" s="36">
        <f>Table2[[#This Row],[Tax Rate]]*Table2[[#This Row],[Sales Amount]]</f>
        <v>263.80860000000001</v>
      </c>
      <c r="I458" s="36">
        <v>4396.8100000000004</v>
      </c>
      <c r="J458" s="34">
        <v>11</v>
      </c>
      <c r="K458" s="34" t="s">
        <v>35</v>
      </c>
      <c r="L458" s="36">
        <v>200.56</v>
      </c>
      <c r="M458" s="36">
        <v>540.38</v>
      </c>
      <c r="N458" s="34" t="s">
        <v>30</v>
      </c>
      <c r="O458" s="37">
        <v>0.18</v>
      </c>
      <c r="P458" s="34" t="s">
        <v>27</v>
      </c>
      <c r="Q458" s="34" t="s">
        <v>19</v>
      </c>
      <c r="R458" s="34" t="str">
        <f>IF(Cleaned_Final!$I458&gt;=5000,"High","Low")</f>
        <v>Low</v>
      </c>
    </row>
    <row r="459" spans="1:18" x14ac:dyDescent="0.35">
      <c r="A459" s="38">
        <v>1060</v>
      </c>
      <c r="B459" s="38" t="str">
        <f>_xlfn.XLOOKUP(Table2[[#This Row],[Product ID]],Sheet1!$A$32:$A$200,Sheet1!$B$32:$B$200,"Not Found")</f>
        <v>Head Warmer</v>
      </c>
      <c r="C459" s="39">
        <v>45221</v>
      </c>
      <c r="D459" s="38" t="s">
        <v>14</v>
      </c>
      <c r="E459" s="38" t="str" cm="1">
        <f t="array" ref="E459">_xlfn.XLOOKUP(Table2[[#This Row],[Sales Rep]],Sheet1!$A$21:$A$25,Sheet1!$B$21:$B$25,Not Found)</f>
        <v>Michael Smith</v>
      </c>
      <c r="F459" s="38" t="s">
        <v>15</v>
      </c>
      <c r="G459" s="38">
        <f>_xlfn.XLOOKUP(Table2[[#This Row],[Region]],Sheet1!$A$12:$A$15,Sheet1!$B$12:$B$15,0)</f>
        <v>7.4999999999999997E-2</v>
      </c>
      <c r="H459" s="40">
        <f>Table2[[#This Row],[Tax Rate]]*Table2[[#This Row],[Sales Amount]]</f>
        <v>199.59375</v>
      </c>
      <c r="I459" s="40">
        <v>2661.25</v>
      </c>
      <c r="J459" s="38">
        <v>11</v>
      </c>
      <c r="K459" s="38" t="s">
        <v>16</v>
      </c>
      <c r="L459" s="40">
        <v>3648.04</v>
      </c>
      <c r="M459" s="40">
        <v>4143.51</v>
      </c>
      <c r="N459" s="38" t="s">
        <v>17</v>
      </c>
      <c r="O459" s="41">
        <v>0.17</v>
      </c>
      <c r="P459" s="38" t="s">
        <v>31</v>
      </c>
      <c r="Q459" s="38" t="s">
        <v>22</v>
      </c>
      <c r="R459" s="38" t="str">
        <f>IF(Cleaned_Final!$I459&gt;=5000,"High","Low")</f>
        <v>Low</v>
      </c>
    </row>
    <row r="460" spans="1:18" x14ac:dyDescent="0.35">
      <c r="A460" s="34">
        <v>1005</v>
      </c>
      <c r="B460" s="34" t="str">
        <f>_xlfn.XLOOKUP(Table2[[#This Row],[Product ID]],Sheet1!$A$32:$A$200,Sheet1!$B$32:$B$200,"Not Found")</f>
        <v>Smart Phone</v>
      </c>
      <c r="C460" s="35">
        <v>45158</v>
      </c>
      <c r="D460" s="34" t="s">
        <v>14</v>
      </c>
      <c r="E460" s="34" t="str" cm="1">
        <f t="array" ref="E460">_xlfn.XLOOKUP(Table2[[#This Row],[Sales Rep]],Sheet1!$A$21:$A$25,Sheet1!$B$21:$B$25,Not Found)</f>
        <v>Michael Smith</v>
      </c>
      <c r="F460" s="34" t="s">
        <v>15</v>
      </c>
      <c r="G460" s="34">
        <f>_xlfn.XLOOKUP(Table2[[#This Row],[Region]],Sheet1!$A$12:$A$15,Sheet1!$B$12:$B$15,0)</f>
        <v>7.4999999999999997E-2</v>
      </c>
      <c r="H460" s="36">
        <f>Table2[[#This Row],[Tax Rate]]*Table2[[#This Row],[Sales Amount]]</f>
        <v>330.04424999999998</v>
      </c>
      <c r="I460" s="36">
        <v>4400.59</v>
      </c>
      <c r="J460" s="34">
        <v>21</v>
      </c>
      <c r="K460" s="34" t="s">
        <v>26</v>
      </c>
      <c r="L460" s="36">
        <v>4376.37</v>
      </c>
      <c r="M460" s="36">
        <v>4818.95</v>
      </c>
      <c r="N460" s="34" t="s">
        <v>30</v>
      </c>
      <c r="O460" s="37">
        <v>0</v>
      </c>
      <c r="P460" s="34" t="s">
        <v>31</v>
      </c>
      <c r="Q460" s="34" t="s">
        <v>22</v>
      </c>
      <c r="R460" s="34" t="str">
        <f>IF(Cleaned_Final!$I460&gt;=5000,"High","Low")</f>
        <v>Low</v>
      </c>
    </row>
    <row r="461" spans="1:18" x14ac:dyDescent="0.35">
      <c r="A461" s="38">
        <v>1068</v>
      </c>
      <c r="B461" s="38" t="str">
        <f>_xlfn.XLOOKUP(Table2[[#This Row],[Product ID]],Sheet1!$A$32:$A$200,Sheet1!$B$32:$B$200,"Not Found")</f>
        <v>Leggings</v>
      </c>
      <c r="C461" s="39">
        <v>45153</v>
      </c>
      <c r="D461" s="38" t="s">
        <v>42</v>
      </c>
      <c r="E461" s="38" t="str" cm="1">
        <f t="array" ref="E461">_xlfn.XLOOKUP(Table2[[#This Row],[Sales Rep]],Sheet1!$A$21:$A$25,Sheet1!$B$21:$B$25,Not Found)</f>
        <v>Scott Wayne</v>
      </c>
      <c r="F461" s="38" t="s">
        <v>25</v>
      </c>
      <c r="G461" s="38">
        <f>_xlfn.XLOOKUP(Table2[[#This Row],[Region]],Sheet1!$A$12:$A$15,Sheet1!$B$12:$B$15,0)</f>
        <v>0.05</v>
      </c>
      <c r="H461" s="40">
        <f>Table2[[#This Row],[Tax Rate]]*Table2[[#This Row],[Sales Amount]]</f>
        <v>363.10650000000004</v>
      </c>
      <c r="I461" s="40">
        <v>7262.13</v>
      </c>
      <c r="J461" s="38">
        <v>21</v>
      </c>
      <c r="K461" s="38" t="s">
        <v>26</v>
      </c>
      <c r="L461" s="40">
        <v>1142.53</v>
      </c>
      <c r="M461" s="40">
        <v>1384.3</v>
      </c>
      <c r="N461" s="38" t="s">
        <v>17</v>
      </c>
      <c r="O461" s="41">
        <v>0.02</v>
      </c>
      <c r="P461" s="38" t="s">
        <v>31</v>
      </c>
      <c r="Q461" s="38" t="s">
        <v>22</v>
      </c>
      <c r="R461" s="38" t="str">
        <f>IF(Cleaned_Final!$I461&gt;=5000,"High","Low")</f>
        <v>High</v>
      </c>
    </row>
    <row r="462" spans="1:18" x14ac:dyDescent="0.35">
      <c r="A462" s="34">
        <v>1006</v>
      </c>
      <c r="B462" s="34" t="str">
        <f>_xlfn.XLOOKUP(Table2[[#This Row],[Product ID]],Sheet1!$A$32:$A$200,Sheet1!$B$32:$B$200,"Not Found")</f>
        <v>Monitor</v>
      </c>
      <c r="C462" s="35">
        <v>45236</v>
      </c>
      <c r="D462" s="34" t="s">
        <v>14</v>
      </c>
      <c r="E462" s="34" t="str" cm="1">
        <f t="array" ref="E462">_xlfn.XLOOKUP(Table2[[#This Row],[Sales Rep]],Sheet1!$A$21:$A$25,Sheet1!$B$21:$B$25,Not Found)</f>
        <v>Michael Smith</v>
      </c>
      <c r="F462" s="34" t="s">
        <v>25</v>
      </c>
      <c r="G462" s="34">
        <f>_xlfn.XLOOKUP(Table2[[#This Row],[Region]],Sheet1!$A$12:$A$15,Sheet1!$B$12:$B$15,0)</f>
        <v>0.05</v>
      </c>
      <c r="H462" s="36">
        <f>Table2[[#This Row],[Tax Rate]]*Table2[[#This Row],[Sales Amount]]</f>
        <v>9.4819999999999993</v>
      </c>
      <c r="I462" s="36">
        <v>189.64</v>
      </c>
      <c r="J462" s="34">
        <v>22</v>
      </c>
      <c r="K462" s="34" t="s">
        <v>26</v>
      </c>
      <c r="L462" s="36">
        <v>834.32</v>
      </c>
      <c r="M462" s="36">
        <v>1098.97</v>
      </c>
      <c r="N462" s="34" t="s">
        <v>17</v>
      </c>
      <c r="O462" s="37">
        <v>0.17</v>
      </c>
      <c r="P462" s="34" t="s">
        <v>18</v>
      </c>
      <c r="Q462" s="34" t="s">
        <v>19</v>
      </c>
      <c r="R462" s="34" t="str">
        <f>IF(Cleaned_Final!$I462&gt;=5000,"High","Low")</f>
        <v>Low</v>
      </c>
    </row>
    <row r="463" spans="1:18" x14ac:dyDescent="0.35">
      <c r="A463" s="38">
        <v>1096</v>
      </c>
      <c r="B463" s="38" t="str">
        <f>_xlfn.XLOOKUP(Table2[[#This Row],[Product ID]],Sheet1!$A$32:$A$200,Sheet1!$B$32:$B$200,"Not Found")</f>
        <v>Radio</v>
      </c>
      <c r="C463" s="39">
        <v>45024</v>
      </c>
      <c r="D463" s="38" t="s">
        <v>33</v>
      </c>
      <c r="E463" s="38" t="str" cm="1">
        <f t="array" ref="E463">_xlfn.XLOOKUP(Table2[[#This Row],[Sales Rep]],Sheet1!$A$21:$A$25,Sheet1!$B$21:$B$25,Not Found)</f>
        <v>Susan Jerkins</v>
      </c>
      <c r="F463" s="38" t="s">
        <v>25</v>
      </c>
      <c r="G463" s="38">
        <f>_xlfn.XLOOKUP(Table2[[#This Row],[Region]],Sheet1!$A$12:$A$15,Sheet1!$B$12:$B$15,0)</f>
        <v>0.05</v>
      </c>
      <c r="H463" s="40">
        <f>Table2[[#This Row],[Tax Rate]]*Table2[[#This Row],[Sales Amount]]</f>
        <v>296.77950000000004</v>
      </c>
      <c r="I463" s="40">
        <v>5935.59</v>
      </c>
      <c r="J463" s="38">
        <v>45</v>
      </c>
      <c r="K463" s="38" t="s">
        <v>29</v>
      </c>
      <c r="L463" s="40">
        <v>357.92</v>
      </c>
      <c r="M463" s="40">
        <v>461.3</v>
      </c>
      <c r="N463" s="38" t="s">
        <v>17</v>
      </c>
      <c r="O463" s="41">
        <v>0.28000000000000003</v>
      </c>
      <c r="P463" s="38" t="s">
        <v>18</v>
      </c>
      <c r="Q463" s="38" t="s">
        <v>19</v>
      </c>
      <c r="R463" s="38" t="str">
        <f>IF(Cleaned_Final!$I463&gt;=5000,"High","Low")</f>
        <v>High</v>
      </c>
    </row>
    <row r="464" spans="1:18" x14ac:dyDescent="0.35">
      <c r="A464" s="34">
        <v>1094</v>
      </c>
      <c r="B464" s="34" t="str">
        <f>_xlfn.XLOOKUP(Table2[[#This Row],[Product ID]],Sheet1!$A$32:$A$200,Sheet1!$B$32:$B$200,"Not Found")</f>
        <v>Microwave</v>
      </c>
      <c r="C464" s="35">
        <v>44981</v>
      </c>
      <c r="D464" s="34" t="s">
        <v>14</v>
      </c>
      <c r="E464" s="34" t="str" cm="1">
        <f t="array" ref="E464">_xlfn.XLOOKUP(Table2[[#This Row],[Sales Rep]],Sheet1!$A$21:$A$25,Sheet1!$B$21:$B$25,Not Found)</f>
        <v>Michael Smith</v>
      </c>
      <c r="F464" s="34" t="s">
        <v>21</v>
      </c>
      <c r="G464" s="34">
        <f>_xlfn.XLOOKUP(Table2[[#This Row],[Region]],Sheet1!$A$12:$A$15,Sheet1!$B$12:$B$15,0)</f>
        <v>0.08</v>
      </c>
      <c r="H464" s="36">
        <f>Table2[[#This Row],[Tax Rate]]*Table2[[#This Row],[Sales Amount]]</f>
        <v>493.72720000000004</v>
      </c>
      <c r="I464" s="36">
        <v>6171.59</v>
      </c>
      <c r="J464" s="34">
        <v>7</v>
      </c>
      <c r="K464" s="34" t="s">
        <v>16</v>
      </c>
      <c r="L464" s="36">
        <v>4122.38</v>
      </c>
      <c r="M464" s="36">
        <v>4358.78</v>
      </c>
      <c r="N464" s="34" t="s">
        <v>17</v>
      </c>
      <c r="O464" s="37">
        <v>0.26</v>
      </c>
      <c r="P464" s="34" t="s">
        <v>27</v>
      </c>
      <c r="Q464" s="34" t="s">
        <v>22</v>
      </c>
      <c r="R464" s="34" t="str">
        <f>IF(Cleaned_Final!$I464&gt;=5000,"High","Low")</f>
        <v>High</v>
      </c>
    </row>
    <row r="465" spans="1:18" x14ac:dyDescent="0.35">
      <c r="A465" s="38">
        <v>1047</v>
      </c>
      <c r="B465" s="38" t="str">
        <f>_xlfn.XLOOKUP(Table2[[#This Row],[Product ID]],Sheet1!$A$32:$A$200,Sheet1!$B$32:$B$200,"Not Found")</f>
        <v>Mouse</v>
      </c>
      <c r="C465" s="39">
        <v>45037</v>
      </c>
      <c r="D465" s="38" t="s">
        <v>38</v>
      </c>
      <c r="E465" s="38" t="str" cm="1">
        <f t="array" ref="E465">_xlfn.XLOOKUP(Table2[[#This Row],[Sales Rep]],Sheet1!$A$21:$A$25,Sheet1!$B$21:$B$25,Not Found)</f>
        <v>Tracy Moore</v>
      </c>
      <c r="F465" s="38" t="s">
        <v>21</v>
      </c>
      <c r="G465" s="38">
        <f>_xlfn.XLOOKUP(Table2[[#This Row],[Region]],Sheet1!$A$12:$A$15,Sheet1!$B$12:$B$15,0)</f>
        <v>0.08</v>
      </c>
      <c r="H465" s="40">
        <f>Table2[[#This Row],[Tax Rate]]*Table2[[#This Row],[Sales Amount]]</f>
        <v>513.04880000000003</v>
      </c>
      <c r="I465" s="40">
        <v>6413.11</v>
      </c>
      <c r="J465" s="38">
        <v>17</v>
      </c>
      <c r="K465" s="38" t="s">
        <v>16</v>
      </c>
      <c r="L465" s="40">
        <v>1591.34</v>
      </c>
      <c r="M465" s="40">
        <v>2043.82</v>
      </c>
      <c r="N465" s="38" t="s">
        <v>30</v>
      </c>
      <c r="O465" s="41">
        <v>0.28999999999999998</v>
      </c>
      <c r="P465" s="38" t="s">
        <v>18</v>
      </c>
      <c r="Q465" s="38" t="s">
        <v>22</v>
      </c>
      <c r="R465" s="38" t="str">
        <f>IF(Cleaned_Final!$I465&gt;=5000,"High","Low")</f>
        <v>High</v>
      </c>
    </row>
    <row r="466" spans="1:18" x14ac:dyDescent="0.35">
      <c r="A466" s="34">
        <v>1099</v>
      </c>
      <c r="B466" s="34" t="str">
        <f>_xlfn.XLOOKUP(Table2[[#This Row],[Product ID]],Sheet1!$A$32:$A$200,Sheet1!$B$32:$B$200,"Not Found")</f>
        <v>Chest</v>
      </c>
      <c r="C466" s="35">
        <v>45078</v>
      </c>
      <c r="D466" s="34" t="s">
        <v>42</v>
      </c>
      <c r="E466" s="34" t="str" cm="1">
        <f t="array" ref="E466">_xlfn.XLOOKUP(Table2[[#This Row],[Sales Rep]],Sheet1!$A$21:$A$25,Sheet1!$B$21:$B$25,Not Found)</f>
        <v>Scott Wayne</v>
      </c>
      <c r="F466" s="34" t="s">
        <v>25</v>
      </c>
      <c r="G466" s="34">
        <f>_xlfn.XLOOKUP(Table2[[#This Row],[Region]],Sheet1!$A$12:$A$15,Sheet1!$B$12:$B$15,0)</f>
        <v>0.05</v>
      </c>
      <c r="H466" s="36">
        <f>Table2[[#This Row],[Tax Rate]]*Table2[[#This Row],[Sales Amount]]</f>
        <v>124.801</v>
      </c>
      <c r="I466" s="36">
        <v>2496.02</v>
      </c>
      <c r="J466" s="34">
        <v>2</v>
      </c>
      <c r="K466" s="34" t="s">
        <v>35</v>
      </c>
      <c r="L466" s="36">
        <v>2038.4</v>
      </c>
      <c r="M466" s="36">
        <v>2073.3200000000002</v>
      </c>
      <c r="N466" s="34" t="s">
        <v>30</v>
      </c>
      <c r="O466" s="37">
        <v>0.16</v>
      </c>
      <c r="P466" s="34" t="s">
        <v>18</v>
      </c>
      <c r="Q466" s="34" t="s">
        <v>22</v>
      </c>
      <c r="R466" s="34" t="str">
        <f>IF(Cleaned_Final!$I466&gt;=5000,"High","Low")</f>
        <v>Low</v>
      </c>
    </row>
    <row r="467" spans="1:18" x14ac:dyDescent="0.35">
      <c r="A467" s="38">
        <v>1055</v>
      </c>
      <c r="B467" s="38" t="str">
        <f>_xlfn.XLOOKUP(Table2[[#This Row],[Product ID]],Sheet1!$A$32:$A$200,Sheet1!$B$32:$B$200,"Not Found")</f>
        <v>Cupboard</v>
      </c>
      <c r="C467" s="39">
        <v>45172</v>
      </c>
      <c r="D467" s="38" t="s">
        <v>33</v>
      </c>
      <c r="E467" s="38" t="str" cm="1">
        <f t="array" ref="E467">_xlfn.XLOOKUP(Table2[[#This Row],[Sales Rep]],Sheet1!$A$21:$A$25,Sheet1!$B$21:$B$25,Not Found)</f>
        <v>Susan Jerkins</v>
      </c>
      <c r="F467" s="38" t="s">
        <v>21</v>
      </c>
      <c r="G467" s="38">
        <f>_xlfn.XLOOKUP(Table2[[#This Row],[Region]],Sheet1!$A$12:$A$15,Sheet1!$B$12:$B$15,0)</f>
        <v>0.08</v>
      </c>
      <c r="H467" s="40">
        <f>Table2[[#This Row],[Tax Rate]]*Table2[[#This Row],[Sales Amount]]</f>
        <v>573.52959999999996</v>
      </c>
      <c r="I467" s="40">
        <v>7169.12</v>
      </c>
      <c r="J467" s="38">
        <v>12</v>
      </c>
      <c r="K467" s="38" t="s">
        <v>35</v>
      </c>
      <c r="L467" s="40">
        <v>2538.61</v>
      </c>
      <c r="M467" s="40">
        <v>2971.75</v>
      </c>
      <c r="N467" s="38" t="s">
        <v>17</v>
      </c>
      <c r="O467" s="41">
        <v>0.24</v>
      </c>
      <c r="P467" s="38" t="s">
        <v>18</v>
      </c>
      <c r="Q467" s="38" t="s">
        <v>19</v>
      </c>
      <c r="R467" s="38" t="str">
        <f>IF(Cleaned_Final!$I467&gt;=5000,"High","Low")</f>
        <v>High</v>
      </c>
    </row>
    <row r="468" spans="1:18" x14ac:dyDescent="0.35">
      <c r="A468" s="34">
        <v>1040</v>
      </c>
      <c r="B468" s="34" t="str">
        <f>_xlfn.XLOOKUP(Table2[[#This Row],[Product ID]],Sheet1!$A$32:$A$200,Sheet1!$B$32:$B$200,"Not Found")</f>
        <v>Cap</v>
      </c>
      <c r="C468" s="35">
        <v>44995</v>
      </c>
      <c r="D468" s="34" t="s">
        <v>42</v>
      </c>
      <c r="E468" s="34" t="str" cm="1">
        <f t="array" ref="E468">_xlfn.XLOOKUP(Table2[[#This Row],[Sales Rep]],Sheet1!$A$21:$A$25,Sheet1!$B$21:$B$25,Not Found)</f>
        <v>Scott Wayne</v>
      </c>
      <c r="F468" s="34" t="s">
        <v>34</v>
      </c>
      <c r="G468" s="34">
        <f>_xlfn.XLOOKUP(Table2[[#This Row],[Region]],Sheet1!$A$12:$A$15,Sheet1!$B$12:$B$15,0)</f>
        <v>0.06</v>
      </c>
      <c r="H468" s="36">
        <f>Table2[[#This Row],[Tax Rate]]*Table2[[#This Row],[Sales Amount]]</f>
        <v>60.286799999999999</v>
      </c>
      <c r="I468" s="36">
        <v>1004.78</v>
      </c>
      <c r="J468" s="34">
        <v>42</v>
      </c>
      <c r="K468" s="34" t="s">
        <v>35</v>
      </c>
      <c r="L468" s="36">
        <v>4205.29</v>
      </c>
      <c r="M468" s="36">
        <v>4382.3500000000004</v>
      </c>
      <c r="N468" s="34" t="s">
        <v>30</v>
      </c>
      <c r="O468" s="37">
        <v>0.25</v>
      </c>
      <c r="P468" s="34" t="s">
        <v>18</v>
      </c>
      <c r="Q468" s="34" t="s">
        <v>22</v>
      </c>
      <c r="R468" s="34" t="str">
        <f>IF(Cleaned_Final!$I468&gt;=5000,"High","Low")</f>
        <v>Low</v>
      </c>
    </row>
    <row r="469" spans="1:18" x14ac:dyDescent="0.35">
      <c r="A469" s="38">
        <v>1052</v>
      </c>
      <c r="B469" s="38" t="str">
        <f>_xlfn.XLOOKUP(Table2[[#This Row],[Product ID]],Sheet1!$A$32:$A$200,Sheet1!$B$32:$B$200,"Not Found")</f>
        <v>Wooden Chair</v>
      </c>
      <c r="C469" s="39">
        <v>45238</v>
      </c>
      <c r="D469" s="38" t="s">
        <v>33</v>
      </c>
      <c r="E469" s="38" t="str" cm="1">
        <f t="array" ref="E469">_xlfn.XLOOKUP(Table2[[#This Row],[Sales Rep]],Sheet1!$A$21:$A$25,Sheet1!$B$21:$B$25,Not Found)</f>
        <v>Susan Jerkins</v>
      </c>
      <c r="F469" s="38" t="s">
        <v>34</v>
      </c>
      <c r="G469" s="38">
        <f>_xlfn.XLOOKUP(Table2[[#This Row],[Region]],Sheet1!$A$12:$A$15,Sheet1!$B$12:$B$15,0)</f>
        <v>0.06</v>
      </c>
      <c r="H469" s="40">
        <f>Table2[[#This Row],[Tax Rate]]*Table2[[#This Row],[Sales Amount]]</f>
        <v>124.36680000000001</v>
      </c>
      <c r="I469" s="40">
        <v>2072.7800000000002</v>
      </c>
      <c r="J469" s="38">
        <v>18</v>
      </c>
      <c r="K469" s="38" t="s">
        <v>16</v>
      </c>
      <c r="L469" s="40">
        <v>3271.62</v>
      </c>
      <c r="M469" s="40">
        <v>3722.38</v>
      </c>
      <c r="N469" s="38" t="s">
        <v>17</v>
      </c>
      <c r="O469" s="41">
        <v>0.19</v>
      </c>
      <c r="P469" s="38" t="s">
        <v>27</v>
      </c>
      <c r="Q469" s="38" t="s">
        <v>22</v>
      </c>
      <c r="R469" s="38" t="str">
        <f>IF(Cleaned_Final!$I469&gt;=5000,"High","Low")</f>
        <v>Low</v>
      </c>
    </row>
    <row r="470" spans="1:18" x14ac:dyDescent="0.35">
      <c r="A470" s="34">
        <v>1016</v>
      </c>
      <c r="B470" s="34" t="str">
        <f>_xlfn.XLOOKUP(Table2[[#This Row],[Product ID]],Sheet1!$A$32:$A$200,Sheet1!$B$32:$B$200,"Not Found")</f>
        <v>Washing Machine</v>
      </c>
      <c r="C470" s="35">
        <v>45215</v>
      </c>
      <c r="D470" s="34" t="s">
        <v>38</v>
      </c>
      <c r="E470" s="34" t="str" cm="1">
        <f t="array" ref="E470">_xlfn.XLOOKUP(Table2[[#This Row],[Sales Rep]],Sheet1!$A$21:$A$25,Sheet1!$B$21:$B$25,Not Found)</f>
        <v>Tracy Moore</v>
      </c>
      <c r="F470" s="34" t="s">
        <v>21</v>
      </c>
      <c r="G470" s="34">
        <f>_xlfn.XLOOKUP(Table2[[#This Row],[Region]],Sheet1!$A$12:$A$15,Sheet1!$B$12:$B$15,0)</f>
        <v>0.08</v>
      </c>
      <c r="H470" s="36">
        <f>Table2[[#This Row],[Tax Rate]]*Table2[[#This Row],[Sales Amount]]</f>
        <v>702.95600000000002</v>
      </c>
      <c r="I470" s="36">
        <v>8786.9500000000007</v>
      </c>
      <c r="J470" s="34">
        <v>11</v>
      </c>
      <c r="K470" s="34" t="s">
        <v>35</v>
      </c>
      <c r="L470" s="36">
        <v>3094.57</v>
      </c>
      <c r="M470" s="36">
        <v>3565.6</v>
      </c>
      <c r="N470" s="34" t="s">
        <v>17</v>
      </c>
      <c r="O470" s="37">
        <v>0.1</v>
      </c>
      <c r="P470" s="34" t="s">
        <v>31</v>
      </c>
      <c r="Q470" s="34" t="s">
        <v>22</v>
      </c>
      <c r="R470" s="34" t="str">
        <f>IF(Cleaned_Final!$I470&gt;=5000,"High","Low")</f>
        <v>High</v>
      </c>
    </row>
    <row r="471" spans="1:18" x14ac:dyDescent="0.35">
      <c r="A471" s="38">
        <v>1013</v>
      </c>
      <c r="B471" s="38" t="str">
        <f>_xlfn.XLOOKUP(Table2[[#This Row],[Product ID]],Sheet1!$A$32:$A$200,Sheet1!$B$32:$B$200,"Not Found")</f>
        <v>Gas Cooker</v>
      </c>
      <c r="C471" s="39">
        <v>45176</v>
      </c>
      <c r="D471" s="38" t="s">
        <v>42</v>
      </c>
      <c r="E471" s="38" t="str" cm="1">
        <f t="array" ref="E471">_xlfn.XLOOKUP(Table2[[#This Row],[Sales Rep]],Sheet1!$A$21:$A$25,Sheet1!$B$21:$B$25,Not Found)</f>
        <v>Scott Wayne</v>
      </c>
      <c r="F471" s="38" t="s">
        <v>21</v>
      </c>
      <c r="G471" s="38">
        <f>_xlfn.XLOOKUP(Table2[[#This Row],[Region]],Sheet1!$A$12:$A$15,Sheet1!$B$12:$B$15,0)</f>
        <v>0.08</v>
      </c>
      <c r="H471" s="40">
        <f>Table2[[#This Row],[Tax Rate]]*Table2[[#This Row],[Sales Amount]]</f>
        <v>593.06880000000001</v>
      </c>
      <c r="I471" s="40">
        <v>7413.36</v>
      </c>
      <c r="J471" s="38">
        <v>16</v>
      </c>
      <c r="K471" s="38" t="s">
        <v>16</v>
      </c>
      <c r="L471" s="40">
        <v>919.58</v>
      </c>
      <c r="M471" s="40">
        <v>1258.3</v>
      </c>
      <c r="N471" s="38" t="s">
        <v>17</v>
      </c>
      <c r="O471" s="41">
        <v>0.14000000000000001</v>
      </c>
      <c r="P471" s="38" t="s">
        <v>27</v>
      </c>
      <c r="Q471" s="38" t="s">
        <v>19</v>
      </c>
      <c r="R471" s="38" t="str">
        <f>IF(Cleaned_Final!$I471&gt;=5000,"High","Low")</f>
        <v>High</v>
      </c>
    </row>
    <row r="472" spans="1:18" x14ac:dyDescent="0.35">
      <c r="A472" s="34">
        <v>1030</v>
      </c>
      <c r="B472" s="34" t="str">
        <f>_xlfn.XLOOKUP(Table2[[#This Row],[Product ID]],Sheet1!$A$32:$A$200,Sheet1!$B$32:$B$200,"Not Found")</f>
        <v>Jeans</v>
      </c>
      <c r="C472" s="35">
        <v>44962</v>
      </c>
      <c r="D472" s="34" t="s">
        <v>24</v>
      </c>
      <c r="E472" s="34" t="str" cm="1">
        <f t="array" ref="E472">_xlfn.XLOOKUP(Table2[[#This Row],[Sales Rep]],Sheet1!$A$21:$A$25,Sheet1!$B$21:$B$25,Not Found)</f>
        <v>Hogan Rock</v>
      </c>
      <c r="F472" s="34" t="s">
        <v>34</v>
      </c>
      <c r="G472" s="34">
        <f>_xlfn.XLOOKUP(Table2[[#This Row],[Region]],Sheet1!$A$12:$A$15,Sheet1!$B$12:$B$15,0)</f>
        <v>0.06</v>
      </c>
      <c r="H472" s="36">
        <f>Table2[[#This Row],[Tax Rate]]*Table2[[#This Row],[Sales Amount]]</f>
        <v>14.1648</v>
      </c>
      <c r="I472" s="36">
        <v>236.08</v>
      </c>
      <c r="J472" s="34">
        <v>49</v>
      </c>
      <c r="K472" s="34" t="s">
        <v>16</v>
      </c>
      <c r="L472" s="36">
        <v>2590.29</v>
      </c>
      <c r="M472" s="36">
        <v>2925.86</v>
      </c>
      <c r="N472" s="34" t="s">
        <v>17</v>
      </c>
      <c r="O472" s="37">
        <v>0.26</v>
      </c>
      <c r="P472" s="34" t="s">
        <v>18</v>
      </c>
      <c r="Q472" s="34" t="s">
        <v>22</v>
      </c>
      <c r="R472" s="34" t="str">
        <f>IF(Cleaned_Final!$I472&gt;=5000,"High","Low")</f>
        <v>Low</v>
      </c>
    </row>
    <row r="473" spans="1:18" x14ac:dyDescent="0.35">
      <c r="A473" s="38">
        <v>1019</v>
      </c>
      <c r="B473" s="38" t="str">
        <f>_xlfn.XLOOKUP(Table2[[#This Row],[Product ID]],Sheet1!$A$32:$A$200,Sheet1!$B$32:$B$200,"Not Found")</f>
        <v>Apple</v>
      </c>
      <c r="C473" s="39">
        <v>45165</v>
      </c>
      <c r="D473" s="38" t="s">
        <v>33</v>
      </c>
      <c r="E473" s="38" t="str" cm="1">
        <f t="array" ref="E473">_xlfn.XLOOKUP(Table2[[#This Row],[Sales Rep]],Sheet1!$A$21:$A$25,Sheet1!$B$21:$B$25,Not Found)</f>
        <v>Susan Jerkins</v>
      </c>
      <c r="F473" s="38" t="s">
        <v>15</v>
      </c>
      <c r="G473" s="38">
        <f>_xlfn.XLOOKUP(Table2[[#This Row],[Region]],Sheet1!$A$12:$A$15,Sheet1!$B$12:$B$15,0)</f>
        <v>7.4999999999999997E-2</v>
      </c>
      <c r="H473" s="40">
        <f>Table2[[#This Row],[Tax Rate]]*Table2[[#This Row],[Sales Amount]]</f>
        <v>191.91900000000001</v>
      </c>
      <c r="I473" s="40">
        <v>2558.92</v>
      </c>
      <c r="J473" s="38">
        <v>18</v>
      </c>
      <c r="K473" s="38" t="s">
        <v>26</v>
      </c>
      <c r="L473" s="40">
        <v>3591.14</v>
      </c>
      <c r="M473" s="40">
        <v>3822.99</v>
      </c>
      <c r="N473" s="38" t="s">
        <v>17</v>
      </c>
      <c r="O473" s="41">
        <v>0.09</v>
      </c>
      <c r="P473" s="38" t="s">
        <v>31</v>
      </c>
      <c r="Q473" s="38" t="s">
        <v>19</v>
      </c>
      <c r="R473" s="38" t="str">
        <f>IF(Cleaned_Final!$I473&gt;=5000,"High","Low")</f>
        <v>Low</v>
      </c>
    </row>
    <row r="474" spans="1:18" x14ac:dyDescent="0.35">
      <c r="A474" s="34">
        <v>1017</v>
      </c>
      <c r="B474" s="34" t="str">
        <f>_xlfn.XLOOKUP(Table2[[#This Row],[Product ID]],Sheet1!$A$32:$A$200,Sheet1!$B$32:$B$200,"Not Found")</f>
        <v>Peaches</v>
      </c>
      <c r="C474" s="35">
        <v>45074</v>
      </c>
      <c r="D474" s="34" t="s">
        <v>24</v>
      </c>
      <c r="E474" s="34" t="str" cm="1">
        <f t="array" ref="E474">_xlfn.XLOOKUP(Table2[[#This Row],[Sales Rep]],Sheet1!$A$21:$A$25,Sheet1!$B$21:$B$25,Not Found)</f>
        <v>Hogan Rock</v>
      </c>
      <c r="F474" s="34" t="s">
        <v>34</v>
      </c>
      <c r="G474" s="34">
        <f>_xlfn.XLOOKUP(Table2[[#This Row],[Region]],Sheet1!$A$12:$A$15,Sheet1!$B$12:$B$15,0)</f>
        <v>0.06</v>
      </c>
      <c r="H474" s="36">
        <f>Table2[[#This Row],[Tax Rate]]*Table2[[#This Row],[Sales Amount]]</f>
        <v>133.35719999999998</v>
      </c>
      <c r="I474" s="36">
        <v>2222.62</v>
      </c>
      <c r="J474" s="34">
        <v>35</v>
      </c>
      <c r="K474" s="34" t="s">
        <v>35</v>
      </c>
      <c r="L474" s="36">
        <v>4867.6400000000003</v>
      </c>
      <c r="M474" s="36">
        <v>5287.05</v>
      </c>
      <c r="N474" s="34" t="s">
        <v>17</v>
      </c>
      <c r="O474" s="37">
        <v>0.28000000000000003</v>
      </c>
      <c r="P474" s="34" t="s">
        <v>31</v>
      </c>
      <c r="Q474" s="34" t="s">
        <v>19</v>
      </c>
      <c r="R474" s="34" t="str">
        <f>IF(Cleaned_Final!$I474&gt;=5000,"High","Low")</f>
        <v>Low</v>
      </c>
    </row>
    <row r="475" spans="1:18" x14ac:dyDescent="0.35">
      <c r="A475" s="38">
        <v>1063</v>
      </c>
      <c r="B475" s="38" t="str">
        <f>_xlfn.XLOOKUP(Table2[[#This Row],[Product ID]],Sheet1!$A$32:$A$200,Sheet1!$B$32:$B$200,"Not Found")</f>
        <v>Noodles</v>
      </c>
      <c r="C475" s="39">
        <v>45153</v>
      </c>
      <c r="D475" s="38" t="s">
        <v>42</v>
      </c>
      <c r="E475" s="38" t="str" cm="1">
        <f t="array" ref="E475">_xlfn.XLOOKUP(Table2[[#This Row],[Sales Rep]],Sheet1!$A$21:$A$25,Sheet1!$B$21:$B$25,Not Found)</f>
        <v>Scott Wayne</v>
      </c>
      <c r="F475" s="38" t="s">
        <v>34</v>
      </c>
      <c r="G475" s="38">
        <f>_xlfn.XLOOKUP(Table2[[#This Row],[Region]],Sheet1!$A$12:$A$15,Sheet1!$B$12:$B$15,0)</f>
        <v>0.06</v>
      </c>
      <c r="H475" s="40">
        <f>Table2[[#This Row],[Tax Rate]]*Table2[[#This Row],[Sales Amount]]</f>
        <v>166.8588</v>
      </c>
      <c r="I475" s="40">
        <v>2780.98</v>
      </c>
      <c r="J475" s="38">
        <v>26</v>
      </c>
      <c r="K475" s="38" t="s">
        <v>26</v>
      </c>
      <c r="L475" s="40">
        <v>1046.96</v>
      </c>
      <c r="M475" s="40">
        <v>1528.15</v>
      </c>
      <c r="N475" s="38" t="s">
        <v>30</v>
      </c>
      <c r="O475" s="41">
        <v>7.0000000000000007E-2</v>
      </c>
      <c r="P475" s="38" t="s">
        <v>31</v>
      </c>
      <c r="Q475" s="38" t="s">
        <v>22</v>
      </c>
      <c r="R475" s="38" t="str">
        <f>IF(Cleaned_Final!$I475&gt;=5000,"High","Low")</f>
        <v>Low</v>
      </c>
    </row>
    <row r="476" spans="1:18" x14ac:dyDescent="0.35">
      <c r="A476" s="34">
        <v>1019</v>
      </c>
      <c r="B476" s="34" t="str">
        <f>_xlfn.XLOOKUP(Table2[[#This Row],[Product ID]],Sheet1!$A$32:$A$200,Sheet1!$B$32:$B$200,"Not Found")</f>
        <v>Apple</v>
      </c>
      <c r="C476" s="35">
        <v>45170</v>
      </c>
      <c r="D476" s="34" t="s">
        <v>24</v>
      </c>
      <c r="E476" s="34" t="str" cm="1">
        <f t="array" ref="E476">_xlfn.XLOOKUP(Table2[[#This Row],[Sales Rep]],Sheet1!$A$21:$A$25,Sheet1!$B$21:$B$25,Not Found)</f>
        <v>Hogan Rock</v>
      </c>
      <c r="F476" s="34" t="s">
        <v>21</v>
      </c>
      <c r="G476" s="34">
        <f>_xlfn.XLOOKUP(Table2[[#This Row],[Region]],Sheet1!$A$12:$A$15,Sheet1!$B$12:$B$15,0)</f>
        <v>0.08</v>
      </c>
      <c r="H476" s="36">
        <f>Table2[[#This Row],[Tax Rate]]*Table2[[#This Row],[Sales Amount]]</f>
        <v>204.06720000000001</v>
      </c>
      <c r="I476" s="36">
        <v>2550.84</v>
      </c>
      <c r="J476" s="34">
        <v>16</v>
      </c>
      <c r="K476" s="34" t="s">
        <v>29</v>
      </c>
      <c r="L476" s="36">
        <v>97.24</v>
      </c>
      <c r="M476" s="36">
        <v>487.03</v>
      </c>
      <c r="N476" s="34" t="s">
        <v>30</v>
      </c>
      <c r="O476" s="37">
        <v>0.22</v>
      </c>
      <c r="P476" s="34" t="s">
        <v>27</v>
      </c>
      <c r="Q476" s="34" t="s">
        <v>22</v>
      </c>
      <c r="R476" s="34" t="str">
        <f>IF(Cleaned_Final!$I476&gt;=5000,"High","Low")</f>
        <v>Low</v>
      </c>
    </row>
    <row r="477" spans="1:18" x14ac:dyDescent="0.35">
      <c r="A477" s="38">
        <v>1092</v>
      </c>
      <c r="B477" s="38" t="str">
        <f>_xlfn.XLOOKUP(Table2[[#This Row],[Product ID]],Sheet1!$A$32:$A$200,Sheet1!$B$32:$B$200,"Not Found")</f>
        <v>Recliner</v>
      </c>
      <c r="C477" s="39">
        <v>45263</v>
      </c>
      <c r="D477" s="38" t="s">
        <v>24</v>
      </c>
      <c r="E477" s="38" t="str" cm="1">
        <f t="array" ref="E477">_xlfn.XLOOKUP(Table2[[#This Row],[Sales Rep]],Sheet1!$A$21:$A$25,Sheet1!$B$21:$B$25,Not Found)</f>
        <v>Hogan Rock</v>
      </c>
      <c r="F477" s="38" t="s">
        <v>34</v>
      </c>
      <c r="G477" s="38">
        <f>_xlfn.XLOOKUP(Table2[[#This Row],[Region]],Sheet1!$A$12:$A$15,Sheet1!$B$12:$B$15,0)</f>
        <v>0.06</v>
      </c>
      <c r="H477" s="40">
        <f>Table2[[#This Row],[Tax Rate]]*Table2[[#This Row],[Sales Amount]]</f>
        <v>43.140599999999999</v>
      </c>
      <c r="I477" s="40">
        <v>719.01</v>
      </c>
      <c r="J477" s="38">
        <v>6</v>
      </c>
      <c r="K477" s="38" t="s">
        <v>29</v>
      </c>
      <c r="L477" s="40">
        <v>422.74</v>
      </c>
      <c r="M477" s="40">
        <v>737.49</v>
      </c>
      <c r="N477" s="38" t="s">
        <v>17</v>
      </c>
      <c r="O477" s="41">
        <v>0.19</v>
      </c>
      <c r="P477" s="38" t="s">
        <v>31</v>
      </c>
      <c r="Q477" s="38" t="s">
        <v>22</v>
      </c>
      <c r="R477" s="38" t="str">
        <f>IF(Cleaned_Final!$I477&gt;=5000,"High","Low")</f>
        <v>Low</v>
      </c>
    </row>
    <row r="478" spans="1:18" x14ac:dyDescent="0.35">
      <c r="A478" s="34">
        <v>1058</v>
      </c>
      <c r="B478" s="34" t="str">
        <f>_xlfn.XLOOKUP(Table2[[#This Row],[Product ID]],Sheet1!$A$32:$A$200,Sheet1!$B$32:$B$200,"Not Found")</f>
        <v>Wardrobe</v>
      </c>
      <c r="C478" s="35">
        <v>45291</v>
      </c>
      <c r="D478" s="34" t="s">
        <v>42</v>
      </c>
      <c r="E478" s="34" t="str" cm="1">
        <f t="array" ref="E478">_xlfn.XLOOKUP(Table2[[#This Row],[Sales Rep]],Sheet1!$A$21:$A$25,Sheet1!$B$21:$B$25,Not Found)</f>
        <v>Scott Wayne</v>
      </c>
      <c r="F478" s="34" t="s">
        <v>21</v>
      </c>
      <c r="G478" s="34">
        <f>_xlfn.XLOOKUP(Table2[[#This Row],[Region]],Sheet1!$A$12:$A$15,Sheet1!$B$12:$B$15,0)</f>
        <v>0.08</v>
      </c>
      <c r="H478" s="36">
        <f>Table2[[#This Row],[Tax Rate]]*Table2[[#This Row],[Sales Amount]]</f>
        <v>371.48080000000004</v>
      </c>
      <c r="I478" s="36">
        <v>4643.51</v>
      </c>
      <c r="J478" s="34">
        <v>44</v>
      </c>
      <c r="K478" s="34" t="s">
        <v>29</v>
      </c>
      <c r="L478" s="36">
        <v>1910.47</v>
      </c>
      <c r="M478" s="36">
        <v>2217.8000000000002</v>
      </c>
      <c r="N478" s="34" t="s">
        <v>30</v>
      </c>
      <c r="O478" s="37">
        <v>0.22</v>
      </c>
      <c r="P478" s="34" t="s">
        <v>27</v>
      </c>
      <c r="Q478" s="34" t="s">
        <v>19</v>
      </c>
      <c r="R478" s="34" t="str">
        <f>IF(Cleaned_Final!$I478&gt;=5000,"High","Low")</f>
        <v>Low</v>
      </c>
    </row>
    <row r="479" spans="1:18" x14ac:dyDescent="0.35">
      <c r="A479" s="38">
        <v>1055</v>
      </c>
      <c r="B479" s="38" t="str">
        <f>_xlfn.XLOOKUP(Table2[[#This Row],[Product ID]],Sheet1!$A$32:$A$200,Sheet1!$B$32:$B$200,"Not Found")</f>
        <v>Cupboard</v>
      </c>
      <c r="C479" s="39">
        <v>45127</v>
      </c>
      <c r="D479" s="38" t="s">
        <v>38</v>
      </c>
      <c r="E479" s="38" t="str" cm="1">
        <f t="array" ref="E479">_xlfn.XLOOKUP(Table2[[#This Row],[Sales Rep]],Sheet1!$A$21:$A$25,Sheet1!$B$21:$B$25,Not Found)</f>
        <v>Tracy Moore</v>
      </c>
      <c r="F479" s="38" t="s">
        <v>21</v>
      </c>
      <c r="G479" s="38">
        <f>_xlfn.XLOOKUP(Table2[[#This Row],[Region]],Sheet1!$A$12:$A$15,Sheet1!$B$12:$B$15,0)</f>
        <v>0.08</v>
      </c>
      <c r="H479" s="40">
        <f>Table2[[#This Row],[Tax Rate]]*Table2[[#This Row],[Sales Amount]]</f>
        <v>588.3248000000001</v>
      </c>
      <c r="I479" s="40">
        <v>7354.06</v>
      </c>
      <c r="J479" s="38">
        <v>43</v>
      </c>
      <c r="K479" s="38" t="s">
        <v>16</v>
      </c>
      <c r="L479" s="40">
        <v>4111.7</v>
      </c>
      <c r="M479" s="40">
        <v>4537.9399999999996</v>
      </c>
      <c r="N479" s="38" t="s">
        <v>17</v>
      </c>
      <c r="O479" s="41">
        <v>0.13</v>
      </c>
      <c r="P479" s="38" t="s">
        <v>27</v>
      </c>
      <c r="Q479" s="38" t="s">
        <v>19</v>
      </c>
      <c r="R479" s="38" t="str">
        <f>IF(Cleaned_Final!$I479&gt;=5000,"High","Low")</f>
        <v>High</v>
      </c>
    </row>
    <row r="480" spans="1:18" x14ac:dyDescent="0.35">
      <c r="A480" s="34">
        <v>1090</v>
      </c>
      <c r="B480" s="34" t="str">
        <f>_xlfn.XLOOKUP(Table2[[#This Row],[Product ID]],Sheet1!$A$32:$A$200,Sheet1!$B$32:$B$200,"Not Found")</f>
        <v>Keyboard</v>
      </c>
      <c r="C480" s="35">
        <v>45080</v>
      </c>
      <c r="D480" s="34" t="s">
        <v>24</v>
      </c>
      <c r="E480" s="34" t="str" cm="1">
        <f t="array" ref="E480">_xlfn.XLOOKUP(Table2[[#This Row],[Sales Rep]],Sheet1!$A$21:$A$25,Sheet1!$B$21:$B$25,Not Found)</f>
        <v>Hogan Rock</v>
      </c>
      <c r="F480" s="34" t="s">
        <v>25</v>
      </c>
      <c r="G480" s="34">
        <f>_xlfn.XLOOKUP(Table2[[#This Row],[Region]],Sheet1!$A$12:$A$15,Sheet1!$B$12:$B$15,0)</f>
        <v>0.05</v>
      </c>
      <c r="H480" s="36">
        <f>Table2[[#This Row],[Tax Rate]]*Table2[[#This Row],[Sales Amount]]</f>
        <v>305.33200000000005</v>
      </c>
      <c r="I480" s="36">
        <v>6106.64</v>
      </c>
      <c r="J480" s="34">
        <v>47</v>
      </c>
      <c r="K480" s="34" t="s">
        <v>16</v>
      </c>
      <c r="L480" s="36">
        <v>85.35</v>
      </c>
      <c r="M480" s="36">
        <v>360.539999999999</v>
      </c>
      <c r="N480" s="34" t="s">
        <v>30</v>
      </c>
      <c r="O480" s="37">
        <v>0.28000000000000003</v>
      </c>
      <c r="P480" s="34" t="s">
        <v>18</v>
      </c>
      <c r="Q480" s="34" t="s">
        <v>19</v>
      </c>
      <c r="R480" s="34" t="str">
        <f>IF(Cleaned_Final!$I480&gt;=5000,"High","Low")</f>
        <v>High</v>
      </c>
    </row>
    <row r="481" spans="1:18" x14ac:dyDescent="0.35">
      <c r="A481" s="38">
        <v>1090</v>
      </c>
      <c r="B481" s="38" t="str">
        <f>_xlfn.XLOOKUP(Table2[[#This Row],[Product ID]],Sheet1!$A$32:$A$200,Sheet1!$B$32:$B$200,"Not Found")</f>
        <v>Keyboard</v>
      </c>
      <c r="C481" s="39">
        <v>44999</v>
      </c>
      <c r="D481" s="38" t="s">
        <v>24</v>
      </c>
      <c r="E481" s="38" t="str" cm="1">
        <f t="array" ref="E481">_xlfn.XLOOKUP(Table2[[#This Row],[Sales Rep]],Sheet1!$A$21:$A$25,Sheet1!$B$21:$B$25,Not Found)</f>
        <v>Hogan Rock</v>
      </c>
      <c r="F481" s="38" t="s">
        <v>34</v>
      </c>
      <c r="G481" s="38">
        <f>_xlfn.XLOOKUP(Table2[[#This Row],[Region]],Sheet1!$A$12:$A$15,Sheet1!$B$12:$B$15,0)</f>
        <v>0.06</v>
      </c>
      <c r="H481" s="40">
        <f>Table2[[#This Row],[Tax Rate]]*Table2[[#This Row],[Sales Amount]]</f>
        <v>405.68580000000003</v>
      </c>
      <c r="I481" s="40">
        <v>6761.43</v>
      </c>
      <c r="J481" s="38">
        <v>47</v>
      </c>
      <c r="K481" s="38" t="s">
        <v>16</v>
      </c>
      <c r="L481" s="40">
        <v>2310.8200000000002</v>
      </c>
      <c r="M481" s="40">
        <v>2714.71</v>
      </c>
      <c r="N481" s="38" t="s">
        <v>30</v>
      </c>
      <c r="O481" s="41">
        <v>0.19</v>
      </c>
      <c r="P481" s="38" t="s">
        <v>18</v>
      </c>
      <c r="Q481" s="38" t="s">
        <v>22</v>
      </c>
      <c r="R481" s="38" t="str">
        <f>IF(Cleaned_Final!$I481&gt;=5000,"High","Low")</f>
        <v>High</v>
      </c>
    </row>
    <row r="482" spans="1:18" x14ac:dyDescent="0.35">
      <c r="A482" s="34">
        <v>1062</v>
      </c>
      <c r="B482" s="34" t="str">
        <f>_xlfn.XLOOKUP(Table2[[#This Row],[Product ID]],Sheet1!$A$32:$A$200,Sheet1!$B$32:$B$200,"Not Found")</f>
        <v>Boxers</v>
      </c>
      <c r="C482" s="35">
        <v>45127</v>
      </c>
      <c r="D482" s="34" t="s">
        <v>38</v>
      </c>
      <c r="E482" s="34" t="str" cm="1">
        <f t="array" ref="E482">_xlfn.XLOOKUP(Table2[[#This Row],[Sales Rep]],Sheet1!$A$21:$A$25,Sheet1!$B$21:$B$25,Not Found)</f>
        <v>Tracy Moore</v>
      </c>
      <c r="F482" s="34" t="s">
        <v>15</v>
      </c>
      <c r="G482" s="34">
        <f>_xlfn.XLOOKUP(Table2[[#This Row],[Region]],Sheet1!$A$12:$A$15,Sheet1!$B$12:$B$15,0)</f>
        <v>7.4999999999999997E-2</v>
      </c>
      <c r="H482" s="36">
        <f>Table2[[#This Row],[Tax Rate]]*Table2[[#This Row],[Sales Amount]]</f>
        <v>67.753500000000003</v>
      </c>
      <c r="I482" s="36">
        <v>903.38</v>
      </c>
      <c r="J482" s="34">
        <v>48</v>
      </c>
      <c r="K482" s="34" t="s">
        <v>35</v>
      </c>
      <c r="L482" s="36">
        <v>1679.69</v>
      </c>
      <c r="M482" s="36">
        <v>1939.04</v>
      </c>
      <c r="N482" s="34" t="s">
        <v>30</v>
      </c>
      <c r="O482" s="37">
        <v>0.09</v>
      </c>
      <c r="P482" s="34" t="s">
        <v>31</v>
      </c>
      <c r="Q482" s="34" t="s">
        <v>19</v>
      </c>
      <c r="R482" s="34" t="str">
        <f>IF(Cleaned_Final!$I482&gt;=5000,"High","Low")</f>
        <v>Low</v>
      </c>
    </row>
    <row r="483" spans="1:18" x14ac:dyDescent="0.35">
      <c r="A483" s="38">
        <v>1023</v>
      </c>
      <c r="B483" s="38" t="str">
        <f>_xlfn.XLOOKUP(Table2[[#This Row],[Product ID]],Sheet1!$A$32:$A$200,Sheet1!$B$32:$B$200,"Not Found")</f>
        <v>Tights</v>
      </c>
      <c r="C483" s="39">
        <v>45222</v>
      </c>
      <c r="D483" s="38" t="s">
        <v>24</v>
      </c>
      <c r="E483" s="38" t="str" cm="1">
        <f t="array" ref="E483">_xlfn.XLOOKUP(Table2[[#This Row],[Sales Rep]],Sheet1!$A$21:$A$25,Sheet1!$B$21:$B$25,Not Found)</f>
        <v>Hogan Rock</v>
      </c>
      <c r="F483" s="38" t="s">
        <v>25</v>
      </c>
      <c r="G483" s="38">
        <f>_xlfn.XLOOKUP(Table2[[#This Row],[Region]],Sheet1!$A$12:$A$15,Sheet1!$B$12:$B$15,0)</f>
        <v>0.05</v>
      </c>
      <c r="H483" s="40">
        <f>Table2[[#This Row],[Tax Rate]]*Table2[[#This Row],[Sales Amount]]</f>
        <v>475.98800000000006</v>
      </c>
      <c r="I483" s="40">
        <v>9519.76</v>
      </c>
      <c r="J483" s="38">
        <v>42</v>
      </c>
      <c r="K483" s="38" t="s">
        <v>26</v>
      </c>
      <c r="L483" s="40">
        <v>309.77999999999997</v>
      </c>
      <c r="M483" s="40">
        <v>350.38</v>
      </c>
      <c r="N483" s="38" t="s">
        <v>17</v>
      </c>
      <c r="O483" s="41">
        <v>0.19</v>
      </c>
      <c r="P483" s="38" t="s">
        <v>31</v>
      </c>
      <c r="Q483" s="38" t="s">
        <v>22</v>
      </c>
      <c r="R483" s="38" t="str">
        <f>IF(Cleaned_Final!$I483&gt;=5000,"High","Low")</f>
        <v>High</v>
      </c>
    </row>
    <row r="484" spans="1:18" x14ac:dyDescent="0.35">
      <c r="A484" s="34">
        <v>1009</v>
      </c>
      <c r="B484" s="34" t="str">
        <f>_xlfn.XLOOKUP(Table2[[#This Row],[Product ID]],Sheet1!$A$32:$A$200,Sheet1!$B$32:$B$200,"Not Found")</f>
        <v>Jacket</v>
      </c>
      <c r="C484" s="35">
        <v>44943</v>
      </c>
      <c r="D484" s="34" t="s">
        <v>24</v>
      </c>
      <c r="E484" s="34" t="str" cm="1">
        <f t="array" ref="E484">_xlfn.XLOOKUP(Table2[[#This Row],[Sales Rep]],Sheet1!$A$21:$A$25,Sheet1!$B$21:$B$25,Not Found)</f>
        <v>Hogan Rock</v>
      </c>
      <c r="F484" s="34" t="s">
        <v>21</v>
      </c>
      <c r="G484" s="34">
        <f>_xlfn.XLOOKUP(Table2[[#This Row],[Region]],Sheet1!$A$12:$A$15,Sheet1!$B$12:$B$15,0)</f>
        <v>0.08</v>
      </c>
      <c r="H484" s="36">
        <f>Table2[[#This Row],[Tax Rate]]*Table2[[#This Row],[Sales Amount]]</f>
        <v>672.0856</v>
      </c>
      <c r="I484" s="36">
        <v>8401.07</v>
      </c>
      <c r="J484" s="34">
        <v>12</v>
      </c>
      <c r="K484" s="34" t="s">
        <v>16</v>
      </c>
      <c r="L484" s="36">
        <v>2278.67</v>
      </c>
      <c r="M484" s="36">
        <v>2476.8000000000002</v>
      </c>
      <c r="N484" s="34" t="s">
        <v>30</v>
      </c>
      <c r="O484" s="37">
        <v>0.09</v>
      </c>
      <c r="P484" s="34" t="s">
        <v>18</v>
      </c>
      <c r="Q484" s="34" t="s">
        <v>22</v>
      </c>
      <c r="R484" s="34" t="str">
        <f>IF(Cleaned_Final!$I484&gt;=5000,"High","Low")</f>
        <v>High</v>
      </c>
    </row>
    <row r="485" spans="1:18" x14ac:dyDescent="0.35">
      <c r="A485" s="38">
        <v>1012</v>
      </c>
      <c r="B485" s="38" t="str">
        <f>_xlfn.XLOOKUP(Table2[[#This Row],[Product ID]],Sheet1!$A$32:$A$200,Sheet1!$B$32:$B$200,"Not Found")</f>
        <v>Cabinet</v>
      </c>
      <c r="C485" s="39">
        <v>45055</v>
      </c>
      <c r="D485" s="38" t="s">
        <v>24</v>
      </c>
      <c r="E485" s="38" t="str" cm="1">
        <f t="array" ref="E485">_xlfn.XLOOKUP(Table2[[#This Row],[Sales Rep]],Sheet1!$A$21:$A$25,Sheet1!$B$21:$B$25,Not Found)</f>
        <v>Hogan Rock</v>
      </c>
      <c r="F485" s="38" t="s">
        <v>21</v>
      </c>
      <c r="G485" s="38">
        <f>_xlfn.XLOOKUP(Table2[[#This Row],[Region]],Sheet1!$A$12:$A$15,Sheet1!$B$12:$B$15,0)</f>
        <v>0.08</v>
      </c>
      <c r="H485" s="40">
        <f>Table2[[#This Row],[Tax Rate]]*Table2[[#This Row],[Sales Amount]]</f>
        <v>645.63120000000004</v>
      </c>
      <c r="I485" s="40">
        <v>8070.39</v>
      </c>
      <c r="J485" s="38">
        <v>13</v>
      </c>
      <c r="K485" s="38" t="s">
        <v>26</v>
      </c>
      <c r="L485" s="40">
        <v>1311.01</v>
      </c>
      <c r="M485" s="40">
        <v>1538.79</v>
      </c>
      <c r="N485" s="38" t="s">
        <v>17</v>
      </c>
      <c r="O485" s="41">
        <v>0.09</v>
      </c>
      <c r="P485" s="38" t="s">
        <v>27</v>
      </c>
      <c r="Q485" s="38" t="s">
        <v>22</v>
      </c>
      <c r="R485" s="38" t="str">
        <f>IF(Cleaned_Final!$I485&gt;=5000,"High","Low")</f>
        <v>High</v>
      </c>
    </row>
    <row r="486" spans="1:18" x14ac:dyDescent="0.35">
      <c r="A486" s="34">
        <v>1001</v>
      </c>
      <c r="B486" s="34" t="str">
        <f>_xlfn.XLOOKUP(Table2[[#This Row],[Product ID]],Sheet1!$A$32:$A$200,Sheet1!$B$32:$B$200,"Not Found")</f>
        <v>Camera</v>
      </c>
      <c r="C486" s="35">
        <v>45143</v>
      </c>
      <c r="D486" s="34" t="s">
        <v>14</v>
      </c>
      <c r="E486" s="34" t="str" cm="1">
        <f t="array" ref="E486">_xlfn.XLOOKUP(Table2[[#This Row],[Sales Rep]],Sheet1!$A$21:$A$25,Sheet1!$B$21:$B$25,Not Found)</f>
        <v>Michael Smith</v>
      </c>
      <c r="F486" s="34" t="s">
        <v>15</v>
      </c>
      <c r="G486" s="34">
        <f>_xlfn.XLOOKUP(Table2[[#This Row],[Region]],Sheet1!$A$12:$A$15,Sheet1!$B$12:$B$15,0)</f>
        <v>7.4999999999999997E-2</v>
      </c>
      <c r="H486" s="36">
        <f>Table2[[#This Row],[Tax Rate]]*Table2[[#This Row],[Sales Amount]]</f>
        <v>618.56550000000004</v>
      </c>
      <c r="I486" s="36">
        <v>8247.5400000000009</v>
      </c>
      <c r="J486" s="34">
        <v>4</v>
      </c>
      <c r="K486" s="34" t="s">
        <v>26</v>
      </c>
      <c r="L486" s="36">
        <v>1791.83</v>
      </c>
      <c r="M486" s="36">
        <v>1871.22</v>
      </c>
      <c r="N486" s="34" t="s">
        <v>17</v>
      </c>
      <c r="O486" s="37">
        <v>0.12</v>
      </c>
      <c r="P486" s="34" t="s">
        <v>27</v>
      </c>
      <c r="Q486" s="34" t="s">
        <v>19</v>
      </c>
      <c r="R486" s="34" t="str">
        <f>IF(Cleaned_Final!$I486&gt;=5000,"High","Low")</f>
        <v>High</v>
      </c>
    </row>
    <row r="487" spans="1:18" x14ac:dyDescent="0.35">
      <c r="A487" s="38">
        <v>1058</v>
      </c>
      <c r="B487" s="38" t="str">
        <f>_xlfn.XLOOKUP(Table2[[#This Row],[Product ID]],Sheet1!$A$32:$A$200,Sheet1!$B$32:$B$200,"Not Found")</f>
        <v>Wardrobe</v>
      </c>
      <c r="C487" s="39">
        <v>44987</v>
      </c>
      <c r="D487" s="38" t="s">
        <v>38</v>
      </c>
      <c r="E487" s="38" t="str" cm="1">
        <f t="array" ref="E487">_xlfn.XLOOKUP(Table2[[#This Row],[Sales Rep]],Sheet1!$A$21:$A$25,Sheet1!$B$21:$B$25,Not Found)</f>
        <v>Tracy Moore</v>
      </c>
      <c r="F487" s="38" t="s">
        <v>21</v>
      </c>
      <c r="G487" s="38">
        <f>_xlfn.XLOOKUP(Table2[[#This Row],[Region]],Sheet1!$A$12:$A$15,Sheet1!$B$12:$B$15,0)</f>
        <v>0.08</v>
      </c>
      <c r="H487" s="40">
        <f>Table2[[#This Row],[Tax Rate]]*Table2[[#This Row],[Sales Amount]]</f>
        <v>746.70640000000003</v>
      </c>
      <c r="I487" s="40">
        <v>9333.83</v>
      </c>
      <c r="J487" s="38">
        <v>39</v>
      </c>
      <c r="K487" s="38" t="s">
        <v>26</v>
      </c>
      <c r="L487" s="40">
        <v>3542.8</v>
      </c>
      <c r="M487" s="40">
        <v>3603.02</v>
      </c>
      <c r="N487" s="38" t="s">
        <v>17</v>
      </c>
      <c r="O487" s="41">
        <v>0.26</v>
      </c>
      <c r="P487" s="38" t="s">
        <v>18</v>
      </c>
      <c r="Q487" s="38" t="s">
        <v>19</v>
      </c>
      <c r="R487" s="38" t="str">
        <f>IF(Cleaned_Final!$I487&gt;=5000,"High","Low")</f>
        <v>High</v>
      </c>
    </row>
    <row r="488" spans="1:18" x14ac:dyDescent="0.35">
      <c r="A488" s="34">
        <v>1001</v>
      </c>
      <c r="B488" s="34" t="str">
        <f>_xlfn.XLOOKUP(Table2[[#This Row],[Product ID]],Sheet1!$A$32:$A$200,Sheet1!$B$32:$B$200,"Not Found")</f>
        <v>Camera</v>
      </c>
      <c r="C488" s="35">
        <v>45030</v>
      </c>
      <c r="D488" s="34" t="s">
        <v>24</v>
      </c>
      <c r="E488" s="34" t="str" cm="1">
        <f t="array" ref="E488">_xlfn.XLOOKUP(Table2[[#This Row],[Sales Rep]],Sheet1!$A$21:$A$25,Sheet1!$B$21:$B$25,Not Found)</f>
        <v>Hogan Rock</v>
      </c>
      <c r="F488" s="34" t="s">
        <v>34</v>
      </c>
      <c r="G488" s="34">
        <f>_xlfn.XLOOKUP(Table2[[#This Row],[Region]],Sheet1!$A$12:$A$15,Sheet1!$B$12:$B$15,0)</f>
        <v>0.06</v>
      </c>
      <c r="H488" s="36">
        <f>Table2[[#This Row],[Tax Rate]]*Table2[[#This Row],[Sales Amount]]</f>
        <v>329.28659999999996</v>
      </c>
      <c r="I488" s="36">
        <v>5488.11</v>
      </c>
      <c r="J488" s="34">
        <v>2</v>
      </c>
      <c r="K488" s="34" t="s">
        <v>35</v>
      </c>
      <c r="L488" s="36">
        <v>2631.68</v>
      </c>
      <c r="M488" s="36">
        <v>2904.06</v>
      </c>
      <c r="N488" s="34" t="s">
        <v>30</v>
      </c>
      <c r="O488" s="37">
        <v>0.15</v>
      </c>
      <c r="P488" s="34" t="s">
        <v>27</v>
      </c>
      <c r="Q488" s="34" t="s">
        <v>19</v>
      </c>
      <c r="R488" s="34" t="str">
        <f>IF(Cleaned_Final!$I488&gt;=5000,"High","Low")</f>
        <v>High</v>
      </c>
    </row>
    <row r="489" spans="1:18" x14ac:dyDescent="0.35">
      <c r="A489" s="38">
        <v>1034</v>
      </c>
      <c r="B489" s="38" t="str">
        <f>_xlfn.XLOOKUP(Table2[[#This Row],[Product ID]],Sheet1!$A$32:$A$200,Sheet1!$B$32:$B$200,"Not Found")</f>
        <v>Socks Pack</v>
      </c>
      <c r="C489" s="39">
        <v>44968</v>
      </c>
      <c r="D489" s="38" t="s">
        <v>38</v>
      </c>
      <c r="E489" s="38" t="str" cm="1">
        <f t="array" ref="E489">_xlfn.XLOOKUP(Table2[[#This Row],[Sales Rep]],Sheet1!$A$21:$A$25,Sheet1!$B$21:$B$25,Not Found)</f>
        <v>Tracy Moore</v>
      </c>
      <c r="F489" s="38" t="s">
        <v>25</v>
      </c>
      <c r="G489" s="38">
        <f>_xlfn.XLOOKUP(Table2[[#This Row],[Region]],Sheet1!$A$12:$A$15,Sheet1!$B$12:$B$15,0)</f>
        <v>0.05</v>
      </c>
      <c r="H489" s="40">
        <f>Table2[[#This Row],[Tax Rate]]*Table2[[#This Row],[Sales Amount]]</f>
        <v>104.1395</v>
      </c>
      <c r="I489" s="40">
        <v>2082.79</v>
      </c>
      <c r="J489" s="38">
        <v>26</v>
      </c>
      <c r="K489" s="38" t="s">
        <v>35</v>
      </c>
      <c r="L489" s="40">
        <v>667</v>
      </c>
      <c r="M489" s="40">
        <v>718.72</v>
      </c>
      <c r="N489" s="38" t="s">
        <v>30</v>
      </c>
      <c r="O489" s="41">
        <v>0.2</v>
      </c>
      <c r="P489" s="38" t="s">
        <v>18</v>
      </c>
      <c r="Q489" s="38" t="s">
        <v>22</v>
      </c>
      <c r="R489" s="38" t="str">
        <f>IF(Cleaned_Final!$I489&gt;=5000,"High","Low")</f>
        <v>Low</v>
      </c>
    </row>
    <row r="490" spans="1:18" x14ac:dyDescent="0.35">
      <c r="A490" s="34">
        <v>1096</v>
      </c>
      <c r="B490" s="34" t="str">
        <f>_xlfn.XLOOKUP(Table2[[#This Row],[Product ID]],Sheet1!$A$32:$A$200,Sheet1!$B$32:$B$200,"Not Found")</f>
        <v>Radio</v>
      </c>
      <c r="C490" s="35">
        <v>44951</v>
      </c>
      <c r="D490" s="34" t="s">
        <v>33</v>
      </c>
      <c r="E490" s="34" t="str" cm="1">
        <f t="array" ref="E490">_xlfn.XLOOKUP(Table2[[#This Row],[Sales Rep]],Sheet1!$A$21:$A$25,Sheet1!$B$21:$B$25,Not Found)</f>
        <v>Susan Jerkins</v>
      </c>
      <c r="F490" s="34" t="s">
        <v>21</v>
      </c>
      <c r="G490" s="34">
        <f>_xlfn.XLOOKUP(Table2[[#This Row],[Region]],Sheet1!$A$12:$A$15,Sheet1!$B$12:$B$15,0)</f>
        <v>0.08</v>
      </c>
      <c r="H490" s="36">
        <f>Table2[[#This Row],[Tax Rate]]*Table2[[#This Row],[Sales Amount]]</f>
        <v>496.49279999999999</v>
      </c>
      <c r="I490" s="36">
        <v>6206.16</v>
      </c>
      <c r="J490" s="34">
        <v>27</v>
      </c>
      <c r="K490" s="34" t="s">
        <v>29</v>
      </c>
      <c r="L490" s="36">
        <v>4809</v>
      </c>
      <c r="M490" s="36">
        <v>4967.4399999999996</v>
      </c>
      <c r="N490" s="34" t="s">
        <v>30</v>
      </c>
      <c r="O490" s="37">
        <v>0.12</v>
      </c>
      <c r="P490" s="34" t="s">
        <v>18</v>
      </c>
      <c r="Q490" s="34" t="s">
        <v>19</v>
      </c>
      <c r="R490" s="34" t="str">
        <f>IF(Cleaned_Final!$I490&gt;=5000,"High","Low")</f>
        <v>High</v>
      </c>
    </row>
    <row r="491" spans="1:18" x14ac:dyDescent="0.35">
      <c r="A491" s="38">
        <v>1048</v>
      </c>
      <c r="B491" s="38" t="str">
        <f>_xlfn.XLOOKUP(Table2[[#This Row],[Product ID]],Sheet1!$A$32:$A$200,Sheet1!$B$32:$B$200,"Not Found")</f>
        <v>Chaise Lounge</v>
      </c>
      <c r="C491" s="39">
        <v>44965</v>
      </c>
      <c r="D491" s="38" t="s">
        <v>33</v>
      </c>
      <c r="E491" s="38" t="str" cm="1">
        <f t="array" ref="E491">_xlfn.XLOOKUP(Table2[[#This Row],[Sales Rep]],Sheet1!$A$21:$A$25,Sheet1!$B$21:$B$25,Not Found)</f>
        <v>Susan Jerkins</v>
      </c>
      <c r="F491" s="38" t="s">
        <v>21</v>
      </c>
      <c r="G491" s="38">
        <f>_xlfn.XLOOKUP(Table2[[#This Row],[Region]],Sheet1!$A$12:$A$15,Sheet1!$B$12:$B$15,0)</f>
        <v>0.08</v>
      </c>
      <c r="H491" s="40">
        <f>Table2[[#This Row],[Tax Rate]]*Table2[[#This Row],[Sales Amount]]</f>
        <v>596.36239999999998</v>
      </c>
      <c r="I491" s="40">
        <v>7454.53</v>
      </c>
      <c r="J491" s="38">
        <v>27</v>
      </c>
      <c r="K491" s="38" t="s">
        <v>29</v>
      </c>
      <c r="L491" s="40">
        <v>3197.76</v>
      </c>
      <c r="M491" s="40">
        <v>3572.61</v>
      </c>
      <c r="N491" s="38" t="s">
        <v>17</v>
      </c>
      <c r="O491" s="41">
        <v>0.08</v>
      </c>
      <c r="P491" s="38" t="s">
        <v>31</v>
      </c>
      <c r="Q491" s="38" t="s">
        <v>19</v>
      </c>
      <c r="R491" s="38" t="str">
        <f>IF(Cleaned_Final!$I491&gt;=5000,"High","Low")</f>
        <v>High</v>
      </c>
    </row>
    <row r="492" spans="1:18" x14ac:dyDescent="0.35">
      <c r="A492" s="34">
        <v>1089</v>
      </c>
      <c r="B492" s="34" t="str">
        <f>_xlfn.XLOOKUP(Table2[[#This Row],[Product ID]],Sheet1!$A$32:$A$200,Sheet1!$B$32:$B$200,"Not Found")</f>
        <v>Recliner</v>
      </c>
      <c r="C492" s="35">
        <v>45217</v>
      </c>
      <c r="D492" s="34" t="s">
        <v>24</v>
      </c>
      <c r="E492" s="34" t="str" cm="1">
        <f t="array" ref="E492">_xlfn.XLOOKUP(Table2[[#This Row],[Sales Rep]],Sheet1!$A$21:$A$25,Sheet1!$B$21:$B$25,Not Found)</f>
        <v>Hogan Rock</v>
      </c>
      <c r="F492" s="34" t="s">
        <v>15</v>
      </c>
      <c r="G492" s="34">
        <f>_xlfn.XLOOKUP(Table2[[#This Row],[Region]],Sheet1!$A$12:$A$15,Sheet1!$B$12:$B$15,0)</f>
        <v>7.4999999999999997E-2</v>
      </c>
      <c r="H492" s="36">
        <f>Table2[[#This Row],[Tax Rate]]*Table2[[#This Row],[Sales Amount]]</f>
        <v>555.40350000000001</v>
      </c>
      <c r="I492" s="36">
        <v>7405.38</v>
      </c>
      <c r="J492" s="34">
        <v>15</v>
      </c>
      <c r="K492" s="34" t="s">
        <v>26</v>
      </c>
      <c r="L492" s="36">
        <v>3841.05</v>
      </c>
      <c r="M492" s="36">
        <v>4323.62</v>
      </c>
      <c r="N492" s="34" t="s">
        <v>17</v>
      </c>
      <c r="O492" s="37">
        <v>0.28999999999999998</v>
      </c>
      <c r="P492" s="34" t="s">
        <v>31</v>
      </c>
      <c r="Q492" s="34" t="s">
        <v>22</v>
      </c>
      <c r="R492" s="34" t="str">
        <f>IF(Cleaned_Final!$I492&gt;=5000,"High","Low")</f>
        <v>High</v>
      </c>
    </row>
    <row r="493" spans="1:18" x14ac:dyDescent="0.35">
      <c r="A493" s="38">
        <v>1001</v>
      </c>
      <c r="B493" s="38" t="str">
        <f>_xlfn.XLOOKUP(Table2[[#This Row],[Product ID]],Sheet1!$A$32:$A$200,Sheet1!$B$32:$B$200,"Not Found")</f>
        <v>Camera</v>
      </c>
      <c r="C493" s="39">
        <v>45057</v>
      </c>
      <c r="D493" s="38" t="s">
        <v>38</v>
      </c>
      <c r="E493" s="38" t="str" cm="1">
        <f t="array" ref="E493">_xlfn.XLOOKUP(Table2[[#This Row],[Sales Rep]],Sheet1!$A$21:$A$25,Sheet1!$B$21:$B$25,Not Found)</f>
        <v>Tracy Moore</v>
      </c>
      <c r="F493" s="38" t="s">
        <v>34</v>
      </c>
      <c r="G493" s="38">
        <f>_xlfn.XLOOKUP(Table2[[#This Row],[Region]],Sheet1!$A$12:$A$15,Sheet1!$B$12:$B$15,0)</f>
        <v>0.06</v>
      </c>
      <c r="H493" s="40">
        <f>Table2[[#This Row],[Tax Rate]]*Table2[[#This Row],[Sales Amount]]</f>
        <v>315.74099999999999</v>
      </c>
      <c r="I493" s="40">
        <v>5262.35</v>
      </c>
      <c r="J493" s="38">
        <v>8</v>
      </c>
      <c r="K493" s="38" t="s">
        <v>29</v>
      </c>
      <c r="L493" s="40">
        <v>442.11</v>
      </c>
      <c r="M493" s="40">
        <v>803.87</v>
      </c>
      <c r="N493" s="38" t="s">
        <v>30</v>
      </c>
      <c r="O493" s="41">
        <v>0.18</v>
      </c>
      <c r="P493" s="38" t="s">
        <v>18</v>
      </c>
      <c r="Q493" s="38" t="s">
        <v>22</v>
      </c>
      <c r="R493" s="38" t="str">
        <f>IF(Cleaned_Final!$I493&gt;=5000,"High","Low")</f>
        <v>High</v>
      </c>
    </row>
    <row r="494" spans="1:18" x14ac:dyDescent="0.35">
      <c r="A494" s="34">
        <v>1016</v>
      </c>
      <c r="B494" s="34" t="str">
        <f>_xlfn.XLOOKUP(Table2[[#This Row],[Product ID]],Sheet1!$A$32:$A$200,Sheet1!$B$32:$B$200,"Not Found")</f>
        <v>Washing Machine</v>
      </c>
      <c r="C494" s="35">
        <v>45155</v>
      </c>
      <c r="D494" s="34" t="s">
        <v>38</v>
      </c>
      <c r="E494" s="34" t="str" cm="1">
        <f t="array" ref="E494">_xlfn.XLOOKUP(Table2[[#This Row],[Sales Rep]],Sheet1!$A$21:$A$25,Sheet1!$B$21:$B$25,Not Found)</f>
        <v>Tracy Moore</v>
      </c>
      <c r="F494" s="34" t="s">
        <v>21</v>
      </c>
      <c r="G494" s="34">
        <f>_xlfn.XLOOKUP(Table2[[#This Row],[Region]],Sheet1!$A$12:$A$15,Sheet1!$B$12:$B$15,0)</f>
        <v>0.08</v>
      </c>
      <c r="H494" s="36">
        <f>Table2[[#This Row],[Tax Rate]]*Table2[[#This Row],[Sales Amount]]</f>
        <v>62.219200000000001</v>
      </c>
      <c r="I494" s="36">
        <v>777.74</v>
      </c>
      <c r="J494" s="34">
        <v>7</v>
      </c>
      <c r="K494" s="34" t="s">
        <v>26</v>
      </c>
      <c r="L494" s="36">
        <v>282.94</v>
      </c>
      <c r="M494" s="36">
        <v>779.32999999999902</v>
      </c>
      <c r="N494" s="34" t="s">
        <v>17</v>
      </c>
      <c r="O494" s="37">
        <v>0.28000000000000003</v>
      </c>
      <c r="P494" s="34" t="s">
        <v>31</v>
      </c>
      <c r="Q494" s="34" t="s">
        <v>19</v>
      </c>
      <c r="R494" s="34" t="str">
        <f>IF(Cleaned_Final!$I494&gt;=5000,"High","Low")</f>
        <v>Low</v>
      </c>
    </row>
    <row r="495" spans="1:18" x14ac:dyDescent="0.35">
      <c r="A495" s="38">
        <v>1061</v>
      </c>
      <c r="B495" s="38" t="str">
        <f>_xlfn.XLOOKUP(Table2[[#This Row],[Product ID]],Sheet1!$A$32:$A$200,Sheet1!$B$32:$B$200,"Not Found")</f>
        <v>Laptop</v>
      </c>
      <c r="C495" s="39">
        <v>45034</v>
      </c>
      <c r="D495" s="38" t="s">
        <v>38</v>
      </c>
      <c r="E495" s="38" t="str" cm="1">
        <f t="array" ref="E495">_xlfn.XLOOKUP(Table2[[#This Row],[Sales Rep]],Sheet1!$A$21:$A$25,Sheet1!$B$21:$B$25,Not Found)</f>
        <v>Tracy Moore</v>
      </c>
      <c r="F495" s="38" t="s">
        <v>15</v>
      </c>
      <c r="G495" s="38">
        <f>_xlfn.XLOOKUP(Table2[[#This Row],[Region]],Sheet1!$A$12:$A$15,Sheet1!$B$12:$B$15,0)</f>
        <v>7.4999999999999997E-2</v>
      </c>
      <c r="H495" s="40">
        <f>Table2[[#This Row],[Tax Rate]]*Table2[[#This Row],[Sales Amount]]</f>
        <v>283.05149999999998</v>
      </c>
      <c r="I495" s="40">
        <v>3774.02</v>
      </c>
      <c r="J495" s="38">
        <v>47</v>
      </c>
      <c r="K495" s="38" t="s">
        <v>35</v>
      </c>
      <c r="L495" s="40">
        <v>146.27000000000001</v>
      </c>
      <c r="M495" s="40">
        <v>498.46</v>
      </c>
      <c r="N495" s="38" t="s">
        <v>30</v>
      </c>
      <c r="O495" s="41">
        <v>0.06</v>
      </c>
      <c r="P495" s="38" t="s">
        <v>18</v>
      </c>
      <c r="Q495" s="38" t="s">
        <v>22</v>
      </c>
      <c r="R495" s="38" t="str">
        <f>IF(Cleaned_Final!$I495&gt;=5000,"High","Low")</f>
        <v>Low</v>
      </c>
    </row>
    <row r="496" spans="1:18" x14ac:dyDescent="0.35">
      <c r="A496" s="34">
        <v>1064</v>
      </c>
      <c r="B496" s="34" t="str">
        <f>_xlfn.XLOOKUP(Table2[[#This Row],[Product ID]],Sheet1!$A$32:$A$200,Sheet1!$B$32:$B$200,"Not Found")</f>
        <v>Smartphone</v>
      </c>
      <c r="C496" s="35">
        <v>45098</v>
      </c>
      <c r="D496" s="34" t="s">
        <v>14</v>
      </c>
      <c r="E496" s="34" t="str" cm="1">
        <f t="array" ref="E496">_xlfn.XLOOKUP(Table2[[#This Row],[Sales Rep]],Sheet1!$A$21:$A$25,Sheet1!$B$21:$B$25,Not Found)</f>
        <v>Michael Smith</v>
      </c>
      <c r="F496" s="34" t="s">
        <v>21</v>
      </c>
      <c r="G496" s="34">
        <f>_xlfn.XLOOKUP(Table2[[#This Row],[Region]],Sheet1!$A$12:$A$15,Sheet1!$B$12:$B$15,0)</f>
        <v>0.08</v>
      </c>
      <c r="H496" s="36">
        <f>Table2[[#This Row],[Tax Rate]]*Table2[[#This Row],[Sales Amount]]</f>
        <v>737.24720000000002</v>
      </c>
      <c r="I496" s="36">
        <v>9215.59</v>
      </c>
      <c r="J496" s="34">
        <v>46</v>
      </c>
      <c r="K496" s="34" t="s">
        <v>35</v>
      </c>
      <c r="L496" s="36">
        <v>984.53</v>
      </c>
      <c r="M496" s="36">
        <v>1138.49</v>
      </c>
      <c r="N496" s="34" t="s">
        <v>30</v>
      </c>
      <c r="O496" s="37">
        <v>0.04</v>
      </c>
      <c r="P496" s="34" t="s">
        <v>27</v>
      </c>
      <c r="Q496" s="34" t="s">
        <v>19</v>
      </c>
      <c r="R496" s="34" t="str">
        <f>IF(Cleaned_Final!$I496&gt;=5000,"High","Low")</f>
        <v>High</v>
      </c>
    </row>
    <row r="497" spans="1:18" x14ac:dyDescent="0.35">
      <c r="A497" s="38">
        <v>1063</v>
      </c>
      <c r="B497" s="38" t="str">
        <f>_xlfn.XLOOKUP(Table2[[#This Row],[Product ID]],Sheet1!$A$32:$A$200,Sheet1!$B$32:$B$200,"Not Found")</f>
        <v>Noodles</v>
      </c>
      <c r="C497" s="39">
        <v>45028</v>
      </c>
      <c r="D497" s="38" t="s">
        <v>33</v>
      </c>
      <c r="E497" s="38" t="str" cm="1">
        <f t="array" ref="E497">_xlfn.XLOOKUP(Table2[[#This Row],[Sales Rep]],Sheet1!$A$21:$A$25,Sheet1!$B$21:$B$25,Not Found)</f>
        <v>Susan Jerkins</v>
      </c>
      <c r="F497" s="38" t="s">
        <v>15</v>
      </c>
      <c r="G497" s="38">
        <f>_xlfn.XLOOKUP(Table2[[#This Row],[Region]],Sheet1!$A$12:$A$15,Sheet1!$B$12:$B$15,0)</f>
        <v>7.4999999999999997E-2</v>
      </c>
      <c r="H497" s="40">
        <f>Table2[[#This Row],[Tax Rate]]*Table2[[#This Row],[Sales Amount]]</f>
        <v>441.45299999999997</v>
      </c>
      <c r="I497" s="40">
        <v>5886.04</v>
      </c>
      <c r="J497" s="38">
        <v>40</v>
      </c>
      <c r="K497" s="38" t="s">
        <v>35</v>
      </c>
      <c r="L497" s="40">
        <v>2101.3200000000002</v>
      </c>
      <c r="M497" s="40">
        <v>2440.63</v>
      </c>
      <c r="N497" s="38" t="s">
        <v>30</v>
      </c>
      <c r="O497" s="41">
        <v>0.26</v>
      </c>
      <c r="P497" s="38" t="s">
        <v>27</v>
      </c>
      <c r="Q497" s="38" t="s">
        <v>22</v>
      </c>
      <c r="R497" s="38" t="str">
        <f>IF(Cleaned_Final!$I497&gt;=5000,"High","Low")</f>
        <v>High</v>
      </c>
    </row>
    <row r="498" spans="1:18" x14ac:dyDescent="0.35">
      <c r="A498" s="34">
        <v>1069</v>
      </c>
      <c r="B498" s="34" t="str">
        <f>_xlfn.XLOOKUP(Table2[[#This Row],[Product ID]],Sheet1!$A$32:$A$200,Sheet1!$B$32:$B$200,"Not Found")</f>
        <v>Suit</v>
      </c>
      <c r="C498" s="35">
        <v>45280</v>
      </c>
      <c r="D498" s="34" t="s">
        <v>38</v>
      </c>
      <c r="E498" s="34" t="str" cm="1">
        <f t="array" ref="E498">_xlfn.XLOOKUP(Table2[[#This Row],[Sales Rep]],Sheet1!$A$21:$A$25,Sheet1!$B$21:$B$25,Not Found)</f>
        <v>Tracy Moore</v>
      </c>
      <c r="F498" s="34" t="s">
        <v>15</v>
      </c>
      <c r="G498" s="34">
        <f>_xlfn.XLOOKUP(Table2[[#This Row],[Region]],Sheet1!$A$12:$A$15,Sheet1!$B$12:$B$15,0)</f>
        <v>7.4999999999999997E-2</v>
      </c>
      <c r="H498" s="36">
        <f>Table2[[#This Row],[Tax Rate]]*Table2[[#This Row],[Sales Amount]]</f>
        <v>407.21174999999999</v>
      </c>
      <c r="I498" s="36">
        <v>5429.49</v>
      </c>
      <c r="J498" s="34">
        <v>12</v>
      </c>
      <c r="K498" s="34" t="s">
        <v>16</v>
      </c>
      <c r="L498" s="36">
        <v>4682.34</v>
      </c>
      <c r="M498" s="36">
        <v>5036.3999999999996</v>
      </c>
      <c r="N498" s="34" t="s">
        <v>30</v>
      </c>
      <c r="O498" s="37">
        <v>0.2</v>
      </c>
      <c r="P498" s="34" t="s">
        <v>27</v>
      </c>
      <c r="Q498" s="34" t="s">
        <v>22</v>
      </c>
      <c r="R498" s="34" t="str">
        <f>IF(Cleaned_Final!$I498&gt;=5000,"High","Low")</f>
        <v>High</v>
      </c>
    </row>
    <row r="499" spans="1:18" x14ac:dyDescent="0.35">
      <c r="A499" s="38">
        <v>1022</v>
      </c>
      <c r="B499" s="38" t="str">
        <f>_xlfn.XLOOKUP(Table2[[#This Row],[Product ID]],Sheet1!$A$32:$A$200,Sheet1!$B$32:$B$200,"Not Found")</f>
        <v>Organic Honey</v>
      </c>
      <c r="C499" s="39">
        <v>44938</v>
      </c>
      <c r="D499" s="38" t="s">
        <v>38</v>
      </c>
      <c r="E499" s="38" t="str" cm="1">
        <f t="array" ref="E499">_xlfn.XLOOKUP(Table2[[#This Row],[Sales Rep]],Sheet1!$A$21:$A$25,Sheet1!$B$21:$B$25,Not Found)</f>
        <v>Tracy Moore</v>
      </c>
      <c r="F499" s="38" t="s">
        <v>34</v>
      </c>
      <c r="G499" s="38">
        <f>_xlfn.XLOOKUP(Table2[[#This Row],[Region]],Sheet1!$A$12:$A$15,Sheet1!$B$12:$B$15,0)</f>
        <v>0.06</v>
      </c>
      <c r="H499" s="40">
        <f>Table2[[#This Row],[Tax Rate]]*Table2[[#This Row],[Sales Amount]]</f>
        <v>165.69900000000001</v>
      </c>
      <c r="I499" s="40">
        <v>2761.65</v>
      </c>
      <c r="J499" s="38">
        <v>13</v>
      </c>
      <c r="K499" s="38" t="s">
        <v>26</v>
      </c>
      <c r="L499" s="40">
        <v>2312.4499999999998</v>
      </c>
      <c r="M499" s="40">
        <v>2504.6</v>
      </c>
      <c r="N499" s="38" t="s">
        <v>17</v>
      </c>
      <c r="O499" s="41">
        <v>0.06</v>
      </c>
      <c r="P499" s="38" t="s">
        <v>27</v>
      </c>
      <c r="Q499" s="38" t="s">
        <v>19</v>
      </c>
      <c r="R499" s="38" t="str">
        <f>IF(Cleaned_Final!$I499&gt;=5000,"High","Low")</f>
        <v>Low</v>
      </c>
    </row>
    <row r="500" spans="1:18" x14ac:dyDescent="0.35">
      <c r="A500" s="34">
        <v>1093</v>
      </c>
      <c r="B500" s="34" t="str">
        <f>_xlfn.XLOOKUP(Table2[[#This Row],[Product ID]],Sheet1!$A$32:$A$200,Sheet1!$B$32:$B$200,"Not Found")</f>
        <v>Dining Table</v>
      </c>
      <c r="C500" s="35">
        <v>45201</v>
      </c>
      <c r="D500" s="34" t="s">
        <v>14</v>
      </c>
      <c r="E500" s="34" t="str" cm="1">
        <f t="array" ref="E500">_xlfn.XLOOKUP(Table2[[#This Row],[Sales Rep]],Sheet1!$A$21:$A$25,Sheet1!$B$21:$B$25,Not Found)</f>
        <v>Michael Smith</v>
      </c>
      <c r="F500" s="34" t="s">
        <v>21</v>
      </c>
      <c r="G500" s="34">
        <f>_xlfn.XLOOKUP(Table2[[#This Row],[Region]],Sheet1!$A$12:$A$15,Sheet1!$B$12:$B$15,0)</f>
        <v>0.08</v>
      </c>
      <c r="H500" s="36">
        <f>Table2[[#This Row],[Tax Rate]]*Table2[[#This Row],[Sales Amount]]</f>
        <v>299.81119999999999</v>
      </c>
      <c r="I500" s="36">
        <v>3747.64</v>
      </c>
      <c r="J500" s="34">
        <v>43</v>
      </c>
      <c r="K500" s="34" t="s">
        <v>35</v>
      </c>
      <c r="L500" s="36">
        <v>1486.76</v>
      </c>
      <c r="M500" s="36">
        <v>1505.44</v>
      </c>
      <c r="N500" s="34" t="s">
        <v>30</v>
      </c>
      <c r="O500" s="37">
        <v>0.08</v>
      </c>
      <c r="P500" s="34" t="s">
        <v>18</v>
      </c>
      <c r="Q500" s="34" t="s">
        <v>22</v>
      </c>
      <c r="R500" s="34" t="str">
        <f>IF(Cleaned_Final!$I500&gt;=5000,"High","Low")</f>
        <v>Low</v>
      </c>
    </row>
    <row r="501" spans="1:18" x14ac:dyDescent="0.35">
      <c r="A501" s="38">
        <v>1067</v>
      </c>
      <c r="B501" s="38" t="str">
        <f>_xlfn.XLOOKUP(Table2[[#This Row],[Product ID]],Sheet1!$A$32:$A$200,Sheet1!$B$32:$B$200,"Not Found")</f>
        <v>Grapes</v>
      </c>
      <c r="C501" s="39">
        <v>45027</v>
      </c>
      <c r="D501" s="38" t="s">
        <v>14</v>
      </c>
      <c r="E501" s="38" t="str" cm="1">
        <f t="array" ref="E501">_xlfn.XLOOKUP(Table2[[#This Row],[Sales Rep]],Sheet1!$A$21:$A$25,Sheet1!$B$21:$B$25,Not Found)</f>
        <v>Michael Smith</v>
      </c>
      <c r="F501" s="38" t="s">
        <v>34</v>
      </c>
      <c r="G501" s="38">
        <f>_xlfn.XLOOKUP(Table2[[#This Row],[Region]],Sheet1!$A$12:$A$15,Sheet1!$B$12:$B$15,0)</f>
        <v>0.06</v>
      </c>
      <c r="H501" s="40">
        <f>Table2[[#This Row],[Tax Rate]]*Table2[[#This Row],[Sales Amount]]</f>
        <v>537.83579999999995</v>
      </c>
      <c r="I501" s="40">
        <v>8963.93</v>
      </c>
      <c r="J501" s="38">
        <v>17</v>
      </c>
      <c r="K501" s="38" t="s">
        <v>26</v>
      </c>
      <c r="L501" s="40">
        <v>2831.58</v>
      </c>
      <c r="M501" s="40">
        <v>3186.15</v>
      </c>
      <c r="N501" s="38" t="s">
        <v>30</v>
      </c>
      <c r="O501" s="41">
        <v>0.24</v>
      </c>
      <c r="P501" s="38" t="s">
        <v>27</v>
      </c>
      <c r="Q501" s="38" t="s">
        <v>22</v>
      </c>
      <c r="R501" s="38" t="str">
        <f>IF(Cleaned_Final!$I501&gt;=5000,"High","Low")</f>
        <v>High</v>
      </c>
    </row>
    <row r="502" spans="1:18" x14ac:dyDescent="0.35">
      <c r="A502" s="34">
        <v>1076</v>
      </c>
      <c r="B502" s="34" t="str">
        <f>_xlfn.XLOOKUP(Table2[[#This Row],[Product ID]],Sheet1!$A$32:$A$200,Sheet1!$B$32:$B$200,"Not Found")</f>
        <v>Polo Shirt</v>
      </c>
      <c r="C502" s="35">
        <v>44970</v>
      </c>
      <c r="D502" s="34" t="s">
        <v>38</v>
      </c>
      <c r="E502" s="34" t="str" cm="1">
        <f t="array" ref="E502">_xlfn.XLOOKUP(Table2[[#This Row],[Sales Rep]],Sheet1!$A$21:$A$25,Sheet1!$B$21:$B$25,Not Found)</f>
        <v>Tracy Moore</v>
      </c>
      <c r="F502" s="34" t="s">
        <v>15</v>
      </c>
      <c r="G502" s="34">
        <f>_xlfn.XLOOKUP(Table2[[#This Row],[Region]],Sheet1!$A$12:$A$15,Sheet1!$B$12:$B$15,0)</f>
        <v>7.4999999999999997E-2</v>
      </c>
      <c r="H502" s="36">
        <f>Table2[[#This Row],[Tax Rate]]*Table2[[#This Row],[Sales Amount]]</f>
        <v>502.34849999999994</v>
      </c>
      <c r="I502" s="36">
        <v>6697.98</v>
      </c>
      <c r="J502" s="34">
        <v>17</v>
      </c>
      <c r="K502" s="34" t="s">
        <v>29</v>
      </c>
      <c r="L502" s="36">
        <v>604.08000000000004</v>
      </c>
      <c r="M502" s="36">
        <v>624.71</v>
      </c>
      <c r="N502" s="34" t="s">
        <v>30</v>
      </c>
      <c r="O502" s="37">
        <v>0.14000000000000001</v>
      </c>
      <c r="P502" s="34" t="s">
        <v>27</v>
      </c>
      <c r="Q502" s="34" t="s">
        <v>22</v>
      </c>
      <c r="R502" s="34" t="str">
        <f>IF(Cleaned_Final!$I502&gt;=5000,"High","Low")</f>
        <v>High</v>
      </c>
    </row>
    <row r="503" spans="1:18" x14ac:dyDescent="0.35">
      <c r="A503" s="38">
        <v>1026</v>
      </c>
      <c r="B503" s="38" t="str">
        <f>_xlfn.XLOOKUP(Table2[[#This Row],[Product ID]],Sheet1!$A$32:$A$200,Sheet1!$B$32:$B$200,"Not Found")</f>
        <v>Television</v>
      </c>
      <c r="C503" s="39">
        <v>45231</v>
      </c>
      <c r="D503" s="38" t="s">
        <v>42</v>
      </c>
      <c r="E503" s="38" t="str" cm="1">
        <f t="array" ref="E503">_xlfn.XLOOKUP(Table2[[#This Row],[Sales Rep]],Sheet1!$A$21:$A$25,Sheet1!$B$21:$B$25,Not Found)</f>
        <v>Scott Wayne</v>
      </c>
      <c r="F503" s="38" t="s">
        <v>25</v>
      </c>
      <c r="G503" s="38">
        <f>_xlfn.XLOOKUP(Table2[[#This Row],[Region]],Sheet1!$A$12:$A$15,Sheet1!$B$12:$B$15,0)</f>
        <v>0.05</v>
      </c>
      <c r="H503" s="40">
        <f>Table2[[#This Row],[Tax Rate]]*Table2[[#This Row],[Sales Amount]]</f>
        <v>394.75650000000002</v>
      </c>
      <c r="I503" s="40">
        <v>7895.13</v>
      </c>
      <c r="J503" s="38">
        <v>36</v>
      </c>
      <c r="K503" s="38" t="s">
        <v>29</v>
      </c>
      <c r="L503" s="40">
        <v>3067.05</v>
      </c>
      <c r="M503" s="40">
        <v>3386.33</v>
      </c>
      <c r="N503" s="38" t="s">
        <v>30</v>
      </c>
      <c r="O503" s="41">
        <v>0.2</v>
      </c>
      <c r="P503" s="38" t="s">
        <v>27</v>
      </c>
      <c r="Q503" s="38" t="s">
        <v>19</v>
      </c>
      <c r="R503" s="38" t="str">
        <f>IF(Cleaned_Final!$I503&gt;=5000,"High","Low")</f>
        <v>High</v>
      </c>
    </row>
    <row r="504" spans="1:18" x14ac:dyDescent="0.35">
      <c r="A504" s="34">
        <v>1016</v>
      </c>
      <c r="B504" s="34" t="str">
        <f>_xlfn.XLOOKUP(Table2[[#This Row],[Product ID]],Sheet1!$A$32:$A$200,Sheet1!$B$32:$B$200,"Not Found")</f>
        <v>Washing Machine</v>
      </c>
      <c r="C504" s="35">
        <v>44943</v>
      </c>
      <c r="D504" s="34" t="s">
        <v>38</v>
      </c>
      <c r="E504" s="34" t="str" cm="1">
        <f t="array" ref="E504">_xlfn.XLOOKUP(Table2[[#This Row],[Sales Rep]],Sheet1!$A$21:$A$25,Sheet1!$B$21:$B$25,Not Found)</f>
        <v>Tracy Moore</v>
      </c>
      <c r="F504" s="34" t="s">
        <v>21</v>
      </c>
      <c r="G504" s="34">
        <f>_xlfn.XLOOKUP(Table2[[#This Row],[Region]],Sheet1!$A$12:$A$15,Sheet1!$B$12:$B$15,0)</f>
        <v>0.08</v>
      </c>
      <c r="H504" s="36">
        <f>Table2[[#This Row],[Tax Rate]]*Table2[[#This Row],[Sales Amount]]</f>
        <v>367.84160000000003</v>
      </c>
      <c r="I504" s="36">
        <v>4598.0200000000004</v>
      </c>
      <c r="J504" s="34">
        <v>21</v>
      </c>
      <c r="K504" s="34" t="s">
        <v>35</v>
      </c>
      <c r="L504" s="36">
        <v>2863.74</v>
      </c>
      <c r="M504" s="36">
        <v>2953.91</v>
      </c>
      <c r="N504" s="34" t="s">
        <v>30</v>
      </c>
      <c r="O504" s="37">
        <v>0.1</v>
      </c>
      <c r="P504" s="34" t="s">
        <v>27</v>
      </c>
      <c r="Q504" s="34" t="s">
        <v>22</v>
      </c>
      <c r="R504" s="34" t="str">
        <f>IF(Cleaned_Final!$I504&gt;=5000,"High","Low")</f>
        <v>Low</v>
      </c>
    </row>
    <row r="505" spans="1:18" x14ac:dyDescent="0.35">
      <c r="A505" s="38">
        <v>1051</v>
      </c>
      <c r="B505" s="38" t="str">
        <f>_xlfn.XLOOKUP(Table2[[#This Row],[Product ID]],Sheet1!$A$32:$A$200,Sheet1!$B$32:$B$200,"Not Found")</f>
        <v>Tablet</v>
      </c>
      <c r="C505" s="39">
        <v>45256</v>
      </c>
      <c r="D505" s="38" t="s">
        <v>38</v>
      </c>
      <c r="E505" s="38" t="str" cm="1">
        <f t="array" ref="E505">_xlfn.XLOOKUP(Table2[[#This Row],[Sales Rep]],Sheet1!$A$21:$A$25,Sheet1!$B$21:$B$25,Not Found)</f>
        <v>Tracy Moore</v>
      </c>
      <c r="F505" s="38" t="s">
        <v>25</v>
      </c>
      <c r="G505" s="38">
        <f>_xlfn.XLOOKUP(Table2[[#This Row],[Region]],Sheet1!$A$12:$A$15,Sheet1!$B$12:$B$15,0)</f>
        <v>0.05</v>
      </c>
      <c r="H505" s="40">
        <f>Table2[[#This Row],[Tax Rate]]*Table2[[#This Row],[Sales Amount]]</f>
        <v>316.97250000000003</v>
      </c>
      <c r="I505" s="40">
        <v>6339.45</v>
      </c>
      <c r="J505" s="38">
        <v>8</v>
      </c>
      <c r="K505" s="38" t="s">
        <v>26</v>
      </c>
      <c r="L505" s="40">
        <v>3970.37</v>
      </c>
      <c r="M505" s="40">
        <v>4257.5199999999904</v>
      </c>
      <c r="N505" s="38" t="s">
        <v>30</v>
      </c>
      <c r="O505" s="41">
        <v>0.11</v>
      </c>
      <c r="P505" s="38" t="s">
        <v>18</v>
      </c>
      <c r="Q505" s="38" t="s">
        <v>22</v>
      </c>
      <c r="R505" s="38" t="str">
        <f>IF(Cleaned_Final!$I505&gt;=5000,"High","Low")</f>
        <v>High</v>
      </c>
    </row>
    <row r="506" spans="1:18" x14ac:dyDescent="0.35">
      <c r="A506" s="34">
        <v>1086</v>
      </c>
      <c r="B506" s="34" t="str">
        <f>_xlfn.XLOOKUP(Table2[[#This Row],[Product ID]],Sheet1!$A$32:$A$200,Sheet1!$B$32:$B$200,"Not Found")</f>
        <v>Gaming Console</v>
      </c>
      <c r="C506" s="35">
        <v>44983</v>
      </c>
      <c r="D506" s="34" t="s">
        <v>14</v>
      </c>
      <c r="E506" s="34" t="str" cm="1">
        <f t="array" ref="E506">_xlfn.XLOOKUP(Table2[[#This Row],[Sales Rep]],Sheet1!$A$21:$A$25,Sheet1!$B$21:$B$25,Not Found)</f>
        <v>Michael Smith</v>
      </c>
      <c r="F506" s="34" t="s">
        <v>21</v>
      </c>
      <c r="G506" s="34">
        <f>_xlfn.XLOOKUP(Table2[[#This Row],[Region]],Sheet1!$A$12:$A$15,Sheet1!$B$12:$B$15,0)</f>
        <v>0.08</v>
      </c>
      <c r="H506" s="36">
        <f>Table2[[#This Row],[Tax Rate]]*Table2[[#This Row],[Sales Amount]]</f>
        <v>204.72</v>
      </c>
      <c r="I506" s="36">
        <v>2559</v>
      </c>
      <c r="J506" s="34">
        <v>5</v>
      </c>
      <c r="K506" s="34" t="s">
        <v>35</v>
      </c>
      <c r="L506" s="36">
        <v>4934.1000000000004</v>
      </c>
      <c r="M506" s="36">
        <v>5191.0200000000004</v>
      </c>
      <c r="N506" s="34" t="s">
        <v>30</v>
      </c>
      <c r="O506" s="37">
        <v>0.3</v>
      </c>
      <c r="P506" s="34" t="s">
        <v>27</v>
      </c>
      <c r="Q506" s="34" t="s">
        <v>19</v>
      </c>
      <c r="R506" s="34" t="str">
        <f>IF(Cleaned_Final!$I506&gt;=5000,"High","Low")</f>
        <v>Low</v>
      </c>
    </row>
    <row r="507" spans="1:18" x14ac:dyDescent="0.35">
      <c r="A507" s="38">
        <v>1057</v>
      </c>
      <c r="B507" s="38" t="str">
        <f>_xlfn.XLOOKUP(Table2[[#This Row],[Product ID]],Sheet1!$A$32:$A$200,Sheet1!$B$32:$B$200,"Not Found")</f>
        <v>Avocadro Pear</v>
      </c>
      <c r="C507" s="39">
        <v>45237</v>
      </c>
      <c r="D507" s="38" t="s">
        <v>14</v>
      </c>
      <c r="E507" s="38" t="str" cm="1">
        <f t="array" ref="E507">_xlfn.XLOOKUP(Table2[[#This Row],[Sales Rep]],Sheet1!$A$21:$A$25,Sheet1!$B$21:$B$25,Not Found)</f>
        <v>Michael Smith</v>
      </c>
      <c r="F507" s="38" t="s">
        <v>34</v>
      </c>
      <c r="G507" s="38">
        <f>_xlfn.XLOOKUP(Table2[[#This Row],[Region]],Sheet1!$A$12:$A$15,Sheet1!$B$12:$B$15,0)</f>
        <v>0.06</v>
      </c>
      <c r="H507" s="40">
        <f>Table2[[#This Row],[Tax Rate]]*Table2[[#This Row],[Sales Amount]]</f>
        <v>425.04360000000003</v>
      </c>
      <c r="I507" s="40">
        <v>7084.06</v>
      </c>
      <c r="J507" s="38">
        <v>26</v>
      </c>
      <c r="K507" s="38" t="s">
        <v>29</v>
      </c>
      <c r="L507" s="40">
        <v>1291.82</v>
      </c>
      <c r="M507" s="40">
        <v>1308.4399999999901</v>
      </c>
      <c r="N507" s="38" t="s">
        <v>17</v>
      </c>
      <c r="O507" s="41">
        <v>7.0000000000000007E-2</v>
      </c>
      <c r="P507" s="38" t="s">
        <v>31</v>
      </c>
      <c r="Q507" s="38" t="s">
        <v>19</v>
      </c>
      <c r="R507" s="38" t="str">
        <f>IF(Cleaned_Final!$I507&gt;=5000,"High","Low")</f>
        <v>High</v>
      </c>
    </row>
    <row r="508" spans="1:18" x14ac:dyDescent="0.35">
      <c r="A508" s="34">
        <v>1029</v>
      </c>
      <c r="B508" s="34" t="str">
        <f>_xlfn.XLOOKUP(Table2[[#This Row],[Product ID]],Sheet1!$A$32:$A$200,Sheet1!$B$32:$B$200,"Not Found")</f>
        <v>Camisole</v>
      </c>
      <c r="C508" s="35">
        <v>45229</v>
      </c>
      <c r="D508" s="34" t="s">
        <v>38</v>
      </c>
      <c r="E508" s="34" t="str" cm="1">
        <f t="array" ref="E508">_xlfn.XLOOKUP(Table2[[#This Row],[Sales Rep]],Sheet1!$A$21:$A$25,Sheet1!$B$21:$B$25,Not Found)</f>
        <v>Tracy Moore</v>
      </c>
      <c r="F508" s="34" t="s">
        <v>34</v>
      </c>
      <c r="G508" s="34">
        <f>_xlfn.XLOOKUP(Table2[[#This Row],[Region]],Sheet1!$A$12:$A$15,Sheet1!$B$12:$B$15,0)</f>
        <v>0.06</v>
      </c>
      <c r="H508" s="36">
        <f>Table2[[#This Row],[Tax Rate]]*Table2[[#This Row],[Sales Amount]]</f>
        <v>259.995</v>
      </c>
      <c r="I508" s="36">
        <v>4333.25</v>
      </c>
      <c r="J508" s="34">
        <v>16</v>
      </c>
      <c r="K508" s="34" t="s">
        <v>35</v>
      </c>
      <c r="L508" s="36">
        <v>2572.8000000000002</v>
      </c>
      <c r="M508" s="36">
        <v>2760.6</v>
      </c>
      <c r="N508" s="34" t="s">
        <v>17</v>
      </c>
      <c r="O508" s="37">
        <v>0.15</v>
      </c>
      <c r="P508" s="34" t="s">
        <v>31</v>
      </c>
      <c r="Q508" s="34" t="s">
        <v>22</v>
      </c>
      <c r="R508" s="34" t="str">
        <f>IF(Cleaned_Final!$I508&gt;=5000,"High","Low")</f>
        <v>Low</v>
      </c>
    </row>
    <row r="509" spans="1:18" x14ac:dyDescent="0.35">
      <c r="A509" s="38">
        <v>1078</v>
      </c>
      <c r="B509" s="38" t="str">
        <f>_xlfn.XLOOKUP(Table2[[#This Row],[Product ID]],Sheet1!$A$32:$A$200,Sheet1!$B$32:$B$200,"Not Found")</f>
        <v>Kitchen Island</v>
      </c>
      <c r="C509" s="39">
        <v>44938</v>
      </c>
      <c r="D509" s="38" t="s">
        <v>38</v>
      </c>
      <c r="E509" s="38" t="str" cm="1">
        <f t="array" ref="E509">_xlfn.XLOOKUP(Table2[[#This Row],[Sales Rep]],Sheet1!$A$21:$A$25,Sheet1!$B$21:$B$25,Not Found)</f>
        <v>Tracy Moore</v>
      </c>
      <c r="F509" s="38" t="s">
        <v>34</v>
      </c>
      <c r="G509" s="38">
        <f>_xlfn.XLOOKUP(Table2[[#This Row],[Region]],Sheet1!$A$12:$A$15,Sheet1!$B$12:$B$15,0)</f>
        <v>0.06</v>
      </c>
      <c r="H509" s="40">
        <f>Table2[[#This Row],[Tax Rate]]*Table2[[#This Row],[Sales Amount]]</f>
        <v>268.87199999999996</v>
      </c>
      <c r="I509" s="40">
        <v>4481.2</v>
      </c>
      <c r="J509" s="38">
        <v>36</v>
      </c>
      <c r="K509" s="38" t="s">
        <v>26</v>
      </c>
      <c r="L509" s="40">
        <v>4548.88</v>
      </c>
      <c r="M509" s="40">
        <v>4853.41</v>
      </c>
      <c r="N509" s="38" t="s">
        <v>17</v>
      </c>
      <c r="O509" s="41">
        <v>0.25</v>
      </c>
      <c r="P509" s="38" t="s">
        <v>31</v>
      </c>
      <c r="Q509" s="38" t="s">
        <v>22</v>
      </c>
      <c r="R509" s="38" t="str">
        <f>IF(Cleaned_Final!$I509&gt;=5000,"High","Low")</f>
        <v>Low</v>
      </c>
    </row>
    <row r="510" spans="1:18" x14ac:dyDescent="0.35">
      <c r="A510" s="34">
        <v>1092</v>
      </c>
      <c r="B510" s="34" t="str">
        <f>_xlfn.XLOOKUP(Table2[[#This Row],[Product ID]],Sheet1!$A$32:$A$200,Sheet1!$B$32:$B$200,"Not Found")</f>
        <v>Recliner</v>
      </c>
      <c r="C510" s="35">
        <v>45244</v>
      </c>
      <c r="D510" s="34" t="s">
        <v>38</v>
      </c>
      <c r="E510" s="34" t="str" cm="1">
        <f t="array" ref="E510">_xlfn.XLOOKUP(Table2[[#This Row],[Sales Rep]],Sheet1!$A$21:$A$25,Sheet1!$B$21:$B$25,Not Found)</f>
        <v>Tracy Moore</v>
      </c>
      <c r="F510" s="34" t="s">
        <v>34</v>
      </c>
      <c r="G510" s="34">
        <f>_xlfn.XLOOKUP(Table2[[#This Row],[Region]],Sheet1!$A$12:$A$15,Sheet1!$B$12:$B$15,0)</f>
        <v>0.06</v>
      </c>
      <c r="H510" s="36">
        <f>Table2[[#This Row],[Tax Rate]]*Table2[[#This Row],[Sales Amount]]</f>
        <v>391.69739999999996</v>
      </c>
      <c r="I510" s="36">
        <v>6528.29</v>
      </c>
      <c r="J510" s="34">
        <v>28</v>
      </c>
      <c r="K510" s="34" t="s">
        <v>29</v>
      </c>
      <c r="L510" s="36">
        <v>3936.69</v>
      </c>
      <c r="M510" s="36">
        <v>4362.51</v>
      </c>
      <c r="N510" s="34" t="s">
        <v>17</v>
      </c>
      <c r="O510" s="37">
        <v>7.0000000000000007E-2</v>
      </c>
      <c r="P510" s="34" t="s">
        <v>31</v>
      </c>
      <c r="Q510" s="34" t="s">
        <v>22</v>
      </c>
      <c r="R510" s="34" t="str">
        <f>IF(Cleaned_Final!$I510&gt;=5000,"High","Low")</f>
        <v>High</v>
      </c>
    </row>
    <row r="511" spans="1:18" x14ac:dyDescent="0.35">
      <c r="A511" s="38">
        <v>1069</v>
      </c>
      <c r="B511" s="38" t="str">
        <f>_xlfn.XLOOKUP(Table2[[#This Row],[Product ID]],Sheet1!$A$32:$A$200,Sheet1!$B$32:$B$200,"Not Found")</f>
        <v>Suit</v>
      </c>
      <c r="C511" s="39">
        <v>45006</v>
      </c>
      <c r="D511" s="38" t="s">
        <v>14</v>
      </c>
      <c r="E511" s="38" t="str" cm="1">
        <f t="array" ref="E511">_xlfn.XLOOKUP(Table2[[#This Row],[Sales Rep]],Sheet1!$A$21:$A$25,Sheet1!$B$21:$B$25,Not Found)</f>
        <v>Michael Smith</v>
      </c>
      <c r="F511" s="38" t="s">
        <v>34</v>
      </c>
      <c r="G511" s="38">
        <f>_xlfn.XLOOKUP(Table2[[#This Row],[Region]],Sheet1!$A$12:$A$15,Sheet1!$B$12:$B$15,0)</f>
        <v>0.06</v>
      </c>
      <c r="H511" s="40">
        <f>Table2[[#This Row],[Tax Rate]]*Table2[[#This Row],[Sales Amount]]</f>
        <v>562.1508</v>
      </c>
      <c r="I511" s="40">
        <v>9369.18</v>
      </c>
      <c r="J511" s="38">
        <v>29</v>
      </c>
      <c r="K511" s="38" t="s">
        <v>16</v>
      </c>
      <c r="L511" s="40">
        <v>2462.66</v>
      </c>
      <c r="M511" s="40">
        <v>2908.0899999999901</v>
      </c>
      <c r="N511" s="38" t="s">
        <v>30</v>
      </c>
      <c r="O511" s="41">
        <v>0.12</v>
      </c>
      <c r="P511" s="38" t="s">
        <v>31</v>
      </c>
      <c r="Q511" s="38" t="s">
        <v>19</v>
      </c>
      <c r="R511" s="38" t="str">
        <f>IF(Cleaned_Final!$I511&gt;=5000,"High","Low")</f>
        <v>High</v>
      </c>
    </row>
    <row r="512" spans="1:18" x14ac:dyDescent="0.35">
      <c r="A512" s="34">
        <v>1047</v>
      </c>
      <c r="B512" s="34" t="str">
        <f>_xlfn.XLOOKUP(Table2[[#This Row],[Product ID]],Sheet1!$A$32:$A$200,Sheet1!$B$32:$B$200,"Not Found")</f>
        <v>Mouse</v>
      </c>
      <c r="C512" s="35">
        <v>45142</v>
      </c>
      <c r="D512" s="34" t="s">
        <v>38</v>
      </c>
      <c r="E512" s="34" t="str" cm="1">
        <f t="array" ref="E512">_xlfn.XLOOKUP(Table2[[#This Row],[Sales Rep]],Sheet1!$A$21:$A$25,Sheet1!$B$21:$B$25,Not Found)</f>
        <v>Tracy Moore</v>
      </c>
      <c r="F512" s="34" t="s">
        <v>25</v>
      </c>
      <c r="G512" s="34">
        <f>_xlfn.XLOOKUP(Table2[[#This Row],[Region]],Sheet1!$A$12:$A$15,Sheet1!$B$12:$B$15,0)</f>
        <v>0.05</v>
      </c>
      <c r="H512" s="36">
        <f>Table2[[#This Row],[Tax Rate]]*Table2[[#This Row],[Sales Amount]]</f>
        <v>36.683</v>
      </c>
      <c r="I512" s="36">
        <v>733.66</v>
      </c>
      <c r="J512" s="34">
        <v>47</v>
      </c>
      <c r="K512" s="34" t="s">
        <v>29</v>
      </c>
      <c r="L512" s="36">
        <v>4729.59</v>
      </c>
      <c r="M512" s="36">
        <v>4976.68</v>
      </c>
      <c r="N512" s="34" t="s">
        <v>17</v>
      </c>
      <c r="O512" s="37">
        <v>0.18</v>
      </c>
      <c r="P512" s="34" t="s">
        <v>31</v>
      </c>
      <c r="Q512" s="34" t="s">
        <v>22</v>
      </c>
      <c r="R512" s="34" t="str">
        <f>IF(Cleaned_Final!$I512&gt;=5000,"High","Low")</f>
        <v>Low</v>
      </c>
    </row>
    <row r="513" spans="1:18" x14ac:dyDescent="0.35">
      <c r="A513" s="38">
        <v>1094</v>
      </c>
      <c r="B513" s="38" t="str">
        <f>_xlfn.XLOOKUP(Table2[[#This Row],[Product ID]],Sheet1!$A$32:$A$200,Sheet1!$B$32:$B$200,"Not Found")</f>
        <v>Microwave</v>
      </c>
      <c r="C513" s="39">
        <v>45265</v>
      </c>
      <c r="D513" s="38" t="s">
        <v>38</v>
      </c>
      <c r="E513" s="38" t="str" cm="1">
        <f t="array" ref="E513">_xlfn.XLOOKUP(Table2[[#This Row],[Sales Rep]],Sheet1!$A$21:$A$25,Sheet1!$B$21:$B$25,Not Found)</f>
        <v>Tracy Moore</v>
      </c>
      <c r="F513" s="38" t="s">
        <v>34</v>
      </c>
      <c r="G513" s="38">
        <f>_xlfn.XLOOKUP(Table2[[#This Row],[Region]],Sheet1!$A$12:$A$15,Sheet1!$B$12:$B$15,0)</f>
        <v>0.06</v>
      </c>
      <c r="H513" s="40">
        <f>Table2[[#This Row],[Tax Rate]]*Table2[[#This Row],[Sales Amount]]</f>
        <v>495.89759999999995</v>
      </c>
      <c r="I513" s="40">
        <v>8264.9599999999991</v>
      </c>
      <c r="J513" s="38">
        <v>12</v>
      </c>
      <c r="K513" s="38" t="s">
        <v>16</v>
      </c>
      <c r="L513" s="40">
        <v>333.32</v>
      </c>
      <c r="M513" s="40">
        <v>700.25</v>
      </c>
      <c r="N513" s="38" t="s">
        <v>17</v>
      </c>
      <c r="O513" s="41">
        <v>0.14000000000000001</v>
      </c>
      <c r="P513" s="38" t="s">
        <v>18</v>
      </c>
      <c r="Q513" s="38" t="s">
        <v>19</v>
      </c>
      <c r="R513" s="38" t="str">
        <f>IF(Cleaned_Final!$I513&gt;=5000,"High","Low")</f>
        <v>High</v>
      </c>
    </row>
    <row r="514" spans="1:18" x14ac:dyDescent="0.35">
      <c r="A514" s="34">
        <v>1062</v>
      </c>
      <c r="B514" s="34" t="str">
        <f>_xlfn.XLOOKUP(Table2[[#This Row],[Product ID]],Sheet1!$A$32:$A$200,Sheet1!$B$32:$B$200,"Not Found")</f>
        <v>Boxers</v>
      </c>
      <c r="C514" s="35">
        <v>45190</v>
      </c>
      <c r="D514" s="34" t="s">
        <v>24</v>
      </c>
      <c r="E514" s="34" t="str" cm="1">
        <f t="array" ref="E514">_xlfn.XLOOKUP(Table2[[#This Row],[Sales Rep]],Sheet1!$A$21:$A$25,Sheet1!$B$21:$B$25,Not Found)</f>
        <v>Hogan Rock</v>
      </c>
      <c r="F514" s="34" t="s">
        <v>15</v>
      </c>
      <c r="G514" s="34">
        <f>_xlfn.XLOOKUP(Table2[[#This Row],[Region]],Sheet1!$A$12:$A$15,Sheet1!$B$12:$B$15,0)</f>
        <v>7.4999999999999997E-2</v>
      </c>
      <c r="H514" s="36">
        <f>Table2[[#This Row],[Tax Rate]]*Table2[[#This Row],[Sales Amount]]</f>
        <v>224.59425000000002</v>
      </c>
      <c r="I514" s="36">
        <v>2994.59</v>
      </c>
      <c r="J514" s="34">
        <v>37</v>
      </c>
      <c r="K514" s="34" t="s">
        <v>35</v>
      </c>
      <c r="L514" s="36">
        <v>4658.4399999999996</v>
      </c>
      <c r="M514" s="36">
        <v>4823.5</v>
      </c>
      <c r="N514" s="34" t="s">
        <v>17</v>
      </c>
      <c r="O514" s="37">
        <v>0.14000000000000001</v>
      </c>
      <c r="P514" s="34" t="s">
        <v>31</v>
      </c>
      <c r="Q514" s="34" t="s">
        <v>19</v>
      </c>
      <c r="R514" s="34" t="str">
        <f>IF(Cleaned_Final!$I514&gt;=5000,"High","Low")</f>
        <v>Low</v>
      </c>
    </row>
    <row r="515" spans="1:18" x14ac:dyDescent="0.35">
      <c r="A515" s="38">
        <v>1069</v>
      </c>
      <c r="B515" s="38" t="str">
        <f>_xlfn.XLOOKUP(Table2[[#This Row],[Product ID]],Sheet1!$A$32:$A$200,Sheet1!$B$32:$B$200,"Not Found")</f>
        <v>Suit</v>
      </c>
      <c r="C515" s="39">
        <v>45075</v>
      </c>
      <c r="D515" s="38" t="s">
        <v>42</v>
      </c>
      <c r="E515" s="38" t="str" cm="1">
        <f t="array" ref="E515">_xlfn.XLOOKUP(Table2[[#This Row],[Sales Rep]],Sheet1!$A$21:$A$25,Sheet1!$B$21:$B$25,Not Found)</f>
        <v>Scott Wayne</v>
      </c>
      <c r="F515" s="38" t="s">
        <v>15</v>
      </c>
      <c r="G515" s="38">
        <f>_xlfn.XLOOKUP(Table2[[#This Row],[Region]],Sheet1!$A$12:$A$15,Sheet1!$B$12:$B$15,0)</f>
        <v>7.4999999999999997E-2</v>
      </c>
      <c r="H515" s="40">
        <f>Table2[[#This Row],[Tax Rate]]*Table2[[#This Row],[Sales Amount]]</f>
        <v>337.11</v>
      </c>
      <c r="I515" s="40">
        <v>4494.8</v>
      </c>
      <c r="J515" s="38">
        <v>30</v>
      </c>
      <c r="K515" s="38" t="s">
        <v>35</v>
      </c>
      <c r="L515" s="40">
        <v>300.01</v>
      </c>
      <c r="M515" s="40">
        <v>477.67999999999898</v>
      </c>
      <c r="N515" s="38" t="s">
        <v>30</v>
      </c>
      <c r="O515" s="41">
        <v>0.11</v>
      </c>
      <c r="P515" s="38" t="s">
        <v>27</v>
      </c>
      <c r="Q515" s="38" t="s">
        <v>22</v>
      </c>
      <c r="R515" s="38" t="str">
        <f>IF(Cleaned_Final!$I515&gt;=5000,"High","Low")</f>
        <v>Low</v>
      </c>
    </row>
    <row r="516" spans="1:18" x14ac:dyDescent="0.35">
      <c r="A516" s="34">
        <v>1076</v>
      </c>
      <c r="B516" s="34" t="str">
        <f>_xlfn.XLOOKUP(Table2[[#This Row],[Product ID]],Sheet1!$A$32:$A$200,Sheet1!$B$32:$B$200,"Not Found")</f>
        <v>Polo Shirt</v>
      </c>
      <c r="C516" s="35">
        <v>45007</v>
      </c>
      <c r="D516" s="34" t="s">
        <v>33</v>
      </c>
      <c r="E516" s="34" t="str" cm="1">
        <f t="array" ref="E516">_xlfn.XLOOKUP(Table2[[#This Row],[Sales Rep]],Sheet1!$A$21:$A$25,Sheet1!$B$21:$B$25,Not Found)</f>
        <v>Susan Jerkins</v>
      </c>
      <c r="F516" s="34" t="s">
        <v>25</v>
      </c>
      <c r="G516" s="34">
        <f>_xlfn.XLOOKUP(Table2[[#This Row],[Region]],Sheet1!$A$12:$A$15,Sheet1!$B$12:$B$15,0)</f>
        <v>0.05</v>
      </c>
      <c r="H516" s="36">
        <f>Table2[[#This Row],[Tax Rate]]*Table2[[#This Row],[Sales Amount]]</f>
        <v>15.847000000000001</v>
      </c>
      <c r="I516" s="36">
        <v>316.94</v>
      </c>
      <c r="J516" s="34">
        <v>23</v>
      </c>
      <c r="K516" s="34" t="s">
        <v>26</v>
      </c>
      <c r="L516" s="36">
        <v>2759.16</v>
      </c>
      <c r="M516" s="36">
        <v>2864.45</v>
      </c>
      <c r="N516" s="34" t="s">
        <v>17</v>
      </c>
      <c r="O516" s="37">
        <v>0.18</v>
      </c>
      <c r="P516" s="34" t="s">
        <v>31</v>
      </c>
      <c r="Q516" s="34" t="s">
        <v>22</v>
      </c>
      <c r="R516" s="34" t="str">
        <f>IF(Cleaned_Final!$I516&gt;=5000,"High","Low")</f>
        <v>Low</v>
      </c>
    </row>
    <row r="517" spans="1:18" x14ac:dyDescent="0.35">
      <c r="A517" s="38">
        <v>1016</v>
      </c>
      <c r="B517" s="38" t="str">
        <f>_xlfn.XLOOKUP(Table2[[#This Row],[Product ID]],Sheet1!$A$32:$A$200,Sheet1!$B$32:$B$200,"Not Found")</f>
        <v>Washing Machine</v>
      </c>
      <c r="C517" s="39">
        <v>45141</v>
      </c>
      <c r="D517" s="38" t="s">
        <v>42</v>
      </c>
      <c r="E517" s="38" t="str" cm="1">
        <f t="array" ref="E517">_xlfn.XLOOKUP(Table2[[#This Row],[Sales Rep]],Sheet1!$A$21:$A$25,Sheet1!$B$21:$B$25,Not Found)</f>
        <v>Scott Wayne</v>
      </c>
      <c r="F517" s="38" t="s">
        <v>21</v>
      </c>
      <c r="G517" s="38">
        <f>_xlfn.XLOOKUP(Table2[[#This Row],[Region]],Sheet1!$A$12:$A$15,Sheet1!$B$12:$B$15,0)</f>
        <v>0.08</v>
      </c>
      <c r="H517" s="40">
        <f>Table2[[#This Row],[Tax Rate]]*Table2[[#This Row],[Sales Amount]]</f>
        <v>246.42880000000002</v>
      </c>
      <c r="I517" s="40">
        <v>3080.36</v>
      </c>
      <c r="J517" s="38">
        <v>16</v>
      </c>
      <c r="K517" s="38" t="s">
        <v>16</v>
      </c>
      <c r="L517" s="40">
        <v>4457.68</v>
      </c>
      <c r="M517" s="40">
        <v>4743.03</v>
      </c>
      <c r="N517" s="38" t="s">
        <v>17</v>
      </c>
      <c r="O517" s="41">
        <v>0.19</v>
      </c>
      <c r="P517" s="38" t="s">
        <v>18</v>
      </c>
      <c r="Q517" s="38" t="s">
        <v>19</v>
      </c>
      <c r="R517" s="38" t="str">
        <f>IF(Cleaned_Final!$I517&gt;=5000,"High","Low")</f>
        <v>Low</v>
      </c>
    </row>
    <row r="518" spans="1:18" x14ac:dyDescent="0.35">
      <c r="A518" s="34">
        <v>1090</v>
      </c>
      <c r="B518" s="34" t="str">
        <f>_xlfn.XLOOKUP(Table2[[#This Row],[Product ID]],Sheet1!$A$32:$A$200,Sheet1!$B$32:$B$200,"Not Found")</f>
        <v>Keyboard</v>
      </c>
      <c r="C518" s="35">
        <v>45124</v>
      </c>
      <c r="D518" s="34" t="s">
        <v>24</v>
      </c>
      <c r="E518" s="34" t="str" cm="1">
        <f t="array" ref="E518">_xlfn.XLOOKUP(Table2[[#This Row],[Sales Rep]],Sheet1!$A$21:$A$25,Sheet1!$B$21:$B$25,Not Found)</f>
        <v>Hogan Rock</v>
      </c>
      <c r="F518" s="34" t="s">
        <v>15</v>
      </c>
      <c r="G518" s="34">
        <f>_xlfn.XLOOKUP(Table2[[#This Row],[Region]],Sheet1!$A$12:$A$15,Sheet1!$B$12:$B$15,0)</f>
        <v>7.4999999999999997E-2</v>
      </c>
      <c r="H518" s="36">
        <f>Table2[[#This Row],[Tax Rate]]*Table2[[#This Row],[Sales Amount]]</f>
        <v>380.70375000000001</v>
      </c>
      <c r="I518" s="36">
        <v>5076.05</v>
      </c>
      <c r="J518" s="34">
        <v>14</v>
      </c>
      <c r="K518" s="34" t="s">
        <v>35</v>
      </c>
      <c r="L518" s="36">
        <v>1350.47</v>
      </c>
      <c r="M518" s="36">
        <v>1514.61</v>
      </c>
      <c r="N518" s="34" t="s">
        <v>30</v>
      </c>
      <c r="O518" s="37">
        <v>0.2</v>
      </c>
      <c r="P518" s="34" t="s">
        <v>31</v>
      </c>
      <c r="Q518" s="34" t="s">
        <v>22</v>
      </c>
      <c r="R518" s="34" t="str">
        <f>IF(Cleaned_Final!$I518&gt;=5000,"High","Low")</f>
        <v>High</v>
      </c>
    </row>
    <row r="519" spans="1:18" x14ac:dyDescent="0.35">
      <c r="A519" s="38">
        <v>1090</v>
      </c>
      <c r="B519" s="38" t="str">
        <f>_xlfn.XLOOKUP(Table2[[#This Row],[Product ID]],Sheet1!$A$32:$A$200,Sheet1!$B$32:$B$200,"Not Found")</f>
        <v>Keyboard</v>
      </c>
      <c r="C519" s="39">
        <v>45126</v>
      </c>
      <c r="D519" s="38" t="s">
        <v>33</v>
      </c>
      <c r="E519" s="38" t="str" cm="1">
        <f t="array" ref="E519">_xlfn.XLOOKUP(Table2[[#This Row],[Sales Rep]],Sheet1!$A$21:$A$25,Sheet1!$B$21:$B$25,Not Found)</f>
        <v>Susan Jerkins</v>
      </c>
      <c r="F519" s="38" t="s">
        <v>21</v>
      </c>
      <c r="G519" s="38">
        <f>_xlfn.XLOOKUP(Table2[[#This Row],[Region]],Sheet1!$A$12:$A$15,Sheet1!$B$12:$B$15,0)</f>
        <v>0.08</v>
      </c>
      <c r="H519" s="40">
        <f>Table2[[#This Row],[Tax Rate]]*Table2[[#This Row],[Sales Amount]]</f>
        <v>52.491199999999999</v>
      </c>
      <c r="I519" s="40">
        <v>656.14</v>
      </c>
      <c r="J519" s="38">
        <v>10</v>
      </c>
      <c r="K519" s="38" t="s">
        <v>16</v>
      </c>
      <c r="L519" s="40">
        <v>2387.63</v>
      </c>
      <c r="M519" s="40">
        <v>2438.9699999999998</v>
      </c>
      <c r="N519" s="38" t="s">
        <v>17</v>
      </c>
      <c r="O519" s="41">
        <v>0.02</v>
      </c>
      <c r="P519" s="38" t="s">
        <v>27</v>
      </c>
      <c r="Q519" s="38" t="s">
        <v>22</v>
      </c>
      <c r="R519" s="38" t="str">
        <f>IF(Cleaned_Final!$I519&gt;=5000,"High","Low")</f>
        <v>Low</v>
      </c>
    </row>
    <row r="520" spans="1:18" x14ac:dyDescent="0.35">
      <c r="A520" s="34">
        <v>1048</v>
      </c>
      <c r="B520" s="34" t="str">
        <f>_xlfn.XLOOKUP(Table2[[#This Row],[Product ID]],Sheet1!$A$32:$A$200,Sheet1!$B$32:$B$200,"Not Found")</f>
        <v>Chaise Lounge</v>
      </c>
      <c r="C520" s="35">
        <v>44951</v>
      </c>
      <c r="D520" s="34" t="s">
        <v>38</v>
      </c>
      <c r="E520" s="34" t="str" cm="1">
        <f t="array" ref="E520">_xlfn.XLOOKUP(Table2[[#This Row],[Sales Rep]],Sheet1!$A$21:$A$25,Sheet1!$B$21:$B$25,Not Found)</f>
        <v>Tracy Moore</v>
      </c>
      <c r="F520" s="34" t="s">
        <v>25</v>
      </c>
      <c r="G520" s="34">
        <f>_xlfn.XLOOKUP(Table2[[#This Row],[Region]],Sheet1!$A$12:$A$15,Sheet1!$B$12:$B$15,0)</f>
        <v>0.05</v>
      </c>
      <c r="H520" s="36">
        <f>Table2[[#This Row],[Tax Rate]]*Table2[[#This Row],[Sales Amount]]</f>
        <v>248.09250000000003</v>
      </c>
      <c r="I520" s="36">
        <v>4961.8500000000004</v>
      </c>
      <c r="J520" s="34">
        <v>7</v>
      </c>
      <c r="K520" s="34" t="s">
        <v>35</v>
      </c>
      <c r="L520" s="36">
        <v>1655.43</v>
      </c>
      <c r="M520" s="36">
        <v>2001.08</v>
      </c>
      <c r="N520" s="34" t="s">
        <v>30</v>
      </c>
      <c r="O520" s="37">
        <v>0.19</v>
      </c>
      <c r="P520" s="34" t="s">
        <v>27</v>
      </c>
      <c r="Q520" s="34" t="s">
        <v>19</v>
      </c>
      <c r="R520" s="34" t="str">
        <f>IF(Cleaned_Final!$I520&gt;=5000,"High","Low")</f>
        <v>Low</v>
      </c>
    </row>
    <row r="521" spans="1:18" x14ac:dyDescent="0.35">
      <c r="A521" s="38">
        <v>1085</v>
      </c>
      <c r="B521" s="38" t="str">
        <f>_xlfn.XLOOKUP(Table2[[#This Row],[Product ID]],Sheet1!$A$32:$A$200,Sheet1!$B$32:$B$200,"Not Found")</f>
        <v>Settee</v>
      </c>
      <c r="C521" s="39">
        <v>45015</v>
      </c>
      <c r="D521" s="38" t="s">
        <v>24</v>
      </c>
      <c r="E521" s="38" t="str" cm="1">
        <f t="array" ref="E521">_xlfn.XLOOKUP(Table2[[#This Row],[Sales Rep]],Sheet1!$A$21:$A$25,Sheet1!$B$21:$B$25,Not Found)</f>
        <v>Hogan Rock</v>
      </c>
      <c r="F521" s="38" t="s">
        <v>21</v>
      </c>
      <c r="G521" s="38">
        <f>_xlfn.XLOOKUP(Table2[[#This Row],[Region]],Sheet1!$A$12:$A$15,Sheet1!$B$12:$B$15,0)</f>
        <v>0.08</v>
      </c>
      <c r="H521" s="40">
        <f>Table2[[#This Row],[Tax Rate]]*Table2[[#This Row],[Sales Amount]]</f>
        <v>742.27199999999993</v>
      </c>
      <c r="I521" s="40">
        <v>9278.4</v>
      </c>
      <c r="J521" s="38">
        <v>45</v>
      </c>
      <c r="K521" s="38" t="s">
        <v>29</v>
      </c>
      <c r="L521" s="40">
        <v>4763.1099999999997</v>
      </c>
      <c r="M521" s="40">
        <v>5119.91</v>
      </c>
      <c r="N521" s="38" t="s">
        <v>17</v>
      </c>
      <c r="O521" s="41">
        <v>0.28999999999999998</v>
      </c>
      <c r="P521" s="38" t="s">
        <v>18</v>
      </c>
      <c r="Q521" s="38" t="s">
        <v>22</v>
      </c>
      <c r="R521" s="38" t="str">
        <f>IF(Cleaned_Final!$I521&gt;=5000,"High","Low")</f>
        <v>High</v>
      </c>
    </row>
    <row r="522" spans="1:18" x14ac:dyDescent="0.35">
      <c r="A522" s="34">
        <v>1039</v>
      </c>
      <c r="B522" s="34" t="str">
        <f>_xlfn.XLOOKUP(Table2[[#This Row],[Product ID]],Sheet1!$A$32:$A$200,Sheet1!$B$32:$B$200,"Not Found")</f>
        <v>Hoodie</v>
      </c>
      <c r="C522" s="35">
        <v>45194</v>
      </c>
      <c r="D522" s="34" t="s">
        <v>38</v>
      </c>
      <c r="E522" s="34" t="str" cm="1">
        <f t="array" ref="E522">_xlfn.XLOOKUP(Table2[[#This Row],[Sales Rep]],Sheet1!$A$21:$A$25,Sheet1!$B$21:$B$25,Not Found)</f>
        <v>Tracy Moore</v>
      </c>
      <c r="F522" s="34" t="s">
        <v>21</v>
      </c>
      <c r="G522" s="34">
        <f>_xlfn.XLOOKUP(Table2[[#This Row],[Region]],Sheet1!$A$12:$A$15,Sheet1!$B$12:$B$15,0)</f>
        <v>0.08</v>
      </c>
      <c r="H522" s="36">
        <f>Table2[[#This Row],[Tax Rate]]*Table2[[#This Row],[Sales Amount]]</f>
        <v>91.47120000000001</v>
      </c>
      <c r="I522" s="36">
        <v>1143.3900000000001</v>
      </c>
      <c r="J522" s="34">
        <v>37</v>
      </c>
      <c r="K522" s="34" t="s">
        <v>35</v>
      </c>
      <c r="L522" s="36">
        <v>4127.05</v>
      </c>
      <c r="M522" s="36">
        <v>4313.45</v>
      </c>
      <c r="N522" s="34" t="s">
        <v>30</v>
      </c>
      <c r="O522" s="37">
        <v>0.16</v>
      </c>
      <c r="P522" s="34" t="s">
        <v>18</v>
      </c>
      <c r="Q522" s="34" t="s">
        <v>19</v>
      </c>
      <c r="R522" s="34" t="str">
        <f>IF(Cleaned_Final!$I522&gt;=5000,"High","Low")</f>
        <v>Low</v>
      </c>
    </row>
    <row r="523" spans="1:18" x14ac:dyDescent="0.35">
      <c r="A523" s="38">
        <v>1100</v>
      </c>
      <c r="B523" s="38" t="str">
        <f>_xlfn.XLOOKUP(Table2[[#This Row],[Product ID]],Sheet1!$A$32:$A$200,Sheet1!$B$32:$B$200,"Not Found")</f>
        <v>Protein Cookies</v>
      </c>
      <c r="C523" s="39">
        <v>45069</v>
      </c>
      <c r="D523" s="38" t="s">
        <v>14</v>
      </c>
      <c r="E523" s="38" t="str" cm="1">
        <f t="array" ref="E523">_xlfn.XLOOKUP(Table2[[#This Row],[Sales Rep]],Sheet1!$A$21:$A$25,Sheet1!$B$21:$B$25,Not Found)</f>
        <v>Michael Smith</v>
      </c>
      <c r="F523" s="38" t="s">
        <v>21</v>
      </c>
      <c r="G523" s="38">
        <f>_xlfn.XLOOKUP(Table2[[#This Row],[Region]],Sheet1!$A$12:$A$15,Sheet1!$B$12:$B$15,0)</f>
        <v>0.08</v>
      </c>
      <c r="H523" s="40">
        <f>Table2[[#This Row],[Tax Rate]]*Table2[[#This Row],[Sales Amount]]</f>
        <v>613.43680000000006</v>
      </c>
      <c r="I523" s="40">
        <v>7667.96</v>
      </c>
      <c r="J523" s="38">
        <v>29</v>
      </c>
      <c r="K523" s="38" t="s">
        <v>26</v>
      </c>
      <c r="L523" s="40">
        <v>3559.56</v>
      </c>
      <c r="M523" s="40">
        <v>3607.15</v>
      </c>
      <c r="N523" s="38" t="s">
        <v>17</v>
      </c>
      <c r="O523" s="41">
        <v>0.21</v>
      </c>
      <c r="P523" s="38" t="s">
        <v>18</v>
      </c>
      <c r="Q523" s="38" t="s">
        <v>22</v>
      </c>
      <c r="R523" s="38" t="str">
        <f>IF(Cleaned_Final!$I523&gt;=5000,"High","Low")</f>
        <v>High</v>
      </c>
    </row>
    <row r="524" spans="1:18" x14ac:dyDescent="0.35">
      <c r="A524" s="34">
        <v>1033</v>
      </c>
      <c r="B524" s="34" t="str">
        <f>_xlfn.XLOOKUP(Table2[[#This Row],[Product ID]],Sheet1!$A$32:$A$200,Sheet1!$B$32:$B$200,"Not Found")</f>
        <v>TV Stand</v>
      </c>
      <c r="C524" s="35">
        <v>44985</v>
      </c>
      <c r="D524" s="34" t="s">
        <v>24</v>
      </c>
      <c r="E524" s="34" t="str" cm="1">
        <f t="array" ref="E524">_xlfn.XLOOKUP(Table2[[#This Row],[Sales Rep]],Sheet1!$A$21:$A$25,Sheet1!$B$21:$B$25,Not Found)</f>
        <v>Hogan Rock</v>
      </c>
      <c r="F524" s="34" t="s">
        <v>21</v>
      </c>
      <c r="G524" s="34">
        <f>_xlfn.XLOOKUP(Table2[[#This Row],[Region]],Sheet1!$A$12:$A$15,Sheet1!$B$12:$B$15,0)</f>
        <v>0.08</v>
      </c>
      <c r="H524" s="36">
        <f>Table2[[#This Row],[Tax Rate]]*Table2[[#This Row],[Sales Amount]]</f>
        <v>332.45920000000001</v>
      </c>
      <c r="I524" s="36">
        <v>4155.74</v>
      </c>
      <c r="J524" s="34">
        <v>3</v>
      </c>
      <c r="K524" s="34" t="s">
        <v>29</v>
      </c>
      <c r="L524" s="36">
        <v>2958.75</v>
      </c>
      <c r="M524" s="36">
        <v>3177.64</v>
      </c>
      <c r="N524" s="34" t="s">
        <v>17</v>
      </c>
      <c r="O524" s="37">
        <v>0.17</v>
      </c>
      <c r="P524" s="34" t="s">
        <v>18</v>
      </c>
      <c r="Q524" s="34" t="s">
        <v>19</v>
      </c>
      <c r="R524" s="34" t="str">
        <f>IF(Cleaned_Final!$I524&gt;=5000,"High","Low")</f>
        <v>Low</v>
      </c>
    </row>
    <row r="525" spans="1:18" x14ac:dyDescent="0.35">
      <c r="A525" s="38">
        <v>1094</v>
      </c>
      <c r="B525" s="38" t="str">
        <f>_xlfn.XLOOKUP(Table2[[#This Row],[Product ID]],Sheet1!$A$32:$A$200,Sheet1!$B$32:$B$200,"Not Found")</f>
        <v>Microwave</v>
      </c>
      <c r="C525" s="39">
        <v>45291</v>
      </c>
      <c r="D525" s="38" t="s">
        <v>14</v>
      </c>
      <c r="E525" s="38" t="str" cm="1">
        <f t="array" ref="E525">_xlfn.XLOOKUP(Table2[[#This Row],[Sales Rep]],Sheet1!$A$21:$A$25,Sheet1!$B$21:$B$25,Not Found)</f>
        <v>Michael Smith</v>
      </c>
      <c r="F525" s="38" t="s">
        <v>25</v>
      </c>
      <c r="G525" s="38">
        <f>_xlfn.XLOOKUP(Table2[[#This Row],[Region]],Sheet1!$A$12:$A$15,Sheet1!$B$12:$B$15,0)</f>
        <v>0.05</v>
      </c>
      <c r="H525" s="40">
        <f>Table2[[#This Row],[Tax Rate]]*Table2[[#This Row],[Sales Amount]]</f>
        <v>329.31100000000004</v>
      </c>
      <c r="I525" s="40">
        <v>6586.22</v>
      </c>
      <c r="J525" s="38">
        <v>15</v>
      </c>
      <c r="K525" s="38" t="s">
        <v>26</v>
      </c>
      <c r="L525" s="40">
        <v>4111.93</v>
      </c>
      <c r="M525" s="40">
        <v>4338.67</v>
      </c>
      <c r="N525" s="38" t="s">
        <v>17</v>
      </c>
      <c r="O525" s="41">
        <v>0.26</v>
      </c>
      <c r="P525" s="38" t="s">
        <v>31</v>
      </c>
      <c r="Q525" s="38" t="s">
        <v>19</v>
      </c>
      <c r="R525" s="38" t="str">
        <f>IF(Cleaned_Final!$I525&gt;=5000,"High","Low")</f>
        <v>High</v>
      </c>
    </row>
    <row r="526" spans="1:18" x14ac:dyDescent="0.35">
      <c r="A526" s="34">
        <v>1023</v>
      </c>
      <c r="B526" s="34" t="str">
        <f>_xlfn.XLOOKUP(Table2[[#This Row],[Product ID]],Sheet1!$A$32:$A$200,Sheet1!$B$32:$B$200,"Not Found")</f>
        <v>Tights</v>
      </c>
      <c r="C526" s="35">
        <v>44952</v>
      </c>
      <c r="D526" s="34" t="s">
        <v>24</v>
      </c>
      <c r="E526" s="34" t="str" cm="1">
        <f t="array" ref="E526">_xlfn.XLOOKUP(Table2[[#This Row],[Sales Rep]],Sheet1!$A$21:$A$25,Sheet1!$B$21:$B$25,Not Found)</f>
        <v>Hogan Rock</v>
      </c>
      <c r="F526" s="34" t="s">
        <v>15</v>
      </c>
      <c r="G526" s="34">
        <f>_xlfn.XLOOKUP(Table2[[#This Row],[Region]],Sheet1!$A$12:$A$15,Sheet1!$B$12:$B$15,0)</f>
        <v>7.4999999999999997E-2</v>
      </c>
      <c r="H526" s="36">
        <f>Table2[[#This Row],[Tax Rate]]*Table2[[#This Row],[Sales Amount]]</f>
        <v>200.72550000000001</v>
      </c>
      <c r="I526" s="36">
        <v>2676.34</v>
      </c>
      <c r="J526" s="34">
        <v>36</v>
      </c>
      <c r="K526" s="34" t="s">
        <v>29</v>
      </c>
      <c r="L526" s="36">
        <v>1991.72</v>
      </c>
      <c r="M526" s="36">
        <v>2329.37</v>
      </c>
      <c r="N526" s="34" t="s">
        <v>30</v>
      </c>
      <c r="O526" s="37">
        <v>0.28000000000000003</v>
      </c>
      <c r="P526" s="34" t="s">
        <v>31</v>
      </c>
      <c r="Q526" s="34" t="s">
        <v>22</v>
      </c>
      <c r="R526" s="34" t="str">
        <f>IF(Cleaned_Final!$I526&gt;=5000,"High","Low")</f>
        <v>Low</v>
      </c>
    </row>
    <row r="527" spans="1:18" x14ac:dyDescent="0.35">
      <c r="A527" s="38">
        <v>1010</v>
      </c>
      <c r="B527" s="38" t="str">
        <f>_xlfn.XLOOKUP(Table2[[#This Row],[Product ID]],Sheet1!$A$32:$A$200,Sheet1!$B$32:$B$200,"Not Found")</f>
        <v>Lawn Chair</v>
      </c>
      <c r="C527" s="39">
        <v>44973</v>
      </c>
      <c r="D527" s="38" t="s">
        <v>24</v>
      </c>
      <c r="E527" s="38" t="str" cm="1">
        <f t="array" ref="E527">_xlfn.XLOOKUP(Table2[[#This Row],[Sales Rep]],Sheet1!$A$21:$A$25,Sheet1!$B$21:$B$25,Not Found)</f>
        <v>Hogan Rock</v>
      </c>
      <c r="F527" s="38" t="s">
        <v>34</v>
      </c>
      <c r="G527" s="38">
        <f>_xlfn.XLOOKUP(Table2[[#This Row],[Region]],Sheet1!$A$12:$A$15,Sheet1!$B$12:$B$15,0)</f>
        <v>0.06</v>
      </c>
      <c r="H527" s="40">
        <f>Table2[[#This Row],[Tax Rate]]*Table2[[#This Row],[Sales Amount]]</f>
        <v>100.73819999999999</v>
      </c>
      <c r="I527" s="40">
        <v>1678.97</v>
      </c>
      <c r="J527" s="38">
        <v>47</v>
      </c>
      <c r="K527" s="38" t="s">
        <v>16</v>
      </c>
      <c r="L527" s="40">
        <v>2265.38</v>
      </c>
      <c r="M527" s="40">
        <v>2429.9299999999998</v>
      </c>
      <c r="N527" s="38" t="s">
        <v>17</v>
      </c>
      <c r="O527" s="41">
        <v>0.06</v>
      </c>
      <c r="P527" s="38" t="s">
        <v>27</v>
      </c>
      <c r="Q527" s="38" t="s">
        <v>19</v>
      </c>
      <c r="R527" s="38" t="str">
        <f>IF(Cleaned_Final!$I527&gt;=5000,"High","Low")</f>
        <v>Low</v>
      </c>
    </row>
    <row r="528" spans="1:18" x14ac:dyDescent="0.35">
      <c r="A528" s="34">
        <v>1069</v>
      </c>
      <c r="B528" s="34" t="str">
        <f>_xlfn.XLOOKUP(Table2[[#This Row],[Product ID]],Sheet1!$A$32:$A$200,Sheet1!$B$32:$B$200,"Not Found")</f>
        <v>Suit</v>
      </c>
      <c r="C528" s="35">
        <v>45214</v>
      </c>
      <c r="D528" s="34" t="s">
        <v>14</v>
      </c>
      <c r="E528" s="34" t="str" cm="1">
        <f t="array" ref="E528">_xlfn.XLOOKUP(Table2[[#This Row],[Sales Rep]],Sheet1!$A$21:$A$25,Sheet1!$B$21:$B$25,Not Found)</f>
        <v>Michael Smith</v>
      </c>
      <c r="F528" s="34" t="s">
        <v>21</v>
      </c>
      <c r="G528" s="34">
        <f>_xlfn.XLOOKUP(Table2[[#This Row],[Region]],Sheet1!$A$12:$A$15,Sheet1!$B$12:$B$15,0)</f>
        <v>0.08</v>
      </c>
      <c r="H528" s="36">
        <f>Table2[[#This Row],[Tax Rate]]*Table2[[#This Row],[Sales Amount]]</f>
        <v>135.0864</v>
      </c>
      <c r="I528" s="36">
        <v>1688.58</v>
      </c>
      <c r="J528" s="34">
        <v>46</v>
      </c>
      <c r="K528" s="34" t="s">
        <v>26</v>
      </c>
      <c r="L528" s="36">
        <v>3663.51</v>
      </c>
      <c r="M528" s="36">
        <v>4007.98</v>
      </c>
      <c r="N528" s="34" t="s">
        <v>30</v>
      </c>
      <c r="O528" s="37">
        <v>0.13</v>
      </c>
      <c r="P528" s="34" t="s">
        <v>18</v>
      </c>
      <c r="Q528" s="34" t="s">
        <v>19</v>
      </c>
      <c r="R528" s="34" t="str">
        <f>IF(Cleaned_Final!$I528&gt;=5000,"High","Low")</f>
        <v>Low</v>
      </c>
    </row>
    <row r="529" spans="1:18" x14ac:dyDescent="0.35">
      <c r="A529" s="38">
        <v>1100</v>
      </c>
      <c r="B529" s="38" t="str">
        <f>_xlfn.XLOOKUP(Table2[[#This Row],[Product ID]],Sheet1!$A$32:$A$200,Sheet1!$B$32:$B$200,"Not Found")</f>
        <v>Protein Cookies</v>
      </c>
      <c r="C529" s="39">
        <v>45192</v>
      </c>
      <c r="D529" s="38" t="s">
        <v>33</v>
      </c>
      <c r="E529" s="38" t="str" cm="1">
        <f t="array" ref="E529">_xlfn.XLOOKUP(Table2[[#This Row],[Sales Rep]],Sheet1!$A$21:$A$25,Sheet1!$B$21:$B$25,Not Found)</f>
        <v>Susan Jerkins</v>
      </c>
      <c r="F529" s="38" t="s">
        <v>15</v>
      </c>
      <c r="G529" s="38">
        <f>_xlfn.XLOOKUP(Table2[[#This Row],[Region]],Sheet1!$A$12:$A$15,Sheet1!$B$12:$B$15,0)</f>
        <v>7.4999999999999997E-2</v>
      </c>
      <c r="H529" s="40">
        <f>Table2[[#This Row],[Tax Rate]]*Table2[[#This Row],[Sales Amount]]</f>
        <v>59.840249999999997</v>
      </c>
      <c r="I529" s="40">
        <v>797.87</v>
      </c>
      <c r="J529" s="38">
        <v>19</v>
      </c>
      <c r="K529" s="38" t="s">
        <v>35</v>
      </c>
      <c r="L529" s="40">
        <v>1820.89</v>
      </c>
      <c r="M529" s="40">
        <v>2257.92</v>
      </c>
      <c r="N529" s="38" t="s">
        <v>30</v>
      </c>
      <c r="O529" s="41">
        <v>0.12</v>
      </c>
      <c r="P529" s="38" t="s">
        <v>18</v>
      </c>
      <c r="Q529" s="38" t="s">
        <v>22</v>
      </c>
      <c r="R529" s="38" t="str">
        <f>IF(Cleaned_Final!$I529&gt;=5000,"High","Low")</f>
        <v>Low</v>
      </c>
    </row>
    <row r="530" spans="1:18" x14ac:dyDescent="0.35">
      <c r="A530" s="34">
        <v>1034</v>
      </c>
      <c r="B530" s="34" t="str">
        <f>_xlfn.XLOOKUP(Table2[[#This Row],[Product ID]],Sheet1!$A$32:$A$200,Sheet1!$B$32:$B$200,"Not Found")</f>
        <v>Socks Pack</v>
      </c>
      <c r="C530" s="35">
        <v>44942</v>
      </c>
      <c r="D530" s="34" t="s">
        <v>42</v>
      </c>
      <c r="E530" s="34" t="str" cm="1">
        <f t="array" ref="E530">_xlfn.XLOOKUP(Table2[[#This Row],[Sales Rep]],Sheet1!$A$21:$A$25,Sheet1!$B$21:$B$25,Not Found)</f>
        <v>Scott Wayne</v>
      </c>
      <c r="F530" s="34" t="s">
        <v>15</v>
      </c>
      <c r="G530" s="34">
        <f>_xlfn.XLOOKUP(Table2[[#This Row],[Region]],Sheet1!$A$12:$A$15,Sheet1!$B$12:$B$15,0)</f>
        <v>7.4999999999999997E-2</v>
      </c>
      <c r="H530" s="36">
        <f>Table2[[#This Row],[Tax Rate]]*Table2[[#This Row],[Sales Amount]]</f>
        <v>145.3425</v>
      </c>
      <c r="I530" s="36">
        <v>1937.9</v>
      </c>
      <c r="J530" s="34">
        <v>13</v>
      </c>
      <c r="K530" s="34" t="s">
        <v>16</v>
      </c>
      <c r="L530" s="36">
        <v>366.31</v>
      </c>
      <c r="M530" s="36">
        <v>492.68</v>
      </c>
      <c r="N530" s="34" t="s">
        <v>30</v>
      </c>
      <c r="O530" s="37">
        <v>0.12</v>
      </c>
      <c r="P530" s="34" t="s">
        <v>31</v>
      </c>
      <c r="Q530" s="34" t="s">
        <v>22</v>
      </c>
      <c r="R530" s="34" t="str">
        <f>IF(Cleaned_Final!$I530&gt;=5000,"High","Low")</f>
        <v>Low</v>
      </c>
    </row>
    <row r="531" spans="1:18" x14ac:dyDescent="0.35">
      <c r="A531" s="38">
        <v>1052</v>
      </c>
      <c r="B531" s="38" t="str">
        <f>_xlfn.XLOOKUP(Table2[[#This Row],[Product ID]],Sheet1!$A$32:$A$200,Sheet1!$B$32:$B$200,"Not Found")</f>
        <v>Wooden Chair</v>
      </c>
      <c r="C531" s="39">
        <v>45125</v>
      </c>
      <c r="D531" s="38" t="s">
        <v>38</v>
      </c>
      <c r="E531" s="38" t="str" cm="1">
        <f t="array" ref="E531">_xlfn.XLOOKUP(Table2[[#This Row],[Sales Rep]],Sheet1!$A$21:$A$25,Sheet1!$B$21:$B$25,Not Found)</f>
        <v>Tracy Moore</v>
      </c>
      <c r="F531" s="38" t="s">
        <v>25</v>
      </c>
      <c r="G531" s="38">
        <f>_xlfn.XLOOKUP(Table2[[#This Row],[Region]],Sheet1!$A$12:$A$15,Sheet1!$B$12:$B$15,0)</f>
        <v>0.05</v>
      </c>
      <c r="H531" s="40">
        <f>Table2[[#This Row],[Tax Rate]]*Table2[[#This Row],[Sales Amount]]</f>
        <v>333.78850000000006</v>
      </c>
      <c r="I531" s="40">
        <v>6675.77</v>
      </c>
      <c r="J531" s="38">
        <v>42</v>
      </c>
      <c r="K531" s="38" t="s">
        <v>35</v>
      </c>
      <c r="L531" s="40">
        <v>417.96</v>
      </c>
      <c r="M531" s="40">
        <v>907.63</v>
      </c>
      <c r="N531" s="38" t="s">
        <v>30</v>
      </c>
      <c r="O531" s="41">
        <v>0.04</v>
      </c>
      <c r="P531" s="38" t="s">
        <v>18</v>
      </c>
      <c r="Q531" s="38" t="s">
        <v>22</v>
      </c>
      <c r="R531" s="38" t="str">
        <f>IF(Cleaned_Final!$I531&gt;=5000,"High","Low")</f>
        <v>High</v>
      </c>
    </row>
    <row r="532" spans="1:18" x14ac:dyDescent="0.35">
      <c r="A532" s="34">
        <v>1095</v>
      </c>
      <c r="B532" s="34" t="str">
        <f>_xlfn.XLOOKUP(Table2[[#This Row],[Product ID]],Sheet1!$A$32:$A$200,Sheet1!$B$32:$B$200,"Not Found")</f>
        <v>Bluetooth Speaker</v>
      </c>
      <c r="C532" s="35">
        <v>45208</v>
      </c>
      <c r="D532" s="34" t="s">
        <v>24</v>
      </c>
      <c r="E532" s="34" t="str" cm="1">
        <f t="array" ref="E532">_xlfn.XLOOKUP(Table2[[#This Row],[Sales Rep]],Sheet1!$A$21:$A$25,Sheet1!$B$21:$B$25,Not Found)</f>
        <v>Hogan Rock</v>
      </c>
      <c r="F532" s="34" t="s">
        <v>15</v>
      </c>
      <c r="G532" s="34">
        <f>_xlfn.XLOOKUP(Table2[[#This Row],[Region]],Sheet1!$A$12:$A$15,Sheet1!$B$12:$B$15,0)</f>
        <v>7.4999999999999997E-2</v>
      </c>
      <c r="H532" s="36">
        <f>Table2[[#This Row],[Tax Rate]]*Table2[[#This Row],[Sales Amount]]</f>
        <v>662.15549999999996</v>
      </c>
      <c r="I532" s="36">
        <v>8828.74</v>
      </c>
      <c r="J532" s="34">
        <v>21</v>
      </c>
      <c r="K532" s="34" t="s">
        <v>29</v>
      </c>
      <c r="L532" s="36">
        <v>621.04999999999995</v>
      </c>
      <c r="M532" s="36">
        <v>820.36999999999898</v>
      </c>
      <c r="N532" s="34" t="s">
        <v>17</v>
      </c>
      <c r="O532" s="37">
        <v>0.24</v>
      </c>
      <c r="P532" s="34" t="s">
        <v>27</v>
      </c>
      <c r="Q532" s="34" t="s">
        <v>19</v>
      </c>
      <c r="R532" s="34" t="str">
        <f>IF(Cleaned_Final!$I532&gt;=5000,"High","Low")</f>
        <v>High</v>
      </c>
    </row>
    <row r="533" spans="1:18" x14ac:dyDescent="0.35">
      <c r="A533" s="38">
        <v>1010</v>
      </c>
      <c r="B533" s="38" t="str">
        <f>_xlfn.XLOOKUP(Table2[[#This Row],[Product ID]],Sheet1!$A$32:$A$200,Sheet1!$B$32:$B$200,"Not Found")</f>
        <v>Lawn Chair</v>
      </c>
      <c r="C533" s="39">
        <v>45012</v>
      </c>
      <c r="D533" s="38" t="s">
        <v>38</v>
      </c>
      <c r="E533" s="38" t="str" cm="1">
        <f t="array" ref="E533">_xlfn.XLOOKUP(Table2[[#This Row],[Sales Rep]],Sheet1!$A$21:$A$25,Sheet1!$B$21:$B$25,Not Found)</f>
        <v>Tracy Moore</v>
      </c>
      <c r="F533" s="38" t="s">
        <v>25</v>
      </c>
      <c r="G533" s="38">
        <f>_xlfn.XLOOKUP(Table2[[#This Row],[Region]],Sheet1!$A$12:$A$15,Sheet1!$B$12:$B$15,0)</f>
        <v>0.05</v>
      </c>
      <c r="H533" s="40">
        <f>Table2[[#This Row],[Tax Rate]]*Table2[[#This Row],[Sales Amount]]</f>
        <v>407.99200000000002</v>
      </c>
      <c r="I533" s="40">
        <v>8159.84</v>
      </c>
      <c r="J533" s="38">
        <v>37</v>
      </c>
      <c r="K533" s="38" t="s">
        <v>29</v>
      </c>
      <c r="L533" s="40">
        <v>4354.92</v>
      </c>
      <c r="M533" s="40">
        <v>4495.88</v>
      </c>
      <c r="N533" s="38" t="s">
        <v>17</v>
      </c>
      <c r="O533" s="41">
        <v>0.01</v>
      </c>
      <c r="P533" s="38" t="s">
        <v>27</v>
      </c>
      <c r="Q533" s="38" t="s">
        <v>19</v>
      </c>
      <c r="R533" s="38" t="str">
        <f>IF(Cleaned_Final!$I533&gt;=5000,"High","Low")</f>
        <v>High</v>
      </c>
    </row>
    <row r="534" spans="1:18" x14ac:dyDescent="0.35">
      <c r="A534" s="34">
        <v>1019</v>
      </c>
      <c r="B534" s="34" t="str">
        <f>_xlfn.XLOOKUP(Table2[[#This Row],[Product ID]],Sheet1!$A$32:$A$200,Sheet1!$B$32:$B$200,"Not Found")</f>
        <v>Apple</v>
      </c>
      <c r="C534" s="35">
        <v>45176</v>
      </c>
      <c r="D534" s="34" t="s">
        <v>14</v>
      </c>
      <c r="E534" s="34" t="str" cm="1">
        <f t="array" ref="E534">_xlfn.XLOOKUP(Table2[[#This Row],[Sales Rep]],Sheet1!$A$21:$A$25,Sheet1!$B$21:$B$25,Not Found)</f>
        <v>Michael Smith</v>
      </c>
      <c r="F534" s="34" t="s">
        <v>21</v>
      </c>
      <c r="G534" s="34">
        <f>_xlfn.XLOOKUP(Table2[[#This Row],[Region]],Sheet1!$A$12:$A$15,Sheet1!$B$12:$B$15,0)</f>
        <v>0.08</v>
      </c>
      <c r="H534" s="36">
        <f>Table2[[#This Row],[Tax Rate]]*Table2[[#This Row],[Sales Amount]]</f>
        <v>550.62639999999999</v>
      </c>
      <c r="I534" s="36">
        <v>6882.83</v>
      </c>
      <c r="J534" s="34">
        <v>27</v>
      </c>
      <c r="K534" s="34" t="s">
        <v>35</v>
      </c>
      <c r="L534" s="36">
        <v>2387.52</v>
      </c>
      <c r="M534" s="36">
        <v>2604.06</v>
      </c>
      <c r="N534" s="34" t="s">
        <v>17</v>
      </c>
      <c r="O534" s="37">
        <v>0.16</v>
      </c>
      <c r="P534" s="34" t="s">
        <v>18</v>
      </c>
      <c r="Q534" s="34" t="s">
        <v>19</v>
      </c>
      <c r="R534" s="34" t="str">
        <f>IF(Cleaned_Final!$I534&gt;=5000,"High","Low")</f>
        <v>High</v>
      </c>
    </row>
    <row r="535" spans="1:18" x14ac:dyDescent="0.35">
      <c r="A535" s="38">
        <v>1058</v>
      </c>
      <c r="B535" s="38" t="str">
        <f>_xlfn.XLOOKUP(Table2[[#This Row],[Product ID]],Sheet1!$A$32:$A$200,Sheet1!$B$32:$B$200,"Not Found")</f>
        <v>Wardrobe</v>
      </c>
      <c r="C535" s="39">
        <v>45196</v>
      </c>
      <c r="D535" s="38" t="s">
        <v>38</v>
      </c>
      <c r="E535" s="38" t="str" cm="1">
        <f t="array" ref="E535">_xlfn.XLOOKUP(Table2[[#This Row],[Sales Rep]],Sheet1!$A$21:$A$25,Sheet1!$B$21:$B$25,Not Found)</f>
        <v>Tracy Moore</v>
      </c>
      <c r="F535" s="38" t="s">
        <v>21</v>
      </c>
      <c r="G535" s="38">
        <f>_xlfn.XLOOKUP(Table2[[#This Row],[Region]],Sheet1!$A$12:$A$15,Sheet1!$B$12:$B$15,0)</f>
        <v>0.08</v>
      </c>
      <c r="H535" s="40">
        <f>Table2[[#This Row],[Tax Rate]]*Table2[[#This Row],[Sales Amount]]</f>
        <v>95.462400000000002</v>
      </c>
      <c r="I535" s="40">
        <v>1193.28</v>
      </c>
      <c r="J535" s="38">
        <v>29</v>
      </c>
      <c r="K535" s="38" t="s">
        <v>35</v>
      </c>
      <c r="L535" s="40">
        <v>3578.77</v>
      </c>
      <c r="M535" s="40">
        <v>3635.02</v>
      </c>
      <c r="N535" s="38" t="s">
        <v>30</v>
      </c>
      <c r="O535" s="41">
        <v>0.2</v>
      </c>
      <c r="P535" s="38" t="s">
        <v>27</v>
      </c>
      <c r="Q535" s="38" t="s">
        <v>22</v>
      </c>
      <c r="R535" s="38" t="str">
        <f>IF(Cleaned_Final!$I535&gt;=5000,"High","Low")</f>
        <v>Low</v>
      </c>
    </row>
    <row r="536" spans="1:18" x14ac:dyDescent="0.35">
      <c r="A536" s="34">
        <v>1096</v>
      </c>
      <c r="B536" s="34" t="str">
        <f>_xlfn.XLOOKUP(Table2[[#This Row],[Product ID]],Sheet1!$A$32:$A$200,Sheet1!$B$32:$B$200,"Not Found")</f>
        <v>Radio</v>
      </c>
      <c r="C536" s="35">
        <v>45261</v>
      </c>
      <c r="D536" s="34" t="s">
        <v>14</v>
      </c>
      <c r="E536" s="34" t="str" cm="1">
        <f t="array" ref="E536">_xlfn.XLOOKUP(Table2[[#This Row],[Sales Rep]],Sheet1!$A$21:$A$25,Sheet1!$B$21:$B$25,Not Found)</f>
        <v>Michael Smith</v>
      </c>
      <c r="F536" s="34" t="s">
        <v>34</v>
      </c>
      <c r="G536" s="34">
        <f>_xlfn.XLOOKUP(Table2[[#This Row],[Region]],Sheet1!$A$12:$A$15,Sheet1!$B$12:$B$15,0)</f>
        <v>0.06</v>
      </c>
      <c r="H536" s="36">
        <f>Table2[[#This Row],[Tax Rate]]*Table2[[#This Row],[Sales Amount]]</f>
        <v>177.77760000000001</v>
      </c>
      <c r="I536" s="36">
        <v>2962.96</v>
      </c>
      <c r="J536" s="34">
        <v>20</v>
      </c>
      <c r="K536" s="34" t="s">
        <v>16</v>
      </c>
      <c r="L536" s="36">
        <v>1994.9</v>
      </c>
      <c r="M536" s="36">
        <v>2066.5</v>
      </c>
      <c r="N536" s="34" t="s">
        <v>17</v>
      </c>
      <c r="O536" s="37">
        <v>0.06</v>
      </c>
      <c r="P536" s="34" t="s">
        <v>27</v>
      </c>
      <c r="Q536" s="34" t="s">
        <v>19</v>
      </c>
      <c r="R536" s="34" t="str">
        <f>IF(Cleaned_Final!$I536&gt;=5000,"High","Low")</f>
        <v>Low</v>
      </c>
    </row>
    <row r="537" spans="1:18" x14ac:dyDescent="0.35">
      <c r="A537" s="38">
        <v>1001</v>
      </c>
      <c r="B537" s="38" t="str">
        <f>_xlfn.XLOOKUP(Table2[[#This Row],[Product ID]],Sheet1!$A$32:$A$200,Sheet1!$B$32:$B$200,"Not Found")</f>
        <v>Camera</v>
      </c>
      <c r="C537" s="39">
        <v>45043</v>
      </c>
      <c r="D537" s="38" t="s">
        <v>38</v>
      </c>
      <c r="E537" s="38" t="str" cm="1">
        <f t="array" ref="E537">_xlfn.XLOOKUP(Table2[[#This Row],[Sales Rep]],Sheet1!$A$21:$A$25,Sheet1!$B$21:$B$25,Not Found)</f>
        <v>Tracy Moore</v>
      </c>
      <c r="F537" s="38" t="s">
        <v>34</v>
      </c>
      <c r="G537" s="38">
        <f>_xlfn.XLOOKUP(Table2[[#This Row],[Region]],Sheet1!$A$12:$A$15,Sheet1!$B$12:$B$15,0)</f>
        <v>0.06</v>
      </c>
      <c r="H537" s="40">
        <f>Table2[[#This Row],[Tax Rate]]*Table2[[#This Row],[Sales Amount]]</f>
        <v>190.02539999999999</v>
      </c>
      <c r="I537" s="40">
        <v>3167.09</v>
      </c>
      <c r="J537" s="38">
        <v>25</v>
      </c>
      <c r="K537" s="38" t="s">
        <v>35</v>
      </c>
      <c r="L537" s="40">
        <v>1330.62</v>
      </c>
      <c r="M537" s="40">
        <v>1543.6899999999901</v>
      </c>
      <c r="N537" s="38" t="s">
        <v>30</v>
      </c>
      <c r="O537" s="41">
        <v>0.27</v>
      </c>
      <c r="P537" s="38" t="s">
        <v>31</v>
      </c>
      <c r="Q537" s="38" t="s">
        <v>19</v>
      </c>
      <c r="R537" s="38" t="str">
        <f>IF(Cleaned_Final!$I537&gt;=5000,"High","Low")</f>
        <v>Low</v>
      </c>
    </row>
    <row r="538" spans="1:18" x14ac:dyDescent="0.35">
      <c r="A538" s="34">
        <v>1069</v>
      </c>
      <c r="B538" s="34" t="str">
        <f>_xlfn.XLOOKUP(Table2[[#This Row],[Product ID]],Sheet1!$A$32:$A$200,Sheet1!$B$32:$B$200,"Not Found")</f>
        <v>Suit</v>
      </c>
      <c r="C538" s="35">
        <v>44933</v>
      </c>
      <c r="D538" s="34" t="s">
        <v>42</v>
      </c>
      <c r="E538" s="34" t="str" cm="1">
        <f t="array" ref="E538">_xlfn.XLOOKUP(Table2[[#This Row],[Sales Rep]],Sheet1!$A$21:$A$25,Sheet1!$B$21:$B$25,Not Found)</f>
        <v>Scott Wayne</v>
      </c>
      <c r="F538" s="34" t="s">
        <v>34</v>
      </c>
      <c r="G538" s="34">
        <f>_xlfn.XLOOKUP(Table2[[#This Row],[Region]],Sheet1!$A$12:$A$15,Sheet1!$B$12:$B$15,0)</f>
        <v>0.06</v>
      </c>
      <c r="H538" s="36">
        <f>Table2[[#This Row],[Tax Rate]]*Table2[[#This Row],[Sales Amount]]</f>
        <v>154.4742</v>
      </c>
      <c r="I538" s="36">
        <v>2574.5700000000002</v>
      </c>
      <c r="J538" s="34">
        <v>6</v>
      </c>
      <c r="K538" s="34" t="s">
        <v>26</v>
      </c>
      <c r="L538" s="36">
        <v>1768.6</v>
      </c>
      <c r="M538" s="36">
        <v>2152.1999999999998</v>
      </c>
      <c r="N538" s="34" t="s">
        <v>30</v>
      </c>
      <c r="O538" s="37">
        <v>0.25</v>
      </c>
      <c r="P538" s="34" t="s">
        <v>27</v>
      </c>
      <c r="Q538" s="34" t="s">
        <v>22</v>
      </c>
      <c r="R538" s="34" t="str">
        <f>IF(Cleaned_Final!$I538&gt;=5000,"High","Low")</f>
        <v>Low</v>
      </c>
    </row>
    <row r="539" spans="1:18" x14ac:dyDescent="0.35">
      <c r="A539" s="38">
        <v>1004</v>
      </c>
      <c r="B539" s="38" t="str">
        <f>_xlfn.XLOOKUP(Table2[[#This Row],[Product ID]],Sheet1!$A$32:$A$200,Sheet1!$B$32:$B$200,"Not Found")</f>
        <v>Smartwatch</v>
      </c>
      <c r="C539" s="39">
        <v>45063</v>
      </c>
      <c r="D539" s="38" t="s">
        <v>42</v>
      </c>
      <c r="E539" s="38" t="str" cm="1">
        <f t="array" ref="E539">_xlfn.XLOOKUP(Table2[[#This Row],[Sales Rep]],Sheet1!$A$21:$A$25,Sheet1!$B$21:$B$25,Not Found)</f>
        <v>Scott Wayne</v>
      </c>
      <c r="F539" s="38" t="s">
        <v>15</v>
      </c>
      <c r="G539" s="38">
        <f>_xlfn.XLOOKUP(Table2[[#This Row],[Region]],Sheet1!$A$12:$A$15,Sheet1!$B$12:$B$15,0)</f>
        <v>7.4999999999999997E-2</v>
      </c>
      <c r="H539" s="40">
        <f>Table2[[#This Row],[Tax Rate]]*Table2[[#This Row],[Sales Amount]]</f>
        <v>389.892</v>
      </c>
      <c r="I539" s="40">
        <v>5198.5600000000004</v>
      </c>
      <c r="J539" s="38">
        <v>36</v>
      </c>
      <c r="K539" s="38" t="s">
        <v>26</v>
      </c>
      <c r="L539" s="40">
        <v>3981.2</v>
      </c>
      <c r="M539" s="40">
        <v>4432.3499999999904</v>
      </c>
      <c r="N539" s="38" t="s">
        <v>30</v>
      </c>
      <c r="O539" s="41">
        <v>0.14000000000000001</v>
      </c>
      <c r="P539" s="38" t="s">
        <v>18</v>
      </c>
      <c r="Q539" s="38" t="s">
        <v>19</v>
      </c>
      <c r="R539" s="38" t="str">
        <f>IF(Cleaned_Final!$I539&gt;=5000,"High","Low")</f>
        <v>High</v>
      </c>
    </row>
    <row r="540" spans="1:18" x14ac:dyDescent="0.35">
      <c r="A540" s="34">
        <v>1016</v>
      </c>
      <c r="B540" s="34" t="str">
        <f>_xlfn.XLOOKUP(Table2[[#This Row],[Product ID]],Sheet1!$A$32:$A$200,Sheet1!$B$32:$B$200,"Not Found")</f>
        <v>Washing Machine</v>
      </c>
      <c r="C540" s="35">
        <v>45102</v>
      </c>
      <c r="D540" s="34" t="s">
        <v>42</v>
      </c>
      <c r="E540" s="34" t="str" cm="1">
        <f t="array" ref="E540">_xlfn.XLOOKUP(Table2[[#This Row],[Sales Rep]],Sheet1!$A$21:$A$25,Sheet1!$B$21:$B$25,Not Found)</f>
        <v>Scott Wayne</v>
      </c>
      <c r="F540" s="34" t="s">
        <v>21</v>
      </c>
      <c r="G540" s="34">
        <f>_xlfn.XLOOKUP(Table2[[#This Row],[Region]],Sheet1!$A$12:$A$15,Sheet1!$B$12:$B$15,0)</f>
        <v>0.08</v>
      </c>
      <c r="H540" s="36">
        <f>Table2[[#This Row],[Tax Rate]]*Table2[[#This Row],[Sales Amount]]</f>
        <v>432.15839999999997</v>
      </c>
      <c r="I540" s="36">
        <v>5401.98</v>
      </c>
      <c r="J540" s="34">
        <v>2</v>
      </c>
      <c r="K540" s="34" t="s">
        <v>35</v>
      </c>
      <c r="L540" s="36">
        <v>3144.82</v>
      </c>
      <c r="M540" s="36">
        <v>3480.58</v>
      </c>
      <c r="N540" s="34" t="s">
        <v>17</v>
      </c>
      <c r="O540" s="37">
        <v>0.12</v>
      </c>
      <c r="P540" s="34" t="s">
        <v>18</v>
      </c>
      <c r="Q540" s="34" t="s">
        <v>22</v>
      </c>
      <c r="R540" s="34" t="str">
        <f>IF(Cleaned_Final!$I540&gt;=5000,"High","Low")</f>
        <v>High</v>
      </c>
    </row>
    <row r="541" spans="1:18" x14ac:dyDescent="0.35">
      <c r="A541" s="38">
        <v>1024</v>
      </c>
      <c r="B541" s="38" t="str">
        <f>_xlfn.XLOOKUP(Table2[[#This Row],[Product ID]],Sheet1!$A$32:$A$200,Sheet1!$B$32:$B$200,"Not Found")</f>
        <v>Pasta Pack</v>
      </c>
      <c r="C541" s="39">
        <v>45254</v>
      </c>
      <c r="D541" s="38" t="s">
        <v>42</v>
      </c>
      <c r="E541" s="38" t="str" cm="1">
        <f t="array" ref="E541">_xlfn.XLOOKUP(Table2[[#This Row],[Sales Rep]],Sheet1!$A$21:$A$25,Sheet1!$B$21:$B$25,Not Found)</f>
        <v>Scott Wayne</v>
      </c>
      <c r="F541" s="38" t="s">
        <v>25</v>
      </c>
      <c r="G541" s="38">
        <f>_xlfn.XLOOKUP(Table2[[#This Row],[Region]],Sheet1!$A$12:$A$15,Sheet1!$B$12:$B$15,0)</f>
        <v>0.05</v>
      </c>
      <c r="H541" s="40">
        <f>Table2[[#This Row],[Tax Rate]]*Table2[[#This Row],[Sales Amount]]</f>
        <v>181.6585</v>
      </c>
      <c r="I541" s="40">
        <v>3633.17</v>
      </c>
      <c r="J541" s="38">
        <v>22</v>
      </c>
      <c r="K541" s="38" t="s">
        <v>26</v>
      </c>
      <c r="L541" s="40">
        <v>4691.32</v>
      </c>
      <c r="M541" s="40">
        <v>4752.88</v>
      </c>
      <c r="N541" s="38" t="s">
        <v>17</v>
      </c>
      <c r="O541" s="41">
        <v>7.0000000000000007E-2</v>
      </c>
      <c r="P541" s="38" t="s">
        <v>27</v>
      </c>
      <c r="Q541" s="38" t="s">
        <v>22</v>
      </c>
      <c r="R541" s="38" t="str">
        <f>IF(Cleaned_Final!$I541&gt;=5000,"High","Low")</f>
        <v>Low</v>
      </c>
    </row>
    <row r="542" spans="1:18" x14ac:dyDescent="0.35">
      <c r="A542" s="34">
        <v>1080</v>
      </c>
      <c r="B542" s="34" t="str">
        <f>_xlfn.XLOOKUP(Table2[[#This Row],[Product ID]],Sheet1!$A$32:$A$200,Sheet1!$B$32:$B$200,"Not Found")</f>
        <v>Headphones</v>
      </c>
      <c r="C542" s="35">
        <v>45241</v>
      </c>
      <c r="D542" s="34" t="s">
        <v>42</v>
      </c>
      <c r="E542" s="34" t="str" cm="1">
        <f t="array" ref="E542">_xlfn.XLOOKUP(Table2[[#This Row],[Sales Rep]],Sheet1!$A$21:$A$25,Sheet1!$B$21:$B$25,Not Found)</f>
        <v>Scott Wayne</v>
      </c>
      <c r="F542" s="34" t="s">
        <v>34</v>
      </c>
      <c r="G542" s="34">
        <f>_xlfn.XLOOKUP(Table2[[#This Row],[Region]],Sheet1!$A$12:$A$15,Sheet1!$B$12:$B$15,0)</f>
        <v>0.06</v>
      </c>
      <c r="H542" s="36">
        <f>Table2[[#This Row],[Tax Rate]]*Table2[[#This Row],[Sales Amount]]</f>
        <v>216.1506</v>
      </c>
      <c r="I542" s="36">
        <v>3602.51</v>
      </c>
      <c r="J542" s="34">
        <v>32</v>
      </c>
      <c r="K542" s="34" t="s">
        <v>35</v>
      </c>
      <c r="L542" s="36">
        <v>3414.54</v>
      </c>
      <c r="M542" s="36">
        <v>3753.83</v>
      </c>
      <c r="N542" s="34" t="s">
        <v>30</v>
      </c>
      <c r="O542" s="37">
        <v>0.22</v>
      </c>
      <c r="P542" s="34" t="s">
        <v>18</v>
      </c>
      <c r="Q542" s="34" t="s">
        <v>22</v>
      </c>
      <c r="R542" s="34" t="str">
        <f>IF(Cleaned_Final!$I542&gt;=5000,"High","Low")</f>
        <v>Low</v>
      </c>
    </row>
    <row r="543" spans="1:18" x14ac:dyDescent="0.35">
      <c r="A543" s="38">
        <v>1002</v>
      </c>
      <c r="B543" s="38" t="str">
        <f>_xlfn.XLOOKUP(Table2[[#This Row],[Product ID]],Sheet1!$A$32:$A$200,Sheet1!$B$32:$B$200,"Not Found")</f>
        <v>Bench</v>
      </c>
      <c r="C543" s="39">
        <v>45141</v>
      </c>
      <c r="D543" s="38" t="s">
        <v>42</v>
      </c>
      <c r="E543" s="38" t="str" cm="1">
        <f t="array" ref="E543">_xlfn.XLOOKUP(Table2[[#This Row],[Sales Rep]],Sheet1!$A$21:$A$25,Sheet1!$B$21:$B$25,Not Found)</f>
        <v>Scott Wayne</v>
      </c>
      <c r="F543" s="38" t="s">
        <v>25</v>
      </c>
      <c r="G543" s="38">
        <f>_xlfn.XLOOKUP(Table2[[#This Row],[Region]],Sheet1!$A$12:$A$15,Sheet1!$B$12:$B$15,0)</f>
        <v>0.05</v>
      </c>
      <c r="H543" s="40">
        <f>Table2[[#This Row],[Tax Rate]]*Table2[[#This Row],[Sales Amount]]</f>
        <v>415.13500000000005</v>
      </c>
      <c r="I543" s="40">
        <v>8302.7000000000007</v>
      </c>
      <c r="J543" s="38">
        <v>16</v>
      </c>
      <c r="K543" s="38" t="s">
        <v>16</v>
      </c>
      <c r="L543" s="40">
        <v>2872.4</v>
      </c>
      <c r="M543" s="40">
        <v>3193.76</v>
      </c>
      <c r="N543" s="38" t="s">
        <v>17</v>
      </c>
      <c r="O543" s="41">
        <v>0.04</v>
      </c>
      <c r="P543" s="38" t="s">
        <v>31</v>
      </c>
      <c r="Q543" s="38" t="s">
        <v>19</v>
      </c>
      <c r="R543" s="38" t="str">
        <f>IF(Cleaned_Final!$I543&gt;=5000,"High","Low")</f>
        <v>High</v>
      </c>
    </row>
    <row r="544" spans="1:18" x14ac:dyDescent="0.35">
      <c r="A544" s="34">
        <v>1092</v>
      </c>
      <c r="B544" s="34" t="str">
        <f>_xlfn.XLOOKUP(Table2[[#This Row],[Product ID]],Sheet1!$A$32:$A$200,Sheet1!$B$32:$B$200,"Not Found")</f>
        <v>Recliner</v>
      </c>
      <c r="C544" s="35">
        <v>45008</v>
      </c>
      <c r="D544" s="34" t="s">
        <v>14</v>
      </c>
      <c r="E544" s="34" t="str" cm="1">
        <f t="array" ref="E544">_xlfn.XLOOKUP(Table2[[#This Row],[Sales Rep]],Sheet1!$A$21:$A$25,Sheet1!$B$21:$B$25,Not Found)</f>
        <v>Michael Smith</v>
      </c>
      <c r="F544" s="34" t="s">
        <v>25</v>
      </c>
      <c r="G544" s="34">
        <f>_xlfn.XLOOKUP(Table2[[#This Row],[Region]],Sheet1!$A$12:$A$15,Sheet1!$B$12:$B$15,0)</f>
        <v>0.05</v>
      </c>
      <c r="H544" s="36">
        <f>Table2[[#This Row],[Tax Rate]]*Table2[[#This Row],[Sales Amount]]</f>
        <v>395.70000000000005</v>
      </c>
      <c r="I544" s="36">
        <v>7914</v>
      </c>
      <c r="J544" s="34">
        <v>18</v>
      </c>
      <c r="K544" s="34" t="s">
        <v>26</v>
      </c>
      <c r="L544" s="36">
        <v>3070.47</v>
      </c>
      <c r="M544" s="36">
        <v>3475.29</v>
      </c>
      <c r="N544" s="34" t="s">
        <v>17</v>
      </c>
      <c r="O544" s="37">
        <v>0.2</v>
      </c>
      <c r="P544" s="34" t="s">
        <v>27</v>
      </c>
      <c r="Q544" s="34" t="s">
        <v>19</v>
      </c>
      <c r="R544" s="34" t="str">
        <f>IF(Cleaned_Final!$I544&gt;=5000,"High","Low")</f>
        <v>High</v>
      </c>
    </row>
    <row r="545" spans="1:18" x14ac:dyDescent="0.35">
      <c r="A545" s="38">
        <v>1032</v>
      </c>
      <c r="B545" s="38" t="str">
        <f>_xlfn.XLOOKUP(Table2[[#This Row],[Product ID]],Sheet1!$A$32:$A$200,Sheet1!$B$32:$B$200,"Not Found")</f>
        <v>Refridgerator</v>
      </c>
      <c r="C545" s="39">
        <v>45149</v>
      </c>
      <c r="D545" s="38" t="s">
        <v>24</v>
      </c>
      <c r="E545" s="38" t="str" cm="1">
        <f t="array" ref="E545">_xlfn.XLOOKUP(Table2[[#This Row],[Sales Rep]],Sheet1!$A$21:$A$25,Sheet1!$B$21:$B$25,Not Found)</f>
        <v>Hogan Rock</v>
      </c>
      <c r="F545" s="38" t="s">
        <v>34</v>
      </c>
      <c r="G545" s="38">
        <f>_xlfn.XLOOKUP(Table2[[#This Row],[Region]],Sheet1!$A$12:$A$15,Sheet1!$B$12:$B$15,0)</f>
        <v>0.06</v>
      </c>
      <c r="H545" s="40">
        <f>Table2[[#This Row],[Tax Rate]]*Table2[[#This Row],[Sales Amount]]</f>
        <v>188.83079999999998</v>
      </c>
      <c r="I545" s="40">
        <v>3147.18</v>
      </c>
      <c r="J545" s="38">
        <v>5</v>
      </c>
      <c r="K545" s="38" t="s">
        <v>26</v>
      </c>
      <c r="L545" s="40">
        <v>4714.74</v>
      </c>
      <c r="M545" s="40">
        <v>5129.1099999999997</v>
      </c>
      <c r="N545" s="38" t="s">
        <v>30</v>
      </c>
      <c r="O545" s="41">
        <v>0.25</v>
      </c>
      <c r="P545" s="38" t="s">
        <v>27</v>
      </c>
      <c r="Q545" s="38" t="s">
        <v>19</v>
      </c>
      <c r="R545" s="38" t="str">
        <f>IF(Cleaned_Final!$I545&gt;=5000,"High","Low")</f>
        <v>Low</v>
      </c>
    </row>
    <row r="546" spans="1:18" x14ac:dyDescent="0.35">
      <c r="A546" s="34">
        <v>1091</v>
      </c>
      <c r="B546" s="34" t="str">
        <f>_xlfn.XLOOKUP(Table2[[#This Row],[Product ID]],Sheet1!$A$32:$A$200,Sheet1!$B$32:$B$200,"Not Found")</f>
        <v>Granola Bar</v>
      </c>
      <c r="C546" s="35">
        <v>45029</v>
      </c>
      <c r="D546" s="34" t="s">
        <v>38</v>
      </c>
      <c r="E546" s="34" t="str" cm="1">
        <f t="array" ref="E546">_xlfn.XLOOKUP(Table2[[#This Row],[Sales Rep]],Sheet1!$A$21:$A$25,Sheet1!$B$21:$B$25,Not Found)</f>
        <v>Tracy Moore</v>
      </c>
      <c r="F546" s="34" t="s">
        <v>21</v>
      </c>
      <c r="G546" s="34">
        <f>_xlfn.XLOOKUP(Table2[[#This Row],[Region]],Sheet1!$A$12:$A$15,Sheet1!$B$12:$B$15,0)</f>
        <v>0.08</v>
      </c>
      <c r="H546" s="36">
        <f>Table2[[#This Row],[Tax Rate]]*Table2[[#This Row],[Sales Amount]]</f>
        <v>731.72080000000005</v>
      </c>
      <c r="I546" s="36">
        <v>9146.51</v>
      </c>
      <c r="J546" s="34">
        <v>36</v>
      </c>
      <c r="K546" s="34" t="s">
        <v>35</v>
      </c>
      <c r="L546" s="36">
        <v>3951.59</v>
      </c>
      <c r="M546" s="36">
        <v>4387.01</v>
      </c>
      <c r="N546" s="34" t="s">
        <v>30</v>
      </c>
      <c r="O546" s="37">
        <v>7.0000000000000007E-2</v>
      </c>
      <c r="P546" s="34" t="s">
        <v>27</v>
      </c>
      <c r="Q546" s="34" t="s">
        <v>22</v>
      </c>
      <c r="R546" s="34" t="str">
        <f>IF(Cleaned_Final!$I546&gt;=5000,"High","Low")</f>
        <v>High</v>
      </c>
    </row>
    <row r="547" spans="1:18" x14ac:dyDescent="0.35">
      <c r="A547" s="38">
        <v>1084</v>
      </c>
      <c r="B547" s="38" t="str">
        <f>_xlfn.XLOOKUP(Table2[[#This Row],[Product ID]],Sheet1!$A$32:$A$200,Sheet1!$B$32:$B$200,"Not Found")</f>
        <v>Card Table</v>
      </c>
      <c r="C547" s="39">
        <v>45199</v>
      </c>
      <c r="D547" s="38" t="s">
        <v>42</v>
      </c>
      <c r="E547" s="38" t="str" cm="1">
        <f t="array" ref="E547">_xlfn.XLOOKUP(Table2[[#This Row],[Sales Rep]],Sheet1!$A$21:$A$25,Sheet1!$B$21:$B$25,Not Found)</f>
        <v>Scott Wayne</v>
      </c>
      <c r="F547" s="38" t="s">
        <v>34</v>
      </c>
      <c r="G547" s="38">
        <f>_xlfn.XLOOKUP(Table2[[#This Row],[Region]],Sheet1!$A$12:$A$15,Sheet1!$B$12:$B$15,0)</f>
        <v>0.06</v>
      </c>
      <c r="H547" s="40">
        <f>Table2[[#This Row],[Tax Rate]]*Table2[[#This Row],[Sales Amount]]</f>
        <v>571.97220000000004</v>
      </c>
      <c r="I547" s="40">
        <v>9532.8700000000008</v>
      </c>
      <c r="J547" s="38">
        <v>30</v>
      </c>
      <c r="K547" s="38" t="s">
        <v>26</v>
      </c>
      <c r="L547" s="40">
        <v>169</v>
      </c>
      <c r="M547" s="40">
        <v>381.91999999999899</v>
      </c>
      <c r="N547" s="38" t="s">
        <v>17</v>
      </c>
      <c r="O547" s="41">
        <v>0.26</v>
      </c>
      <c r="P547" s="38" t="s">
        <v>18</v>
      </c>
      <c r="Q547" s="38" t="s">
        <v>22</v>
      </c>
      <c r="R547" s="38" t="str">
        <f>IF(Cleaned_Final!$I547&gt;=5000,"High","Low")</f>
        <v>High</v>
      </c>
    </row>
    <row r="548" spans="1:18" x14ac:dyDescent="0.35">
      <c r="A548" s="34">
        <v>1024</v>
      </c>
      <c r="B548" s="34" t="str">
        <f>_xlfn.XLOOKUP(Table2[[#This Row],[Product ID]],Sheet1!$A$32:$A$200,Sheet1!$B$32:$B$200,"Not Found")</f>
        <v>Pasta Pack</v>
      </c>
      <c r="C548" s="35">
        <v>44940</v>
      </c>
      <c r="D548" s="34" t="s">
        <v>14</v>
      </c>
      <c r="E548" s="34" t="str" cm="1">
        <f t="array" ref="E548">_xlfn.XLOOKUP(Table2[[#This Row],[Sales Rep]],Sheet1!$A$21:$A$25,Sheet1!$B$21:$B$25,Not Found)</f>
        <v>Michael Smith</v>
      </c>
      <c r="F548" s="34" t="s">
        <v>25</v>
      </c>
      <c r="G548" s="34">
        <f>_xlfn.XLOOKUP(Table2[[#This Row],[Region]],Sheet1!$A$12:$A$15,Sheet1!$B$12:$B$15,0)</f>
        <v>0.05</v>
      </c>
      <c r="H548" s="36">
        <f>Table2[[#This Row],[Tax Rate]]*Table2[[#This Row],[Sales Amount]]</f>
        <v>166.73750000000001</v>
      </c>
      <c r="I548" s="36">
        <v>3334.75</v>
      </c>
      <c r="J548" s="34">
        <v>45</v>
      </c>
      <c r="K548" s="34" t="s">
        <v>29</v>
      </c>
      <c r="L548" s="36">
        <v>2693.99</v>
      </c>
      <c r="M548" s="36">
        <v>3045.9399999999901</v>
      </c>
      <c r="N548" s="34" t="s">
        <v>30</v>
      </c>
      <c r="O548" s="37">
        <v>0.01</v>
      </c>
      <c r="P548" s="34" t="s">
        <v>18</v>
      </c>
      <c r="Q548" s="34" t="s">
        <v>22</v>
      </c>
      <c r="R548" s="34" t="str">
        <f>IF(Cleaned_Final!$I548&gt;=5000,"High","Low")</f>
        <v>Low</v>
      </c>
    </row>
    <row r="549" spans="1:18" x14ac:dyDescent="0.35">
      <c r="A549" s="38">
        <v>1012</v>
      </c>
      <c r="B549" s="38" t="str">
        <f>_xlfn.XLOOKUP(Table2[[#This Row],[Product ID]],Sheet1!$A$32:$A$200,Sheet1!$B$32:$B$200,"Not Found")</f>
        <v>Cabinet</v>
      </c>
      <c r="C549" s="39">
        <v>45085</v>
      </c>
      <c r="D549" s="38" t="s">
        <v>14</v>
      </c>
      <c r="E549" s="38" t="str" cm="1">
        <f t="array" ref="E549">_xlfn.XLOOKUP(Table2[[#This Row],[Sales Rep]],Sheet1!$A$21:$A$25,Sheet1!$B$21:$B$25,Not Found)</f>
        <v>Michael Smith</v>
      </c>
      <c r="F549" s="38" t="s">
        <v>34</v>
      </c>
      <c r="G549" s="38">
        <f>_xlfn.XLOOKUP(Table2[[#This Row],[Region]],Sheet1!$A$12:$A$15,Sheet1!$B$12:$B$15,0)</f>
        <v>0.06</v>
      </c>
      <c r="H549" s="40">
        <f>Table2[[#This Row],[Tax Rate]]*Table2[[#This Row],[Sales Amount]]</f>
        <v>216.52859999999998</v>
      </c>
      <c r="I549" s="40">
        <v>3608.81</v>
      </c>
      <c r="J549" s="38">
        <v>19</v>
      </c>
      <c r="K549" s="38" t="s">
        <v>16</v>
      </c>
      <c r="L549" s="40">
        <v>3457.28</v>
      </c>
      <c r="M549" s="40">
        <v>3598.72</v>
      </c>
      <c r="N549" s="38" t="s">
        <v>30</v>
      </c>
      <c r="O549" s="41">
        <v>0.27</v>
      </c>
      <c r="P549" s="38" t="s">
        <v>27</v>
      </c>
      <c r="Q549" s="38" t="s">
        <v>19</v>
      </c>
      <c r="R549" s="38" t="str">
        <f>IF(Cleaned_Final!$I549&gt;=5000,"High","Low")</f>
        <v>Low</v>
      </c>
    </row>
    <row r="550" spans="1:18" x14ac:dyDescent="0.35">
      <c r="A550" s="34">
        <v>1050</v>
      </c>
      <c r="B550" s="34" t="str">
        <f>_xlfn.XLOOKUP(Table2[[#This Row],[Product ID]],Sheet1!$A$32:$A$200,Sheet1!$B$32:$B$200,"Not Found")</f>
        <v>Sneakers</v>
      </c>
      <c r="C550" s="35">
        <v>45078</v>
      </c>
      <c r="D550" s="34" t="s">
        <v>14</v>
      </c>
      <c r="E550" s="34" t="str" cm="1">
        <f t="array" ref="E550">_xlfn.XLOOKUP(Table2[[#This Row],[Sales Rep]],Sheet1!$A$21:$A$25,Sheet1!$B$21:$B$25,Not Found)</f>
        <v>Michael Smith</v>
      </c>
      <c r="F550" s="34" t="s">
        <v>25</v>
      </c>
      <c r="G550" s="34">
        <f>_xlfn.XLOOKUP(Table2[[#This Row],[Region]],Sheet1!$A$12:$A$15,Sheet1!$B$12:$B$15,0)</f>
        <v>0.05</v>
      </c>
      <c r="H550" s="36">
        <f>Table2[[#This Row],[Tax Rate]]*Table2[[#This Row],[Sales Amount]]</f>
        <v>255.28899999999999</v>
      </c>
      <c r="I550" s="36">
        <v>5105.78</v>
      </c>
      <c r="J550" s="34">
        <v>23</v>
      </c>
      <c r="K550" s="34" t="s">
        <v>16</v>
      </c>
      <c r="L550" s="36">
        <v>3756.06</v>
      </c>
      <c r="M550" s="36">
        <v>4255.7299999999996</v>
      </c>
      <c r="N550" s="34" t="s">
        <v>17</v>
      </c>
      <c r="O550" s="37">
        <v>0.04</v>
      </c>
      <c r="P550" s="34" t="s">
        <v>18</v>
      </c>
      <c r="Q550" s="34" t="s">
        <v>19</v>
      </c>
      <c r="R550" s="34" t="str">
        <f>IF(Cleaned_Final!$I550&gt;=5000,"High","Low")</f>
        <v>High</v>
      </c>
    </row>
    <row r="551" spans="1:18" x14ac:dyDescent="0.35">
      <c r="A551" s="38">
        <v>1035</v>
      </c>
      <c r="B551" s="38" t="str">
        <f>_xlfn.XLOOKUP(Table2[[#This Row],[Product ID]],Sheet1!$A$32:$A$200,Sheet1!$B$32:$B$200,"Not Found")</f>
        <v>Doughnut</v>
      </c>
      <c r="C551" s="39">
        <v>45034</v>
      </c>
      <c r="D551" s="38" t="s">
        <v>24</v>
      </c>
      <c r="E551" s="38" t="str" cm="1">
        <f t="array" ref="E551">_xlfn.XLOOKUP(Table2[[#This Row],[Sales Rep]],Sheet1!$A$21:$A$25,Sheet1!$B$21:$B$25,Not Found)</f>
        <v>Hogan Rock</v>
      </c>
      <c r="F551" s="38" t="s">
        <v>25</v>
      </c>
      <c r="G551" s="38">
        <f>_xlfn.XLOOKUP(Table2[[#This Row],[Region]],Sheet1!$A$12:$A$15,Sheet1!$B$12:$B$15,0)</f>
        <v>0.05</v>
      </c>
      <c r="H551" s="40">
        <f>Table2[[#This Row],[Tax Rate]]*Table2[[#This Row],[Sales Amount]]</f>
        <v>470.85500000000002</v>
      </c>
      <c r="I551" s="40">
        <v>9417.1</v>
      </c>
      <c r="J551" s="38">
        <v>34</v>
      </c>
      <c r="K551" s="38" t="s">
        <v>26</v>
      </c>
      <c r="L551" s="40">
        <v>1105.05</v>
      </c>
      <c r="M551" s="40">
        <v>1200.96</v>
      </c>
      <c r="N551" s="38" t="s">
        <v>17</v>
      </c>
      <c r="O551" s="41">
        <v>0.19</v>
      </c>
      <c r="P551" s="38" t="s">
        <v>18</v>
      </c>
      <c r="Q551" s="38" t="s">
        <v>19</v>
      </c>
      <c r="R551" s="38" t="str">
        <f>IF(Cleaned_Final!$I551&gt;=5000,"High","Low")</f>
        <v>High</v>
      </c>
    </row>
    <row r="552" spans="1:18" x14ac:dyDescent="0.35">
      <c r="A552" s="34">
        <v>1033</v>
      </c>
      <c r="B552" s="34" t="str">
        <f>_xlfn.XLOOKUP(Table2[[#This Row],[Product ID]],Sheet1!$A$32:$A$200,Sheet1!$B$32:$B$200,"Not Found")</f>
        <v>TV Stand</v>
      </c>
      <c r="C552" s="35">
        <v>45114</v>
      </c>
      <c r="D552" s="34" t="s">
        <v>38</v>
      </c>
      <c r="E552" s="34" t="str" cm="1">
        <f t="array" ref="E552">_xlfn.XLOOKUP(Table2[[#This Row],[Sales Rep]],Sheet1!$A$21:$A$25,Sheet1!$B$21:$B$25,Not Found)</f>
        <v>Tracy Moore</v>
      </c>
      <c r="F552" s="34" t="s">
        <v>34</v>
      </c>
      <c r="G552" s="34">
        <f>_xlfn.XLOOKUP(Table2[[#This Row],[Region]],Sheet1!$A$12:$A$15,Sheet1!$B$12:$B$15,0)</f>
        <v>0.06</v>
      </c>
      <c r="H552" s="36">
        <f>Table2[[#This Row],[Tax Rate]]*Table2[[#This Row],[Sales Amount]]</f>
        <v>526.53359999999998</v>
      </c>
      <c r="I552" s="36">
        <v>8775.56</v>
      </c>
      <c r="J552" s="34">
        <v>13</v>
      </c>
      <c r="K552" s="34" t="s">
        <v>26</v>
      </c>
      <c r="L552" s="36">
        <v>4342.53</v>
      </c>
      <c r="M552" s="36">
        <v>4357.49</v>
      </c>
      <c r="N552" s="34" t="s">
        <v>30</v>
      </c>
      <c r="O552" s="37">
        <v>0.08</v>
      </c>
      <c r="P552" s="34" t="s">
        <v>27</v>
      </c>
      <c r="Q552" s="34" t="s">
        <v>19</v>
      </c>
      <c r="R552" s="34" t="str">
        <f>IF(Cleaned_Final!$I552&gt;=5000,"High","Low")</f>
        <v>High</v>
      </c>
    </row>
    <row r="553" spans="1:18" x14ac:dyDescent="0.35">
      <c r="A553" s="38">
        <v>1033</v>
      </c>
      <c r="B553" s="38" t="str">
        <f>_xlfn.XLOOKUP(Table2[[#This Row],[Product ID]],Sheet1!$A$32:$A$200,Sheet1!$B$32:$B$200,"Not Found")</f>
        <v>TV Stand</v>
      </c>
      <c r="C553" s="39">
        <v>45227</v>
      </c>
      <c r="D553" s="38" t="s">
        <v>24</v>
      </c>
      <c r="E553" s="38" t="str" cm="1">
        <f t="array" ref="E553">_xlfn.XLOOKUP(Table2[[#This Row],[Sales Rep]],Sheet1!$A$21:$A$25,Sheet1!$B$21:$B$25,Not Found)</f>
        <v>Hogan Rock</v>
      </c>
      <c r="F553" s="38" t="s">
        <v>15</v>
      </c>
      <c r="G553" s="38">
        <f>_xlfn.XLOOKUP(Table2[[#This Row],[Region]],Sheet1!$A$12:$A$15,Sheet1!$B$12:$B$15,0)</f>
        <v>7.4999999999999997E-2</v>
      </c>
      <c r="H553" s="40">
        <f>Table2[[#This Row],[Tax Rate]]*Table2[[#This Row],[Sales Amount]]</f>
        <v>83.656500000000008</v>
      </c>
      <c r="I553" s="40">
        <v>1115.42</v>
      </c>
      <c r="J553" s="38">
        <v>43</v>
      </c>
      <c r="K553" s="38" t="s">
        <v>29</v>
      </c>
      <c r="L553" s="40">
        <v>4781.42</v>
      </c>
      <c r="M553" s="40">
        <v>4864.34</v>
      </c>
      <c r="N553" s="38" t="s">
        <v>17</v>
      </c>
      <c r="O553" s="41">
        <v>0.25</v>
      </c>
      <c r="P553" s="38" t="s">
        <v>27</v>
      </c>
      <c r="Q553" s="38" t="s">
        <v>19</v>
      </c>
      <c r="R553" s="38" t="str">
        <f>IF(Cleaned_Final!$I553&gt;=5000,"High","Low")</f>
        <v>Low</v>
      </c>
    </row>
    <row r="554" spans="1:18" x14ac:dyDescent="0.35">
      <c r="A554" s="34">
        <v>1061</v>
      </c>
      <c r="B554" s="34" t="str">
        <f>_xlfn.XLOOKUP(Table2[[#This Row],[Product ID]],Sheet1!$A$32:$A$200,Sheet1!$B$32:$B$200,"Not Found")</f>
        <v>Laptop</v>
      </c>
      <c r="C554" s="35">
        <v>45024</v>
      </c>
      <c r="D554" s="34" t="s">
        <v>33</v>
      </c>
      <c r="E554" s="34" t="str" cm="1">
        <f t="array" ref="E554">_xlfn.XLOOKUP(Table2[[#This Row],[Sales Rep]],Sheet1!$A$21:$A$25,Sheet1!$B$21:$B$25,Not Found)</f>
        <v>Susan Jerkins</v>
      </c>
      <c r="F554" s="34" t="s">
        <v>34</v>
      </c>
      <c r="G554" s="34">
        <f>_xlfn.XLOOKUP(Table2[[#This Row],[Region]],Sheet1!$A$12:$A$15,Sheet1!$B$12:$B$15,0)</f>
        <v>0.06</v>
      </c>
      <c r="H554" s="36">
        <f>Table2[[#This Row],[Tax Rate]]*Table2[[#This Row],[Sales Amount]]</f>
        <v>239.2818</v>
      </c>
      <c r="I554" s="36">
        <v>3988.03</v>
      </c>
      <c r="J554" s="34">
        <v>29</v>
      </c>
      <c r="K554" s="34" t="s">
        <v>29</v>
      </c>
      <c r="L554" s="36">
        <v>1221.74</v>
      </c>
      <c r="M554" s="36">
        <v>1611.92</v>
      </c>
      <c r="N554" s="34" t="s">
        <v>30</v>
      </c>
      <c r="O554" s="37">
        <v>0.15</v>
      </c>
      <c r="P554" s="34" t="s">
        <v>18</v>
      </c>
      <c r="Q554" s="34" t="s">
        <v>22</v>
      </c>
      <c r="R554" s="34" t="str">
        <f>IF(Cleaned_Final!$I554&gt;=5000,"High","Low")</f>
        <v>Low</v>
      </c>
    </row>
    <row r="555" spans="1:18" x14ac:dyDescent="0.35">
      <c r="A555" s="38">
        <v>1051</v>
      </c>
      <c r="B555" s="38" t="str">
        <f>_xlfn.XLOOKUP(Table2[[#This Row],[Product ID]],Sheet1!$A$32:$A$200,Sheet1!$B$32:$B$200,"Not Found")</f>
        <v>Tablet</v>
      </c>
      <c r="C555" s="39">
        <v>45057</v>
      </c>
      <c r="D555" s="38" t="s">
        <v>14</v>
      </c>
      <c r="E555" s="38" t="str" cm="1">
        <f t="array" ref="E555">_xlfn.XLOOKUP(Table2[[#This Row],[Sales Rep]],Sheet1!$A$21:$A$25,Sheet1!$B$21:$B$25,Not Found)</f>
        <v>Michael Smith</v>
      </c>
      <c r="F555" s="38" t="s">
        <v>15</v>
      </c>
      <c r="G555" s="38">
        <f>_xlfn.XLOOKUP(Table2[[#This Row],[Region]],Sheet1!$A$12:$A$15,Sheet1!$B$12:$B$15,0)</f>
        <v>7.4999999999999997E-2</v>
      </c>
      <c r="H555" s="40">
        <f>Table2[[#This Row],[Tax Rate]]*Table2[[#This Row],[Sales Amount]]</f>
        <v>418.37774999999999</v>
      </c>
      <c r="I555" s="40">
        <v>5578.37</v>
      </c>
      <c r="J555" s="38">
        <v>36</v>
      </c>
      <c r="K555" s="38" t="s">
        <v>26</v>
      </c>
      <c r="L555" s="40">
        <v>4418.95</v>
      </c>
      <c r="M555" s="40">
        <v>4647.87</v>
      </c>
      <c r="N555" s="38" t="s">
        <v>30</v>
      </c>
      <c r="O555" s="41">
        <v>0.04</v>
      </c>
      <c r="P555" s="38" t="s">
        <v>27</v>
      </c>
      <c r="Q555" s="38" t="s">
        <v>19</v>
      </c>
      <c r="R555" s="38" t="str">
        <f>IF(Cleaned_Final!$I555&gt;=5000,"High","Low")</f>
        <v>High</v>
      </c>
    </row>
    <row r="556" spans="1:18" x14ac:dyDescent="0.35">
      <c r="A556" s="34">
        <v>1043</v>
      </c>
      <c r="B556" s="34" t="str">
        <f>_xlfn.XLOOKUP(Table2[[#This Row],[Product ID]],Sheet1!$A$32:$A$200,Sheet1!$B$32:$B$200,"Not Found")</f>
        <v>Oven</v>
      </c>
      <c r="C556" s="35">
        <v>45219</v>
      </c>
      <c r="D556" s="34" t="s">
        <v>33</v>
      </c>
      <c r="E556" s="34" t="str" cm="1">
        <f t="array" ref="E556">_xlfn.XLOOKUP(Table2[[#This Row],[Sales Rep]],Sheet1!$A$21:$A$25,Sheet1!$B$21:$B$25,Not Found)</f>
        <v>Susan Jerkins</v>
      </c>
      <c r="F556" s="34" t="s">
        <v>25</v>
      </c>
      <c r="G556" s="34">
        <f>_xlfn.XLOOKUP(Table2[[#This Row],[Region]],Sheet1!$A$12:$A$15,Sheet1!$B$12:$B$15,0)</f>
        <v>0.05</v>
      </c>
      <c r="H556" s="36">
        <f>Table2[[#This Row],[Tax Rate]]*Table2[[#This Row],[Sales Amount]]</f>
        <v>254.05050000000003</v>
      </c>
      <c r="I556" s="36">
        <v>5081.01</v>
      </c>
      <c r="J556" s="34">
        <v>22</v>
      </c>
      <c r="K556" s="34" t="s">
        <v>26</v>
      </c>
      <c r="L556" s="36">
        <v>530.04</v>
      </c>
      <c r="M556" s="36">
        <v>759.31999999999903</v>
      </c>
      <c r="N556" s="34" t="s">
        <v>17</v>
      </c>
      <c r="O556" s="37">
        <v>0.17</v>
      </c>
      <c r="P556" s="34" t="s">
        <v>27</v>
      </c>
      <c r="Q556" s="34" t="s">
        <v>22</v>
      </c>
      <c r="R556" s="34" t="str">
        <f>IF(Cleaned_Final!$I556&gt;=5000,"High","Low")</f>
        <v>High</v>
      </c>
    </row>
    <row r="557" spans="1:18" x14ac:dyDescent="0.35">
      <c r="A557" s="38">
        <v>1012</v>
      </c>
      <c r="B557" s="38" t="str">
        <f>_xlfn.XLOOKUP(Table2[[#This Row],[Product ID]],Sheet1!$A$32:$A$200,Sheet1!$B$32:$B$200,"Not Found")</f>
        <v>Cabinet</v>
      </c>
      <c r="C557" s="39">
        <v>45097</v>
      </c>
      <c r="D557" s="38" t="s">
        <v>42</v>
      </c>
      <c r="E557" s="38" t="str" cm="1">
        <f t="array" ref="E557">_xlfn.XLOOKUP(Table2[[#This Row],[Sales Rep]],Sheet1!$A$21:$A$25,Sheet1!$B$21:$B$25,Not Found)</f>
        <v>Scott Wayne</v>
      </c>
      <c r="F557" s="38" t="s">
        <v>25</v>
      </c>
      <c r="G557" s="38">
        <f>_xlfn.XLOOKUP(Table2[[#This Row],[Region]],Sheet1!$A$12:$A$15,Sheet1!$B$12:$B$15,0)</f>
        <v>0.05</v>
      </c>
      <c r="H557" s="40">
        <f>Table2[[#This Row],[Tax Rate]]*Table2[[#This Row],[Sales Amount]]</f>
        <v>100.962</v>
      </c>
      <c r="I557" s="40">
        <v>2019.24</v>
      </c>
      <c r="J557" s="38">
        <v>47</v>
      </c>
      <c r="K557" s="38" t="s">
        <v>29</v>
      </c>
      <c r="L557" s="40">
        <v>325.75</v>
      </c>
      <c r="M557" s="40">
        <v>803.71</v>
      </c>
      <c r="N557" s="38" t="s">
        <v>30</v>
      </c>
      <c r="O557" s="41">
        <v>0.12</v>
      </c>
      <c r="P557" s="38" t="s">
        <v>27</v>
      </c>
      <c r="Q557" s="38" t="s">
        <v>22</v>
      </c>
      <c r="R557" s="38" t="str">
        <f>IF(Cleaned_Final!$I557&gt;=5000,"High","Low")</f>
        <v>Low</v>
      </c>
    </row>
    <row r="558" spans="1:18" x14ac:dyDescent="0.35">
      <c r="A558" s="34">
        <v>1067</v>
      </c>
      <c r="B558" s="34" t="str">
        <f>_xlfn.XLOOKUP(Table2[[#This Row],[Product ID]],Sheet1!$A$32:$A$200,Sheet1!$B$32:$B$200,"Not Found")</f>
        <v>Grapes</v>
      </c>
      <c r="C558" s="35">
        <v>45109</v>
      </c>
      <c r="D558" s="34" t="s">
        <v>42</v>
      </c>
      <c r="E558" s="34" t="str" cm="1">
        <f t="array" ref="E558">_xlfn.XLOOKUP(Table2[[#This Row],[Sales Rep]],Sheet1!$A$21:$A$25,Sheet1!$B$21:$B$25,Not Found)</f>
        <v>Scott Wayne</v>
      </c>
      <c r="F558" s="34" t="s">
        <v>15</v>
      </c>
      <c r="G558" s="34">
        <f>_xlfn.XLOOKUP(Table2[[#This Row],[Region]],Sheet1!$A$12:$A$15,Sheet1!$B$12:$B$15,0)</f>
        <v>7.4999999999999997E-2</v>
      </c>
      <c r="H558" s="36">
        <f>Table2[[#This Row],[Tax Rate]]*Table2[[#This Row],[Sales Amount]]</f>
        <v>645.17175000000009</v>
      </c>
      <c r="I558" s="36">
        <v>8602.2900000000009</v>
      </c>
      <c r="J558" s="34">
        <v>36</v>
      </c>
      <c r="K558" s="34" t="s">
        <v>35</v>
      </c>
      <c r="L558" s="36">
        <v>689.66</v>
      </c>
      <c r="M558" s="36">
        <v>1150.28</v>
      </c>
      <c r="N558" s="34" t="s">
        <v>30</v>
      </c>
      <c r="O558" s="37">
        <v>0.2</v>
      </c>
      <c r="P558" s="34" t="s">
        <v>27</v>
      </c>
      <c r="Q558" s="34" t="s">
        <v>19</v>
      </c>
      <c r="R558" s="34" t="str">
        <f>IF(Cleaned_Final!$I558&gt;=5000,"High","Low")</f>
        <v>High</v>
      </c>
    </row>
    <row r="559" spans="1:18" x14ac:dyDescent="0.35">
      <c r="A559" s="38">
        <v>1065</v>
      </c>
      <c r="B559" s="38" t="str">
        <f>_xlfn.XLOOKUP(Table2[[#This Row],[Product ID]],Sheet1!$A$32:$A$200,Sheet1!$B$32:$B$200,"Not Found")</f>
        <v>Potatoes</v>
      </c>
      <c r="C559" s="39">
        <v>45290</v>
      </c>
      <c r="D559" s="38" t="s">
        <v>24</v>
      </c>
      <c r="E559" s="38" t="str" cm="1">
        <f t="array" ref="E559">_xlfn.XLOOKUP(Table2[[#This Row],[Sales Rep]],Sheet1!$A$21:$A$25,Sheet1!$B$21:$B$25,Not Found)</f>
        <v>Hogan Rock</v>
      </c>
      <c r="F559" s="38" t="s">
        <v>25</v>
      </c>
      <c r="G559" s="38">
        <f>_xlfn.XLOOKUP(Table2[[#This Row],[Region]],Sheet1!$A$12:$A$15,Sheet1!$B$12:$B$15,0)</f>
        <v>0.05</v>
      </c>
      <c r="H559" s="40">
        <f>Table2[[#This Row],[Tax Rate]]*Table2[[#This Row],[Sales Amount]]</f>
        <v>340.08550000000002</v>
      </c>
      <c r="I559" s="40">
        <v>6801.71</v>
      </c>
      <c r="J559" s="38">
        <v>9</v>
      </c>
      <c r="K559" s="38" t="s">
        <v>29</v>
      </c>
      <c r="L559" s="40">
        <v>335.82</v>
      </c>
      <c r="M559" s="40">
        <v>498.31</v>
      </c>
      <c r="N559" s="38" t="s">
        <v>30</v>
      </c>
      <c r="O559" s="41">
        <v>0.26</v>
      </c>
      <c r="P559" s="38" t="s">
        <v>18</v>
      </c>
      <c r="Q559" s="38" t="s">
        <v>22</v>
      </c>
      <c r="R559" s="38" t="str">
        <f>IF(Cleaned_Final!$I559&gt;=5000,"High","Low")</f>
        <v>High</v>
      </c>
    </row>
    <row r="560" spans="1:18" x14ac:dyDescent="0.35">
      <c r="A560" s="34">
        <v>1033</v>
      </c>
      <c r="B560" s="34" t="str">
        <f>_xlfn.XLOOKUP(Table2[[#This Row],[Product ID]],Sheet1!$A$32:$A$200,Sheet1!$B$32:$B$200,"Not Found")</f>
        <v>TV Stand</v>
      </c>
      <c r="C560" s="35">
        <v>44965</v>
      </c>
      <c r="D560" s="34" t="s">
        <v>38</v>
      </c>
      <c r="E560" s="34" t="str" cm="1">
        <f t="array" ref="E560">_xlfn.XLOOKUP(Table2[[#This Row],[Sales Rep]],Sheet1!$A$21:$A$25,Sheet1!$B$21:$B$25,Not Found)</f>
        <v>Tracy Moore</v>
      </c>
      <c r="F560" s="34" t="s">
        <v>15</v>
      </c>
      <c r="G560" s="34">
        <f>_xlfn.XLOOKUP(Table2[[#This Row],[Region]],Sheet1!$A$12:$A$15,Sheet1!$B$12:$B$15,0)</f>
        <v>7.4999999999999997E-2</v>
      </c>
      <c r="H560" s="36">
        <f>Table2[[#This Row],[Tax Rate]]*Table2[[#This Row],[Sales Amount]]</f>
        <v>629.64675</v>
      </c>
      <c r="I560" s="36">
        <v>8395.2900000000009</v>
      </c>
      <c r="J560" s="34">
        <v>39</v>
      </c>
      <c r="K560" s="34" t="s">
        <v>35</v>
      </c>
      <c r="L560" s="36">
        <v>4232.8100000000004</v>
      </c>
      <c r="M560" s="36">
        <v>4345.25</v>
      </c>
      <c r="N560" s="34" t="s">
        <v>17</v>
      </c>
      <c r="O560" s="37">
        <v>0.12</v>
      </c>
      <c r="P560" s="34" t="s">
        <v>27</v>
      </c>
      <c r="Q560" s="34" t="s">
        <v>19</v>
      </c>
      <c r="R560" s="34" t="str">
        <f>IF(Cleaned_Final!$I560&gt;=5000,"High","Low")</f>
        <v>High</v>
      </c>
    </row>
    <row r="561" spans="1:18" x14ac:dyDescent="0.35">
      <c r="A561" s="38">
        <v>1040</v>
      </c>
      <c r="B561" s="38" t="str">
        <f>_xlfn.XLOOKUP(Table2[[#This Row],[Product ID]],Sheet1!$A$32:$A$200,Sheet1!$B$32:$B$200,"Not Found")</f>
        <v>Cap</v>
      </c>
      <c r="C561" s="39">
        <v>44941</v>
      </c>
      <c r="D561" s="38" t="s">
        <v>33</v>
      </c>
      <c r="E561" s="38" t="str" cm="1">
        <f t="array" ref="E561">_xlfn.XLOOKUP(Table2[[#This Row],[Sales Rep]],Sheet1!$A$21:$A$25,Sheet1!$B$21:$B$25,Not Found)</f>
        <v>Susan Jerkins</v>
      </c>
      <c r="F561" s="38" t="s">
        <v>15</v>
      </c>
      <c r="G561" s="38">
        <f>_xlfn.XLOOKUP(Table2[[#This Row],[Region]],Sheet1!$A$12:$A$15,Sheet1!$B$12:$B$15,0)</f>
        <v>7.4999999999999997E-2</v>
      </c>
      <c r="H561" s="40">
        <f>Table2[[#This Row],[Tax Rate]]*Table2[[#This Row],[Sales Amount]]</f>
        <v>645.13274999999999</v>
      </c>
      <c r="I561" s="40">
        <v>8601.77</v>
      </c>
      <c r="J561" s="38">
        <v>19</v>
      </c>
      <c r="K561" s="38" t="s">
        <v>16</v>
      </c>
      <c r="L561" s="40">
        <v>342.3</v>
      </c>
      <c r="M561" s="40">
        <v>768.06</v>
      </c>
      <c r="N561" s="38" t="s">
        <v>17</v>
      </c>
      <c r="O561" s="41">
        <v>0.09</v>
      </c>
      <c r="P561" s="38" t="s">
        <v>31</v>
      </c>
      <c r="Q561" s="38" t="s">
        <v>19</v>
      </c>
      <c r="R561" s="38" t="str">
        <f>IF(Cleaned_Final!$I561&gt;=5000,"High","Low")</f>
        <v>High</v>
      </c>
    </row>
    <row r="562" spans="1:18" x14ac:dyDescent="0.35">
      <c r="A562" s="34">
        <v>1074</v>
      </c>
      <c r="B562" s="34" t="str">
        <f>_xlfn.XLOOKUP(Table2[[#This Row],[Product ID]],Sheet1!$A$32:$A$200,Sheet1!$B$32:$B$200,"Not Found")</f>
        <v>French Fries</v>
      </c>
      <c r="C562" s="35">
        <v>44930</v>
      </c>
      <c r="D562" s="34" t="s">
        <v>38</v>
      </c>
      <c r="E562" s="34" t="str" cm="1">
        <f t="array" ref="E562">_xlfn.XLOOKUP(Table2[[#This Row],[Sales Rep]],Sheet1!$A$21:$A$25,Sheet1!$B$21:$B$25,Not Found)</f>
        <v>Tracy Moore</v>
      </c>
      <c r="F562" s="34" t="s">
        <v>25</v>
      </c>
      <c r="G562" s="34">
        <f>_xlfn.XLOOKUP(Table2[[#This Row],[Region]],Sheet1!$A$12:$A$15,Sheet1!$B$12:$B$15,0)</f>
        <v>0.05</v>
      </c>
      <c r="H562" s="36">
        <f>Table2[[#This Row],[Tax Rate]]*Table2[[#This Row],[Sales Amount]]</f>
        <v>375.43600000000004</v>
      </c>
      <c r="I562" s="36">
        <v>7508.72</v>
      </c>
      <c r="J562" s="34">
        <v>38</v>
      </c>
      <c r="K562" s="34" t="s">
        <v>16</v>
      </c>
      <c r="L562" s="36">
        <v>1394.74</v>
      </c>
      <c r="M562" s="36">
        <v>1848.69</v>
      </c>
      <c r="N562" s="34" t="s">
        <v>17</v>
      </c>
      <c r="O562" s="37">
        <v>0</v>
      </c>
      <c r="P562" s="34" t="s">
        <v>27</v>
      </c>
      <c r="Q562" s="34" t="s">
        <v>22</v>
      </c>
      <c r="R562" s="34" t="str">
        <f>IF(Cleaned_Final!$I562&gt;=5000,"High","Low")</f>
        <v>High</v>
      </c>
    </row>
    <row r="563" spans="1:18" x14ac:dyDescent="0.35">
      <c r="A563" s="38">
        <v>1043</v>
      </c>
      <c r="B563" s="38" t="str">
        <f>_xlfn.XLOOKUP(Table2[[#This Row],[Product ID]],Sheet1!$A$32:$A$200,Sheet1!$B$32:$B$200,"Not Found")</f>
        <v>Oven</v>
      </c>
      <c r="C563" s="39">
        <v>45275</v>
      </c>
      <c r="D563" s="38" t="s">
        <v>24</v>
      </c>
      <c r="E563" s="38" t="str" cm="1">
        <f t="array" ref="E563">_xlfn.XLOOKUP(Table2[[#This Row],[Sales Rep]],Sheet1!$A$21:$A$25,Sheet1!$B$21:$B$25,Not Found)</f>
        <v>Hogan Rock</v>
      </c>
      <c r="F563" s="38" t="s">
        <v>21</v>
      </c>
      <c r="G563" s="38">
        <f>_xlfn.XLOOKUP(Table2[[#This Row],[Region]],Sheet1!$A$12:$A$15,Sheet1!$B$12:$B$15,0)</f>
        <v>0.08</v>
      </c>
      <c r="H563" s="40">
        <f>Table2[[#This Row],[Tax Rate]]*Table2[[#This Row],[Sales Amount]]</f>
        <v>355.85440000000006</v>
      </c>
      <c r="I563" s="40">
        <v>4448.18</v>
      </c>
      <c r="J563" s="38">
        <v>6</v>
      </c>
      <c r="K563" s="38" t="s">
        <v>29</v>
      </c>
      <c r="L563" s="40">
        <v>563.59</v>
      </c>
      <c r="M563" s="40">
        <v>838.97</v>
      </c>
      <c r="N563" s="38" t="s">
        <v>30</v>
      </c>
      <c r="O563" s="41">
        <v>0.17</v>
      </c>
      <c r="P563" s="38" t="s">
        <v>31</v>
      </c>
      <c r="Q563" s="38" t="s">
        <v>19</v>
      </c>
      <c r="R563" s="38" t="str">
        <f>IF(Cleaned_Final!$I563&gt;=5000,"High","Low")</f>
        <v>Low</v>
      </c>
    </row>
    <row r="564" spans="1:18" x14ac:dyDescent="0.35">
      <c r="A564" s="34">
        <v>1044</v>
      </c>
      <c r="B564" s="34" t="str">
        <f>_xlfn.XLOOKUP(Table2[[#This Row],[Product ID]],Sheet1!$A$32:$A$200,Sheet1!$B$32:$B$200,"Not Found")</f>
        <v>Burger</v>
      </c>
      <c r="C564" s="35">
        <v>45136</v>
      </c>
      <c r="D564" s="34" t="s">
        <v>42</v>
      </c>
      <c r="E564" s="34" t="str" cm="1">
        <f t="array" ref="E564">_xlfn.XLOOKUP(Table2[[#This Row],[Sales Rep]],Sheet1!$A$21:$A$25,Sheet1!$B$21:$B$25,Not Found)</f>
        <v>Scott Wayne</v>
      </c>
      <c r="F564" s="34" t="s">
        <v>15</v>
      </c>
      <c r="G564" s="34">
        <f>_xlfn.XLOOKUP(Table2[[#This Row],[Region]],Sheet1!$A$12:$A$15,Sheet1!$B$12:$B$15,0)</f>
        <v>7.4999999999999997E-2</v>
      </c>
      <c r="H564" s="36">
        <f>Table2[[#This Row],[Tax Rate]]*Table2[[#This Row],[Sales Amount]]</f>
        <v>460.83074999999997</v>
      </c>
      <c r="I564" s="36">
        <v>6144.41</v>
      </c>
      <c r="J564" s="34">
        <v>47</v>
      </c>
      <c r="K564" s="34" t="s">
        <v>35</v>
      </c>
      <c r="L564" s="36">
        <v>1512.34</v>
      </c>
      <c r="M564" s="36">
        <v>1830.76</v>
      </c>
      <c r="N564" s="34" t="s">
        <v>30</v>
      </c>
      <c r="O564" s="37">
        <v>0.12</v>
      </c>
      <c r="P564" s="34" t="s">
        <v>27</v>
      </c>
      <c r="Q564" s="34" t="s">
        <v>19</v>
      </c>
      <c r="R564" s="34" t="str">
        <f>IF(Cleaned_Final!$I564&gt;=5000,"High","Low")</f>
        <v>High</v>
      </c>
    </row>
    <row r="565" spans="1:18" x14ac:dyDescent="0.35">
      <c r="A565" s="38">
        <v>1029</v>
      </c>
      <c r="B565" s="38" t="str">
        <f>_xlfn.XLOOKUP(Table2[[#This Row],[Product ID]],Sheet1!$A$32:$A$200,Sheet1!$B$32:$B$200,"Not Found")</f>
        <v>Camisole</v>
      </c>
      <c r="C565" s="39">
        <v>45087</v>
      </c>
      <c r="D565" s="38" t="s">
        <v>38</v>
      </c>
      <c r="E565" s="38" t="str" cm="1">
        <f t="array" ref="E565">_xlfn.XLOOKUP(Table2[[#This Row],[Sales Rep]],Sheet1!$A$21:$A$25,Sheet1!$B$21:$B$25,Not Found)</f>
        <v>Tracy Moore</v>
      </c>
      <c r="F565" s="38" t="s">
        <v>34</v>
      </c>
      <c r="G565" s="38">
        <f>_xlfn.XLOOKUP(Table2[[#This Row],[Region]],Sheet1!$A$12:$A$15,Sheet1!$B$12:$B$15,0)</f>
        <v>0.06</v>
      </c>
      <c r="H565" s="40">
        <f>Table2[[#This Row],[Tax Rate]]*Table2[[#This Row],[Sales Amount]]</f>
        <v>101.25719999999998</v>
      </c>
      <c r="I565" s="40">
        <v>1687.62</v>
      </c>
      <c r="J565" s="38">
        <v>15</v>
      </c>
      <c r="K565" s="38" t="s">
        <v>29</v>
      </c>
      <c r="L565" s="40">
        <v>498.27</v>
      </c>
      <c r="M565" s="40">
        <v>634.16</v>
      </c>
      <c r="N565" s="38" t="s">
        <v>17</v>
      </c>
      <c r="O565" s="41">
        <v>0.11</v>
      </c>
      <c r="P565" s="38" t="s">
        <v>31</v>
      </c>
      <c r="Q565" s="38" t="s">
        <v>22</v>
      </c>
      <c r="R565" s="38" t="str">
        <f>IF(Cleaned_Final!$I565&gt;=5000,"High","Low")</f>
        <v>Low</v>
      </c>
    </row>
    <row r="566" spans="1:18" x14ac:dyDescent="0.35">
      <c r="A566" s="34">
        <v>1013</v>
      </c>
      <c r="B566" s="34" t="str">
        <f>_xlfn.XLOOKUP(Table2[[#This Row],[Product ID]],Sheet1!$A$32:$A$200,Sheet1!$B$32:$B$200,"Not Found")</f>
        <v>Gas Cooker</v>
      </c>
      <c r="C566" s="35">
        <v>44942</v>
      </c>
      <c r="D566" s="34" t="s">
        <v>38</v>
      </c>
      <c r="E566" s="34" t="str" cm="1">
        <f t="array" ref="E566">_xlfn.XLOOKUP(Table2[[#This Row],[Sales Rep]],Sheet1!$A$21:$A$25,Sheet1!$B$21:$B$25,Not Found)</f>
        <v>Tracy Moore</v>
      </c>
      <c r="F566" s="34" t="s">
        <v>34</v>
      </c>
      <c r="G566" s="34">
        <f>_xlfn.XLOOKUP(Table2[[#This Row],[Region]],Sheet1!$A$12:$A$15,Sheet1!$B$12:$B$15,0)</f>
        <v>0.06</v>
      </c>
      <c r="H566" s="36">
        <f>Table2[[#This Row],[Tax Rate]]*Table2[[#This Row],[Sales Amount]]</f>
        <v>406.1454</v>
      </c>
      <c r="I566" s="36">
        <v>6769.09</v>
      </c>
      <c r="J566" s="34">
        <v>20</v>
      </c>
      <c r="K566" s="34" t="s">
        <v>29</v>
      </c>
      <c r="L566" s="36">
        <v>3356.62</v>
      </c>
      <c r="M566" s="36">
        <v>3759.0099999999902</v>
      </c>
      <c r="N566" s="34" t="s">
        <v>17</v>
      </c>
      <c r="O566" s="37">
        <v>0.05</v>
      </c>
      <c r="P566" s="34" t="s">
        <v>31</v>
      </c>
      <c r="Q566" s="34" t="s">
        <v>22</v>
      </c>
      <c r="R566" s="34" t="str">
        <f>IF(Cleaned_Final!$I566&gt;=5000,"High","Low")</f>
        <v>High</v>
      </c>
    </row>
    <row r="567" spans="1:18" x14ac:dyDescent="0.35">
      <c r="A567" s="38">
        <v>1012</v>
      </c>
      <c r="B567" s="38" t="str">
        <f>_xlfn.XLOOKUP(Table2[[#This Row],[Product ID]],Sheet1!$A$32:$A$200,Sheet1!$B$32:$B$200,"Not Found")</f>
        <v>Cabinet</v>
      </c>
      <c r="C567" s="39">
        <v>45034</v>
      </c>
      <c r="D567" s="38" t="s">
        <v>42</v>
      </c>
      <c r="E567" s="38" t="str" cm="1">
        <f t="array" ref="E567">_xlfn.XLOOKUP(Table2[[#This Row],[Sales Rep]],Sheet1!$A$21:$A$25,Sheet1!$B$21:$B$25,Not Found)</f>
        <v>Scott Wayne</v>
      </c>
      <c r="F567" s="38" t="s">
        <v>25</v>
      </c>
      <c r="G567" s="38">
        <f>_xlfn.XLOOKUP(Table2[[#This Row],[Region]],Sheet1!$A$12:$A$15,Sheet1!$B$12:$B$15,0)</f>
        <v>0.05</v>
      </c>
      <c r="H567" s="40">
        <f>Table2[[#This Row],[Tax Rate]]*Table2[[#This Row],[Sales Amount]]</f>
        <v>93.730500000000006</v>
      </c>
      <c r="I567" s="40">
        <v>1874.61</v>
      </c>
      <c r="J567" s="38">
        <v>9</v>
      </c>
      <c r="K567" s="38" t="s">
        <v>35</v>
      </c>
      <c r="L567" s="40">
        <v>709.97</v>
      </c>
      <c r="M567" s="40">
        <v>1029.71</v>
      </c>
      <c r="N567" s="38" t="s">
        <v>17</v>
      </c>
      <c r="O567" s="41">
        <v>0.13</v>
      </c>
      <c r="P567" s="38" t="s">
        <v>27</v>
      </c>
      <c r="Q567" s="38" t="s">
        <v>22</v>
      </c>
      <c r="R567" s="38" t="str">
        <f>IF(Cleaned_Final!$I567&gt;=5000,"High","Low")</f>
        <v>Low</v>
      </c>
    </row>
    <row r="568" spans="1:18" x14ac:dyDescent="0.35">
      <c r="A568" s="34">
        <v>1095</v>
      </c>
      <c r="B568" s="34" t="str">
        <f>_xlfn.XLOOKUP(Table2[[#This Row],[Product ID]],Sheet1!$A$32:$A$200,Sheet1!$B$32:$B$200,"Not Found")</f>
        <v>Bluetooth Speaker</v>
      </c>
      <c r="C568" s="35">
        <v>45237</v>
      </c>
      <c r="D568" s="34" t="s">
        <v>33</v>
      </c>
      <c r="E568" s="34" t="str" cm="1">
        <f t="array" ref="E568">_xlfn.XLOOKUP(Table2[[#This Row],[Sales Rep]],Sheet1!$A$21:$A$25,Sheet1!$B$21:$B$25,Not Found)</f>
        <v>Susan Jerkins</v>
      </c>
      <c r="F568" s="34" t="s">
        <v>21</v>
      </c>
      <c r="G568" s="34">
        <f>_xlfn.XLOOKUP(Table2[[#This Row],[Region]],Sheet1!$A$12:$A$15,Sheet1!$B$12:$B$15,0)</f>
        <v>0.08</v>
      </c>
      <c r="H568" s="36">
        <f>Table2[[#This Row],[Tax Rate]]*Table2[[#This Row],[Sales Amount]]</f>
        <v>557.60800000000006</v>
      </c>
      <c r="I568" s="36">
        <v>6970.1</v>
      </c>
      <c r="J568" s="34">
        <v>32</v>
      </c>
      <c r="K568" s="34" t="s">
        <v>29</v>
      </c>
      <c r="L568" s="36">
        <v>4266.6400000000003</v>
      </c>
      <c r="M568" s="36">
        <v>4523.3599999999997</v>
      </c>
      <c r="N568" s="34" t="s">
        <v>30</v>
      </c>
      <c r="O568" s="37">
        <v>0.3</v>
      </c>
      <c r="P568" s="34" t="s">
        <v>27</v>
      </c>
      <c r="Q568" s="34" t="s">
        <v>22</v>
      </c>
      <c r="R568" s="34" t="str">
        <f>IF(Cleaned_Final!$I568&gt;=5000,"High","Low")</f>
        <v>High</v>
      </c>
    </row>
    <row r="569" spans="1:18" x14ac:dyDescent="0.35">
      <c r="A569" s="38">
        <v>1046</v>
      </c>
      <c r="B569" s="38" t="str">
        <f>_xlfn.XLOOKUP(Table2[[#This Row],[Product ID]],Sheet1!$A$32:$A$200,Sheet1!$B$32:$B$200,"Not Found")</f>
        <v>Sweat Shirts</v>
      </c>
      <c r="C569" s="39">
        <v>45153</v>
      </c>
      <c r="D569" s="38" t="s">
        <v>42</v>
      </c>
      <c r="E569" s="38" t="str" cm="1">
        <f t="array" ref="E569">_xlfn.XLOOKUP(Table2[[#This Row],[Sales Rep]],Sheet1!$A$21:$A$25,Sheet1!$B$21:$B$25,Not Found)</f>
        <v>Scott Wayne</v>
      </c>
      <c r="F569" s="38" t="s">
        <v>25</v>
      </c>
      <c r="G569" s="38">
        <f>_xlfn.XLOOKUP(Table2[[#This Row],[Region]],Sheet1!$A$12:$A$15,Sheet1!$B$12:$B$15,0)</f>
        <v>0.05</v>
      </c>
      <c r="H569" s="40">
        <f>Table2[[#This Row],[Tax Rate]]*Table2[[#This Row],[Sales Amount]]</f>
        <v>118.65100000000001</v>
      </c>
      <c r="I569" s="40">
        <v>2373.02</v>
      </c>
      <c r="J569" s="38">
        <v>4</v>
      </c>
      <c r="K569" s="38" t="s">
        <v>16</v>
      </c>
      <c r="L569" s="40">
        <v>4095.1</v>
      </c>
      <c r="M569" s="40">
        <v>4134.55</v>
      </c>
      <c r="N569" s="38" t="s">
        <v>17</v>
      </c>
      <c r="O569" s="41">
        <v>0.09</v>
      </c>
      <c r="P569" s="38" t="s">
        <v>27</v>
      </c>
      <c r="Q569" s="38" t="s">
        <v>22</v>
      </c>
      <c r="R569" s="38" t="str">
        <f>IF(Cleaned_Final!$I569&gt;=5000,"High","Low")</f>
        <v>Low</v>
      </c>
    </row>
    <row r="570" spans="1:18" x14ac:dyDescent="0.35">
      <c r="A570" s="34">
        <v>1002</v>
      </c>
      <c r="B570" s="34" t="str">
        <f>_xlfn.XLOOKUP(Table2[[#This Row],[Product ID]],Sheet1!$A$32:$A$200,Sheet1!$B$32:$B$200,"Not Found")</f>
        <v>Bench</v>
      </c>
      <c r="C570" s="35">
        <v>45096</v>
      </c>
      <c r="D570" s="34" t="s">
        <v>38</v>
      </c>
      <c r="E570" s="34" t="str" cm="1">
        <f t="array" ref="E570">_xlfn.XLOOKUP(Table2[[#This Row],[Sales Rep]],Sheet1!$A$21:$A$25,Sheet1!$B$21:$B$25,Not Found)</f>
        <v>Tracy Moore</v>
      </c>
      <c r="F570" s="34" t="s">
        <v>21</v>
      </c>
      <c r="G570" s="34">
        <f>_xlfn.XLOOKUP(Table2[[#This Row],[Region]],Sheet1!$A$12:$A$15,Sheet1!$B$12:$B$15,0)</f>
        <v>0.08</v>
      </c>
      <c r="H570" s="36">
        <f>Table2[[#This Row],[Tax Rate]]*Table2[[#This Row],[Sales Amount]]</f>
        <v>101.10080000000001</v>
      </c>
      <c r="I570" s="36">
        <v>1263.76</v>
      </c>
      <c r="J570" s="34">
        <v>18</v>
      </c>
      <c r="K570" s="34" t="s">
        <v>26</v>
      </c>
      <c r="L570" s="36">
        <v>117.63</v>
      </c>
      <c r="M570" s="36">
        <v>576.44000000000005</v>
      </c>
      <c r="N570" s="34" t="s">
        <v>30</v>
      </c>
      <c r="O570" s="37">
        <v>0.18</v>
      </c>
      <c r="P570" s="34" t="s">
        <v>31</v>
      </c>
      <c r="Q570" s="34" t="s">
        <v>22</v>
      </c>
      <c r="R570" s="34" t="str">
        <f>IF(Cleaned_Final!$I570&gt;=5000,"High","Low")</f>
        <v>Low</v>
      </c>
    </row>
    <row r="571" spans="1:18" x14ac:dyDescent="0.35">
      <c r="A571" s="38">
        <v>1035</v>
      </c>
      <c r="B571" s="38" t="str">
        <f>_xlfn.XLOOKUP(Table2[[#This Row],[Product ID]],Sheet1!$A$32:$A$200,Sheet1!$B$32:$B$200,"Not Found")</f>
        <v>Doughnut</v>
      </c>
      <c r="C571" s="39">
        <v>44960</v>
      </c>
      <c r="D571" s="38" t="s">
        <v>33</v>
      </c>
      <c r="E571" s="38" t="str" cm="1">
        <f t="array" ref="E571">_xlfn.XLOOKUP(Table2[[#This Row],[Sales Rep]],Sheet1!$A$21:$A$25,Sheet1!$B$21:$B$25,Not Found)</f>
        <v>Susan Jerkins</v>
      </c>
      <c r="F571" s="38" t="s">
        <v>15</v>
      </c>
      <c r="G571" s="38">
        <f>_xlfn.XLOOKUP(Table2[[#This Row],[Region]],Sheet1!$A$12:$A$15,Sheet1!$B$12:$B$15,0)</f>
        <v>7.4999999999999997E-2</v>
      </c>
      <c r="H571" s="40">
        <f>Table2[[#This Row],[Tax Rate]]*Table2[[#This Row],[Sales Amount]]</f>
        <v>130.22399999999999</v>
      </c>
      <c r="I571" s="40">
        <v>1736.32</v>
      </c>
      <c r="J571" s="38">
        <v>5</v>
      </c>
      <c r="K571" s="38" t="s">
        <v>26</v>
      </c>
      <c r="L571" s="40">
        <v>4483.8500000000004</v>
      </c>
      <c r="M571" s="40">
        <v>4795.42</v>
      </c>
      <c r="N571" s="38" t="s">
        <v>17</v>
      </c>
      <c r="O571" s="41">
        <v>0.23</v>
      </c>
      <c r="P571" s="38" t="s">
        <v>18</v>
      </c>
      <c r="Q571" s="38" t="s">
        <v>19</v>
      </c>
      <c r="R571" s="38" t="str">
        <f>IF(Cleaned_Final!$I571&gt;=5000,"High","Low")</f>
        <v>Low</v>
      </c>
    </row>
    <row r="572" spans="1:18" x14ac:dyDescent="0.35">
      <c r="A572" s="34">
        <v>1087</v>
      </c>
      <c r="B572" s="34" t="str">
        <f>_xlfn.XLOOKUP(Table2[[#This Row],[Product ID]],Sheet1!$A$32:$A$200,Sheet1!$B$32:$B$200,"Not Found")</f>
        <v>Sofa Set</v>
      </c>
      <c r="C572" s="35">
        <v>45177</v>
      </c>
      <c r="D572" s="34" t="s">
        <v>33</v>
      </c>
      <c r="E572" s="34" t="str" cm="1">
        <f t="array" ref="E572">_xlfn.XLOOKUP(Table2[[#This Row],[Sales Rep]],Sheet1!$A$21:$A$25,Sheet1!$B$21:$B$25,Not Found)</f>
        <v>Susan Jerkins</v>
      </c>
      <c r="F572" s="34" t="s">
        <v>15</v>
      </c>
      <c r="G572" s="34">
        <f>_xlfn.XLOOKUP(Table2[[#This Row],[Region]],Sheet1!$A$12:$A$15,Sheet1!$B$12:$B$15,0)</f>
        <v>7.4999999999999997E-2</v>
      </c>
      <c r="H572" s="36">
        <f>Table2[[#This Row],[Tax Rate]]*Table2[[#This Row],[Sales Amount]]</f>
        <v>8.9789999999999992</v>
      </c>
      <c r="I572" s="36">
        <v>119.72</v>
      </c>
      <c r="J572" s="34">
        <v>20</v>
      </c>
      <c r="K572" s="34" t="s">
        <v>29</v>
      </c>
      <c r="L572" s="36">
        <v>193.27</v>
      </c>
      <c r="M572" s="36">
        <v>297.69</v>
      </c>
      <c r="N572" s="34" t="s">
        <v>30</v>
      </c>
      <c r="O572" s="37">
        <v>0.22</v>
      </c>
      <c r="P572" s="34" t="s">
        <v>18</v>
      </c>
      <c r="Q572" s="34" t="s">
        <v>19</v>
      </c>
      <c r="R572" s="34" t="str">
        <f>IF(Cleaned_Final!$I572&gt;=5000,"High","Low")</f>
        <v>Low</v>
      </c>
    </row>
    <row r="573" spans="1:18" x14ac:dyDescent="0.35">
      <c r="A573" s="38">
        <v>1081</v>
      </c>
      <c r="B573" s="38" t="str">
        <f>_xlfn.XLOOKUP(Table2[[#This Row],[Product ID]],Sheet1!$A$32:$A$200,Sheet1!$B$32:$B$200,"Not Found")</f>
        <v>Rocking Chair</v>
      </c>
      <c r="C573" s="39">
        <v>45173</v>
      </c>
      <c r="D573" s="38" t="s">
        <v>42</v>
      </c>
      <c r="E573" s="38" t="str" cm="1">
        <f t="array" ref="E573">_xlfn.XLOOKUP(Table2[[#This Row],[Sales Rep]],Sheet1!$A$21:$A$25,Sheet1!$B$21:$B$25,Not Found)</f>
        <v>Scott Wayne</v>
      </c>
      <c r="F573" s="38" t="s">
        <v>15</v>
      </c>
      <c r="G573" s="38">
        <f>_xlfn.XLOOKUP(Table2[[#This Row],[Region]],Sheet1!$A$12:$A$15,Sheet1!$B$12:$B$15,0)</f>
        <v>7.4999999999999997E-2</v>
      </c>
      <c r="H573" s="40">
        <f>Table2[[#This Row],[Tax Rate]]*Table2[[#This Row],[Sales Amount]]</f>
        <v>541.16399999999999</v>
      </c>
      <c r="I573" s="40">
        <v>7215.52</v>
      </c>
      <c r="J573" s="38">
        <v>23</v>
      </c>
      <c r="K573" s="38" t="s">
        <v>35</v>
      </c>
      <c r="L573" s="40">
        <v>1236.25</v>
      </c>
      <c r="M573" s="40">
        <v>1543.38</v>
      </c>
      <c r="N573" s="38" t="s">
        <v>30</v>
      </c>
      <c r="O573" s="41">
        <v>0.1</v>
      </c>
      <c r="P573" s="38" t="s">
        <v>27</v>
      </c>
      <c r="Q573" s="38" t="s">
        <v>19</v>
      </c>
      <c r="R573" s="38" t="str">
        <f>IF(Cleaned_Final!$I573&gt;=5000,"High","Low")</f>
        <v>High</v>
      </c>
    </row>
    <row r="574" spans="1:18" x14ac:dyDescent="0.35">
      <c r="A574" s="34">
        <v>1090</v>
      </c>
      <c r="B574" s="34" t="str">
        <f>_xlfn.XLOOKUP(Table2[[#This Row],[Product ID]],Sheet1!$A$32:$A$200,Sheet1!$B$32:$B$200,"Not Found")</f>
        <v>Keyboard</v>
      </c>
      <c r="C574" s="35">
        <v>45195</v>
      </c>
      <c r="D574" s="34" t="s">
        <v>38</v>
      </c>
      <c r="E574" s="34" t="str" cm="1">
        <f t="array" ref="E574">_xlfn.XLOOKUP(Table2[[#This Row],[Sales Rep]],Sheet1!$A$21:$A$25,Sheet1!$B$21:$B$25,Not Found)</f>
        <v>Tracy Moore</v>
      </c>
      <c r="F574" s="34" t="s">
        <v>15</v>
      </c>
      <c r="G574" s="34">
        <f>_xlfn.XLOOKUP(Table2[[#This Row],[Region]],Sheet1!$A$12:$A$15,Sheet1!$B$12:$B$15,0)</f>
        <v>7.4999999999999997E-2</v>
      </c>
      <c r="H574" s="36">
        <f>Table2[[#This Row],[Tax Rate]]*Table2[[#This Row],[Sales Amount]]</f>
        <v>551.30775000000006</v>
      </c>
      <c r="I574" s="36">
        <v>7350.77</v>
      </c>
      <c r="J574" s="34">
        <v>11</v>
      </c>
      <c r="K574" s="34" t="s">
        <v>35</v>
      </c>
      <c r="L574" s="36">
        <v>210.33</v>
      </c>
      <c r="M574" s="36">
        <v>552.29</v>
      </c>
      <c r="N574" s="34" t="s">
        <v>17</v>
      </c>
      <c r="O574" s="37">
        <v>0.18</v>
      </c>
      <c r="P574" s="34" t="s">
        <v>18</v>
      </c>
      <c r="Q574" s="34" t="s">
        <v>22</v>
      </c>
      <c r="R574" s="34" t="str">
        <f>IF(Cleaned_Final!$I574&gt;=5000,"High","Low")</f>
        <v>High</v>
      </c>
    </row>
    <row r="575" spans="1:18" x14ac:dyDescent="0.35">
      <c r="A575" s="38">
        <v>1008</v>
      </c>
      <c r="B575" s="38" t="str">
        <f>_xlfn.XLOOKUP(Table2[[#This Row],[Product ID]],Sheet1!$A$32:$A$200,Sheet1!$B$32:$B$200,"Not Found")</f>
        <v>Skirt</v>
      </c>
      <c r="C575" s="39">
        <v>45067</v>
      </c>
      <c r="D575" s="38" t="s">
        <v>24</v>
      </c>
      <c r="E575" s="38" t="str" cm="1">
        <f t="array" ref="E575">_xlfn.XLOOKUP(Table2[[#This Row],[Sales Rep]],Sheet1!$A$21:$A$25,Sheet1!$B$21:$B$25,Not Found)</f>
        <v>Hogan Rock</v>
      </c>
      <c r="F575" s="38" t="s">
        <v>34</v>
      </c>
      <c r="G575" s="38">
        <f>_xlfn.XLOOKUP(Table2[[#This Row],[Region]],Sheet1!$A$12:$A$15,Sheet1!$B$12:$B$15,0)</f>
        <v>0.06</v>
      </c>
      <c r="H575" s="40">
        <f>Table2[[#This Row],[Tax Rate]]*Table2[[#This Row],[Sales Amount]]</f>
        <v>311.87040000000002</v>
      </c>
      <c r="I575" s="40">
        <v>5197.84</v>
      </c>
      <c r="J575" s="38">
        <v>37</v>
      </c>
      <c r="K575" s="38" t="s">
        <v>16</v>
      </c>
      <c r="L575" s="40">
        <v>1712.43</v>
      </c>
      <c r="M575" s="40">
        <v>1980.06</v>
      </c>
      <c r="N575" s="38" t="s">
        <v>30</v>
      </c>
      <c r="O575" s="41">
        <v>0.26</v>
      </c>
      <c r="P575" s="38" t="s">
        <v>18</v>
      </c>
      <c r="Q575" s="38" t="s">
        <v>19</v>
      </c>
      <c r="R575" s="38" t="str">
        <f>IF(Cleaned_Final!$I575&gt;=5000,"High","Low")</f>
        <v>High</v>
      </c>
    </row>
    <row r="576" spans="1:18" x14ac:dyDescent="0.35">
      <c r="A576" s="34">
        <v>1093</v>
      </c>
      <c r="B576" s="34" t="str">
        <f>_xlfn.XLOOKUP(Table2[[#This Row],[Product ID]],Sheet1!$A$32:$A$200,Sheet1!$B$32:$B$200,"Not Found")</f>
        <v>Dining Table</v>
      </c>
      <c r="C576" s="35">
        <v>45200</v>
      </c>
      <c r="D576" s="34" t="s">
        <v>38</v>
      </c>
      <c r="E576" s="34" t="str" cm="1">
        <f t="array" ref="E576">_xlfn.XLOOKUP(Table2[[#This Row],[Sales Rep]],Sheet1!$A$21:$A$25,Sheet1!$B$21:$B$25,Not Found)</f>
        <v>Tracy Moore</v>
      </c>
      <c r="F576" s="34" t="s">
        <v>34</v>
      </c>
      <c r="G576" s="34">
        <f>_xlfn.XLOOKUP(Table2[[#This Row],[Region]],Sheet1!$A$12:$A$15,Sheet1!$B$12:$B$15,0)</f>
        <v>0.06</v>
      </c>
      <c r="H576" s="36">
        <f>Table2[[#This Row],[Tax Rate]]*Table2[[#This Row],[Sales Amount]]</f>
        <v>101.8494</v>
      </c>
      <c r="I576" s="36">
        <v>1697.49</v>
      </c>
      <c r="J576" s="34">
        <v>22</v>
      </c>
      <c r="K576" s="34" t="s">
        <v>35</v>
      </c>
      <c r="L576" s="36">
        <v>2593.64</v>
      </c>
      <c r="M576" s="36">
        <v>2955.5099999999902</v>
      </c>
      <c r="N576" s="34" t="s">
        <v>17</v>
      </c>
      <c r="O576" s="37">
        <v>0</v>
      </c>
      <c r="P576" s="34" t="s">
        <v>27</v>
      </c>
      <c r="Q576" s="34" t="s">
        <v>22</v>
      </c>
      <c r="R576" s="34" t="str">
        <f>IF(Cleaned_Final!$I576&gt;=5000,"High","Low")</f>
        <v>Low</v>
      </c>
    </row>
    <row r="577" spans="1:18" x14ac:dyDescent="0.35">
      <c r="A577" s="38">
        <v>1026</v>
      </c>
      <c r="B577" s="38" t="str">
        <f>_xlfn.XLOOKUP(Table2[[#This Row],[Product ID]],Sheet1!$A$32:$A$200,Sheet1!$B$32:$B$200,"Not Found")</f>
        <v>Television</v>
      </c>
      <c r="C577" s="39">
        <v>45022</v>
      </c>
      <c r="D577" s="38" t="s">
        <v>14</v>
      </c>
      <c r="E577" s="38" t="str" cm="1">
        <f t="array" ref="E577">_xlfn.XLOOKUP(Table2[[#This Row],[Sales Rep]],Sheet1!$A$21:$A$25,Sheet1!$B$21:$B$25,Not Found)</f>
        <v>Michael Smith</v>
      </c>
      <c r="F577" s="38" t="s">
        <v>25</v>
      </c>
      <c r="G577" s="38">
        <f>_xlfn.XLOOKUP(Table2[[#This Row],[Region]],Sheet1!$A$12:$A$15,Sheet1!$B$12:$B$15,0)</f>
        <v>0.05</v>
      </c>
      <c r="H577" s="40">
        <f>Table2[[#This Row],[Tax Rate]]*Table2[[#This Row],[Sales Amount]]</f>
        <v>46.359500000000004</v>
      </c>
      <c r="I577" s="40">
        <v>927.19</v>
      </c>
      <c r="J577" s="38">
        <v>4</v>
      </c>
      <c r="K577" s="38" t="s">
        <v>35</v>
      </c>
      <c r="L577" s="40">
        <v>3993.39</v>
      </c>
      <c r="M577" s="40">
        <v>4288.3</v>
      </c>
      <c r="N577" s="38" t="s">
        <v>30</v>
      </c>
      <c r="O577" s="41">
        <v>0.13</v>
      </c>
      <c r="P577" s="38" t="s">
        <v>31</v>
      </c>
      <c r="Q577" s="38" t="s">
        <v>19</v>
      </c>
      <c r="R577" s="38" t="str">
        <f>IF(Cleaned_Final!$I577&gt;=5000,"High","Low")</f>
        <v>Low</v>
      </c>
    </row>
    <row r="578" spans="1:18" x14ac:dyDescent="0.35">
      <c r="A578" s="34">
        <v>1074</v>
      </c>
      <c r="B578" s="34" t="str">
        <f>_xlfn.XLOOKUP(Table2[[#This Row],[Product ID]],Sheet1!$A$32:$A$200,Sheet1!$B$32:$B$200,"Not Found")</f>
        <v>French Fries</v>
      </c>
      <c r="C578" s="35">
        <v>45153</v>
      </c>
      <c r="D578" s="34" t="s">
        <v>24</v>
      </c>
      <c r="E578" s="34" t="str" cm="1">
        <f t="array" ref="E578">_xlfn.XLOOKUP(Table2[[#This Row],[Sales Rep]],Sheet1!$A$21:$A$25,Sheet1!$B$21:$B$25,Not Found)</f>
        <v>Hogan Rock</v>
      </c>
      <c r="F578" s="34" t="s">
        <v>21</v>
      </c>
      <c r="G578" s="34">
        <f>_xlfn.XLOOKUP(Table2[[#This Row],[Region]],Sheet1!$A$12:$A$15,Sheet1!$B$12:$B$15,0)</f>
        <v>0.08</v>
      </c>
      <c r="H578" s="36">
        <f>Table2[[#This Row],[Tax Rate]]*Table2[[#This Row],[Sales Amount]]</f>
        <v>23.150400000000001</v>
      </c>
      <c r="I578" s="36">
        <v>289.38</v>
      </c>
      <c r="J578" s="34">
        <v>29</v>
      </c>
      <c r="K578" s="34" t="s">
        <v>16</v>
      </c>
      <c r="L578" s="36">
        <v>1723.01</v>
      </c>
      <c r="M578" s="36">
        <v>2197.42</v>
      </c>
      <c r="N578" s="34" t="s">
        <v>30</v>
      </c>
      <c r="O578" s="37">
        <v>7.0000000000000007E-2</v>
      </c>
      <c r="P578" s="34" t="s">
        <v>27</v>
      </c>
      <c r="Q578" s="34" t="s">
        <v>22</v>
      </c>
      <c r="R578" s="34" t="str">
        <f>IF(Cleaned_Final!$I578&gt;=5000,"High","Low")</f>
        <v>Low</v>
      </c>
    </row>
    <row r="579" spans="1:18" x14ac:dyDescent="0.35">
      <c r="A579" s="38">
        <v>1090</v>
      </c>
      <c r="B579" s="38" t="str">
        <f>_xlfn.XLOOKUP(Table2[[#This Row],[Product ID]],Sheet1!$A$32:$A$200,Sheet1!$B$32:$B$200,"Not Found")</f>
        <v>Keyboard</v>
      </c>
      <c r="C579" s="39">
        <v>44965</v>
      </c>
      <c r="D579" s="38" t="s">
        <v>33</v>
      </c>
      <c r="E579" s="38" t="str" cm="1">
        <f t="array" ref="E579">_xlfn.XLOOKUP(Table2[[#This Row],[Sales Rep]],Sheet1!$A$21:$A$25,Sheet1!$B$21:$B$25,Not Found)</f>
        <v>Susan Jerkins</v>
      </c>
      <c r="F579" s="38" t="s">
        <v>15</v>
      </c>
      <c r="G579" s="38">
        <f>_xlfn.XLOOKUP(Table2[[#This Row],[Region]],Sheet1!$A$12:$A$15,Sheet1!$B$12:$B$15,0)</f>
        <v>7.4999999999999997E-2</v>
      </c>
      <c r="H579" s="40">
        <f>Table2[[#This Row],[Tax Rate]]*Table2[[#This Row],[Sales Amount]]</f>
        <v>130.56825000000001</v>
      </c>
      <c r="I579" s="40">
        <v>1740.91</v>
      </c>
      <c r="J579" s="38">
        <v>44</v>
      </c>
      <c r="K579" s="38" t="s">
        <v>29</v>
      </c>
      <c r="L579" s="40">
        <v>3542.18</v>
      </c>
      <c r="M579" s="40">
        <v>3578.49</v>
      </c>
      <c r="N579" s="38" t="s">
        <v>17</v>
      </c>
      <c r="O579" s="41">
        <v>0.12</v>
      </c>
      <c r="P579" s="38" t="s">
        <v>18</v>
      </c>
      <c r="Q579" s="38" t="s">
        <v>19</v>
      </c>
      <c r="R579" s="38" t="str">
        <f>IF(Cleaned_Final!$I579&gt;=5000,"High","Low")</f>
        <v>Low</v>
      </c>
    </row>
    <row r="580" spans="1:18" x14ac:dyDescent="0.35">
      <c r="A580" s="34">
        <v>1034</v>
      </c>
      <c r="B580" s="34" t="str">
        <f>_xlfn.XLOOKUP(Table2[[#This Row],[Product ID]],Sheet1!$A$32:$A$200,Sheet1!$B$32:$B$200,"Not Found")</f>
        <v>Socks Pack</v>
      </c>
      <c r="C580" s="35">
        <v>45228</v>
      </c>
      <c r="D580" s="34" t="s">
        <v>24</v>
      </c>
      <c r="E580" s="34" t="str" cm="1">
        <f t="array" ref="E580">_xlfn.XLOOKUP(Table2[[#This Row],[Sales Rep]],Sheet1!$A$21:$A$25,Sheet1!$B$21:$B$25,Not Found)</f>
        <v>Hogan Rock</v>
      </c>
      <c r="F580" s="34" t="s">
        <v>15</v>
      </c>
      <c r="G580" s="34">
        <f>_xlfn.XLOOKUP(Table2[[#This Row],[Region]],Sheet1!$A$12:$A$15,Sheet1!$B$12:$B$15,0)</f>
        <v>7.4999999999999997E-2</v>
      </c>
      <c r="H580" s="36">
        <f>Table2[[#This Row],[Tax Rate]]*Table2[[#This Row],[Sales Amount]]</f>
        <v>668.96024999999997</v>
      </c>
      <c r="I580" s="36">
        <v>8919.4699999999993</v>
      </c>
      <c r="J580" s="34">
        <v>34</v>
      </c>
      <c r="K580" s="34" t="s">
        <v>26</v>
      </c>
      <c r="L580" s="36">
        <v>978.15</v>
      </c>
      <c r="M580" s="36">
        <v>1040.21</v>
      </c>
      <c r="N580" s="34" t="s">
        <v>30</v>
      </c>
      <c r="O580" s="37">
        <v>0.12</v>
      </c>
      <c r="P580" s="34" t="s">
        <v>31</v>
      </c>
      <c r="Q580" s="34" t="s">
        <v>22</v>
      </c>
      <c r="R580" s="34" t="str">
        <f>IF(Cleaned_Final!$I580&gt;=5000,"High","Low")</f>
        <v>High</v>
      </c>
    </row>
    <row r="581" spans="1:18" x14ac:dyDescent="0.35">
      <c r="A581" s="38">
        <v>1007</v>
      </c>
      <c r="B581" s="38" t="str">
        <f>_xlfn.XLOOKUP(Table2[[#This Row],[Product ID]],Sheet1!$A$32:$A$200,Sheet1!$B$32:$B$200,"Not Found")</f>
        <v>Fruit Jam</v>
      </c>
      <c r="C581" s="39">
        <v>44955</v>
      </c>
      <c r="D581" s="38" t="s">
        <v>33</v>
      </c>
      <c r="E581" s="38" t="str" cm="1">
        <f t="array" ref="E581">_xlfn.XLOOKUP(Table2[[#This Row],[Sales Rep]],Sheet1!$A$21:$A$25,Sheet1!$B$21:$B$25,Not Found)</f>
        <v>Susan Jerkins</v>
      </c>
      <c r="F581" s="38" t="s">
        <v>21</v>
      </c>
      <c r="G581" s="38">
        <f>_xlfn.XLOOKUP(Table2[[#This Row],[Region]],Sheet1!$A$12:$A$15,Sheet1!$B$12:$B$15,0)</f>
        <v>0.08</v>
      </c>
      <c r="H581" s="40">
        <f>Table2[[#This Row],[Tax Rate]]*Table2[[#This Row],[Sales Amount]]</f>
        <v>199.29680000000002</v>
      </c>
      <c r="I581" s="40">
        <v>2491.21</v>
      </c>
      <c r="J581" s="38">
        <v>13</v>
      </c>
      <c r="K581" s="38" t="s">
        <v>16</v>
      </c>
      <c r="L581" s="40">
        <v>3765.46</v>
      </c>
      <c r="M581" s="40">
        <v>3860.56</v>
      </c>
      <c r="N581" s="38" t="s">
        <v>17</v>
      </c>
      <c r="O581" s="41">
        <v>0.22</v>
      </c>
      <c r="P581" s="38" t="s">
        <v>18</v>
      </c>
      <c r="Q581" s="38" t="s">
        <v>22</v>
      </c>
      <c r="R581" s="38" t="str">
        <f>IF(Cleaned_Final!$I581&gt;=5000,"High","Low")</f>
        <v>Low</v>
      </c>
    </row>
    <row r="582" spans="1:18" x14ac:dyDescent="0.35">
      <c r="A582" s="34">
        <v>1068</v>
      </c>
      <c r="B582" s="34" t="str">
        <f>_xlfn.XLOOKUP(Table2[[#This Row],[Product ID]],Sheet1!$A$32:$A$200,Sheet1!$B$32:$B$200,"Not Found")</f>
        <v>Leggings</v>
      </c>
      <c r="C582" s="35">
        <v>45244</v>
      </c>
      <c r="D582" s="34" t="s">
        <v>33</v>
      </c>
      <c r="E582" s="34" t="str" cm="1">
        <f t="array" ref="E582">_xlfn.XLOOKUP(Table2[[#This Row],[Sales Rep]],Sheet1!$A$21:$A$25,Sheet1!$B$21:$B$25,Not Found)</f>
        <v>Susan Jerkins</v>
      </c>
      <c r="F582" s="34" t="s">
        <v>21</v>
      </c>
      <c r="G582" s="34">
        <f>_xlfn.XLOOKUP(Table2[[#This Row],[Region]],Sheet1!$A$12:$A$15,Sheet1!$B$12:$B$15,0)</f>
        <v>0.08</v>
      </c>
      <c r="H582" s="36">
        <f>Table2[[#This Row],[Tax Rate]]*Table2[[#This Row],[Sales Amount]]</f>
        <v>288.58319999999998</v>
      </c>
      <c r="I582" s="36">
        <v>3607.29</v>
      </c>
      <c r="J582" s="34">
        <v>42</v>
      </c>
      <c r="K582" s="34" t="s">
        <v>29</v>
      </c>
      <c r="L582" s="36">
        <v>1218.18</v>
      </c>
      <c r="M582" s="36">
        <v>1566.36</v>
      </c>
      <c r="N582" s="34" t="s">
        <v>17</v>
      </c>
      <c r="O582" s="37">
        <v>0.03</v>
      </c>
      <c r="P582" s="34" t="s">
        <v>31</v>
      </c>
      <c r="Q582" s="34" t="s">
        <v>22</v>
      </c>
      <c r="R582" s="34" t="str">
        <f>IF(Cleaned_Final!$I582&gt;=5000,"High","Low")</f>
        <v>Low</v>
      </c>
    </row>
    <row r="583" spans="1:18" x14ac:dyDescent="0.35">
      <c r="A583" s="38">
        <v>1058</v>
      </c>
      <c r="B583" s="38" t="str">
        <f>_xlfn.XLOOKUP(Table2[[#This Row],[Product ID]],Sheet1!$A$32:$A$200,Sheet1!$B$32:$B$200,"Not Found")</f>
        <v>Wardrobe</v>
      </c>
      <c r="C583" s="39">
        <v>45171</v>
      </c>
      <c r="D583" s="38" t="s">
        <v>24</v>
      </c>
      <c r="E583" s="38" t="str" cm="1">
        <f t="array" ref="E583">_xlfn.XLOOKUP(Table2[[#This Row],[Sales Rep]],Sheet1!$A$21:$A$25,Sheet1!$B$21:$B$25,Not Found)</f>
        <v>Hogan Rock</v>
      </c>
      <c r="F583" s="38" t="s">
        <v>25</v>
      </c>
      <c r="G583" s="38">
        <f>_xlfn.XLOOKUP(Table2[[#This Row],[Region]],Sheet1!$A$12:$A$15,Sheet1!$B$12:$B$15,0)</f>
        <v>0.05</v>
      </c>
      <c r="H583" s="40">
        <f>Table2[[#This Row],[Tax Rate]]*Table2[[#This Row],[Sales Amount]]</f>
        <v>57.146000000000008</v>
      </c>
      <c r="I583" s="40">
        <v>1142.92</v>
      </c>
      <c r="J583" s="38">
        <v>9</v>
      </c>
      <c r="K583" s="38" t="s">
        <v>16</v>
      </c>
      <c r="L583" s="40">
        <v>760.55</v>
      </c>
      <c r="M583" s="40">
        <v>1086.8899999999901</v>
      </c>
      <c r="N583" s="38" t="s">
        <v>17</v>
      </c>
      <c r="O583" s="41">
        <v>0.15</v>
      </c>
      <c r="P583" s="38" t="s">
        <v>18</v>
      </c>
      <c r="Q583" s="38" t="s">
        <v>22</v>
      </c>
      <c r="R583" s="38" t="str">
        <f>IF(Cleaned_Final!$I583&gt;=5000,"High","Low")</f>
        <v>Low</v>
      </c>
    </row>
    <row r="584" spans="1:18" x14ac:dyDescent="0.35">
      <c r="A584" s="34">
        <v>1075</v>
      </c>
      <c r="B584" s="34" t="str">
        <f>_xlfn.XLOOKUP(Table2[[#This Row],[Product ID]],Sheet1!$A$32:$A$200,Sheet1!$B$32:$B$200,"Not Found")</f>
        <v>Bookshelf</v>
      </c>
      <c r="C584" s="35">
        <v>45162</v>
      </c>
      <c r="D584" s="34" t="s">
        <v>33</v>
      </c>
      <c r="E584" s="34" t="str" cm="1">
        <f t="array" ref="E584">_xlfn.XLOOKUP(Table2[[#This Row],[Sales Rep]],Sheet1!$A$21:$A$25,Sheet1!$B$21:$B$25,Not Found)</f>
        <v>Susan Jerkins</v>
      </c>
      <c r="F584" s="34" t="s">
        <v>21</v>
      </c>
      <c r="G584" s="34">
        <f>_xlfn.XLOOKUP(Table2[[#This Row],[Region]],Sheet1!$A$12:$A$15,Sheet1!$B$12:$B$15,0)</f>
        <v>0.08</v>
      </c>
      <c r="H584" s="36">
        <f>Table2[[#This Row],[Tax Rate]]*Table2[[#This Row],[Sales Amount]]</f>
        <v>184.1104</v>
      </c>
      <c r="I584" s="36">
        <v>2301.38</v>
      </c>
      <c r="J584" s="34">
        <v>42</v>
      </c>
      <c r="K584" s="34" t="s">
        <v>29</v>
      </c>
      <c r="L584" s="36">
        <v>967.77</v>
      </c>
      <c r="M584" s="36">
        <v>1414.88</v>
      </c>
      <c r="N584" s="34" t="s">
        <v>30</v>
      </c>
      <c r="O584" s="37">
        <v>0.17</v>
      </c>
      <c r="P584" s="34" t="s">
        <v>27</v>
      </c>
      <c r="Q584" s="34" t="s">
        <v>19</v>
      </c>
      <c r="R584" s="34" t="str">
        <f>IF(Cleaned_Final!$I584&gt;=5000,"High","Low")</f>
        <v>Low</v>
      </c>
    </row>
    <row r="585" spans="1:18" x14ac:dyDescent="0.35">
      <c r="A585" s="38">
        <v>1029</v>
      </c>
      <c r="B585" s="38" t="str">
        <f>_xlfn.XLOOKUP(Table2[[#This Row],[Product ID]],Sheet1!$A$32:$A$200,Sheet1!$B$32:$B$200,"Not Found")</f>
        <v>Camisole</v>
      </c>
      <c r="C585" s="39">
        <v>45111</v>
      </c>
      <c r="D585" s="38" t="s">
        <v>33</v>
      </c>
      <c r="E585" s="38" t="str" cm="1">
        <f t="array" ref="E585">_xlfn.XLOOKUP(Table2[[#This Row],[Sales Rep]],Sheet1!$A$21:$A$25,Sheet1!$B$21:$B$25,Not Found)</f>
        <v>Susan Jerkins</v>
      </c>
      <c r="F585" s="38" t="s">
        <v>15</v>
      </c>
      <c r="G585" s="38">
        <f>_xlfn.XLOOKUP(Table2[[#This Row],[Region]],Sheet1!$A$12:$A$15,Sheet1!$B$12:$B$15,0)</f>
        <v>7.4999999999999997E-2</v>
      </c>
      <c r="H585" s="40">
        <f>Table2[[#This Row],[Tax Rate]]*Table2[[#This Row],[Sales Amount]]</f>
        <v>393.02399999999994</v>
      </c>
      <c r="I585" s="40">
        <v>5240.32</v>
      </c>
      <c r="J585" s="38">
        <v>31</v>
      </c>
      <c r="K585" s="38" t="s">
        <v>16</v>
      </c>
      <c r="L585" s="40">
        <v>951.21</v>
      </c>
      <c r="M585" s="40">
        <v>1320.32</v>
      </c>
      <c r="N585" s="38" t="s">
        <v>30</v>
      </c>
      <c r="O585" s="41">
        <v>0.15</v>
      </c>
      <c r="P585" s="38" t="s">
        <v>18</v>
      </c>
      <c r="Q585" s="38" t="s">
        <v>19</v>
      </c>
      <c r="R585" s="38" t="str">
        <f>IF(Cleaned_Final!$I585&gt;=5000,"High","Low")</f>
        <v>High</v>
      </c>
    </row>
    <row r="586" spans="1:18" x14ac:dyDescent="0.35">
      <c r="A586" s="34">
        <v>1036</v>
      </c>
      <c r="B586" s="34" t="str">
        <f>_xlfn.XLOOKUP(Table2[[#This Row],[Product ID]],Sheet1!$A$32:$A$200,Sheet1!$B$32:$B$200,"Not Found")</f>
        <v>Shorts</v>
      </c>
      <c r="C586" s="35">
        <v>45198</v>
      </c>
      <c r="D586" s="34" t="s">
        <v>14</v>
      </c>
      <c r="E586" s="34" t="str" cm="1">
        <f t="array" ref="E586">_xlfn.XLOOKUP(Table2[[#This Row],[Sales Rep]],Sheet1!$A$21:$A$25,Sheet1!$B$21:$B$25,Not Found)</f>
        <v>Michael Smith</v>
      </c>
      <c r="F586" s="34" t="s">
        <v>15</v>
      </c>
      <c r="G586" s="34">
        <f>_xlfn.XLOOKUP(Table2[[#This Row],[Region]],Sheet1!$A$12:$A$15,Sheet1!$B$12:$B$15,0)</f>
        <v>7.4999999999999997E-2</v>
      </c>
      <c r="H586" s="36">
        <f>Table2[[#This Row],[Tax Rate]]*Table2[[#This Row],[Sales Amount]]</f>
        <v>458.75624999999997</v>
      </c>
      <c r="I586" s="36">
        <v>6116.75</v>
      </c>
      <c r="J586" s="34">
        <v>7</v>
      </c>
      <c r="K586" s="34" t="s">
        <v>29</v>
      </c>
      <c r="L586" s="36">
        <v>2588.67</v>
      </c>
      <c r="M586" s="36">
        <v>2847.76</v>
      </c>
      <c r="N586" s="34" t="s">
        <v>30</v>
      </c>
      <c r="O586" s="37">
        <v>0.22</v>
      </c>
      <c r="P586" s="34" t="s">
        <v>18</v>
      </c>
      <c r="Q586" s="34" t="s">
        <v>22</v>
      </c>
      <c r="R586" s="34" t="str">
        <f>IF(Cleaned_Final!$I586&gt;=5000,"High","Low")</f>
        <v>High</v>
      </c>
    </row>
    <row r="587" spans="1:18" x14ac:dyDescent="0.35">
      <c r="A587" s="38">
        <v>1089</v>
      </c>
      <c r="B587" s="38" t="str">
        <f>_xlfn.XLOOKUP(Table2[[#This Row],[Product ID]],Sheet1!$A$32:$A$200,Sheet1!$B$32:$B$200,"Not Found")</f>
        <v>Recliner</v>
      </c>
      <c r="C587" s="39">
        <v>45162</v>
      </c>
      <c r="D587" s="38" t="s">
        <v>38</v>
      </c>
      <c r="E587" s="38" t="str" cm="1">
        <f t="array" ref="E587">_xlfn.XLOOKUP(Table2[[#This Row],[Sales Rep]],Sheet1!$A$21:$A$25,Sheet1!$B$21:$B$25,Not Found)</f>
        <v>Tracy Moore</v>
      </c>
      <c r="F587" s="38" t="s">
        <v>15</v>
      </c>
      <c r="G587" s="38">
        <f>_xlfn.XLOOKUP(Table2[[#This Row],[Region]],Sheet1!$A$12:$A$15,Sheet1!$B$12:$B$15,0)</f>
        <v>7.4999999999999997E-2</v>
      </c>
      <c r="H587" s="40">
        <f>Table2[[#This Row],[Tax Rate]]*Table2[[#This Row],[Sales Amount]]</f>
        <v>189.67424999999997</v>
      </c>
      <c r="I587" s="40">
        <v>2528.9899999999998</v>
      </c>
      <c r="J587" s="38">
        <v>4</v>
      </c>
      <c r="K587" s="38" t="s">
        <v>16</v>
      </c>
      <c r="L587" s="40">
        <v>4231.75</v>
      </c>
      <c r="M587" s="40">
        <v>4727.75</v>
      </c>
      <c r="N587" s="38" t="s">
        <v>17</v>
      </c>
      <c r="O587" s="41">
        <v>0.12</v>
      </c>
      <c r="P587" s="38" t="s">
        <v>31</v>
      </c>
      <c r="Q587" s="38" t="s">
        <v>22</v>
      </c>
      <c r="R587" s="38" t="str">
        <f>IF(Cleaned_Final!$I587&gt;=5000,"High","Low")</f>
        <v>Low</v>
      </c>
    </row>
    <row r="588" spans="1:18" x14ac:dyDescent="0.35">
      <c r="A588" s="34">
        <v>1021</v>
      </c>
      <c r="B588" s="34" t="str">
        <f>_xlfn.XLOOKUP(Table2[[#This Row],[Product ID]],Sheet1!$A$32:$A$200,Sheet1!$B$32:$B$200,"Not Found")</f>
        <v>Almond Milk</v>
      </c>
      <c r="C588" s="35">
        <v>45165</v>
      </c>
      <c r="D588" s="34" t="s">
        <v>38</v>
      </c>
      <c r="E588" s="34" t="str" cm="1">
        <f t="array" ref="E588">_xlfn.XLOOKUP(Table2[[#This Row],[Sales Rep]],Sheet1!$A$21:$A$25,Sheet1!$B$21:$B$25,Not Found)</f>
        <v>Tracy Moore</v>
      </c>
      <c r="F588" s="34" t="s">
        <v>15</v>
      </c>
      <c r="G588" s="34">
        <f>_xlfn.XLOOKUP(Table2[[#This Row],[Region]],Sheet1!$A$12:$A$15,Sheet1!$B$12:$B$15,0)</f>
        <v>7.4999999999999997E-2</v>
      </c>
      <c r="H588" s="36">
        <f>Table2[[#This Row],[Tax Rate]]*Table2[[#This Row],[Sales Amount]]</f>
        <v>50.366249999999994</v>
      </c>
      <c r="I588" s="36">
        <v>671.55</v>
      </c>
      <c r="J588" s="34">
        <v>19</v>
      </c>
      <c r="K588" s="34" t="s">
        <v>29</v>
      </c>
      <c r="L588" s="36">
        <v>444.05</v>
      </c>
      <c r="M588" s="36">
        <v>584.44000000000005</v>
      </c>
      <c r="N588" s="34" t="s">
        <v>17</v>
      </c>
      <c r="O588" s="37">
        <v>0.28000000000000003</v>
      </c>
      <c r="P588" s="34" t="s">
        <v>18</v>
      </c>
      <c r="Q588" s="34" t="s">
        <v>22</v>
      </c>
      <c r="R588" s="34" t="str">
        <f>IF(Cleaned_Final!$I588&gt;=5000,"High","Low")</f>
        <v>Low</v>
      </c>
    </row>
    <row r="589" spans="1:18" x14ac:dyDescent="0.35">
      <c r="A589" s="38">
        <v>1036</v>
      </c>
      <c r="B589" s="38" t="str">
        <f>_xlfn.XLOOKUP(Table2[[#This Row],[Product ID]],Sheet1!$A$32:$A$200,Sheet1!$B$32:$B$200,"Not Found")</f>
        <v>Shorts</v>
      </c>
      <c r="C589" s="39">
        <v>45192</v>
      </c>
      <c r="D589" s="38" t="s">
        <v>14</v>
      </c>
      <c r="E589" s="38" t="str" cm="1">
        <f t="array" ref="E589">_xlfn.XLOOKUP(Table2[[#This Row],[Sales Rep]],Sheet1!$A$21:$A$25,Sheet1!$B$21:$B$25,Not Found)</f>
        <v>Michael Smith</v>
      </c>
      <c r="F589" s="38" t="s">
        <v>15</v>
      </c>
      <c r="G589" s="38">
        <f>_xlfn.XLOOKUP(Table2[[#This Row],[Region]],Sheet1!$A$12:$A$15,Sheet1!$B$12:$B$15,0)</f>
        <v>7.4999999999999997E-2</v>
      </c>
      <c r="H589" s="40">
        <f>Table2[[#This Row],[Tax Rate]]*Table2[[#This Row],[Sales Amount]]</f>
        <v>297.84224999999998</v>
      </c>
      <c r="I589" s="40">
        <v>3971.23</v>
      </c>
      <c r="J589" s="38">
        <v>42</v>
      </c>
      <c r="K589" s="38" t="s">
        <v>16</v>
      </c>
      <c r="L589" s="40">
        <v>3549.43</v>
      </c>
      <c r="M589" s="40">
        <v>3967.6899999999901</v>
      </c>
      <c r="N589" s="38" t="s">
        <v>30</v>
      </c>
      <c r="O589" s="41">
        <v>0.14000000000000001</v>
      </c>
      <c r="P589" s="38" t="s">
        <v>27</v>
      </c>
      <c r="Q589" s="38" t="s">
        <v>19</v>
      </c>
      <c r="R589" s="38" t="str">
        <f>IF(Cleaned_Final!$I589&gt;=5000,"High","Low")</f>
        <v>Low</v>
      </c>
    </row>
    <row r="590" spans="1:18" x14ac:dyDescent="0.35">
      <c r="A590" s="34">
        <v>1010</v>
      </c>
      <c r="B590" s="34" t="str">
        <f>_xlfn.XLOOKUP(Table2[[#This Row],[Product ID]],Sheet1!$A$32:$A$200,Sheet1!$B$32:$B$200,"Not Found")</f>
        <v>Lawn Chair</v>
      </c>
      <c r="C590" s="35">
        <v>45285</v>
      </c>
      <c r="D590" s="34" t="s">
        <v>24</v>
      </c>
      <c r="E590" s="34" t="str" cm="1">
        <f t="array" ref="E590">_xlfn.XLOOKUP(Table2[[#This Row],[Sales Rep]],Sheet1!$A$21:$A$25,Sheet1!$B$21:$B$25,Not Found)</f>
        <v>Hogan Rock</v>
      </c>
      <c r="F590" s="34" t="s">
        <v>25</v>
      </c>
      <c r="G590" s="34">
        <f>_xlfn.XLOOKUP(Table2[[#This Row],[Region]],Sheet1!$A$12:$A$15,Sheet1!$B$12:$B$15,0)</f>
        <v>0.05</v>
      </c>
      <c r="H590" s="36">
        <f>Table2[[#This Row],[Tax Rate]]*Table2[[#This Row],[Sales Amount]]</f>
        <v>120.93050000000001</v>
      </c>
      <c r="I590" s="36">
        <v>2418.61</v>
      </c>
      <c r="J590" s="34">
        <v>30</v>
      </c>
      <c r="K590" s="34" t="s">
        <v>26</v>
      </c>
      <c r="L590" s="36">
        <v>3289.01</v>
      </c>
      <c r="M590" s="36">
        <v>3508.14</v>
      </c>
      <c r="N590" s="34" t="s">
        <v>30</v>
      </c>
      <c r="O590" s="37">
        <v>0.17</v>
      </c>
      <c r="P590" s="34" t="s">
        <v>27</v>
      </c>
      <c r="Q590" s="34" t="s">
        <v>22</v>
      </c>
      <c r="R590" s="34" t="str">
        <f>IF(Cleaned_Final!$I590&gt;=5000,"High","Low")</f>
        <v>Low</v>
      </c>
    </row>
    <row r="591" spans="1:18" x14ac:dyDescent="0.35">
      <c r="A591" s="38">
        <v>1073</v>
      </c>
      <c r="B591" s="38" t="str">
        <f>_xlfn.XLOOKUP(Table2[[#This Row],[Product ID]],Sheet1!$A$32:$A$200,Sheet1!$B$32:$B$200,"Not Found")</f>
        <v>Console Table</v>
      </c>
      <c r="C591" s="39">
        <v>45266</v>
      </c>
      <c r="D591" s="38" t="s">
        <v>42</v>
      </c>
      <c r="E591" s="38" t="str" cm="1">
        <f t="array" ref="E591">_xlfn.XLOOKUP(Table2[[#This Row],[Sales Rep]],Sheet1!$A$21:$A$25,Sheet1!$B$21:$B$25,Not Found)</f>
        <v>Scott Wayne</v>
      </c>
      <c r="F591" s="38" t="s">
        <v>15</v>
      </c>
      <c r="G591" s="38">
        <f>_xlfn.XLOOKUP(Table2[[#This Row],[Region]],Sheet1!$A$12:$A$15,Sheet1!$B$12:$B$15,0)</f>
        <v>7.4999999999999997E-2</v>
      </c>
      <c r="H591" s="40">
        <f>Table2[[#This Row],[Tax Rate]]*Table2[[#This Row],[Sales Amount]]</f>
        <v>170.51849999999999</v>
      </c>
      <c r="I591" s="40">
        <v>2273.58</v>
      </c>
      <c r="J591" s="38">
        <v>31</v>
      </c>
      <c r="K591" s="38" t="s">
        <v>26</v>
      </c>
      <c r="L591" s="40">
        <v>4368.97</v>
      </c>
      <c r="M591" s="40">
        <v>4696.8500000000004</v>
      </c>
      <c r="N591" s="38" t="s">
        <v>17</v>
      </c>
      <c r="O591" s="41">
        <v>0.25</v>
      </c>
      <c r="P591" s="38" t="s">
        <v>27</v>
      </c>
      <c r="Q591" s="38" t="s">
        <v>22</v>
      </c>
      <c r="R591" s="38" t="str">
        <f>IF(Cleaned_Final!$I591&gt;=5000,"High","Low")</f>
        <v>Low</v>
      </c>
    </row>
    <row r="592" spans="1:18" x14ac:dyDescent="0.35">
      <c r="A592" s="34">
        <v>1024</v>
      </c>
      <c r="B592" s="34" t="str">
        <f>_xlfn.XLOOKUP(Table2[[#This Row],[Product ID]],Sheet1!$A$32:$A$200,Sheet1!$B$32:$B$200,"Not Found")</f>
        <v>Pasta Pack</v>
      </c>
      <c r="C592" s="35">
        <v>44991</v>
      </c>
      <c r="D592" s="34" t="s">
        <v>42</v>
      </c>
      <c r="E592" s="34" t="str" cm="1">
        <f t="array" ref="E592">_xlfn.XLOOKUP(Table2[[#This Row],[Sales Rep]],Sheet1!$A$21:$A$25,Sheet1!$B$21:$B$25,Not Found)</f>
        <v>Scott Wayne</v>
      </c>
      <c r="F592" s="34" t="s">
        <v>25</v>
      </c>
      <c r="G592" s="34">
        <f>_xlfn.XLOOKUP(Table2[[#This Row],[Region]],Sheet1!$A$12:$A$15,Sheet1!$B$12:$B$15,0)</f>
        <v>0.05</v>
      </c>
      <c r="H592" s="36">
        <f>Table2[[#This Row],[Tax Rate]]*Table2[[#This Row],[Sales Amount]]</f>
        <v>480.13200000000001</v>
      </c>
      <c r="I592" s="36">
        <v>9602.64</v>
      </c>
      <c r="J592" s="34">
        <v>35</v>
      </c>
      <c r="K592" s="34" t="s">
        <v>35</v>
      </c>
      <c r="L592" s="36">
        <v>1258.53</v>
      </c>
      <c r="M592" s="36">
        <v>1624.8899999999901</v>
      </c>
      <c r="N592" s="34" t="s">
        <v>30</v>
      </c>
      <c r="O592" s="37">
        <v>0.08</v>
      </c>
      <c r="P592" s="34" t="s">
        <v>31</v>
      </c>
      <c r="Q592" s="34" t="s">
        <v>19</v>
      </c>
      <c r="R592" s="34" t="str">
        <f>IF(Cleaned_Final!$I592&gt;=5000,"High","Low")</f>
        <v>High</v>
      </c>
    </row>
    <row r="593" spans="1:18" x14ac:dyDescent="0.35">
      <c r="A593" s="38">
        <v>1064</v>
      </c>
      <c r="B593" s="38" t="str">
        <f>_xlfn.XLOOKUP(Table2[[#This Row],[Product ID]],Sheet1!$A$32:$A$200,Sheet1!$B$32:$B$200,"Not Found")</f>
        <v>Smartphone</v>
      </c>
      <c r="C593" s="39">
        <v>45103</v>
      </c>
      <c r="D593" s="38" t="s">
        <v>42</v>
      </c>
      <c r="E593" s="38" t="str" cm="1">
        <f t="array" ref="E593">_xlfn.XLOOKUP(Table2[[#This Row],[Sales Rep]],Sheet1!$A$21:$A$25,Sheet1!$B$21:$B$25,Not Found)</f>
        <v>Scott Wayne</v>
      </c>
      <c r="F593" s="38" t="s">
        <v>15</v>
      </c>
      <c r="G593" s="38">
        <f>_xlfn.XLOOKUP(Table2[[#This Row],[Region]],Sheet1!$A$12:$A$15,Sheet1!$B$12:$B$15,0)</f>
        <v>7.4999999999999997E-2</v>
      </c>
      <c r="H593" s="40">
        <f>Table2[[#This Row],[Tax Rate]]*Table2[[#This Row],[Sales Amount]]</f>
        <v>465.10274999999996</v>
      </c>
      <c r="I593" s="40">
        <v>6201.37</v>
      </c>
      <c r="J593" s="38">
        <v>21</v>
      </c>
      <c r="K593" s="38" t="s">
        <v>29</v>
      </c>
      <c r="L593" s="40">
        <v>2278.04</v>
      </c>
      <c r="M593" s="40">
        <v>2598.58</v>
      </c>
      <c r="N593" s="38" t="s">
        <v>17</v>
      </c>
      <c r="O593" s="41">
        <v>0.02</v>
      </c>
      <c r="P593" s="38" t="s">
        <v>31</v>
      </c>
      <c r="Q593" s="38" t="s">
        <v>22</v>
      </c>
      <c r="R593" s="38" t="str">
        <f>IF(Cleaned_Final!$I593&gt;=5000,"High","Low")</f>
        <v>High</v>
      </c>
    </row>
    <row r="594" spans="1:18" x14ac:dyDescent="0.35">
      <c r="A594" s="34">
        <v>1099</v>
      </c>
      <c r="B594" s="34" t="str">
        <f>_xlfn.XLOOKUP(Table2[[#This Row],[Product ID]],Sheet1!$A$32:$A$200,Sheet1!$B$32:$B$200,"Not Found")</f>
        <v>Chest</v>
      </c>
      <c r="C594" s="35">
        <v>44929</v>
      </c>
      <c r="D594" s="34" t="s">
        <v>14</v>
      </c>
      <c r="E594" s="34" t="str" cm="1">
        <f t="array" ref="E594">_xlfn.XLOOKUP(Table2[[#This Row],[Sales Rep]],Sheet1!$A$21:$A$25,Sheet1!$B$21:$B$25,Not Found)</f>
        <v>Michael Smith</v>
      </c>
      <c r="F594" s="34" t="s">
        <v>34</v>
      </c>
      <c r="G594" s="34">
        <f>_xlfn.XLOOKUP(Table2[[#This Row],[Region]],Sheet1!$A$12:$A$15,Sheet1!$B$12:$B$15,0)</f>
        <v>0.06</v>
      </c>
      <c r="H594" s="36">
        <f>Table2[[#This Row],[Tax Rate]]*Table2[[#This Row],[Sales Amount]]</f>
        <v>336.786</v>
      </c>
      <c r="I594" s="36">
        <v>5613.1</v>
      </c>
      <c r="J594" s="34">
        <v>31</v>
      </c>
      <c r="K594" s="34" t="s">
        <v>16</v>
      </c>
      <c r="L594" s="36">
        <v>4632.8500000000004</v>
      </c>
      <c r="M594" s="36">
        <v>4711.7</v>
      </c>
      <c r="N594" s="34" t="s">
        <v>30</v>
      </c>
      <c r="O594" s="37">
        <v>0.21</v>
      </c>
      <c r="P594" s="34" t="s">
        <v>18</v>
      </c>
      <c r="Q594" s="34" t="s">
        <v>22</v>
      </c>
      <c r="R594" s="34" t="str">
        <f>IF(Cleaned_Final!$I594&gt;=5000,"High","Low")</f>
        <v>High</v>
      </c>
    </row>
    <row r="595" spans="1:18" x14ac:dyDescent="0.35">
      <c r="A595" s="38">
        <v>1049</v>
      </c>
      <c r="B595" s="38" t="str">
        <f>_xlfn.XLOOKUP(Table2[[#This Row],[Product ID]],Sheet1!$A$32:$A$200,Sheet1!$B$32:$B$200,"Not Found")</f>
        <v>Coffee Table</v>
      </c>
      <c r="C595" s="39">
        <v>45068</v>
      </c>
      <c r="D595" s="38" t="s">
        <v>14</v>
      </c>
      <c r="E595" s="38" t="str" cm="1">
        <f t="array" ref="E595">_xlfn.XLOOKUP(Table2[[#This Row],[Sales Rep]],Sheet1!$A$21:$A$25,Sheet1!$B$21:$B$25,Not Found)</f>
        <v>Michael Smith</v>
      </c>
      <c r="F595" s="38" t="s">
        <v>34</v>
      </c>
      <c r="G595" s="38">
        <f>_xlfn.XLOOKUP(Table2[[#This Row],[Region]],Sheet1!$A$12:$A$15,Sheet1!$B$12:$B$15,0)</f>
        <v>0.06</v>
      </c>
      <c r="H595" s="40">
        <f>Table2[[#This Row],[Tax Rate]]*Table2[[#This Row],[Sales Amount]]</f>
        <v>252.97020000000001</v>
      </c>
      <c r="I595" s="40">
        <v>4216.17</v>
      </c>
      <c r="J595" s="38">
        <v>19</v>
      </c>
      <c r="K595" s="38" t="s">
        <v>29</v>
      </c>
      <c r="L595" s="40">
        <v>3316.97</v>
      </c>
      <c r="M595" s="40">
        <v>3544.02</v>
      </c>
      <c r="N595" s="38" t="s">
        <v>17</v>
      </c>
      <c r="O595" s="41">
        <v>0.14000000000000001</v>
      </c>
      <c r="P595" s="38" t="s">
        <v>18</v>
      </c>
      <c r="Q595" s="38" t="s">
        <v>19</v>
      </c>
      <c r="R595" s="38" t="str">
        <f>IF(Cleaned_Final!$I595&gt;=5000,"High","Low")</f>
        <v>Low</v>
      </c>
    </row>
    <row r="596" spans="1:18" x14ac:dyDescent="0.35">
      <c r="A596" s="34">
        <v>1099</v>
      </c>
      <c r="B596" s="34" t="str">
        <f>_xlfn.XLOOKUP(Table2[[#This Row],[Product ID]],Sheet1!$A$32:$A$200,Sheet1!$B$32:$B$200,"Not Found")</f>
        <v>Chest</v>
      </c>
      <c r="C596" s="35">
        <v>45084</v>
      </c>
      <c r="D596" s="34" t="s">
        <v>33</v>
      </c>
      <c r="E596" s="34" t="str" cm="1">
        <f t="array" ref="E596">_xlfn.XLOOKUP(Table2[[#This Row],[Sales Rep]],Sheet1!$A$21:$A$25,Sheet1!$B$21:$B$25,Not Found)</f>
        <v>Susan Jerkins</v>
      </c>
      <c r="F596" s="34" t="s">
        <v>34</v>
      </c>
      <c r="G596" s="34">
        <f>_xlfn.XLOOKUP(Table2[[#This Row],[Region]],Sheet1!$A$12:$A$15,Sheet1!$B$12:$B$15,0)</f>
        <v>0.06</v>
      </c>
      <c r="H596" s="36">
        <f>Table2[[#This Row],[Tax Rate]]*Table2[[#This Row],[Sales Amount]]</f>
        <v>260.79300000000001</v>
      </c>
      <c r="I596" s="36">
        <v>4346.55</v>
      </c>
      <c r="J596" s="34">
        <v>31</v>
      </c>
      <c r="K596" s="34" t="s">
        <v>26</v>
      </c>
      <c r="L596" s="36">
        <v>1974.4</v>
      </c>
      <c r="M596" s="36">
        <v>2259.5</v>
      </c>
      <c r="N596" s="34" t="s">
        <v>30</v>
      </c>
      <c r="O596" s="37">
        <v>0.27</v>
      </c>
      <c r="P596" s="34" t="s">
        <v>18</v>
      </c>
      <c r="Q596" s="34" t="s">
        <v>22</v>
      </c>
      <c r="R596" s="34" t="str">
        <f>IF(Cleaned_Final!$I596&gt;=5000,"High","Low")</f>
        <v>Low</v>
      </c>
    </row>
    <row r="597" spans="1:18" x14ac:dyDescent="0.35">
      <c r="A597" s="38">
        <v>1036</v>
      </c>
      <c r="B597" s="38" t="str">
        <f>_xlfn.XLOOKUP(Table2[[#This Row],[Product ID]],Sheet1!$A$32:$A$200,Sheet1!$B$32:$B$200,"Not Found")</f>
        <v>Shorts</v>
      </c>
      <c r="C597" s="39">
        <v>45250</v>
      </c>
      <c r="D597" s="38" t="s">
        <v>42</v>
      </c>
      <c r="E597" s="38" t="str" cm="1">
        <f t="array" ref="E597">_xlfn.XLOOKUP(Table2[[#This Row],[Sales Rep]],Sheet1!$A$21:$A$25,Sheet1!$B$21:$B$25,Not Found)</f>
        <v>Scott Wayne</v>
      </c>
      <c r="F597" s="38" t="s">
        <v>34</v>
      </c>
      <c r="G597" s="38">
        <f>_xlfn.XLOOKUP(Table2[[#This Row],[Region]],Sheet1!$A$12:$A$15,Sheet1!$B$12:$B$15,0)</f>
        <v>0.06</v>
      </c>
      <c r="H597" s="40">
        <f>Table2[[#This Row],[Tax Rate]]*Table2[[#This Row],[Sales Amount]]</f>
        <v>327.29759999999999</v>
      </c>
      <c r="I597" s="40">
        <v>5454.96</v>
      </c>
      <c r="J597" s="38">
        <v>32</v>
      </c>
      <c r="K597" s="38" t="s">
        <v>29</v>
      </c>
      <c r="L597" s="40">
        <v>700.49</v>
      </c>
      <c r="M597" s="40">
        <v>1126.52</v>
      </c>
      <c r="N597" s="38" t="s">
        <v>30</v>
      </c>
      <c r="O597" s="41">
        <v>0.28999999999999998</v>
      </c>
      <c r="P597" s="38" t="s">
        <v>31</v>
      </c>
      <c r="Q597" s="38" t="s">
        <v>22</v>
      </c>
      <c r="R597" s="38" t="str">
        <f>IF(Cleaned_Final!$I597&gt;=5000,"High","Low")</f>
        <v>High</v>
      </c>
    </row>
    <row r="598" spans="1:18" x14ac:dyDescent="0.35">
      <c r="A598" s="34">
        <v>1082</v>
      </c>
      <c r="B598" s="34" t="str">
        <f>_xlfn.XLOOKUP(Table2[[#This Row],[Product ID]],Sheet1!$A$32:$A$200,Sheet1!$B$32:$B$200,"Not Found")</f>
        <v>USB Drive</v>
      </c>
      <c r="C598" s="35">
        <v>45072</v>
      </c>
      <c r="D598" s="34" t="s">
        <v>24</v>
      </c>
      <c r="E598" s="34" t="str" cm="1">
        <f t="array" ref="E598">_xlfn.XLOOKUP(Table2[[#This Row],[Sales Rep]],Sheet1!$A$21:$A$25,Sheet1!$B$21:$B$25,Not Found)</f>
        <v>Hogan Rock</v>
      </c>
      <c r="F598" s="34" t="s">
        <v>25</v>
      </c>
      <c r="G598" s="34">
        <f>_xlfn.XLOOKUP(Table2[[#This Row],[Region]],Sheet1!$A$12:$A$15,Sheet1!$B$12:$B$15,0)</f>
        <v>0.05</v>
      </c>
      <c r="H598" s="36">
        <f>Table2[[#This Row],[Tax Rate]]*Table2[[#This Row],[Sales Amount]]</f>
        <v>349.733</v>
      </c>
      <c r="I598" s="36">
        <v>6994.66</v>
      </c>
      <c r="J598" s="34">
        <v>2</v>
      </c>
      <c r="K598" s="34" t="s">
        <v>16</v>
      </c>
      <c r="L598" s="36">
        <v>1349.3</v>
      </c>
      <c r="M598" s="36">
        <v>1576.69</v>
      </c>
      <c r="N598" s="34" t="s">
        <v>17</v>
      </c>
      <c r="O598" s="37">
        <v>0.12</v>
      </c>
      <c r="P598" s="34" t="s">
        <v>31</v>
      </c>
      <c r="Q598" s="34" t="s">
        <v>19</v>
      </c>
      <c r="R598" s="34" t="str">
        <f>IF(Cleaned_Final!$I598&gt;=5000,"High","Low")</f>
        <v>High</v>
      </c>
    </row>
    <row r="599" spans="1:18" x14ac:dyDescent="0.35">
      <c r="A599" s="38">
        <v>1096</v>
      </c>
      <c r="B599" s="38" t="str">
        <f>_xlfn.XLOOKUP(Table2[[#This Row],[Product ID]],Sheet1!$A$32:$A$200,Sheet1!$B$32:$B$200,"Not Found")</f>
        <v>Radio</v>
      </c>
      <c r="C599" s="39">
        <v>45219</v>
      </c>
      <c r="D599" s="38" t="s">
        <v>24</v>
      </c>
      <c r="E599" s="38" t="str" cm="1">
        <f t="array" ref="E599">_xlfn.XLOOKUP(Table2[[#This Row],[Sales Rep]],Sheet1!$A$21:$A$25,Sheet1!$B$21:$B$25,Not Found)</f>
        <v>Hogan Rock</v>
      </c>
      <c r="F599" s="38" t="s">
        <v>25</v>
      </c>
      <c r="G599" s="38">
        <f>_xlfn.XLOOKUP(Table2[[#This Row],[Region]],Sheet1!$A$12:$A$15,Sheet1!$B$12:$B$15,0)</f>
        <v>0.05</v>
      </c>
      <c r="H599" s="40">
        <f>Table2[[#This Row],[Tax Rate]]*Table2[[#This Row],[Sales Amount]]</f>
        <v>352.5625</v>
      </c>
      <c r="I599" s="40">
        <v>7051.25</v>
      </c>
      <c r="J599" s="38">
        <v>10</v>
      </c>
      <c r="K599" s="38" t="s">
        <v>29</v>
      </c>
      <c r="L599" s="40">
        <v>2927.02</v>
      </c>
      <c r="M599" s="40">
        <v>3387.21</v>
      </c>
      <c r="N599" s="38" t="s">
        <v>17</v>
      </c>
      <c r="O599" s="41">
        <v>0.12</v>
      </c>
      <c r="P599" s="38" t="s">
        <v>18</v>
      </c>
      <c r="Q599" s="38" t="s">
        <v>22</v>
      </c>
      <c r="R599" s="38" t="str">
        <f>IF(Cleaned_Final!$I599&gt;=5000,"High","Low")</f>
        <v>High</v>
      </c>
    </row>
    <row r="600" spans="1:18" x14ac:dyDescent="0.35">
      <c r="A600" s="34">
        <v>1024</v>
      </c>
      <c r="B600" s="34" t="str">
        <f>_xlfn.XLOOKUP(Table2[[#This Row],[Product ID]],Sheet1!$A$32:$A$200,Sheet1!$B$32:$B$200,"Not Found")</f>
        <v>Pasta Pack</v>
      </c>
      <c r="C600" s="35">
        <v>45079</v>
      </c>
      <c r="D600" s="34" t="s">
        <v>42</v>
      </c>
      <c r="E600" s="34" t="str" cm="1">
        <f t="array" ref="E600">_xlfn.XLOOKUP(Table2[[#This Row],[Sales Rep]],Sheet1!$A$21:$A$25,Sheet1!$B$21:$B$25,Not Found)</f>
        <v>Scott Wayne</v>
      </c>
      <c r="F600" s="34" t="s">
        <v>21</v>
      </c>
      <c r="G600" s="34">
        <f>_xlfn.XLOOKUP(Table2[[#This Row],[Region]],Sheet1!$A$12:$A$15,Sheet1!$B$12:$B$15,0)</f>
        <v>0.08</v>
      </c>
      <c r="H600" s="36">
        <f>Table2[[#This Row],[Tax Rate]]*Table2[[#This Row],[Sales Amount]]</f>
        <v>143.98160000000001</v>
      </c>
      <c r="I600" s="36">
        <v>1799.77</v>
      </c>
      <c r="J600" s="34">
        <v>2</v>
      </c>
      <c r="K600" s="34" t="s">
        <v>16</v>
      </c>
      <c r="L600" s="36">
        <v>3604.93</v>
      </c>
      <c r="M600" s="36">
        <v>3830.71</v>
      </c>
      <c r="N600" s="34" t="s">
        <v>17</v>
      </c>
      <c r="O600" s="37">
        <v>0.12</v>
      </c>
      <c r="P600" s="34" t="s">
        <v>31</v>
      </c>
      <c r="Q600" s="34" t="s">
        <v>19</v>
      </c>
      <c r="R600" s="34" t="str">
        <f>IF(Cleaned_Final!$I600&gt;=5000,"High","Low")</f>
        <v>Low</v>
      </c>
    </row>
    <row r="601" spans="1:18" x14ac:dyDescent="0.35">
      <c r="A601" s="38">
        <v>1023</v>
      </c>
      <c r="B601" s="38" t="str">
        <f>_xlfn.XLOOKUP(Table2[[#This Row],[Product ID]],Sheet1!$A$32:$A$200,Sheet1!$B$32:$B$200,"Not Found")</f>
        <v>Tights</v>
      </c>
      <c r="C601" s="39">
        <v>45119</v>
      </c>
      <c r="D601" s="38" t="s">
        <v>42</v>
      </c>
      <c r="E601" s="38" t="str" cm="1">
        <f t="array" ref="E601">_xlfn.XLOOKUP(Table2[[#This Row],[Sales Rep]],Sheet1!$A$21:$A$25,Sheet1!$B$21:$B$25,Not Found)</f>
        <v>Scott Wayne</v>
      </c>
      <c r="F601" s="38" t="s">
        <v>15</v>
      </c>
      <c r="G601" s="38">
        <f>_xlfn.XLOOKUP(Table2[[#This Row],[Region]],Sheet1!$A$12:$A$15,Sheet1!$B$12:$B$15,0)</f>
        <v>7.4999999999999997E-2</v>
      </c>
      <c r="H601" s="40">
        <f>Table2[[#This Row],[Tax Rate]]*Table2[[#This Row],[Sales Amount]]</f>
        <v>378.834</v>
      </c>
      <c r="I601" s="40">
        <v>5051.12</v>
      </c>
      <c r="J601" s="38">
        <v>2</v>
      </c>
      <c r="K601" s="38" t="s">
        <v>26</v>
      </c>
      <c r="L601" s="40">
        <v>665.89</v>
      </c>
      <c r="M601" s="40">
        <v>944.79</v>
      </c>
      <c r="N601" s="38" t="s">
        <v>30</v>
      </c>
      <c r="O601" s="41">
        <v>0.1</v>
      </c>
      <c r="P601" s="38" t="s">
        <v>31</v>
      </c>
      <c r="Q601" s="38" t="s">
        <v>22</v>
      </c>
      <c r="R601" s="38" t="str">
        <f>IF(Cleaned_Final!$I601&gt;=5000,"High","Low")</f>
        <v>High</v>
      </c>
    </row>
    <row r="602" spans="1:18" x14ac:dyDescent="0.35">
      <c r="A602" s="34">
        <v>1062</v>
      </c>
      <c r="B602" s="34" t="str">
        <f>_xlfn.XLOOKUP(Table2[[#This Row],[Product ID]],Sheet1!$A$32:$A$200,Sheet1!$B$32:$B$200,"Not Found")</f>
        <v>Boxers</v>
      </c>
      <c r="C602" s="35">
        <v>44999</v>
      </c>
      <c r="D602" s="34" t="s">
        <v>42</v>
      </c>
      <c r="E602" s="34" t="str" cm="1">
        <f t="array" ref="E602">_xlfn.XLOOKUP(Table2[[#This Row],[Sales Rep]],Sheet1!$A$21:$A$25,Sheet1!$B$21:$B$25,Not Found)</f>
        <v>Scott Wayne</v>
      </c>
      <c r="F602" s="34" t="s">
        <v>34</v>
      </c>
      <c r="G602" s="34">
        <f>_xlfn.XLOOKUP(Table2[[#This Row],[Region]],Sheet1!$A$12:$A$15,Sheet1!$B$12:$B$15,0)</f>
        <v>0.06</v>
      </c>
      <c r="H602" s="36">
        <f>Table2[[#This Row],[Tax Rate]]*Table2[[#This Row],[Sales Amount]]</f>
        <v>250.70340000000002</v>
      </c>
      <c r="I602" s="36">
        <v>4178.3900000000003</v>
      </c>
      <c r="J602" s="34">
        <v>24</v>
      </c>
      <c r="K602" s="34" t="s">
        <v>26</v>
      </c>
      <c r="L602" s="36">
        <v>3018.01</v>
      </c>
      <c r="M602" s="36">
        <v>3418.19</v>
      </c>
      <c r="N602" s="34" t="s">
        <v>17</v>
      </c>
      <c r="O602" s="37">
        <v>0.23</v>
      </c>
      <c r="P602" s="34" t="s">
        <v>27</v>
      </c>
      <c r="Q602" s="34" t="s">
        <v>22</v>
      </c>
      <c r="R602" s="34" t="str">
        <f>IF(Cleaned_Final!$I602&gt;=5000,"High","Low")</f>
        <v>Low</v>
      </c>
    </row>
    <row r="603" spans="1:18" x14ac:dyDescent="0.35">
      <c r="A603" s="38">
        <v>1096</v>
      </c>
      <c r="B603" s="38" t="str">
        <f>_xlfn.XLOOKUP(Table2[[#This Row],[Product ID]],Sheet1!$A$32:$A$200,Sheet1!$B$32:$B$200,"Not Found")</f>
        <v>Radio</v>
      </c>
      <c r="C603" s="39">
        <v>45231</v>
      </c>
      <c r="D603" s="38" t="s">
        <v>14</v>
      </c>
      <c r="E603" s="38" t="str" cm="1">
        <f t="array" ref="E603">_xlfn.XLOOKUP(Table2[[#This Row],[Sales Rep]],Sheet1!$A$21:$A$25,Sheet1!$B$21:$B$25,Not Found)</f>
        <v>Michael Smith</v>
      </c>
      <c r="F603" s="38" t="s">
        <v>25</v>
      </c>
      <c r="G603" s="38">
        <f>_xlfn.XLOOKUP(Table2[[#This Row],[Region]],Sheet1!$A$12:$A$15,Sheet1!$B$12:$B$15,0)</f>
        <v>0.05</v>
      </c>
      <c r="H603" s="40">
        <f>Table2[[#This Row],[Tax Rate]]*Table2[[#This Row],[Sales Amount]]</f>
        <v>435.911</v>
      </c>
      <c r="I603" s="40">
        <v>8718.2199999999993</v>
      </c>
      <c r="J603" s="38">
        <v>17</v>
      </c>
      <c r="K603" s="38" t="s">
        <v>26</v>
      </c>
      <c r="L603" s="40">
        <v>2774.24</v>
      </c>
      <c r="M603" s="40">
        <v>3069.9399999999901</v>
      </c>
      <c r="N603" s="38" t="s">
        <v>17</v>
      </c>
      <c r="O603" s="41">
        <v>0.23</v>
      </c>
      <c r="P603" s="38" t="s">
        <v>27</v>
      </c>
      <c r="Q603" s="38" t="s">
        <v>22</v>
      </c>
      <c r="R603" s="38" t="str">
        <f>IF(Cleaned_Final!$I603&gt;=5000,"High","Low")</f>
        <v>High</v>
      </c>
    </row>
    <row r="604" spans="1:18" x14ac:dyDescent="0.35">
      <c r="A604" s="34">
        <v>1037</v>
      </c>
      <c r="B604" s="34" t="str">
        <f>_xlfn.XLOOKUP(Table2[[#This Row],[Product ID]],Sheet1!$A$32:$A$200,Sheet1!$B$32:$B$200,"Not Found")</f>
        <v>Turtleneck Top</v>
      </c>
      <c r="C604" s="35">
        <v>45270</v>
      </c>
      <c r="D604" s="34" t="s">
        <v>14</v>
      </c>
      <c r="E604" s="34" t="str" cm="1">
        <f t="array" ref="E604">_xlfn.XLOOKUP(Table2[[#This Row],[Sales Rep]],Sheet1!$A$21:$A$25,Sheet1!$B$21:$B$25,Not Found)</f>
        <v>Michael Smith</v>
      </c>
      <c r="F604" s="34" t="s">
        <v>15</v>
      </c>
      <c r="G604" s="34">
        <f>_xlfn.XLOOKUP(Table2[[#This Row],[Region]],Sheet1!$A$12:$A$15,Sheet1!$B$12:$B$15,0)</f>
        <v>7.4999999999999997E-2</v>
      </c>
      <c r="H604" s="36">
        <f>Table2[[#This Row],[Tax Rate]]*Table2[[#This Row],[Sales Amount]]</f>
        <v>476.32875000000001</v>
      </c>
      <c r="I604" s="36">
        <v>6351.05</v>
      </c>
      <c r="J604" s="34">
        <v>32</v>
      </c>
      <c r="K604" s="34" t="s">
        <v>35</v>
      </c>
      <c r="L604" s="36">
        <v>2594.08</v>
      </c>
      <c r="M604" s="36">
        <v>3074.59</v>
      </c>
      <c r="N604" s="34" t="s">
        <v>30</v>
      </c>
      <c r="O604" s="37">
        <v>0.14000000000000001</v>
      </c>
      <c r="P604" s="34" t="s">
        <v>18</v>
      </c>
      <c r="Q604" s="34" t="s">
        <v>22</v>
      </c>
      <c r="R604" s="34" t="str">
        <f>IF(Cleaned_Final!$I604&gt;=5000,"High","Low")</f>
        <v>High</v>
      </c>
    </row>
    <row r="605" spans="1:18" x14ac:dyDescent="0.35">
      <c r="A605" s="38">
        <v>1012</v>
      </c>
      <c r="B605" s="38" t="str">
        <f>_xlfn.XLOOKUP(Table2[[#This Row],[Product ID]],Sheet1!$A$32:$A$200,Sheet1!$B$32:$B$200,"Not Found")</f>
        <v>Cabinet</v>
      </c>
      <c r="C605" s="39">
        <v>45066</v>
      </c>
      <c r="D605" s="38" t="s">
        <v>14</v>
      </c>
      <c r="E605" s="38" t="str" cm="1">
        <f t="array" ref="E605">_xlfn.XLOOKUP(Table2[[#This Row],[Sales Rep]],Sheet1!$A$21:$A$25,Sheet1!$B$21:$B$25,Not Found)</f>
        <v>Michael Smith</v>
      </c>
      <c r="F605" s="38" t="s">
        <v>15</v>
      </c>
      <c r="G605" s="38">
        <f>_xlfn.XLOOKUP(Table2[[#This Row],[Region]],Sheet1!$A$12:$A$15,Sheet1!$B$12:$B$15,0)</f>
        <v>7.4999999999999997E-2</v>
      </c>
      <c r="H605" s="40">
        <f>Table2[[#This Row],[Tax Rate]]*Table2[[#This Row],[Sales Amount]]</f>
        <v>402.88425000000001</v>
      </c>
      <c r="I605" s="40">
        <v>5371.79</v>
      </c>
      <c r="J605" s="38">
        <v>16</v>
      </c>
      <c r="K605" s="38" t="s">
        <v>26</v>
      </c>
      <c r="L605" s="40">
        <v>3466.11</v>
      </c>
      <c r="M605" s="40">
        <v>3799.67</v>
      </c>
      <c r="N605" s="38" t="s">
        <v>17</v>
      </c>
      <c r="O605" s="41">
        <v>0.01</v>
      </c>
      <c r="P605" s="38" t="s">
        <v>18</v>
      </c>
      <c r="Q605" s="38" t="s">
        <v>22</v>
      </c>
      <c r="R605" s="38" t="str">
        <f>IF(Cleaned_Final!$I605&gt;=5000,"High","Low")</f>
        <v>High</v>
      </c>
    </row>
    <row r="606" spans="1:18" x14ac:dyDescent="0.35">
      <c r="A606" s="34">
        <v>1055</v>
      </c>
      <c r="B606" s="34" t="str">
        <f>_xlfn.XLOOKUP(Table2[[#This Row],[Product ID]],Sheet1!$A$32:$A$200,Sheet1!$B$32:$B$200,"Not Found")</f>
        <v>Cupboard</v>
      </c>
      <c r="C606" s="35">
        <v>45113</v>
      </c>
      <c r="D606" s="34" t="s">
        <v>38</v>
      </c>
      <c r="E606" s="34" t="str" cm="1">
        <f t="array" ref="E606">_xlfn.XLOOKUP(Table2[[#This Row],[Sales Rep]],Sheet1!$A$21:$A$25,Sheet1!$B$21:$B$25,Not Found)</f>
        <v>Tracy Moore</v>
      </c>
      <c r="F606" s="34" t="s">
        <v>25</v>
      </c>
      <c r="G606" s="34">
        <f>_xlfn.XLOOKUP(Table2[[#This Row],[Region]],Sheet1!$A$12:$A$15,Sheet1!$B$12:$B$15,0)</f>
        <v>0.05</v>
      </c>
      <c r="H606" s="36">
        <f>Table2[[#This Row],[Tax Rate]]*Table2[[#This Row],[Sales Amount]]</f>
        <v>62.120500000000007</v>
      </c>
      <c r="I606" s="36">
        <v>1242.4100000000001</v>
      </c>
      <c r="J606" s="34">
        <v>16</v>
      </c>
      <c r="K606" s="34" t="s">
        <v>29</v>
      </c>
      <c r="L606" s="36">
        <v>4195.38</v>
      </c>
      <c r="M606" s="36">
        <v>4461.51</v>
      </c>
      <c r="N606" s="34" t="s">
        <v>17</v>
      </c>
      <c r="O606" s="37">
        <v>0.09</v>
      </c>
      <c r="P606" s="34" t="s">
        <v>27</v>
      </c>
      <c r="Q606" s="34" t="s">
        <v>19</v>
      </c>
      <c r="R606" s="34" t="str">
        <f>IF(Cleaned_Final!$I606&gt;=5000,"High","Low")</f>
        <v>Low</v>
      </c>
    </row>
    <row r="607" spans="1:18" x14ac:dyDescent="0.35">
      <c r="A607" s="38">
        <v>1013</v>
      </c>
      <c r="B607" s="38" t="str">
        <f>_xlfn.XLOOKUP(Table2[[#This Row],[Product ID]],Sheet1!$A$32:$A$200,Sheet1!$B$32:$B$200,"Not Found")</f>
        <v>Gas Cooker</v>
      </c>
      <c r="C607" s="39">
        <v>45219</v>
      </c>
      <c r="D607" s="38" t="s">
        <v>24</v>
      </c>
      <c r="E607" s="38" t="str" cm="1">
        <f t="array" ref="E607">_xlfn.XLOOKUP(Table2[[#This Row],[Sales Rep]],Sheet1!$A$21:$A$25,Sheet1!$B$21:$B$25,Not Found)</f>
        <v>Hogan Rock</v>
      </c>
      <c r="F607" s="38" t="s">
        <v>34</v>
      </c>
      <c r="G607" s="38">
        <f>_xlfn.XLOOKUP(Table2[[#This Row],[Region]],Sheet1!$A$12:$A$15,Sheet1!$B$12:$B$15,0)</f>
        <v>0.06</v>
      </c>
      <c r="H607" s="40">
        <f>Table2[[#This Row],[Tax Rate]]*Table2[[#This Row],[Sales Amount]]</f>
        <v>365.74919999999997</v>
      </c>
      <c r="I607" s="40">
        <v>6095.82</v>
      </c>
      <c r="J607" s="38">
        <v>46</v>
      </c>
      <c r="K607" s="38" t="s">
        <v>35</v>
      </c>
      <c r="L607" s="40">
        <v>1648.8</v>
      </c>
      <c r="M607" s="40">
        <v>1670.36</v>
      </c>
      <c r="N607" s="38" t="s">
        <v>17</v>
      </c>
      <c r="O607" s="41">
        <v>0.09</v>
      </c>
      <c r="P607" s="38" t="s">
        <v>31</v>
      </c>
      <c r="Q607" s="38" t="s">
        <v>22</v>
      </c>
      <c r="R607" s="38" t="str">
        <f>IF(Cleaned_Final!$I607&gt;=5000,"High","Low")</f>
        <v>High</v>
      </c>
    </row>
    <row r="608" spans="1:18" x14ac:dyDescent="0.35">
      <c r="A608" s="34">
        <v>1023</v>
      </c>
      <c r="B608" s="34" t="str">
        <f>_xlfn.XLOOKUP(Table2[[#This Row],[Product ID]],Sheet1!$A$32:$A$200,Sheet1!$B$32:$B$200,"Not Found")</f>
        <v>Tights</v>
      </c>
      <c r="C608" s="35">
        <v>44987</v>
      </c>
      <c r="D608" s="34" t="s">
        <v>24</v>
      </c>
      <c r="E608" s="34" t="str" cm="1">
        <f t="array" ref="E608">_xlfn.XLOOKUP(Table2[[#This Row],[Sales Rep]],Sheet1!$A$21:$A$25,Sheet1!$B$21:$B$25,Not Found)</f>
        <v>Hogan Rock</v>
      </c>
      <c r="F608" s="34" t="s">
        <v>21</v>
      </c>
      <c r="G608" s="34">
        <f>_xlfn.XLOOKUP(Table2[[#This Row],[Region]],Sheet1!$A$12:$A$15,Sheet1!$B$12:$B$15,0)</f>
        <v>0.08</v>
      </c>
      <c r="H608" s="36">
        <f>Table2[[#This Row],[Tax Rate]]*Table2[[#This Row],[Sales Amount]]</f>
        <v>100.82559999999999</v>
      </c>
      <c r="I608" s="36">
        <v>1260.32</v>
      </c>
      <c r="J608" s="34">
        <v>39</v>
      </c>
      <c r="K608" s="34" t="s">
        <v>26</v>
      </c>
      <c r="L608" s="36">
        <v>4450.6099999999997</v>
      </c>
      <c r="M608" s="36">
        <v>4663.3399999999901</v>
      </c>
      <c r="N608" s="34" t="s">
        <v>30</v>
      </c>
      <c r="O608" s="37">
        <v>0.24</v>
      </c>
      <c r="P608" s="34" t="s">
        <v>18</v>
      </c>
      <c r="Q608" s="34" t="s">
        <v>22</v>
      </c>
      <c r="R608" s="34" t="str">
        <f>IF(Cleaned_Final!$I608&gt;=5000,"High","Low")</f>
        <v>Low</v>
      </c>
    </row>
    <row r="609" spans="1:18" x14ac:dyDescent="0.35">
      <c r="A609" s="38">
        <v>1089</v>
      </c>
      <c r="B609" s="38" t="str">
        <f>_xlfn.XLOOKUP(Table2[[#This Row],[Product ID]],Sheet1!$A$32:$A$200,Sheet1!$B$32:$B$200,"Not Found")</f>
        <v>Recliner</v>
      </c>
      <c r="C609" s="39">
        <v>45124</v>
      </c>
      <c r="D609" s="38" t="s">
        <v>33</v>
      </c>
      <c r="E609" s="38" t="str" cm="1">
        <f t="array" ref="E609">_xlfn.XLOOKUP(Table2[[#This Row],[Sales Rep]],Sheet1!$A$21:$A$25,Sheet1!$B$21:$B$25,Not Found)</f>
        <v>Susan Jerkins</v>
      </c>
      <c r="F609" s="38" t="s">
        <v>15</v>
      </c>
      <c r="G609" s="38">
        <f>_xlfn.XLOOKUP(Table2[[#This Row],[Region]],Sheet1!$A$12:$A$15,Sheet1!$B$12:$B$15,0)</f>
        <v>7.4999999999999997E-2</v>
      </c>
      <c r="H609" s="40">
        <f>Table2[[#This Row],[Tax Rate]]*Table2[[#This Row],[Sales Amount]]</f>
        <v>257.87624999999997</v>
      </c>
      <c r="I609" s="40">
        <v>3438.35</v>
      </c>
      <c r="J609" s="38">
        <v>31</v>
      </c>
      <c r="K609" s="38" t="s">
        <v>29</v>
      </c>
      <c r="L609" s="40">
        <v>845.14</v>
      </c>
      <c r="M609" s="40">
        <v>1001.77</v>
      </c>
      <c r="N609" s="38" t="s">
        <v>30</v>
      </c>
      <c r="O609" s="41">
        <v>0.03</v>
      </c>
      <c r="P609" s="38" t="s">
        <v>18</v>
      </c>
      <c r="Q609" s="38" t="s">
        <v>19</v>
      </c>
      <c r="R609" s="38" t="str">
        <f>IF(Cleaned_Final!$I609&gt;=5000,"High","Low")</f>
        <v>Low</v>
      </c>
    </row>
    <row r="610" spans="1:18" x14ac:dyDescent="0.35">
      <c r="A610" s="34">
        <v>1099</v>
      </c>
      <c r="B610" s="34" t="str">
        <f>_xlfn.XLOOKUP(Table2[[#This Row],[Product ID]],Sheet1!$A$32:$A$200,Sheet1!$B$32:$B$200,"Not Found")</f>
        <v>Chest</v>
      </c>
      <c r="C610" s="35">
        <v>45221</v>
      </c>
      <c r="D610" s="34" t="s">
        <v>14</v>
      </c>
      <c r="E610" s="34" t="str" cm="1">
        <f t="array" ref="E610">_xlfn.XLOOKUP(Table2[[#This Row],[Sales Rep]],Sheet1!$A$21:$A$25,Sheet1!$B$21:$B$25,Not Found)</f>
        <v>Michael Smith</v>
      </c>
      <c r="F610" s="34" t="s">
        <v>21</v>
      </c>
      <c r="G610" s="34">
        <f>_xlfn.XLOOKUP(Table2[[#This Row],[Region]],Sheet1!$A$12:$A$15,Sheet1!$B$12:$B$15,0)</f>
        <v>0.08</v>
      </c>
      <c r="H610" s="36">
        <f>Table2[[#This Row],[Tax Rate]]*Table2[[#This Row],[Sales Amount]]</f>
        <v>121.13120000000001</v>
      </c>
      <c r="I610" s="36">
        <v>1514.14</v>
      </c>
      <c r="J610" s="34">
        <v>43</v>
      </c>
      <c r="K610" s="34" t="s">
        <v>29</v>
      </c>
      <c r="L610" s="36">
        <v>906.47</v>
      </c>
      <c r="M610" s="36">
        <v>1283.04</v>
      </c>
      <c r="N610" s="34" t="s">
        <v>30</v>
      </c>
      <c r="O610" s="37">
        <v>0.24</v>
      </c>
      <c r="P610" s="34" t="s">
        <v>18</v>
      </c>
      <c r="Q610" s="34" t="s">
        <v>19</v>
      </c>
      <c r="R610" s="34" t="str">
        <f>IF(Cleaned_Final!$I610&gt;=5000,"High","Low")</f>
        <v>Low</v>
      </c>
    </row>
    <row r="611" spans="1:18" x14ac:dyDescent="0.35">
      <c r="A611" s="38">
        <v>1030</v>
      </c>
      <c r="B611" s="38" t="str">
        <f>_xlfn.XLOOKUP(Table2[[#This Row],[Product ID]],Sheet1!$A$32:$A$200,Sheet1!$B$32:$B$200,"Not Found")</f>
        <v>Jeans</v>
      </c>
      <c r="C611" s="39">
        <v>45245</v>
      </c>
      <c r="D611" s="38" t="s">
        <v>38</v>
      </c>
      <c r="E611" s="38" t="str" cm="1">
        <f t="array" ref="E611">_xlfn.XLOOKUP(Table2[[#This Row],[Sales Rep]],Sheet1!$A$21:$A$25,Sheet1!$B$21:$B$25,Not Found)</f>
        <v>Tracy Moore</v>
      </c>
      <c r="F611" s="38" t="s">
        <v>34</v>
      </c>
      <c r="G611" s="38">
        <f>_xlfn.XLOOKUP(Table2[[#This Row],[Region]],Sheet1!$A$12:$A$15,Sheet1!$B$12:$B$15,0)</f>
        <v>0.06</v>
      </c>
      <c r="H611" s="40">
        <f>Table2[[#This Row],[Tax Rate]]*Table2[[#This Row],[Sales Amount]]</f>
        <v>417.09179999999998</v>
      </c>
      <c r="I611" s="40">
        <v>6951.53</v>
      </c>
      <c r="J611" s="38">
        <v>24</v>
      </c>
      <c r="K611" s="38" t="s">
        <v>29</v>
      </c>
      <c r="L611" s="40">
        <v>1370.52</v>
      </c>
      <c r="M611" s="40">
        <v>1482.58</v>
      </c>
      <c r="N611" s="38" t="s">
        <v>17</v>
      </c>
      <c r="O611" s="41">
        <v>0.2</v>
      </c>
      <c r="P611" s="38" t="s">
        <v>31</v>
      </c>
      <c r="Q611" s="38" t="s">
        <v>22</v>
      </c>
      <c r="R611" s="38" t="str">
        <f>IF(Cleaned_Final!$I611&gt;=5000,"High","Low")</f>
        <v>High</v>
      </c>
    </row>
    <row r="612" spans="1:18" x14ac:dyDescent="0.35">
      <c r="A612" s="34">
        <v>1017</v>
      </c>
      <c r="B612" s="34" t="str">
        <f>_xlfn.XLOOKUP(Table2[[#This Row],[Product ID]],Sheet1!$A$32:$A$200,Sheet1!$B$32:$B$200,"Not Found")</f>
        <v>Peaches</v>
      </c>
      <c r="C612" s="35">
        <v>45228</v>
      </c>
      <c r="D612" s="34" t="s">
        <v>38</v>
      </c>
      <c r="E612" s="34" t="str" cm="1">
        <f t="array" ref="E612">_xlfn.XLOOKUP(Table2[[#This Row],[Sales Rep]],Sheet1!$A$21:$A$25,Sheet1!$B$21:$B$25,Not Found)</f>
        <v>Tracy Moore</v>
      </c>
      <c r="F612" s="34" t="s">
        <v>34</v>
      </c>
      <c r="G612" s="34">
        <f>_xlfn.XLOOKUP(Table2[[#This Row],[Region]],Sheet1!$A$12:$A$15,Sheet1!$B$12:$B$15,0)</f>
        <v>0.06</v>
      </c>
      <c r="H612" s="36">
        <f>Table2[[#This Row],[Tax Rate]]*Table2[[#This Row],[Sales Amount]]</f>
        <v>128.51400000000001</v>
      </c>
      <c r="I612" s="36">
        <v>2141.9</v>
      </c>
      <c r="J612" s="34">
        <v>1</v>
      </c>
      <c r="K612" s="34" t="s">
        <v>16</v>
      </c>
      <c r="L612" s="36">
        <v>641.67999999999995</v>
      </c>
      <c r="M612" s="36">
        <v>752.24</v>
      </c>
      <c r="N612" s="34" t="s">
        <v>30</v>
      </c>
      <c r="O612" s="37">
        <v>0.22</v>
      </c>
      <c r="P612" s="34" t="s">
        <v>27</v>
      </c>
      <c r="Q612" s="34" t="s">
        <v>19</v>
      </c>
      <c r="R612" s="34" t="str">
        <f>IF(Cleaned_Final!$I612&gt;=5000,"High","Low")</f>
        <v>Low</v>
      </c>
    </row>
    <row r="613" spans="1:18" x14ac:dyDescent="0.35">
      <c r="A613" s="38">
        <v>1062</v>
      </c>
      <c r="B613" s="38" t="str">
        <f>_xlfn.XLOOKUP(Table2[[#This Row],[Product ID]],Sheet1!$A$32:$A$200,Sheet1!$B$32:$B$200,"Not Found")</f>
        <v>Boxers</v>
      </c>
      <c r="C613" s="39">
        <v>45270</v>
      </c>
      <c r="D613" s="38" t="s">
        <v>24</v>
      </c>
      <c r="E613" s="38" t="str" cm="1">
        <f t="array" ref="E613">_xlfn.XLOOKUP(Table2[[#This Row],[Sales Rep]],Sheet1!$A$21:$A$25,Sheet1!$B$21:$B$25,Not Found)</f>
        <v>Hogan Rock</v>
      </c>
      <c r="F613" s="38" t="s">
        <v>21</v>
      </c>
      <c r="G613" s="38">
        <f>_xlfn.XLOOKUP(Table2[[#This Row],[Region]],Sheet1!$A$12:$A$15,Sheet1!$B$12:$B$15,0)</f>
        <v>0.08</v>
      </c>
      <c r="H613" s="40">
        <f>Table2[[#This Row],[Tax Rate]]*Table2[[#This Row],[Sales Amount]]</f>
        <v>318.3528</v>
      </c>
      <c r="I613" s="40">
        <v>3979.41</v>
      </c>
      <c r="J613" s="38">
        <v>11</v>
      </c>
      <c r="K613" s="38" t="s">
        <v>35</v>
      </c>
      <c r="L613" s="40">
        <v>1190.08</v>
      </c>
      <c r="M613" s="40">
        <v>1292.9399999999901</v>
      </c>
      <c r="N613" s="38" t="s">
        <v>17</v>
      </c>
      <c r="O613" s="41">
        <v>0.13</v>
      </c>
      <c r="P613" s="38" t="s">
        <v>18</v>
      </c>
      <c r="Q613" s="38" t="s">
        <v>22</v>
      </c>
      <c r="R613" s="38" t="str">
        <f>IF(Cleaned_Final!$I613&gt;=5000,"High","Low")</f>
        <v>Low</v>
      </c>
    </row>
    <row r="614" spans="1:18" x14ac:dyDescent="0.35">
      <c r="A614" s="34">
        <v>1084</v>
      </c>
      <c r="B614" s="34" t="str">
        <f>_xlfn.XLOOKUP(Table2[[#This Row],[Product ID]],Sheet1!$A$32:$A$200,Sheet1!$B$32:$B$200,"Not Found")</f>
        <v>Card Table</v>
      </c>
      <c r="C614" s="35">
        <v>44937</v>
      </c>
      <c r="D614" s="34" t="s">
        <v>14</v>
      </c>
      <c r="E614" s="34" t="str" cm="1">
        <f t="array" ref="E614">_xlfn.XLOOKUP(Table2[[#This Row],[Sales Rep]],Sheet1!$A$21:$A$25,Sheet1!$B$21:$B$25,Not Found)</f>
        <v>Michael Smith</v>
      </c>
      <c r="F614" s="34" t="s">
        <v>34</v>
      </c>
      <c r="G614" s="34">
        <f>_xlfn.XLOOKUP(Table2[[#This Row],[Region]],Sheet1!$A$12:$A$15,Sheet1!$B$12:$B$15,0)</f>
        <v>0.06</v>
      </c>
      <c r="H614" s="36">
        <f>Table2[[#This Row],[Tax Rate]]*Table2[[#This Row],[Sales Amount]]</f>
        <v>538.0308</v>
      </c>
      <c r="I614" s="36">
        <v>8967.18</v>
      </c>
      <c r="J614" s="34">
        <v>21</v>
      </c>
      <c r="K614" s="34" t="s">
        <v>29</v>
      </c>
      <c r="L614" s="36">
        <v>576.74</v>
      </c>
      <c r="M614" s="36">
        <v>648.29</v>
      </c>
      <c r="N614" s="34" t="s">
        <v>17</v>
      </c>
      <c r="O614" s="37">
        <v>0.2</v>
      </c>
      <c r="P614" s="34" t="s">
        <v>27</v>
      </c>
      <c r="Q614" s="34" t="s">
        <v>19</v>
      </c>
      <c r="R614" s="34" t="str">
        <f>IF(Cleaned_Final!$I614&gt;=5000,"High","Low")</f>
        <v>High</v>
      </c>
    </row>
    <row r="615" spans="1:18" x14ac:dyDescent="0.35">
      <c r="A615" s="38">
        <v>1089</v>
      </c>
      <c r="B615" s="38" t="str">
        <f>_xlfn.XLOOKUP(Table2[[#This Row],[Product ID]],Sheet1!$A$32:$A$200,Sheet1!$B$32:$B$200,"Not Found")</f>
        <v>Recliner</v>
      </c>
      <c r="C615" s="39">
        <v>44988</v>
      </c>
      <c r="D615" s="38" t="s">
        <v>33</v>
      </c>
      <c r="E615" s="38" t="str" cm="1">
        <f t="array" ref="E615">_xlfn.XLOOKUP(Table2[[#This Row],[Sales Rep]],Sheet1!$A$21:$A$25,Sheet1!$B$21:$B$25,Not Found)</f>
        <v>Susan Jerkins</v>
      </c>
      <c r="F615" s="38" t="s">
        <v>15</v>
      </c>
      <c r="G615" s="38">
        <f>_xlfn.XLOOKUP(Table2[[#This Row],[Region]],Sheet1!$A$12:$A$15,Sheet1!$B$12:$B$15,0)</f>
        <v>7.4999999999999997E-2</v>
      </c>
      <c r="H615" s="40">
        <f>Table2[[#This Row],[Tax Rate]]*Table2[[#This Row],[Sales Amount]]</f>
        <v>159.20474999999999</v>
      </c>
      <c r="I615" s="40">
        <v>2122.73</v>
      </c>
      <c r="J615" s="38">
        <v>4</v>
      </c>
      <c r="K615" s="38" t="s">
        <v>16</v>
      </c>
      <c r="L615" s="40">
        <v>4117.67</v>
      </c>
      <c r="M615" s="40">
        <v>4280.0600000000004</v>
      </c>
      <c r="N615" s="38" t="s">
        <v>17</v>
      </c>
      <c r="O615" s="41">
        <v>0.18</v>
      </c>
      <c r="P615" s="38" t="s">
        <v>27</v>
      </c>
      <c r="Q615" s="38" t="s">
        <v>19</v>
      </c>
      <c r="R615" s="38" t="str">
        <f>IF(Cleaned_Final!$I615&gt;=5000,"High","Low")</f>
        <v>Low</v>
      </c>
    </row>
    <row r="616" spans="1:18" x14ac:dyDescent="0.35">
      <c r="A616" s="34">
        <v>1086</v>
      </c>
      <c r="B616" s="34" t="str">
        <f>_xlfn.XLOOKUP(Table2[[#This Row],[Product ID]],Sheet1!$A$32:$A$200,Sheet1!$B$32:$B$200,"Not Found")</f>
        <v>Gaming Console</v>
      </c>
      <c r="C616" s="35">
        <v>45259</v>
      </c>
      <c r="D616" s="34" t="s">
        <v>14</v>
      </c>
      <c r="E616" s="34" t="str" cm="1">
        <f t="array" ref="E616">_xlfn.XLOOKUP(Table2[[#This Row],[Sales Rep]],Sheet1!$A$21:$A$25,Sheet1!$B$21:$B$25,Not Found)</f>
        <v>Michael Smith</v>
      </c>
      <c r="F616" s="34" t="s">
        <v>21</v>
      </c>
      <c r="G616" s="34">
        <f>_xlfn.XLOOKUP(Table2[[#This Row],[Region]],Sheet1!$A$12:$A$15,Sheet1!$B$12:$B$15,0)</f>
        <v>0.08</v>
      </c>
      <c r="H616" s="36">
        <f>Table2[[#This Row],[Tax Rate]]*Table2[[#This Row],[Sales Amount]]</f>
        <v>410.18160000000006</v>
      </c>
      <c r="I616" s="36">
        <v>5127.2700000000004</v>
      </c>
      <c r="J616" s="34">
        <v>7</v>
      </c>
      <c r="K616" s="34" t="s">
        <v>26</v>
      </c>
      <c r="L616" s="36">
        <v>737.9</v>
      </c>
      <c r="M616" s="36">
        <v>1182</v>
      </c>
      <c r="N616" s="34" t="s">
        <v>30</v>
      </c>
      <c r="O616" s="37">
        <v>0.23</v>
      </c>
      <c r="P616" s="34" t="s">
        <v>31</v>
      </c>
      <c r="Q616" s="34" t="s">
        <v>22</v>
      </c>
      <c r="R616" s="34" t="str">
        <f>IF(Cleaned_Final!$I616&gt;=5000,"High","Low")</f>
        <v>High</v>
      </c>
    </row>
    <row r="617" spans="1:18" x14ac:dyDescent="0.35">
      <c r="A617" s="38">
        <v>1013</v>
      </c>
      <c r="B617" s="38" t="str">
        <f>_xlfn.XLOOKUP(Table2[[#This Row],[Product ID]],Sheet1!$A$32:$A$200,Sheet1!$B$32:$B$200,"Not Found")</f>
        <v>Gas Cooker</v>
      </c>
      <c r="C617" s="39">
        <v>45152</v>
      </c>
      <c r="D617" s="38" t="s">
        <v>42</v>
      </c>
      <c r="E617" s="38" t="str" cm="1">
        <f t="array" ref="E617">_xlfn.XLOOKUP(Table2[[#This Row],[Sales Rep]],Sheet1!$A$21:$A$25,Sheet1!$B$21:$B$25,Not Found)</f>
        <v>Scott Wayne</v>
      </c>
      <c r="F617" s="38" t="s">
        <v>34</v>
      </c>
      <c r="G617" s="38">
        <f>_xlfn.XLOOKUP(Table2[[#This Row],[Region]],Sheet1!$A$12:$A$15,Sheet1!$B$12:$B$15,0)</f>
        <v>0.06</v>
      </c>
      <c r="H617" s="40">
        <f>Table2[[#This Row],[Tax Rate]]*Table2[[#This Row],[Sales Amount]]</f>
        <v>255.04739999999998</v>
      </c>
      <c r="I617" s="40">
        <v>4250.79</v>
      </c>
      <c r="J617" s="38">
        <v>26</v>
      </c>
      <c r="K617" s="38" t="s">
        <v>29</v>
      </c>
      <c r="L617" s="40">
        <v>3749.12</v>
      </c>
      <c r="M617" s="40">
        <v>4138.83</v>
      </c>
      <c r="N617" s="38" t="s">
        <v>30</v>
      </c>
      <c r="O617" s="41">
        <v>0.13</v>
      </c>
      <c r="P617" s="38" t="s">
        <v>31</v>
      </c>
      <c r="Q617" s="38" t="s">
        <v>19</v>
      </c>
      <c r="R617" s="38" t="str">
        <f>IF(Cleaned_Final!$I617&gt;=5000,"High","Low")</f>
        <v>Low</v>
      </c>
    </row>
    <row r="618" spans="1:18" x14ac:dyDescent="0.35">
      <c r="A618" s="34">
        <v>1059</v>
      </c>
      <c r="B618" s="34" t="str">
        <f>_xlfn.XLOOKUP(Table2[[#This Row],[Product ID]],Sheet1!$A$32:$A$200,Sheet1!$B$32:$B$200,"Not Found")</f>
        <v>Coffee Beans</v>
      </c>
      <c r="C618" s="35">
        <v>45079</v>
      </c>
      <c r="D618" s="34" t="s">
        <v>14</v>
      </c>
      <c r="E618" s="34" t="str" cm="1">
        <f t="array" ref="E618">_xlfn.XLOOKUP(Table2[[#This Row],[Sales Rep]],Sheet1!$A$21:$A$25,Sheet1!$B$21:$B$25,Not Found)</f>
        <v>Michael Smith</v>
      </c>
      <c r="F618" s="34" t="s">
        <v>21</v>
      </c>
      <c r="G618" s="34">
        <f>_xlfn.XLOOKUP(Table2[[#This Row],[Region]],Sheet1!$A$12:$A$15,Sheet1!$B$12:$B$15,0)</f>
        <v>0.08</v>
      </c>
      <c r="H618" s="36">
        <f>Table2[[#This Row],[Tax Rate]]*Table2[[#This Row],[Sales Amount]]</f>
        <v>22.354400000000002</v>
      </c>
      <c r="I618" s="36">
        <v>279.43</v>
      </c>
      <c r="J618" s="34">
        <v>47</v>
      </c>
      <c r="K618" s="34" t="s">
        <v>16</v>
      </c>
      <c r="L618" s="36">
        <v>287.17</v>
      </c>
      <c r="M618" s="36">
        <v>657.44</v>
      </c>
      <c r="N618" s="34" t="s">
        <v>17</v>
      </c>
      <c r="O618" s="37">
        <v>0.14000000000000001</v>
      </c>
      <c r="P618" s="34" t="s">
        <v>31</v>
      </c>
      <c r="Q618" s="34" t="s">
        <v>22</v>
      </c>
      <c r="R618" s="34" t="str">
        <f>IF(Cleaned_Final!$I618&gt;=5000,"High","Low")</f>
        <v>Low</v>
      </c>
    </row>
    <row r="619" spans="1:18" x14ac:dyDescent="0.35">
      <c r="A619" s="38">
        <v>1019</v>
      </c>
      <c r="B619" s="38" t="str">
        <f>_xlfn.XLOOKUP(Table2[[#This Row],[Product ID]],Sheet1!$A$32:$A$200,Sheet1!$B$32:$B$200,"Not Found")</f>
        <v>Apple</v>
      </c>
      <c r="C619" s="39">
        <v>45125</v>
      </c>
      <c r="D619" s="38" t="s">
        <v>42</v>
      </c>
      <c r="E619" s="38" t="str" cm="1">
        <f t="array" ref="E619">_xlfn.XLOOKUP(Table2[[#This Row],[Sales Rep]],Sheet1!$A$21:$A$25,Sheet1!$B$21:$B$25,Not Found)</f>
        <v>Scott Wayne</v>
      </c>
      <c r="F619" s="38" t="s">
        <v>15</v>
      </c>
      <c r="G619" s="38">
        <f>_xlfn.XLOOKUP(Table2[[#This Row],[Region]],Sheet1!$A$12:$A$15,Sheet1!$B$12:$B$15,0)</f>
        <v>7.4999999999999997E-2</v>
      </c>
      <c r="H619" s="40">
        <f>Table2[[#This Row],[Tax Rate]]*Table2[[#This Row],[Sales Amount]]</f>
        <v>596.12324999999998</v>
      </c>
      <c r="I619" s="40">
        <v>7948.31</v>
      </c>
      <c r="J619" s="38">
        <v>12</v>
      </c>
      <c r="K619" s="38" t="s">
        <v>29</v>
      </c>
      <c r="L619" s="40">
        <v>4745.18</v>
      </c>
      <c r="M619" s="40">
        <v>5145.88</v>
      </c>
      <c r="N619" s="38" t="s">
        <v>17</v>
      </c>
      <c r="O619" s="41">
        <v>0.19</v>
      </c>
      <c r="P619" s="38" t="s">
        <v>31</v>
      </c>
      <c r="Q619" s="38" t="s">
        <v>19</v>
      </c>
      <c r="R619" s="38" t="str">
        <f>IF(Cleaned_Final!$I619&gt;=5000,"High","Low")</f>
        <v>High</v>
      </c>
    </row>
    <row r="620" spans="1:18" x14ac:dyDescent="0.35">
      <c r="A620" s="34">
        <v>1049</v>
      </c>
      <c r="B620" s="34" t="str">
        <f>_xlfn.XLOOKUP(Table2[[#This Row],[Product ID]],Sheet1!$A$32:$A$200,Sheet1!$B$32:$B$200,"Not Found")</f>
        <v>Coffee Table</v>
      </c>
      <c r="C620" s="35">
        <v>44978</v>
      </c>
      <c r="D620" s="34" t="s">
        <v>42</v>
      </c>
      <c r="E620" s="34" t="str" cm="1">
        <f t="array" ref="E620">_xlfn.XLOOKUP(Table2[[#This Row],[Sales Rep]],Sheet1!$A$21:$A$25,Sheet1!$B$21:$B$25,Not Found)</f>
        <v>Scott Wayne</v>
      </c>
      <c r="F620" s="34" t="s">
        <v>34</v>
      </c>
      <c r="G620" s="34">
        <f>_xlfn.XLOOKUP(Table2[[#This Row],[Region]],Sheet1!$A$12:$A$15,Sheet1!$B$12:$B$15,0)</f>
        <v>0.06</v>
      </c>
      <c r="H620" s="36">
        <f>Table2[[#This Row],[Tax Rate]]*Table2[[#This Row],[Sales Amount]]</f>
        <v>47.012999999999998</v>
      </c>
      <c r="I620" s="36">
        <v>783.55</v>
      </c>
      <c r="J620" s="34">
        <v>31</v>
      </c>
      <c r="K620" s="34" t="s">
        <v>35</v>
      </c>
      <c r="L620" s="36">
        <v>3570.24</v>
      </c>
      <c r="M620" s="36">
        <v>3712.25</v>
      </c>
      <c r="N620" s="34" t="s">
        <v>30</v>
      </c>
      <c r="O620" s="37">
        <v>0.03</v>
      </c>
      <c r="P620" s="34" t="s">
        <v>31</v>
      </c>
      <c r="Q620" s="34" t="s">
        <v>19</v>
      </c>
      <c r="R620" s="34" t="str">
        <f>IF(Cleaned_Final!$I620&gt;=5000,"High","Low")</f>
        <v>Low</v>
      </c>
    </row>
    <row r="621" spans="1:18" x14ac:dyDescent="0.35">
      <c r="A621" s="38">
        <v>1100</v>
      </c>
      <c r="B621" s="38" t="str">
        <f>_xlfn.XLOOKUP(Table2[[#This Row],[Product ID]],Sheet1!$A$32:$A$200,Sheet1!$B$32:$B$200,"Not Found")</f>
        <v>Protein Cookies</v>
      </c>
      <c r="C621" s="39">
        <v>45186</v>
      </c>
      <c r="D621" s="38" t="s">
        <v>33</v>
      </c>
      <c r="E621" s="38" t="str" cm="1">
        <f t="array" ref="E621">_xlfn.XLOOKUP(Table2[[#This Row],[Sales Rep]],Sheet1!$A$21:$A$25,Sheet1!$B$21:$B$25,Not Found)</f>
        <v>Susan Jerkins</v>
      </c>
      <c r="F621" s="38" t="s">
        <v>15</v>
      </c>
      <c r="G621" s="38">
        <f>_xlfn.XLOOKUP(Table2[[#This Row],[Region]],Sheet1!$A$12:$A$15,Sheet1!$B$12:$B$15,0)</f>
        <v>7.4999999999999997E-2</v>
      </c>
      <c r="H621" s="40">
        <f>Table2[[#This Row],[Tax Rate]]*Table2[[#This Row],[Sales Amount]]</f>
        <v>359.63399999999996</v>
      </c>
      <c r="I621" s="40">
        <v>4795.12</v>
      </c>
      <c r="J621" s="38">
        <v>17</v>
      </c>
      <c r="K621" s="38" t="s">
        <v>35</v>
      </c>
      <c r="L621" s="40">
        <v>83.64</v>
      </c>
      <c r="M621" s="40">
        <v>528.49</v>
      </c>
      <c r="N621" s="38" t="s">
        <v>30</v>
      </c>
      <c r="O621" s="41">
        <v>0.13</v>
      </c>
      <c r="P621" s="38" t="s">
        <v>31</v>
      </c>
      <c r="Q621" s="38" t="s">
        <v>19</v>
      </c>
      <c r="R621" s="38" t="str">
        <f>IF(Cleaned_Final!$I621&gt;=5000,"High","Low")</f>
        <v>Low</v>
      </c>
    </row>
    <row r="622" spans="1:18" x14ac:dyDescent="0.35">
      <c r="A622" s="34">
        <v>1012</v>
      </c>
      <c r="B622" s="34" t="str">
        <f>_xlfn.XLOOKUP(Table2[[#This Row],[Product ID]],Sheet1!$A$32:$A$200,Sheet1!$B$32:$B$200,"Not Found")</f>
        <v>Cabinet</v>
      </c>
      <c r="C622" s="35">
        <v>44985</v>
      </c>
      <c r="D622" s="34" t="s">
        <v>24</v>
      </c>
      <c r="E622" s="34" t="str" cm="1">
        <f t="array" ref="E622">_xlfn.XLOOKUP(Table2[[#This Row],[Sales Rep]],Sheet1!$A$21:$A$25,Sheet1!$B$21:$B$25,Not Found)</f>
        <v>Hogan Rock</v>
      </c>
      <c r="F622" s="34" t="s">
        <v>34</v>
      </c>
      <c r="G622" s="34">
        <f>_xlfn.XLOOKUP(Table2[[#This Row],[Region]],Sheet1!$A$12:$A$15,Sheet1!$B$12:$B$15,0)</f>
        <v>0.06</v>
      </c>
      <c r="H622" s="36">
        <f>Table2[[#This Row],[Tax Rate]]*Table2[[#This Row],[Sales Amount]]</f>
        <v>339.04320000000001</v>
      </c>
      <c r="I622" s="36">
        <v>5650.72</v>
      </c>
      <c r="J622" s="34">
        <v>33</v>
      </c>
      <c r="K622" s="34" t="s">
        <v>26</v>
      </c>
      <c r="L622" s="36">
        <v>3831.09</v>
      </c>
      <c r="M622" s="36">
        <v>3908.37</v>
      </c>
      <c r="N622" s="34" t="s">
        <v>30</v>
      </c>
      <c r="O622" s="37">
        <v>0.28999999999999998</v>
      </c>
      <c r="P622" s="34" t="s">
        <v>18</v>
      </c>
      <c r="Q622" s="34" t="s">
        <v>22</v>
      </c>
      <c r="R622" s="34" t="str">
        <f>IF(Cleaned_Final!$I622&gt;=5000,"High","Low")</f>
        <v>High</v>
      </c>
    </row>
    <row r="623" spans="1:18" x14ac:dyDescent="0.35">
      <c r="A623" s="38">
        <v>1061</v>
      </c>
      <c r="B623" s="38" t="str">
        <f>_xlfn.XLOOKUP(Table2[[#This Row],[Product ID]],Sheet1!$A$32:$A$200,Sheet1!$B$32:$B$200,"Not Found")</f>
        <v>Laptop</v>
      </c>
      <c r="C623" s="39">
        <v>44998</v>
      </c>
      <c r="D623" s="38" t="s">
        <v>14</v>
      </c>
      <c r="E623" s="38" t="str" cm="1">
        <f t="array" ref="E623">_xlfn.XLOOKUP(Table2[[#This Row],[Sales Rep]],Sheet1!$A$21:$A$25,Sheet1!$B$21:$B$25,Not Found)</f>
        <v>Michael Smith</v>
      </c>
      <c r="F623" s="38" t="s">
        <v>25</v>
      </c>
      <c r="G623" s="38">
        <f>_xlfn.XLOOKUP(Table2[[#This Row],[Region]],Sheet1!$A$12:$A$15,Sheet1!$B$12:$B$15,0)</f>
        <v>0.05</v>
      </c>
      <c r="H623" s="40">
        <f>Table2[[#This Row],[Tax Rate]]*Table2[[#This Row],[Sales Amount]]</f>
        <v>316.07100000000003</v>
      </c>
      <c r="I623" s="40">
        <v>6321.42</v>
      </c>
      <c r="J623" s="38">
        <v>11</v>
      </c>
      <c r="K623" s="38" t="s">
        <v>29</v>
      </c>
      <c r="L623" s="40">
        <v>2594.71</v>
      </c>
      <c r="M623" s="40">
        <v>2769.52</v>
      </c>
      <c r="N623" s="38" t="s">
        <v>17</v>
      </c>
      <c r="O623" s="41">
        <v>0.01</v>
      </c>
      <c r="P623" s="38" t="s">
        <v>27</v>
      </c>
      <c r="Q623" s="38" t="s">
        <v>22</v>
      </c>
      <c r="R623" s="38" t="str">
        <f>IF(Cleaned_Final!$I623&gt;=5000,"High","Low")</f>
        <v>High</v>
      </c>
    </row>
    <row r="624" spans="1:18" x14ac:dyDescent="0.35">
      <c r="A624" s="34">
        <v>1019</v>
      </c>
      <c r="B624" s="34" t="str">
        <f>_xlfn.XLOOKUP(Table2[[#This Row],[Product ID]],Sheet1!$A$32:$A$200,Sheet1!$B$32:$B$200,"Not Found")</f>
        <v>Apple</v>
      </c>
      <c r="C624" s="35">
        <v>45074</v>
      </c>
      <c r="D624" s="34" t="s">
        <v>42</v>
      </c>
      <c r="E624" s="34" t="str" cm="1">
        <f t="array" ref="E624">_xlfn.XLOOKUP(Table2[[#This Row],[Sales Rep]],Sheet1!$A$21:$A$25,Sheet1!$B$21:$B$25,Not Found)</f>
        <v>Scott Wayne</v>
      </c>
      <c r="F624" s="34" t="s">
        <v>34</v>
      </c>
      <c r="G624" s="34">
        <f>_xlfn.XLOOKUP(Table2[[#This Row],[Region]],Sheet1!$A$12:$A$15,Sheet1!$B$12:$B$15,0)</f>
        <v>0.06</v>
      </c>
      <c r="H624" s="36">
        <f>Table2[[#This Row],[Tax Rate]]*Table2[[#This Row],[Sales Amount]]</f>
        <v>415.04699999999997</v>
      </c>
      <c r="I624" s="36">
        <v>6917.45</v>
      </c>
      <c r="J624" s="34">
        <v>28</v>
      </c>
      <c r="K624" s="34" t="s">
        <v>16</v>
      </c>
      <c r="L624" s="36">
        <v>3907.86</v>
      </c>
      <c r="M624" s="36">
        <v>4205.37</v>
      </c>
      <c r="N624" s="34" t="s">
        <v>30</v>
      </c>
      <c r="O624" s="37">
        <v>0.09</v>
      </c>
      <c r="P624" s="34" t="s">
        <v>31</v>
      </c>
      <c r="Q624" s="34" t="s">
        <v>19</v>
      </c>
      <c r="R624" s="34" t="str">
        <f>IF(Cleaned_Final!$I624&gt;=5000,"High","Low")</f>
        <v>High</v>
      </c>
    </row>
    <row r="625" spans="1:18" x14ac:dyDescent="0.35">
      <c r="A625" s="38">
        <v>1076</v>
      </c>
      <c r="B625" s="38" t="str">
        <f>_xlfn.XLOOKUP(Table2[[#This Row],[Product ID]],Sheet1!$A$32:$A$200,Sheet1!$B$32:$B$200,"Not Found")</f>
        <v>Polo Shirt</v>
      </c>
      <c r="C625" s="39">
        <v>45275</v>
      </c>
      <c r="D625" s="38" t="s">
        <v>14</v>
      </c>
      <c r="E625" s="38" t="str" cm="1">
        <f t="array" ref="E625">_xlfn.XLOOKUP(Table2[[#This Row],[Sales Rep]],Sheet1!$A$21:$A$25,Sheet1!$B$21:$B$25,Not Found)</f>
        <v>Michael Smith</v>
      </c>
      <c r="F625" s="38" t="s">
        <v>21</v>
      </c>
      <c r="G625" s="38">
        <f>_xlfn.XLOOKUP(Table2[[#This Row],[Region]],Sheet1!$A$12:$A$15,Sheet1!$B$12:$B$15,0)</f>
        <v>0.08</v>
      </c>
      <c r="H625" s="40">
        <f>Table2[[#This Row],[Tax Rate]]*Table2[[#This Row],[Sales Amount]]</f>
        <v>208.59200000000001</v>
      </c>
      <c r="I625" s="40">
        <v>2607.4</v>
      </c>
      <c r="J625" s="38">
        <v>32</v>
      </c>
      <c r="K625" s="38" t="s">
        <v>26</v>
      </c>
      <c r="L625" s="40">
        <v>2636.36</v>
      </c>
      <c r="M625" s="40">
        <v>2696.78</v>
      </c>
      <c r="N625" s="38" t="s">
        <v>30</v>
      </c>
      <c r="O625" s="41">
        <v>0.09</v>
      </c>
      <c r="P625" s="38" t="s">
        <v>18</v>
      </c>
      <c r="Q625" s="38" t="s">
        <v>22</v>
      </c>
      <c r="R625" s="38" t="str">
        <f>IF(Cleaned_Final!$I625&gt;=5000,"High","Low")</f>
        <v>Low</v>
      </c>
    </row>
    <row r="626" spans="1:18" x14ac:dyDescent="0.35">
      <c r="A626" s="34">
        <v>1009</v>
      </c>
      <c r="B626" s="34" t="str">
        <f>_xlfn.XLOOKUP(Table2[[#This Row],[Product ID]],Sheet1!$A$32:$A$200,Sheet1!$B$32:$B$200,"Not Found")</f>
        <v>Jacket</v>
      </c>
      <c r="C626" s="35">
        <v>44989</v>
      </c>
      <c r="D626" s="34" t="s">
        <v>24</v>
      </c>
      <c r="E626" s="34" t="str" cm="1">
        <f t="array" ref="E626">_xlfn.XLOOKUP(Table2[[#This Row],[Sales Rep]],Sheet1!$A$21:$A$25,Sheet1!$B$21:$B$25,Not Found)</f>
        <v>Hogan Rock</v>
      </c>
      <c r="F626" s="34" t="s">
        <v>34</v>
      </c>
      <c r="G626" s="34">
        <f>_xlfn.XLOOKUP(Table2[[#This Row],[Region]],Sheet1!$A$12:$A$15,Sheet1!$B$12:$B$15,0)</f>
        <v>0.06</v>
      </c>
      <c r="H626" s="36">
        <f>Table2[[#This Row],[Tax Rate]]*Table2[[#This Row],[Sales Amount]]</f>
        <v>11.927399999999999</v>
      </c>
      <c r="I626" s="36">
        <v>198.79</v>
      </c>
      <c r="J626" s="34">
        <v>1</v>
      </c>
      <c r="K626" s="34" t="s">
        <v>29</v>
      </c>
      <c r="L626" s="36">
        <v>3223.07</v>
      </c>
      <c r="M626" s="36">
        <v>3590.83</v>
      </c>
      <c r="N626" s="34" t="s">
        <v>30</v>
      </c>
      <c r="O626" s="37">
        <v>0.19</v>
      </c>
      <c r="P626" s="34" t="s">
        <v>27</v>
      </c>
      <c r="Q626" s="34" t="s">
        <v>22</v>
      </c>
      <c r="R626" s="34" t="str">
        <f>IF(Cleaned_Final!$I626&gt;=5000,"High","Low")</f>
        <v>Low</v>
      </c>
    </row>
    <row r="627" spans="1:18" x14ac:dyDescent="0.35">
      <c r="A627" s="38">
        <v>1071</v>
      </c>
      <c r="B627" s="38" t="str">
        <f>_xlfn.XLOOKUP(Table2[[#This Row],[Product ID]],Sheet1!$A$32:$A$200,Sheet1!$B$32:$B$200,"Not Found")</f>
        <v>Game Table</v>
      </c>
      <c r="C627" s="39">
        <v>45236</v>
      </c>
      <c r="D627" s="38" t="s">
        <v>24</v>
      </c>
      <c r="E627" s="38" t="str" cm="1">
        <f t="array" ref="E627">_xlfn.XLOOKUP(Table2[[#This Row],[Sales Rep]],Sheet1!$A$21:$A$25,Sheet1!$B$21:$B$25,Not Found)</f>
        <v>Hogan Rock</v>
      </c>
      <c r="F627" s="38" t="s">
        <v>15</v>
      </c>
      <c r="G627" s="38">
        <f>_xlfn.XLOOKUP(Table2[[#This Row],[Region]],Sheet1!$A$12:$A$15,Sheet1!$B$12:$B$15,0)</f>
        <v>7.4999999999999997E-2</v>
      </c>
      <c r="H627" s="40">
        <f>Table2[[#This Row],[Tax Rate]]*Table2[[#This Row],[Sales Amount]]</f>
        <v>544.65674999999999</v>
      </c>
      <c r="I627" s="40">
        <v>7262.09</v>
      </c>
      <c r="J627" s="38">
        <v>47</v>
      </c>
      <c r="K627" s="38" t="s">
        <v>26</v>
      </c>
      <c r="L627" s="40">
        <v>3942.34</v>
      </c>
      <c r="M627" s="40">
        <v>4142.09</v>
      </c>
      <c r="N627" s="38" t="s">
        <v>17</v>
      </c>
      <c r="O627" s="41">
        <v>0.03</v>
      </c>
      <c r="P627" s="38" t="s">
        <v>31</v>
      </c>
      <c r="Q627" s="38" t="s">
        <v>22</v>
      </c>
      <c r="R627" s="38" t="str">
        <f>IF(Cleaned_Final!$I627&gt;=5000,"High","Low")</f>
        <v>High</v>
      </c>
    </row>
    <row r="628" spans="1:18" x14ac:dyDescent="0.35">
      <c r="A628" s="34">
        <v>1028</v>
      </c>
      <c r="B628" s="34" t="str">
        <f>_xlfn.XLOOKUP(Table2[[#This Row],[Product ID]],Sheet1!$A$32:$A$200,Sheet1!$B$32:$B$200,"Not Found")</f>
        <v>Pyjamas</v>
      </c>
      <c r="C628" s="35">
        <v>45169</v>
      </c>
      <c r="D628" s="34" t="s">
        <v>38</v>
      </c>
      <c r="E628" s="34" t="str" cm="1">
        <f t="array" ref="E628">_xlfn.XLOOKUP(Table2[[#This Row],[Sales Rep]],Sheet1!$A$21:$A$25,Sheet1!$B$21:$B$25,Not Found)</f>
        <v>Tracy Moore</v>
      </c>
      <c r="F628" s="34" t="s">
        <v>15</v>
      </c>
      <c r="G628" s="34">
        <f>_xlfn.XLOOKUP(Table2[[#This Row],[Region]],Sheet1!$A$12:$A$15,Sheet1!$B$12:$B$15,0)</f>
        <v>7.4999999999999997E-2</v>
      </c>
      <c r="H628" s="36">
        <f>Table2[[#This Row],[Tax Rate]]*Table2[[#This Row],[Sales Amount]]</f>
        <v>405.22499999999997</v>
      </c>
      <c r="I628" s="36">
        <v>5403</v>
      </c>
      <c r="J628" s="34">
        <v>28</v>
      </c>
      <c r="K628" s="34" t="s">
        <v>16</v>
      </c>
      <c r="L628" s="36">
        <v>2055.2800000000002</v>
      </c>
      <c r="M628" s="36">
        <v>2449.64</v>
      </c>
      <c r="N628" s="34" t="s">
        <v>30</v>
      </c>
      <c r="O628" s="37">
        <v>0.19</v>
      </c>
      <c r="P628" s="34" t="s">
        <v>31</v>
      </c>
      <c r="Q628" s="34" t="s">
        <v>19</v>
      </c>
      <c r="R628" s="34" t="str">
        <f>IF(Cleaned_Final!$I628&gt;=5000,"High","Low")</f>
        <v>High</v>
      </c>
    </row>
    <row r="629" spans="1:18" x14ac:dyDescent="0.35">
      <c r="A629" s="38">
        <v>1078</v>
      </c>
      <c r="B629" s="38" t="str">
        <f>_xlfn.XLOOKUP(Table2[[#This Row],[Product ID]],Sheet1!$A$32:$A$200,Sheet1!$B$32:$B$200,"Not Found")</f>
        <v>Kitchen Island</v>
      </c>
      <c r="C629" s="39">
        <v>45292</v>
      </c>
      <c r="D629" s="38" t="s">
        <v>24</v>
      </c>
      <c r="E629" s="38" t="str" cm="1">
        <f t="array" ref="E629">_xlfn.XLOOKUP(Table2[[#This Row],[Sales Rep]],Sheet1!$A$21:$A$25,Sheet1!$B$21:$B$25,Not Found)</f>
        <v>Hogan Rock</v>
      </c>
      <c r="F629" s="38" t="s">
        <v>34</v>
      </c>
      <c r="G629" s="38">
        <f>_xlfn.XLOOKUP(Table2[[#This Row],[Region]],Sheet1!$A$12:$A$15,Sheet1!$B$12:$B$15,0)</f>
        <v>0.06</v>
      </c>
      <c r="H629" s="40">
        <f>Table2[[#This Row],[Tax Rate]]*Table2[[#This Row],[Sales Amount]]</f>
        <v>502.65419999999995</v>
      </c>
      <c r="I629" s="40">
        <v>8377.57</v>
      </c>
      <c r="J629" s="38">
        <v>42</v>
      </c>
      <c r="K629" s="38" t="s">
        <v>26</v>
      </c>
      <c r="L629" s="40">
        <v>63.41</v>
      </c>
      <c r="M629" s="40">
        <v>314.93</v>
      </c>
      <c r="N629" s="38" t="s">
        <v>17</v>
      </c>
      <c r="O629" s="41">
        <v>0.03</v>
      </c>
      <c r="P629" s="38" t="s">
        <v>18</v>
      </c>
      <c r="Q629" s="38" t="s">
        <v>22</v>
      </c>
      <c r="R629" s="38" t="str">
        <f>IF(Cleaned_Final!$I629&gt;=5000,"High","Low")</f>
        <v>High</v>
      </c>
    </row>
    <row r="630" spans="1:18" x14ac:dyDescent="0.35">
      <c r="A630" s="34">
        <v>1095</v>
      </c>
      <c r="B630" s="34" t="str">
        <f>_xlfn.XLOOKUP(Table2[[#This Row],[Product ID]],Sheet1!$A$32:$A$200,Sheet1!$B$32:$B$200,"Not Found")</f>
        <v>Bluetooth Speaker</v>
      </c>
      <c r="C630" s="35">
        <v>45256</v>
      </c>
      <c r="D630" s="34" t="s">
        <v>33</v>
      </c>
      <c r="E630" s="34" t="str" cm="1">
        <f t="array" ref="E630">_xlfn.XLOOKUP(Table2[[#This Row],[Sales Rep]],Sheet1!$A$21:$A$25,Sheet1!$B$21:$B$25,Not Found)</f>
        <v>Susan Jerkins</v>
      </c>
      <c r="F630" s="34" t="s">
        <v>21</v>
      </c>
      <c r="G630" s="34">
        <f>_xlfn.XLOOKUP(Table2[[#This Row],[Region]],Sheet1!$A$12:$A$15,Sheet1!$B$12:$B$15,0)</f>
        <v>0.08</v>
      </c>
      <c r="H630" s="36">
        <f>Table2[[#This Row],[Tax Rate]]*Table2[[#This Row],[Sales Amount]]</f>
        <v>658.53920000000005</v>
      </c>
      <c r="I630" s="36">
        <v>8231.74</v>
      </c>
      <c r="J630" s="34">
        <v>7</v>
      </c>
      <c r="K630" s="34" t="s">
        <v>26</v>
      </c>
      <c r="L630" s="36">
        <v>4257.24</v>
      </c>
      <c r="M630" s="36">
        <v>4355.87</v>
      </c>
      <c r="N630" s="34" t="s">
        <v>17</v>
      </c>
      <c r="O630" s="37">
        <v>0.03</v>
      </c>
      <c r="P630" s="34" t="s">
        <v>27</v>
      </c>
      <c r="Q630" s="34" t="s">
        <v>19</v>
      </c>
      <c r="R630" s="34" t="str">
        <f>IF(Cleaned_Final!$I630&gt;=5000,"High","Low")</f>
        <v>High</v>
      </c>
    </row>
    <row r="631" spans="1:18" x14ac:dyDescent="0.35">
      <c r="A631" s="38">
        <v>1052</v>
      </c>
      <c r="B631" s="38" t="str">
        <f>_xlfn.XLOOKUP(Table2[[#This Row],[Product ID]],Sheet1!$A$32:$A$200,Sheet1!$B$32:$B$200,"Not Found")</f>
        <v>Wooden Chair</v>
      </c>
      <c r="C631" s="39">
        <v>45033</v>
      </c>
      <c r="D631" s="38" t="s">
        <v>42</v>
      </c>
      <c r="E631" s="38" t="str" cm="1">
        <f t="array" ref="E631">_xlfn.XLOOKUP(Table2[[#This Row],[Sales Rep]],Sheet1!$A$21:$A$25,Sheet1!$B$21:$B$25,Not Found)</f>
        <v>Scott Wayne</v>
      </c>
      <c r="F631" s="38" t="s">
        <v>25</v>
      </c>
      <c r="G631" s="38">
        <f>_xlfn.XLOOKUP(Table2[[#This Row],[Region]],Sheet1!$A$12:$A$15,Sheet1!$B$12:$B$15,0)</f>
        <v>0.05</v>
      </c>
      <c r="H631" s="40">
        <f>Table2[[#This Row],[Tax Rate]]*Table2[[#This Row],[Sales Amount]]</f>
        <v>422.44650000000001</v>
      </c>
      <c r="I631" s="40">
        <v>8448.93</v>
      </c>
      <c r="J631" s="38">
        <v>2</v>
      </c>
      <c r="K631" s="38" t="s">
        <v>26</v>
      </c>
      <c r="L631" s="40">
        <v>1935.41</v>
      </c>
      <c r="M631" s="40">
        <v>2305.44</v>
      </c>
      <c r="N631" s="38" t="s">
        <v>17</v>
      </c>
      <c r="O631" s="41">
        <v>0.22</v>
      </c>
      <c r="P631" s="38" t="s">
        <v>31</v>
      </c>
      <c r="Q631" s="38" t="s">
        <v>19</v>
      </c>
      <c r="R631" s="38" t="str">
        <f>IF(Cleaned_Final!$I631&gt;=5000,"High","Low")</f>
        <v>High</v>
      </c>
    </row>
    <row r="632" spans="1:18" x14ac:dyDescent="0.35">
      <c r="A632" s="34">
        <v>1083</v>
      </c>
      <c r="B632" s="34" t="str">
        <f>_xlfn.XLOOKUP(Table2[[#This Row],[Product ID]],Sheet1!$A$32:$A$200,Sheet1!$B$32:$B$200,"Not Found")</f>
        <v>Nightstand</v>
      </c>
      <c r="C632" s="35">
        <v>45152</v>
      </c>
      <c r="D632" s="34" t="s">
        <v>38</v>
      </c>
      <c r="E632" s="34" t="str" cm="1">
        <f t="array" ref="E632">_xlfn.XLOOKUP(Table2[[#This Row],[Sales Rep]],Sheet1!$A$21:$A$25,Sheet1!$B$21:$B$25,Not Found)</f>
        <v>Tracy Moore</v>
      </c>
      <c r="F632" s="34" t="s">
        <v>21</v>
      </c>
      <c r="G632" s="34">
        <f>_xlfn.XLOOKUP(Table2[[#This Row],[Region]],Sheet1!$A$12:$A$15,Sheet1!$B$12:$B$15,0)</f>
        <v>0.08</v>
      </c>
      <c r="H632" s="36">
        <f>Table2[[#This Row],[Tax Rate]]*Table2[[#This Row],[Sales Amount]]</f>
        <v>392.1952</v>
      </c>
      <c r="I632" s="36">
        <v>4902.4399999999996</v>
      </c>
      <c r="J632" s="34">
        <v>42</v>
      </c>
      <c r="K632" s="34" t="s">
        <v>29</v>
      </c>
      <c r="L632" s="36">
        <v>2505.41</v>
      </c>
      <c r="M632" s="36">
        <v>2638.96</v>
      </c>
      <c r="N632" s="34" t="s">
        <v>30</v>
      </c>
      <c r="O632" s="37">
        <v>0.1</v>
      </c>
      <c r="P632" s="34" t="s">
        <v>27</v>
      </c>
      <c r="Q632" s="34" t="s">
        <v>19</v>
      </c>
      <c r="R632" s="34" t="str">
        <f>IF(Cleaned_Final!$I632&gt;=5000,"High","Low")</f>
        <v>Low</v>
      </c>
    </row>
    <row r="633" spans="1:18" x14ac:dyDescent="0.35">
      <c r="A633" s="38">
        <v>1016</v>
      </c>
      <c r="B633" s="38" t="str">
        <f>_xlfn.XLOOKUP(Table2[[#This Row],[Product ID]],Sheet1!$A$32:$A$200,Sheet1!$B$32:$B$200,"Not Found")</f>
        <v>Washing Machine</v>
      </c>
      <c r="C633" s="39">
        <v>45239</v>
      </c>
      <c r="D633" s="38" t="s">
        <v>33</v>
      </c>
      <c r="E633" s="38" t="str" cm="1">
        <f t="array" ref="E633">_xlfn.XLOOKUP(Table2[[#This Row],[Sales Rep]],Sheet1!$A$21:$A$25,Sheet1!$B$21:$B$25,Not Found)</f>
        <v>Susan Jerkins</v>
      </c>
      <c r="F633" s="38" t="s">
        <v>25</v>
      </c>
      <c r="G633" s="38">
        <f>_xlfn.XLOOKUP(Table2[[#This Row],[Region]],Sheet1!$A$12:$A$15,Sheet1!$B$12:$B$15,0)</f>
        <v>0.05</v>
      </c>
      <c r="H633" s="40">
        <f>Table2[[#This Row],[Tax Rate]]*Table2[[#This Row],[Sales Amount]]</f>
        <v>170.14600000000002</v>
      </c>
      <c r="I633" s="40">
        <v>3402.92</v>
      </c>
      <c r="J633" s="38">
        <v>24</v>
      </c>
      <c r="K633" s="38" t="s">
        <v>16</v>
      </c>
      <c r="L633" s="40">
        <v>88.44</v>
      </c>
      <c r="M633" s="40">
        <v>338.94</v>
      </c>
      <c r="N633" s="38" t="s">
        <v>30</v>
      </c>
      <c r="O633" s="41">
        <v>0.28999999999999998</v>
      </c>
      <c r="P633" s="38" t="s">
        <v>18</v>
      </c>
      <c r="Q633" s="38" t="s">
        <v>19</v>
      </c>
      <c r="R633" s="38" t="str">
        <f>IF(Cleaned_Final!$I633&gt;=5000,"High","Low")</f>
        <v>Low</v>
      </c>
    </row>
    <row r="634" spans="1:18" x14ac:dyDescent="0.35">
      <c r="A634" s="34">
        <v>1069</v>
      </c>
      <c r="B634" s="34" t="str">
        <f>_xlfn.XLOOKUP(Table2[[#This Row],[Product ID]],Sheet1!$A$32:$A$200,Sheet1!$B$32:$B$200,"Not Found")</f>
        <v>Suit</v>
      </c>
      <c r="C634" s="35">
        <v>45144</v>
      </c>
      <c r="D634" s="34" t="s">
        <v>14</v>
      </c>
      <c r="E634" s="34" t="str" cm="1">
        <f t="array" ref="E634">_xlfn.XLOOKUP(Table2[[#This Row],[Sales Rep]],Sheet1!$A$21:$A$25,Sheet1!$B$21:$B$25,Not Found)</f>
        <v>Michael Smith</v>
      </c>
      <c r="F634" s="34" t="s">
        <v>15</v>
      </c>
      <c r="G634" s="34">
        <f>_xlfn.XLOOKUP(Table2[[#This Row],[Region]],Sheet1!$A$12:$A$15,Sheet1!$B$12:$B$15,0)</f>
        <v>7.4999999999999997E-2</v>
      </c>
      <c r="H634" s="36">
        <f>Table2[[#This Row],[Tax Rate]]*Table2[[#This Row],[Sales Amount]]</f>
        <v>595.23225000000002</v>
      </c>
      <c r="I634" s="36">
        <v>7936.43</v>
      </c>
      <c r="J634" s="34">
        <v>4</v>
      </c>
      <c r="K634" s="34" t="s">
        <v>35</v>
      </c>
      <c r="L634" s="36">
        <v>2485.86</v>
      </c>
      <c r="M634" s="36">
        <v>2532.87</v>
      </c>
      <c r="N634" s="34" t="s">
        <v>30</v>
      </c>
      <c r="O634" s="37">
        <v>0.01</v>
      </c>
      <c r="P634" s="34" t="s">
        <v>31</v>
      </c>
      <c r="Q634" s="34" t="s">
        <v>19</v>
      </c>
      <c r="R634" s="34" t="str">
        <f>IF(Cleaned_Final!$I634&gt;=5000,"High","Low")</f>
        <v>High</v>
      </c>
    </row>
    <row r="635" spans="1:18" x14ac:dyDescent="0.35">
      <c r="A635" s="38">
        <v>1099</v>
      </c>
      <c r="B635" s="38" t="str">
        <f>_xlfn.XLOOKUP(Table2[[#This Row],[Product ID]],Sheet1!$A$32:$A$200,Sheet1!$B$32:$B$200,"Not Found")</f>
        <v>Chest</v>
      </c>
      <c r="C635" s="39">
        <v>45167</v>
      </c>
      <c r="D635" s="38" t="s">
        <v>42</v>
      </c>
      <c r="E635" s="38" t="str" cm="1">
        <f t="array" ref="E635">_xlfn.XLOOKUP(Table2[[#This Row],[Sales Rep]],Sheet1!$A$21:$A$25,Sheet1!$B$21:$B$25,Not Found)</f>
        <v>Scott Wayne</v>
      </c>
      <c r="F635" s="38" t="s">
        <v>21</v>
      </c>
      <c r="G635" s="38">
        <f>_xlfn.XLOOKUP(Table2[[#This Row],[Region]],Sheet1!$A$12:$A$15,Sheet1!$B$12:$B$15,0)</f>
        <v>0.08</v>
      </c>
      <c r="H635" s="40">
        <f>Table2[[#This Row],[Tax Rate]]*Table2[[#This Row],[Sales Amount]]</f>
        <v>365.42480000000006</v>
      </c>
      <c r="I635" s="40">
        <v>4567.8100000000004</v>
      </c>
      <c r="J635" s="38">
        <v>44</v>
      </c>
      <c r="K635" s="38" t="s">
        <v>29</v>
      </c>
      <c r="L635" s="40">
        <v>4933.1099999999997</v>
      </c>
      <c r="M635" s="40">
        <v>5245.86</v>
      </c>
      <c r="N635" s="38" t="s">
        <v>17</v>
      </c>
      <c r="O635" s="41">
        <v>0.13</v>
      </c>
      <c r="P635" s="38" t="s">
        <v>27</v>
      </c>
      <c r="Q635" s="38" t="s">
        <v>22</v>
      </c>
      <c r="R635" s="38" t="str">
        <f>IF(Cleaned_Final!$I635&gt;=5000,"High","Low")</f>
        <v>Low</v>
      </c>
    </row>
    <row r="636" spans="1:18" x14ac:dyDescent="0.35">
      <c r="A636" s="34">
        <v>1012</v>
      </c>
      <c r="B636" s="34" t="str">
        <f>_xlfn.XLOOKUP(Table2[[#This Row],[Product ID]],Sheet1!$A$32:$A$200,Sheet1!$B$32:$B$200,"Not Found")</f>
        <v>Cabinet</v>
      </c>
      <c r="C636" s="35">
        <v>45185</v>
      </c>
      <c r="D636" s="34" t="s">
        <v>24</v>
      </c>
      <c r="E636" s="34" t="str" cm="1">
        <f t="array" ref="E636">_xlfn.XLOOKUP(Table2[[#This Row],[Sales Rep]],Sheet1!$A$21:$A$25,Sheet1!$B$21:$B$25,Not Found)</f>
        <v>Hogan Rock</v>
      </c>
      <c r="F636" s="34" t="s">
        <v>25</v>
      </c>
      <c r="G636" s="34">
        <f>_xlfn.XLOOKUP(Table2[[#This Row],[Region]],Sheet1!$A$12:$A$15,Sheet1!$B$12:$B$15,0)</f>
        <v>0.05</v>
      </c>
      <c r="H636" s="36">
        <f>Table2[[#This Row],[Tax Rate]]*Table2[[#This Row],[Sales Amount]]</f>
        <v>95.804000000000002</v>
      </c>
      <c r="I636" s="36">
        <v>1916.08</v>
      </c>
      <c r="J636" s="34">
        <v>19</v>
      </c>
      <c r="K636" s="34" t="s">
        <v>35</v>
      </c>
      <c r="L636" s="36">
        <v>1427.42</v>
      </c>
      <c r="M636" s="36">
        <v>1763.69</v>
      </c>
      <c r="N636" s="34" t="s">
        <v>30</v>
      </c>
      <c r="O636" s="37">
        <v>0.03</v>
      </c>
      <c r="P636" s="34" t="s">
        <v>18</v>
      </c>
      <c r="Q636" s="34" t="s">
        <v>22</v>
      </c>
      <c r="R636" s="34" t="str">
        <f>IF(Cleaned_Final!$I636&gt;=5000,"High","Low")</f>
        <v>Low</v>
      </c>
    </row>
    <row r="637" spans="1:18" x14ac:dyDescent="0.35">
      <c r="A637" s="38">
        <v>1025</v>
      </c>
      <c r="B637" s="38" t="str">
        <f>_xlfn.XLOOKUP(Table2[[#This Row],[Product ID]],Sheet1!$A$32:$A$200,Sheet1!$B$32:$B$200,"Not Found")</f>
        <v>Mayonnaise</v>
      </c>
      <c r="C637" s="39">
        <v>45188</v>
      </c>
      <c r="D637" s="38" t="s">
        <v>42</v>
      </c>
      <c r="E637" s="38" t="str" cm="1">
        <f t="array" ref="E637">_xlfn.XLOOKUP(Table2[[#This Row],[Sales Rep]],Sheet1!$A$21:$A$25,Sheet1!$B$21:$B$25,Not Found)</f>
        <v>Scott Wayne</v>
      </c>
      <c r="F637" s="38" t="s">
        <v>34</v>
      </c>
      <c r="G637" s="38">
        <f>_xlfn.XLOOKUP(Table2[[#This Row],[Region]],Sheet1!$A$12:$A$15,Sheet1!$B$12:$B$15,0)</f>
        <v>0.06</v>
      </c>
      <c r="H637" s="40">
        <f>Table2[[#This Row],[Tax Rate]]*Table2[[#This Row],[Sales Amount]]</f>
        <v>513.85439999999994</v>
      </c>
      <c r="I637" s="40">
        <v>8564.24</v>
      </c>
      <c r="J637" s="38">
        <v>26</v>
      </c>
      <c r="K637" s="38" t="s">
        <v>35</v>
      </c>
      <c r="L637" s="40">
        <v>2007.32</v>
      </c>
      <c r="M637" s="40">
        <v>2202.87</v>
      </c>
      <c r="N637" s="38" t="s">
        <v>17</v>
      </c>
      <c r="O637" s="41">
        <v>0.11</v>
      </c>
      <c r="P637" s="38" t="s">
        <v>18</v>
      </c>
      <c r="Q637" s="38" t="s">
        <v>19</v>
      </c>
      <c r="R637" s="38" t="str">
        <f>IF(Cleaned_Final!$I637&gt;=5000,"High","Low")</f>
        <v>High</v>
      </c>
    </row>
    <row r="638" spans="1:18" x14ac:dyDescent="0.35">
      <c r="A638" s="34">
        <v>1052</v>
      </c>
      <c r="B638" s="34" t="str">
        <f>_xlfn.XLOOKUP(Table2[[#This Row],[Product ID]],Sheet1!$A$32:$A$200,Sheet1!$B$32:$B$200,"Not Found")</f>
        <v>Wooden Chair</v>
      </c>
      <c r="C638" s="35">
        <v>44931</v>
      </c>
      <c r="D638" s="34" t="s">
        <v>14</v>
      </c>
      <c r="E638" s="34" t="str" cm="1">
        <f t="array" ref="E638">_xlfn.XLOOKUP(Table2[[#This Row],[Sales Rep]],Sheet1!$A$21:$A$25,Sheet1!$B$21:$B$25,Not Found)</f>
        <v>Michael Smith</v>
      </c>
      <c r="F638" s="34" t="s">
        <v>15</v>
      </c>
      <c r="G638" s="34">
        <f>_xlfn.XLOOKUP(Table2[[#This Row],[Region]],Sheet1!$A$12:$A$15,Sheet1!$B$12:$B$15,0)</f>
        <v>7.4999999999999997E-2</v>
      </c>
      <c r="H638" s="36">
        <f>Table2[[#This Row],[Tax Rate]]*Table2[[#This Row],[Sales Amount]]</f>
        <v>662.80049999999994</v>
      </c>
      <c r="I638" s="36">
        <v>8837.34</v>
      </c>
      <c r="J638" s="34">
        <v>11</v>
      </c>
      <c r="K638" s="34" t="s">
        <v>29</v>
      </c>
      <c r="L638" s="36">
        <v>3451.59</v>
      </c>
      <c r="M638" s="36">
        <v>3929.26</v>
      </c>
      <c r="N638" s="34" t="s">
        <v>30</v>
      </c>
      <c r="O638" s="37">
        <v>0.3</v>
      </c>
      <c r="P638" s="34" t="s">
        <v>31</v>
      </c>
      <c r="Q638" s="34" t="s">
        <v>22</v>
      </c>
      <c r="R638" s="34" t="str">
        <f>IF(Cleaned_Final!$I638&gt;=5000,"High","Low")</f>
        <v>High</v>
      </c>
    </row>
    <row r="639" spans="1:18" x14ac:dyDescent="0.35">
      <c r="A639" s="38">
        <v>1085</v>
      </c>
      <c r="B639" s="38" t="str">
        <f>_xlfn.XLOOKUP(Table2[[#This Row],[Product ID]],Sheet1!$A$32:$A$200,Sheet1!$B$32:$B$200,"Not Found")</f>
        <v>Settee</v>
      </c>
      <c r="C639" s="39">
        <v>45187</v>
      </c>
      <c r="D639" s="38" t="s">
        <v>38</v>
      </c>
      <c r="E639" s="38" t="str" cm="1">
        <f t="array" ref="E639">_xlfn.XLOOKUP(Table2[[#This Row],[Sales Rep]],Sheet1!$A$21:$A$25,Sheet1!$B$21:$B$25,Not Found)</f>
        <v>Tracy Moore</v>
      </c>
      <c r="F639" s="38" t="s">
        <v>34</v>
      </c>
      <c r="G639" s="38">
        <f>_xlfn.XLOOKUP(Table2[[#This Row],[Region]],Sheet1!$A$12:$A$15,Sheet1!$B$12:$B$15,0)</f>
        <v>0.06</v>
      </c>
      <c r="H639" s="40">
        <f>Table2[[#This Row],[Tax Rate]]*Table2[[#This Row],[Sales Amount]]</f>
        <v>282.98820000000001</v>
      </c>
      <c r="I639" s="40">
        <v>4716.47</v>
      </c>
      <c r="J639" s="38">
        <v>40</v>
      </c>
      <c r="K639" s="38" t="s">
        <v>29</v>
      </c>
      <c r="L639" s="40">
        <v>4083.23</v>
      </c>
      <c r="M639" s="40">
        <v>4521.57</v>
      </c>
      <c r="N639" s="38" t="s">
        <v>30</v>
      </c>
      <c r="O639" s="41">
        <v>0.27</v>
      </c>
      <c r="P639" s="38" t="s">
        <v>27</v>
      </c>
      <c r="Q639" s="38" t="s">
        <v>22</v>
      </c>
      <c r="R639" s="38" t="str">
        <f>IF(Cleaned_Final!$I639&gt;=5000,"High","Low")</f>
        <v>Low</v>
      </c>
    </row>
    <row r="640" spans="1:18" x14ac:dyDescent="0.35">
      <c r="A640" s="34">
        <v>1100</v>
      </c>
      <c r="B640" s="34" t="str">
        <f>_xlfn.XLOOKUP(Table2[[#This Row],[Product ID]],Sheet1!$A$32:$A$200,Sheet1!$B$32:$B$200,"Not Found")</f>
        <v>Protein Cookies</v>
      </c>
      <c r="C640" s="35">
        <v>44980</v>
      </c>
      <c r="D640" s="34" t="s">
        <v>38</v>
      </c>
      <c r="E640" s="34" t="str" cm="1">
        <f t="array" ref="E640">_xlfn.XLOOKUP(Table2[[#This Row],[Sales Rep]],Sheet1!$A$21:$A$25,Sheet1!$B$21:$B$25,Not Found)</f>
        <v>Tracy Moore</v>
      </c>
      <c r="F640" s="34" t="s">
        <v>15</v>
      </c>
      <c r="G640" s="34">
        <f>_xlfn.XLOOKUP(Table2[[#This Row],[Region]],Sheet1!$A$12:$A$15,Sheet1!$B$12:$B$15,0)</f>
        <v>7.4999999999999997E-2</v>
      </c>
      <c r="H640" s="36">
        <f>Table2[[#This Row],[Tax Rate]]*Table2[[#This Row],[Sales Amount]]</f>
        <v>63.707249999999995</v>
      </c>
      <c r="I640" s="36">
        <v>849.43</v>
      </c>
      <c r="J640" s="34">
        <v>43</v>
      </c>
      <c r="K640" s="34" t="s">
        <v>16</v>
      </c>
      <c r="L640" s="36">
        <v>2116.09</v>
      </c>
      <c r="M640" s="36">
        <v>2472.98</v>
      </c>
      <c r="N640" s="34" t="s">
        <v>30</v>
      </c>
      <c r="O640" s="37">
        <v>0.01</v>
      </c>
      <c r="P640" s="34" t="s">
        <v>31</v>
      </c>
      <c r="Q640" s="34" t="s">
        <v>22</v>
      </c>
      <c r="R640" s="34" t="str">
        <f>IF(Cleaned_Final!$I640&gt;=5000,"High","Low")</f>
        <v>Low</v>
      </c>
    </row>
    <row r="641" spans="1:18" x14ac:dyDescent="0.35">
      <c r="A641" s="38">
        <v>1053</v>
      </c>
      <c r="B641" s="38" t="str">
        <f>_xlfn.XLOOKUP(Table2[[#This Row],[Product ID]],Sheet1!$A$32:$A$200,Sheet1!$B$32:$B$200,"Not Found")</f>
        <v>Bed</v>
      </c>
      <c r="C641" s="39">
        <v>44973</v>
      </c>
      <c r="D641" s="38" t="s">
        <v>38</v>
      </c>
      <c r="E641" s="38" t="str" cm="1">
        <f t="array" ref="E641">_xlfn.XLOOKUP(Table2[[#This Row],[Sales Rep]],Sheet1!$A$21:$A$25,Sheet1!$B$21:$B$25,Not Found)</f>
        <v>Tracy Moore</v>
      </c>
      <c r="F641" s="38" t="s">
        <v>21</v>
      </c>
      <c r="G641" s="38">
        <f>_xlfn.XLOOKUP(Table2[[#This Row],[Region]],Sheet1!$A$12:$A$15,Sheet1!$B$12:$B$15,0)</f>
        <v>0.08</v>
      </c>
      <c r="H641" s="40">
        <f>Table2[[#This Row],[Tax Rate]]*Table2[[#This Row],[Sales Amount]]</f>
        <v>315.15840000000003</v>
      </c>
      <c r="I641" s="40">
        <v>3939.48</v>
      </c>
      <c r="J641" s="38">
        <v>11</v>
      </c>
      <c r="K641" s="38" t="s">
        <v>16</v>
      </c>
      <c r="L641" s="40">
        <v>1582.86</v>
      </c>
      <c r="M641" s="40">
        <v>1942.55</v>
      </c>
      <c r="N641" s="38" t="s">
        <v>30</v>
      </c>
      <c r="O641" s="41">
        <v>0.17</v>
      </c>
      <c r="P641" s="38" t="s">
        <v>31</v>
      </c>
      <c r="Q641" s="38" t="s">
        <v>22</v>
      </c>
      <c r="R641" s="38" t="str">
        <f>IF(Cleaned_Final!$I641&gt;=5000,"High","Low")</f>
        <v>Low</v>
      </c>
    </row>
    <row r="642" spans="1:18" x14ac:dyDescent="0.35">
      <c r="A642" s="34">
        <v>1023</v>
      </c>
      <c r="B642" s="34" t="str">
        <f>_xlfn.XLOOKUP(Table2[[#This Row],[Product ID]],Sheet1!$A$32:$A$200,Sheet1!$B$32:$B$200,"Not Found")</f>
        <v>Tights</v>
      </c>
      <c r="C642" s="35">
        <v>45141</v>
      </c>
      <c r="D642" s="34" t="s">
        <v>24</v>
      </c>
      <c r="E642" s="34" t="str" cm="1">
        <f t="array" ref="E642">_xlfn.XLOOKUP(Table2[[#This Row],[Sales Rep]],Sheet1!$A$21:$A$25,Sheet1!$B$21:$B$25,Not Found)</f>
        <v>Hogan Rock</v>
      </c>
      <c r="F642" s="34" t="s">
        <v>21</v>
      </c>
      <c r="G642" s="34">
        <f>_xlfn.XLOOKUP(Table2[[#This Row],[Region]],Sheet1!$A$12:$A$15,Sheet1!$B$12:$B$15,0)</f>
        <v>0.08</v>
      </c>
      <c r="H642" s="36">
        <f>Table2[[#This Row],[Tax Rate]]*Table2[[#This Row],[Sales Amount]]</f>
        <v>644.40160000000003</v>
      </c>
      <c r="I642" s="36">
        <v>8055.02</v>
      </c>
      <c r="J642" s="34">
        <v>45</v>
      </c>
      <c r="K642" s="34" t="s">
        <v>26</v>
      </c>
      <c r="L642" s="36">
        <v>4692.24</v>
      </c>
      <c r="M642" s="36">
        <v>4825.92</v>
      </c>
      <c r="N642" s="34" t="s">
        <v>17</v>
      </c>
      <c r="O642" s="37">
        <v>0.19</v>
      </c>
      <c r="P642" s="34" t="s">
        <v>27</v>
      </c>
      <c r="Q642" s="34" t="s">
        <v>22</v>
      </c>
      <c r="R642" s="34" t="str">
        <f>IF(Cleaned_Final!$I642&gt;=5000,"High","Low")</f>
        <v>High</v>
      </c>
    </row>
    <row r="643" spans="1:18" x14ac:dyDescent="0.35">
      <c r="A643" s="38">
        <v>1016</v>
      </c>
      <c r="B643" s="38" t="str">
        <f>_xlfn.XLOOKUP(Table2[[#This Row],[Product ID]],Sheet1!$A$32:$A$200,Sheet1!$B$32:$B$200,"Not Found")</f>
        <v>Washing Machine</v>
      </c>
      <c r="C643" s="39">
        <v>45103</v>
      </c>
      <c r="D643" s="38" t="s">
        <v>33</v>
      </c>
      <c r="E643" s="38" t="str" cm="1">
        <f t="array" ref="E643">_xlfn.XLOOKUP(Table2[[#This Row],[Sales Rep]],Sheet1!$A$21:$A$25,Sheet1!$B$21:$B$25,Not Found)</f>
        <v>Susan Jerkins</v>
      </c>
      <c r="F643" s="38" t="s">
        <v>15</v>
      </c>
      <c r="G643" s="38">
        <f>_xlfn.XLOOKUP(Table2[[#This Row],[Region]],Sheet1!$A$12:$A$15,Sheet1!$B$12:$B$15,0)</f>
        <v>7.4999999999999997E-2</v>
      </c>
      <c r="H643" s="40">
        <f>Table2[[#This Row],[Tax Rate]]*Table2[[#This Row],[Sales Amount]]</f>
        <v>677.06699999999989</v>
      </c>
      <c r="I643" s="40">
        <v>9027.56</v>
      </c>
      <c r="J643" s="38">
        <v>3</v>
      </c>
      <c r="K643" s="38" t="s">
        <v>35</v>
      </c>
      <c r="L643" s="40">
        <v>3401.87</v>
      </c>
      <c r="M643" s="40">
        <v>3733.71</v>
      </c>
      <c r="N643" s="38" t="s">
        <v>17</v>
      </c>
      <c r="O643" s="41">
        <v>0.06</v>
      </c>
      <c r="P643" s="38" t="s">
        <v>27</v>
      </c>
      <c r="Q643" s="38" t="s">
        <v>22</v>
      </c>
      <c r="R643" s="38" t="str">
        <f>IF(Cleaned_Final!$I643&gt;=5000,"High","Low")</f>
        <v>High</v>
      </c>
    </row>
    <row r="644" spans="1:18" x14ac:dyDescent="0.35">
      <c r="A644" s="34">
        <v>1057</v>
      </c>
      <c r="B644" s="34" t="str">
        <f>_xlfn.XLOOKUP(Table2[[#This Row],[Product ID]],Sheet1!$A$32:$A$200,Sheet1!$B$32:$B$200,"Not Found")</f>
        <v>Avocadro Pear</v>
      </c>
      <c r="C644" s="35">
        <v>44935</v>
      </c>
      <c r="D644" s="34" t="s">
        <v>33</v>
      </c>
      <c r="E644" s="34" t="str" cm="1">
        <f t="array" ref="E644">_xlfn.XLOOKUP(Table2[[#This Row],[Sales Rep]],Sheet1!$A$21:$A$25,Sheet1!$B$21:$B$25,Not Found)</f>
        <v>Susan Jerkins</v>
      </c>
      <c r="F644" s="34" t="s">
        <v>15</v>
      </c>
      <c r="G644" s="34">
        <f>_xlfn.XLOOKUP(Table2[[#This Row],[Region]],Sheet1!$A$12:$A$15,Sheet1!$B$12:$B$15,0)</f>
        <v>7.4999999999999997E-2</v>
      </c>
      <c r="H644" s="36">
        <f>Table2[[#This Row],[Tax Rate]]*Table2[[#This Row],[Sales Amount]]</f>
        <v>158.57849999999999</v>
      </c>
      <c r="I644" s="36">
        <v>2114.38</v>
      </c>
      <c r="J644" s="34">
        <v>12</v>
      </c>
      <c r="K644" s="34" t="s">
        <v>16</v>
      </c>
      <c r="L644" s="36">
        <v>639.16</v>
      </c>
      <c r="M644" s="36">
        <v>746.28</v>
      </c>
      <c r="N644" s="34" t="s">
        <v>17</v>
      </c>
      <c r="O644" s="37">
        <v>0.04</v>
      </c>
      <c r="P644" s="34" t="s">
        <v>27</v>
      </c>
      <c r="Q644" s="34" t="s">
        <v>22</v>
      </c>
      <c r="R644" s="34" t="str">
        <f>IF(Cleaned_Final!$I644&gt;=5000,"High","Low")</f>
        <v>Low</v>
      </c>
    </row>
    <row r="645" spans="1:18" x14ac:dyDescent="0.35">
      <c r="A645" s="38">
        <v>1039</v>
      </c>
      <c r="B645" s="38" t="str">
        <f>_xlfn.XLOOKUP(Table2[[#This Row],[Product ID]],Sheet1!$A$32:$A$200,Sheet1!$B$32:$B$200,"Not Found")</f>
        <v>Hoodie</v>
      </c>
      <c r="C645" s="39">
        <v>45025</v>
      </c>
      <c r="D645" s="38" t="s">
        <v>42</v>
      </c>
      <c r="E645" s="38" t="str" cm="1">
        <f t="array" ref="E645">_xlfn.XLOOKUP(Table2[[#This Row],[Sales Rep]],Sheet1!$A$21:$A$25,Sheet1!$B$21:$B$25,Not Found)</f>
        <v>Scott Wayne</v>
      </c>
      <c r="F645" s="38" t="s">
        <v>15</v>
      </c>
      <c r="G645" s="38">
        <f>_xlfn.XLOOKUP(Table2[[#This Row],[Region]],Sheet1!$A$12:$A$15,Sheet1!$B$12:$B$15,0)</f>
        <v>7.4999999999999997E-2</v>
      </c>
      <c r="H645" s="40">
        <f>Table2[[#This Row],[Tax Rate]]*Table2[[#This Row],[Sales Amount]]</f>
        <v>57.227999999999994</v>
      </c>
      <c r="I645" s="40">
        <v>763.04</v>
      </c>
      <c r="J645" s="38">
        <v>3</v>
      </c>
      <c r="K645" s="38" t="s">
        <v>26</v>
      </c>
      <c r="L645" s="40">
        <v>391.19</v>
      </c>
      <c r="M645" s="40">
        <v>471.75</v>
      </c>
      <c r="N645" s="38" t="s">
        <v>17</v>
      </c>
      <c r="O645" s="41">
        <v>0.27</v>
      </c>
      <c r="P645" s="38" t="s">
        <v>18</v>
      </c>
      <c r="Q645" s="38" t="s">
        <v>19</v>
      </c>
      <c r="R645" s="38" t="str">
        <f>IF(Cleaned_Final!$I645&gt;=5000,"High","Low")</f>
        <v>Low</v>
      </c>
    </row>
    <row r="646" spans="1:18" x14ac:dyDescent="0.35">
      <c r="A646" s="34">
        <v>1053</v>
      </c>
      <c r="B646" s="34" t="str">
        <f>_xlfn.XLOOKUP(Table2[[#This Row],[Product ID]],Sheet1!$A$32:$A$200,Sheet1!$B$32:$B$200,"Not Found")</f>
        <v>Bed</v>
      </c>
      <c r="C646" s="35">
        <v>44946</v>
      </c>
      <c r="D646" s="34" t="s">
        <v>24</v>
      </c>
      <c r="E646" s="34" t="str" cm="1">
        <f t="array" ref="E646">_xlfn.XLOOKUP(Table2[[#This Row],[Sales Rep]],Sheet1!$A$21:$A$25,Sheet1!$B$21:$B$25,Not Found)</f>
        <v>Hogan Rock</v>
      </c>
      <c r="F646" s="34" t="s">
        <v>21</v>
      </c>
      <c r="G646" s="34">
        <f>_xlfn.XLOOKUP(Table2[[#This Row],[Region]],Sheet1!$A$12:$A$15,Sheet1!$B$12:$B$15,0)</f>
        <v>0.08</v>
      </c>
      <c r="H646" s="36">
        <f>Table2[[#This Row],[Tax Rate]]*Table2[[#This Row],[Sales Amount]]</f>
        <v>702.86160000000007</v>
      </c>
      <c r="I646" s="36">
        <v>8785.77</v>
      </c>
      <c r="J646" s="34">
        <v>42</v>
      </c>
      <c r="K646" s="34" t="s">
        <v>16</v>
      </c>
      <c r="L646" s="36">
        <v>2443.5700000000002</v>
      </c>
      <c r="M646" s="36">
        <v>2943.31</v>
      </c>
      <c r="N646" s="34" t="s">
        <v>30</v>
      </c>
      <c r="O646" s="37">
        <v>0.28999999999999998</v>
      </c>
      <c r="P646" s="34" t="s">
        <v>18</v>
      </c>
      <c r="Q646" s="34" t="s">
        <v>19</v>
      </c>
      <c r="R646" s="34" t="str">
        <f>IF(Cleaned_Final!$I646&gt;=5000,"High","Low")</f>
        <v>High</v>
      </c>
    </row>
    <row r="647" spans="1:18" x14ac:dyDescent="0.35">
      <c r="A647" s="38">
        <v>1042</v>
      </c>
      <c r="B647" s="38" t="str">
        <f>_xlfn.XLOOKUP(Table2[[#This Row],[Product ID]],Sheet1!$A$32:$A$200,Sheet1!$B$32:$B$200,"Not Found")</f>
        <v>Frozen Pizza</v>
      </c>
      <c r="C647" s="39">
        <v>45167</v>
      </c>
      <c r="D647" s="38" t="s">
        <v>38</v>
      </c>
      <c r="E647" s="38" t="str" cm="1">
        <f t="array" ref="E647">_xlfn.XLOOKUP(Table2[[#This Row],[Sales Rep]],Sheet1!$A$21:$A$25,Sheet1!$B$21:$B$25,Not Found)</f>
        <v>Tracy Moore</v>
      </c>
      <c r="F647" s="38" t="s">
        <v>25</v>
      </c>
      <c r="G647" s="38">
        <f>_xlfn.XLOOKUP(Table2[[#This Row],[Region]],Sheet1!$A$12:$A$15,Sheet1!$B$12:$B$15,0)</f>
        <v>0.05</v>
      </c>
      <c r="H647" s="40">
        <f>Table2[[#This Row],[Tax Rate]]*Table2[[#This Row],[Sales Amount]]</f>
        <v>197.75550000000001</v>
      </c>
      <c r="I647" s="40">
        <v>3955.11</v>
      </c>
      <c r="J647" s="38">
        <v>27</v>
      </c>
      <c r="K647" s="38" t="s">
        <v>29</v>
      </c>
      <c r="L647" s="40">
        <v>1139.45</v>
      </c>
      <c r="M647" s="40">
        <v>1454.41</v>
      </c>
      <c r="N647" s="38" t="s">
        <v>17</v>
      </c>
      <c r="O647" s="41">
        <v>0.3</v>
      </c>
      <c r="P647" s="38" t="s">
        <v>27</v>
      </c>
      <c r="Q647" s="38" t="s">
        <v>19</v>
      </c>
      <c r="R647" s="38" t="str">
        <f>IF(Cleaned_Final!$I647&gt;=5000,"High","Low")</f>
        <v>Low</v>
      </c>
    </row>
    <row r="648" spans="1:18" x14ac:dyDescent="0.35">
      <c r="A648" s="34">
        <v>1058</v>
      </c>
      <c r="B648" s="34" t="str">
        <f>_xlfn.XLOOKUP(Table2[[#This Row],[Product ID]],Sheet1!$A$32:$A$200,Sheet1!$B$32:$B$200,"Not Found")</f>
        <v>Wardrobe</v>
      </c>
      <c r="C648" s="35">
        <v>44987</v>
      </c>
      <c r="D648" s="34" t="s">
        <v>38</v>
      </c>
      <c r="E648" s="34" t="str" cm="1">
        <f t="array" ref="E648">_xlfn.XLOOKUP(Table2[[#This Row],[Sales Rep]],Sheet1!$A$21:$A$25,Sheet1!$B$21:$B$25,Not Found)</f>
        <v>Tracy Moore</v>
      </c>
      <c r="F648" s="34" t="s">
        <v>34</v>
      </c>
      <c r="G648" s="34">
        <f>_xlfn.XLOOKUP(Table2[[#This Row],[Region]],Sheet1!$A$12:$A$15,Sheet1!$B$12:$B$15,0)</f>
        <v>0.06</v>
      </c>
      <c r="H648" s="36">
        <f>Table2[[#This Row],[Tax Rate]]*Table2[[#This Row],[Sales Amount]]</f>
        <v>327.80580000000003</v>
      </c>
      <c r="I648" s="36">
        <v>5463.43</v>
      </c>
      <c r="J648" s="34">
        <v>49</v>
      </c>
      <c r="K648" s="34" t="s">
        <v>16</v>
      </c>
      <c r="L648" s="36">
        <v>1307.22</v>
      </c>
      <c r="M648" s="36">
        <v>1528.4</v>
      </c>
      <c r="N648" s="34" t="s">
        <v>17</v>
      </c>
      <c r="O648" s="37">
        <v>0.24</v>
      </c>
      <c r="P648" s="34" t="s">
        <v>18</v>
      </c>
      <c r="Q648" s="34" t="s">
        <v>22</v>
      </c>
      <c r="R648" s="34" t="str">
        <f>IF(Cleaned_Final!$I648&gt;=5000,"High","Low")</f>
        <v>High</v>
      </c>
    </row>
    <row r="649" spans="1:18" x14ac:dyDescent="0.35">
      <c r="A649" s="38">
        <v>1039</v>
      </c>
      <c r="B649" s="38" t="str">
        <f>_xlfn.XLOOKUP(Table2[[#This Row],[Product ID]],Sheet1!$A$32:$A$200,Sheet1!$B$32:$B$200,"Not Found")</f>
        <v>Hoodie</v>
      </c>
      <c r="C649" s="39">
        <v>45104</v>
      </c>
      <c r="D649" s="38" t="s">
        <v>14</v>
      </c>
      <c r="E649" s="38" t="str" cm="1">
        <f t="array" ref="E649">_xlfn.XLOOKUP(Table2[[#This Row],[Sales Rep]],Sheet1!$A$21:$A$25,Sheet1!$B$21:$B$25,Not Found)</f>
        <v>Michael Smith</v>
      </c>
      <c r="F649" s="38" t="s">
        <v>34</v>
      </c>
      <c r="G649" s="38">
        <f>_xlfn.XLOOKUP(Table2[[#This Row],[Region]],Sheet1!$A$12:$A$15,Sheet1!$B$12:$B$15,0)</f>
        <v>0.06</v>
      </c>
      <c r="H649" s="40">
        <f>Table2[[#This Row],[Tax Rate]]*Table2[[#This Row],[Sales Amount]]</f>
        <v>581.03099999999995</v>
      </c>
      <c r="I649" s="40">
        <v>9683.85</v>
      </c>
      <c r="J649" s="38">
        <v>2</v>
      </c>
      <c r="K649" s="38" t="s">
        <v>35</v>
      </c>
      <c r="L649" s="40">
        <v>4394.58</v>
      </c>
      <c r="M649" s="40">
        <v>4545.78</v>
      </c>
      <c r="N649" s="38" t="s">
        <v>17</v>
      </c>
      <c r="O649" s="41">
        <v>0.2</v>
      </c>
      <c r="P649" s="38" t="s">
        <v>31</v>
      </c>
      <c r="Q649" s="38" t="s">
        <v>22</v>
      </c>
      <c r="R649" s="38" t="str">
        <f>IF(Cleaned_Final!$I649&gt;=5000,"High","Low")</f>
        <v>High</v>
      </c>
    </row>
    <row r="650" spans="1:18" x14ac:dyDescent="0.35">
      <c r="A650" s="34">
        <v>1014</v>
      </c>
      <c r="B650" s="34" t="str">
        <f>_xlfn.XLOOKUP(Table2[[#This Row],[Product ID]],Sheet1!$A$32:$A$200,Sheet1!$B$32:$B$200,"Not Found")</f>
        <v>Cheese Block</v>
      </c>
      <c r="C650" s="35">
        <v>45264</v>
      </c>
      <c r="D650" s="34" t="s">
        <v>14</v>
      </c>
      <c r="E650" s="34" t="str" cm="1">
        <f t="array" ref="E650">_xlfn.XLOOKUP(Table2[[#This Row],[Sales Rep]],Sheet1!$A$21:$A$25,Sheet1!$B$21:$B$25,Not Found)</f>
        <v>Michael Smith</v>
      </c>
      <c r="F650" s="34" t="s">
        <v>21</v>
      </c>
      <c r="G650" s="34">
        <f>_xlfn.XLOOKUP(Table2[[#This Row],[Region]],Sheet1!$A$12:$A$15,Sheet1!$B$12:$B$15,0)</f>
        <v>0.08</v>
      </c>
      <c r="H650" s="36">
        <f>Table2[[#This Row],[Tax Rate]]*Table2[[#This Row],[Sales Amount]]</f>
        <v>60.719200000000001</v>
      </c>
      <c r="I650" s="36">
        <v>758.99</v>
      </c>
      <c r="J650" s="34">
        <v>49</v>
      </c>
      <c r="K650" s="34" t="s">
        <v>16</v>
      </c>
      <c r="L650" s="36">
        <v>493.35</v>
      </c>
      <c r="M650" s="36">
        <v>799.27</v>
      </c>
      <c r="N650" s="34" t="s">
        <v>30</v>
      </c>
      <c r="O650" s="37">
        <v>0.1</v>
      </c>
      <c r="P650" s="34" t="s">
        <v>27</v>
      </c>
      <c r="Q650" s="34" t="s">
        <v>19</v>
      </c>
      <c r="R650" s="34" t="str">
        <f>IF(Cleaned_Final!$I650&gt;=5000,"High","Low")</f>
        <v>Low</v>
      </c>
    </row>
    <row r="651" spans="1:18" x14ac:dyDescent="0.35">
      <c r="A651" s="38">
        <v>1095</v>
      </c>
      <c r="B651" s="38" t="str">
        <f>_xlfn.XLOOKUP(Table2[[#This Row],[Product ID]],Sheet1!$A$32:$A$200,Sheet1!$B$32:$B$200,"Not Found")</f>
        <v>Bluetooth Speaker</v>
      </c>
      <c r="C651" s="39">
        <v>44988</v>
      </c>
      <c r="D651" s="38" t="s">
        <v>38</v>
      </c>
      <c r="E651" s="38" t="str" cm="1">
        <f t="array" ref="E651">_xlfn.XLOOKUP(Table2[[#This Row],[Sales Rep]],Sheet1!$A$21:$A$25,Sheet1!$B$21:$B$25,Not Found)</f>
        <v>Tracy Moore</v>
      </c>
      <c r="F651" s="38" t="s">
        <v>34</v>
      </c>
      <c r="G651" s="38">
        <f>_xlfn.XLOOKUP(Table2[[#This Row],[Region]],Sheet1!$A$12:$A$15,Sheet1!$B$12:$B$15,0)</f>
        <v>0.06</v>
      </c>
      <c r="H651" s="40">
        <f>Table2[[#This Row],[Tax Rate]]*Table2[[#This Row],[Sales Amount]]</f>
        <v>391.101</v>
      </c>
      <c r="I651" s="40">
        <v>6518.35</v>
      </c>
      <c r="J651" s="38">
        <v>16</v>
      </c>
      <c r="K651" s="38" t="s">
        <v>35</v>
      </c>
      <c r="L651" s="40">
        <v>3591.05</v>
      </c>
      <c r="M651" s="40">
        <v>3625.35</v>
      </c>
      <c r="N651" s="38" t="s">
        <v>17</v>
      </c>
      <c r="O651" s="41">
        <v>0.05</v>
      </c>
      <c r="P651" s="38" t="s">
        <v>31</v>
      </c>
      <c r="Q651" s="38" t="s">
        <v>22</v>
      </c>
      <c r="R651" s="38" t="str">
        <f>IF(Cleaned_Final!$I651&gt;=5000,"High","Low")</f>
        <v>High</v>
      </c>
    </row>
    <row r="652" spans="1:18" x14ac:dyDescent="0.35">
      <c r="A652" s="34">
        <v>1005</v>
      </c>
      <c r="B652" s="34" t="str">
        <f>_xlfn.XLOOKUP(Table2[[#This Row],[Product ID]],Sheet1!$A$32:$A$200,Sheet1!$B$32:$B$200,"Not Found")</f>
        <v>Smart Phone</v>
      </c>
      <c r="C652" s="35">
        <v>45071</v>
      </c>
      <c r="D652" s="34" t="s">
        <v>38</v>
      </c>
      <c r="E652" s="34" t="str" cm="1">
        <f t="array" ref="E652">_xlfn.XLOOKUP(Table2[[#This Row],[Sales Rep]],Sheet1!$A$21:$A$25,Sheet1!$B$21:$B$25,Not Found)</f>
        <v>Tracy Moore</v>
      </c>
      <c r="F652" s="34" t="s">
        <v>15</v>
      </c>
      <c r="G652" s="34">
        <f>_xlfn.XLOOKUP(Table2[[#This Row],[Region]],Sheet1!$A$12:$A$15,Sheet1!$B$12:$B$15,0)</f>
        <v>7.4999999999999997E-2</v>
      </c>
      <c r="H652" s="36">
        <f>Table2[[#This Row],[Tax Rate]]*Table2[[#This Row],[Sales Amount]]</f>
        <v>62.522999999999996</v>
      </c>
      <c r="I652" s="36">
        <v>833.64</v>
      </c>
      <c r="J652" s="34">
        <v>2</v>
      </c>
      <c r="K652" s="34" t="s">
        <v>29</v>
      </c>
      <c r="L652" s="36">
        <v>1392.15</v>
      </c>
      <c r="M652" s="36">
        <v>1448.54</v>
      </c>
      <c r="N652" s="34" t="s">
        <v>17</v>
      </c>
      <c r="O652" s="37">
        <v>0.02</v>
      </c>
      <c r="P652" s="34" t="s">
        <v>27</v>
      </c>
      <c r="Q652" s="34" t="s">
        <v>22</v>
      </c>
      <c r="R652" s="34" t="str">
        <f>IF(Cleaned_Final!$I652&gt;=5000,"High","Low")</f>
        <v>Low</v>
      </c>
    </row>
    <row r="653" spans="1:18" x14ac:dyDescent="0.35">
      <c r="A653" s="38">
        <v>1035</v>
      </c>
      <c r="B653" s="38" t="str">
        <f>_xlfn.XLOOKUP(Table2[[#This Row],[Product ID]],Sheet1!$A$32:$A$200,Sheet1!$B$32:$B$200,"Not Found")</f>
        <v>Doughnut</v>
      </c>
      <c r="C653" s="39">
        <v>45142</v>
      </c>
      <c r="D653" s="38" t="s">
        <v>24</v>
      </c>
      <c r="E653" s="38" t="str" cm="1">
        <f t="array" ref="E653">_xlfn.XLOOKUP(Table2[[#This Row],[Sales Rep]],Sheet1!$A$21:$A$25,Sheet1!$B$21:$B$25,Not Found)</f>
        <v>Hogan Rock</v>
      </c>
      <c r="F653" s="38" t="s">
        <v>25</v>
      </c>
      <c r="G653" s="38">
        <f>_xlfn.XLOOKUP(Table2[[#This Row],[Region]],Sheet1!$A$12:$A$15,Sheet1!$B$12:$B$15,0)</f>
        <v>0.05</v>
      </c>
      <c r="H653" s="40">
        <f>Table2[[#This Row],[Tax Rate]]*Table2[[#This Row],[Sales Amount]]</f>
        <v>190.857</v>
      </c>
      <c r="I653" s="40">
        <v>3817.14</v>
      </c>
      <c r="J653" s="38">
        <v>30</v>
      </c>
      <c r="K653" s="38" t="s">
        <v>35</v>
      </c>
      <c r="L653" s="40">
        <v>3813.62</v>
      </c>
      <c r="M653" s="40">
        <v>3839.72</v>
      </c>
      <c r="N653" s="38" t="s">
        <v>30</v>
      </c>
      <c r="O653" s="41">
        <v>0.21</v>
      </c>
      <c r="P653" s="38" t="s">
        <v>31</v>
      </c>
      <c r="Q653" s="38" t="s">
        <v>19</v>
      </c>
      <c r="R653" s="38" t="str">
        <f>IF(Cleaned_Final!$I653&gt;=5000,"High","Low")</f>
        <v>Low</v>
      </c>
    </row>
    <row r="654" spans="1:18" x14ac:dyDescent="0.35">
      <c r="A654" s="34">
        <v>1087</v>
      </c>
      <c r="B654" s="34" t="str">
        <f>_xlfn.XLOOKUP(Table2[[#This Row],[Product ID]],Sheet1!$A$32:$A$200,Sheet1!$B$32:$B$200,"Not Found")</f>
        <v>Sofa Set</v>
      </c>
      <c r="C654" s="35">
        <v>44929</v>
      </c>
      <c r="D654" s="34" t="s">
        <v>33</v>
      </c>
      <c r="E654" s="34" t="str" cm="1">
        <f t="array" ref="E654">_xlfn.XLOOKUP(Table2[[#This Row],[Sales Rep]],Sheet1!$A$21:$A$25,Sheet1!$B$21:$B$25,Not Found)</f>
        <v>Susan Jerkins</v>
      </c>
      <c r="F654" s="34" t="s">
        <v>34</v>
      </c>
      <c r="G654" s="34">
        <f>_xlfn.XLOOKUP(Table2[[#This Row],[Region]],Sheet1!$A$12:$A$15,Sheet1!$B$12:$B$15,0)</f>
        <v>0.06</v>
      </c>
      <c r="H654" s="36">
        <f>Table2[[#This Row],[Tax Rate]]*Table2[[#This Row],[Sales Amount]]</f>
        <v>483.46559999999999</v>
      </c>
      <c r="I654" s="36">
        <v>8057.76</v>
      </c>
      <c r="J654" s="34">
        <v>20</v>
      </c>
      <c r="K654" s="34" t="s">
        <v>16</v>
      </c>
      <c r="L654" s="36">
        <v>3625.94</v>
      </c>
      <c r="M654" s="36">
        <v>3880.53</v>
      </c>
      <c r="N654" s="34" t="s">
        <v>30</v>
      </c>
      <c r="O654" s="37">
        <v>0.24</v>
      </c>
      <c r="P654" s="34" t="s">
        <v>27</v>
      </c>
      <c r="Q654" s="34" t="s">
        <v>19</v>
      </c>
      <c r="R654" s="34" t="str">
        <f>IF(Cleaned_Final!$I654&gt;=5000,"High","Low")</f>
        <v>High</v>
      </c>
    </row>
    <row r="655" spans="1:18" x14ac:dyDescent="0.35">
      <c r="A655" s="38">
        <v>1093</v>
      </c>
      <c r="B655" s="38" t="str">
        <f>_xlfn.XLOOKUP(Table2[[#This Row],[Product ID]],Sheet1!$A$32:$A$200,Sheet1!$B$32:$B$200,"Not Found")</f>
        <v>Dining Table</v>
      </c>
      <c r="C655" s="39">
        <v>45086</v>
      </c>
      <c r="D655" s="38" t="s">
        <v>14</v>
      </c>
      <c r="E655" s="38" t="str" cm="1">
        <f t="array" ref="E655">_xlfn.XLOOKUP(Table2[[#This Row],[Sales Rep]],Sheet1!$A$21:$A$25,Sheet1!$B$21:$B$25,Not Found)</f>
        <v>Michael Smith</v>
      </c>
      <c r="F655" s="38" t="s">
        <v>25</v>
      </c>
      <c r="G655" s="38">
        <f>_xlfn.XLOOKUP(Table2[[#This Row],[Region]],Sheet1!$A$12:$A$15,Sheet1!$B$12:$B$15,0)</f>
        <v>0.05</v>
      </c>
      <c r="H655" s="40">
        <f>Table2[[#This Row],[Tax Rate]]*Table2[[#This Row],[Sales Amount]]</f>
        <v>219.56900000000002</v>
      </c>
      <c r="I655" s="40">
        <v>4391.38</v>
      </c>
      <c r="J655" s="38">
        <v>38</v>
      </c>
      <c r="K655" s="38" t="s">
        <v>26</v>
      </c>
      <c r="L655" s="40">
        <v>86.59</v>
      </c>
      <c r="M655" s="40">
        <v>390.89</v>
      </c>
      <c r="N655" s="38" t="s">
        <v>17</v>
      </c>
      <c r="O655" s="41">
        <v>0.25</v>
      </c>
      <c r="P655" s="38" t="s">
        <v>31</v>
      </c>
      <c r="Q655" s="38" t="s">
        <v>19</v>
      </c>
      <c r="R655" s="38" t="str">
        <f>IF(Cleaned_Final!$I655&gt;=5000,"High","Low")</f>
        <v>Low</v>
      </c>
    </row>
    <row r="656" spans="1:18" x14ac:dyDescent="0.35">
      <c r="A656" s="34">
        <v>1075</v>
      </c>
      <c r="B656" s="34" t="str">
        <f>_xlfn.XLOOKUP(Table2[[#This Row],[Product ID]],Sheet1!$A$32:$A$200,Sheet1!$B$32:$B$200,"Not Found")</f>
        <v>Bookshelf</v>
      </c>
      <c r="C656" s="35">
        <v>45153</v>
      </c>
      <c r="D656" s="34" t="s">
        <v>33</v>
      </c>
      <c r="E656" s="34" t="str" cm="1">
        <f t="array" ref="E656">_xlfn.XLOOKUP(Table2[[#This Row],[Sales Rep]],Sheet1!$A$21:$A$25,Sheet1!$B$21:$B$25,Not Found)</f>
        <v>Susan Jerkins</v>
      </c>
      <c r="F656" s="34" t="s">
        <v>15</v>
      </c>
      <c r="G656" s="34">
        <f>_xlfn.XLOOKUP(Table2[[#This Row],[Region]],Sheet1!$A$12:$A$15,Sheet1!$B$12:$B$15,0)</f>
        <v>7.4999999999999997E-2</v>
      </c>
      <c r="H656" s="36">
        <f>Table2[[#This Row],[Tax Rate]]*Table2[[#This Row],[Sales Amount]]</f>
        <v>747.90825000000007</v>
      </c>
      <c r="I656" s="36">
        <v>9972.11</v>
      </c>
      <c r="J656" s="34">
        <v>28</v>
      </c>
      <c r="K656" s="34" t="s">
        <v>29</v>
      </c>
      <c r="L656" s="36">
        <v>2570.2199999999998</v>
      </c>
      <c r="M656" s="36">
        <v>2610.8399999999901</v>
      </c>
      <c r="N656" s="34" t="s">
        <v>17</v>
      </c>
      <c r="O656" s="37">
        <v>0.27</v>
      </c>
      <c r="P656" s="34" t="s">
        <v>27</v>
      </c>
      <c r="Q656" s="34" t="s">
        <v>22</v>
      </c>
      <c r="R656" s="34" t="str">
        <f>IF(Cleaned_Final!$I656&gt;=5000,"High","Low")</f>
        <v>High</v>
      </c>
    </row>
    <row r="657" spans="1:18" x14ac:dyDescent="0.35">
      <c r="A657" s="38">
        <v>1018</v>
      </c>
      <c r="B657" s="38" t="str">
        <f>_xlfn.XLOOKUP(Table2[[#This Row],[Product ID]],Sheet1!$A$32:$A$200,Sheet1!$B$32:$B$200,"Not Found")</f>
        <v>Dress Shirt</v>
      </c>
      <c r="C657" s="39">
        <v>45195</v>
      </c>
      <c r="D657" s="38" t="s">
        <v>24</v>
      </c>
      <c r="E657" s="38" t="str" cm="1">
        <f t="array" ref="E657">_xlfn.XLOOKUP(Table2[[#This Row],[Sales Rep]],Sheet1!$A$21:$A$25,Sheet1!$B$21:$B$25,Not Found)</f>
        <v>Hogan Rock</v>
      </c>
      <c r="F657" s="38" t="s">
        <v>34</v>
      </c>
      <c r="G657" s="38">
        <f>_xlfn.XLOOKUP(Table2[[#This Row],[Region]],Sheet1!$A$12:$A$15,Sheet1!$B$12:$B$15,0)</f>
        <v>0.06</v>
      </c>
      <c r="H657" s="40">
        <f>Table2[[#This Row],[Tax Rate]]*Table2[[#This Row],[Sales Amount]]</f>
        <v>338.08139999999997</v>
      </c>
      <c r="I657" s="40">
        <v>5634.69</v>
      </c>
      <c r="J657" s="38">
        <v>25</v>
      </c>
      <c r="K657" s="38" t="s">
        <v>16</v>
      </c>
      <c r="L657" s="40">
        <v>739.63</v>
      </c>
      <c r="M657" s="40">
        <v>1103.03</v>
      </c>
      <c r="N657" s="38" t="s">
        <v>30</v>
      </c>
      <c r="O657" s="41">
        <v>0.26</v>
      </c>
      <c r="P657" s="38" t="s">
        <v>27</v>
      </c>
      <c r="Q657" s="38" t="s">
        <v>22</v>
      </c>
      <c r="R657" s="38" t="str">
        <f>IF(Cleaned_Final!$I657&gt;=5000,"High","Low")</f>
        <v>High</v>
      </c>
    </row>
    <row r="658" spans="1:18" x14ac:dyDescent="0.35">
      <c r="A658" s="34">
        <v>1076</v>
      </c>
      <c r="B658" s="34" t="str">
        <f>_xlfn.XLOOKUP(Table2[[#This Row],[Product ID]],Sheet1!$A$32:$A$200,Sheet1!$B$32:$B$200,"Not Found")</f>
        <v>Polo Shirt</v>
      </c>
      <c r="C658" s="35">
        <v>45046</v>
      </c>
      <c r="D658" s="34" t="s">
        <v>38</v>
      </c>
      <c r="E658" s="34" t="str" cm="1">
        <f t="array" ref="E658">_xlfn.XLOOKUP(Table2[[#This Row],[Sales Rep]],Sheet1!$A$21:$A$25,Sheet1!$B$21:$B$25,Not Found)</f>
        <v>Tracy Moore</v>
      </c>
      <c r="F658" s="34" t="s">
        <v>21</v>
      </c>
      <c r="G658" s="34">
        <f>_xlfn.XLOOKUP(Table2[[#This Row],[Region]],Sheet1!$A$12:$A$15,Sheet1!$B$12:$B$15,0)</f>
        <v>0.08</v>
      </c>
      <c r="H658" s="36">
        <f>Table2[[#This Row],[Tax Rate]]*Table2[[#This Row],[Sales Amount]]</f>
        <v>262.36080000000004</v>
      </c>
      <c r="I658" s="36">
        <v>3279.51</v>
      </c>
      <c r="J658" s="34">
        <v>32</v>
      </c>
      <c r="K658" s="34" t="s">
        <v>29</v>
      </c>
      <c r="L658" s="36">
        <v>4337.82</v>
      </c>
      <c r="M658" s="36">
        <v>4460.71</v>
      </c>
      <c r="N658" s="34" t="s">
        <v>17</v>
      </c>
      <c r="O658" s="37">
        <v>0.3</v>
      </c>
      <c r="P658" s="34" t="s">
        <v>18</v>
      </c>
      <c r="Q658" s="34" t="s">
        <v>22</v>
      </c>
      <c r="R658" s="34" t="str">
        <f>IF(Cleaned_Final!$I658&gt;=5000,"High","Low")</f>
        <v>Low</v>
      </c>
    </row>
    <row r="659" spans="1:18" x14ac:dyDescent="0.35">
      <c r="A659" s="38">
        <v>1009</v>
      </c>
      <c r="B659" s="38" t="str">
        <f>_xlfn.XLOOKUP(Table2[[#This Row],[Product ID]],Sheet1!$A$32:$A$200,Sheet1!$B$32:$B$200,"Not Found")</f>
        <v>Jacket</v>
      </c>
      <c r="C659" s="39">
        <v>45015</v>
      </c>
      <c r="D659" s="38" t="s">
        <v>33</v>
      </c>
      <c r="E659" s="38" t="str" cm="1">
        <f t="array" ref="E659">_xlfn.XLOOKUP(Table2[[#This Row],[Sales Rep]],Sheet1!$A$21:$A$25,Sheet1!$B$21:$B$25,Not Found)</f>
        <v>Susan Jerkins</v>
      </c>
      <c r="F659" s="38" t="s">
        <v>25</v>
      </c>
      <c r="G659" s="38">
        <f>_xlfn.XLOOKUP(Table2[[#This Row],[Region]],Sheet1!$A$12:$A$15,Sheet1!$B$12:$B$15,0)</f>
        <v>0.05</v>
      </c>
      <c r="H659" s="40">
        <f>Table2[[#This Row],[Tax Rate]]*Table2[[#This Row],[Sales Amount]]</f>
        <v>113.955</v>
      </c>
      <c r="I659" s="40">
        <v>2279.1</v>
      </c>
      <c r="J659" s="38">
        <v>10</v>
      </c>
      <c r="K659" s="38" t="s">
        <v>29</v>
      </c>
      <c r="L659" s="40">
        <v>4364.3500000000004</v>
      </c>
      <c r="M659" s="40">
        <v>4710.1000000000004</v>
      </c>
      <c r="N659" s="38" t="s">
        <v>30</v>
      </c>
      <c r="O659" s="41">
        <v>7.0000000000000007E-2</v>
      </c>
      <c r="P659" s="38" t="s">
        <v>31</v>
      </c>
      <c r="Q659" s="38" t="s">
        <v>19</v>
      </c>
      <c r="R659" s="38" t="str">
        <f>IF(Cleaned_Final!$I659&gt;=5000,"High","Low")</f>
        <v>Low</v>
      </c>
    </row>
    <row r="660" spans="1:18" x14ac:dyDescent="0.35">
      <c r="A660" s="34">
        <v>1074</v>
      </c>
      <c r="B660" s="34" t="str">
        <f>_xlfn.XLOOKUP(Table2[[#This Row],[Product ID]],Sheet1!$A$32:$A$200,Sheet1!$B$32:$B$200,"Not Found")</f>
        <v>French Fries</v>
      </c>
      <c r="C660" s="35">
        <v>45255</v>
      </c>
      <c r="D660" s="34" t="s">
        <v>38</v>
      </c>
      <c r="E660" s="34" t="str" cm="1">
        <f t="array" ref="E660">_xlfn.XLOOKUP(Table2[[#This Row],[Sales Rep]],Sheet1!$A$21:$A$25,Sheet1!$B$21:$B$25,Not Found)</f>
        <v>Tracy Moore</v>
      </c>
      <c r="F660" s="34" t="s">
        <v>15</v>
      </c>
      <c r="G660" s="34">
        <f>_xlfn.XLOOKUP(Table2[[#This Row],[Region]],Sheet1!$A$12:$A$15,Sheet1!$B$12:$B$15,0)</f>
        <v>7.4999999999999997E-2</v>
      </c>
      <c r="H660" s="36">
        <f>Table2[[#This Row],[Tax Rate]]*Table2[[#This Row],[Sales Amount]]</f>
        <v>267.76125000000002</v>
      </c>
      <c r="I660" s="36">
        <v>3570.15</v>
      </c>
      <c r="J660" s="34">
        <v>42</v>
      </c>
      <c r="K660" s="34" t="s">
        <v>16</v>
      </c>
      <c r="L660" s="36">
        <v>2120.81</v>
      </c>
      <c r="M660" s="36">
        <v>2611.94</v>
      </c>
      <c r="N660" s="34" t="s">
        <v>17</v>
      </c>
      <c r="O660" s="37">
        <v>0.23</v>
      </c>
      <c r="P660" s="34" t="s">
        <v>18</v>
      </c>
      <c r="Q660" s="34" t="s">
        <v>19</v>
      </c>
      <c r="R660" s="34" t="str">
        <f>IF(Cleaned_Final!$I660&gt;=5000,"High","Low")</f>
        <v>Low</v>
      </c>
    </row>
    <row r="661" spans="1:18" x14ac:dyDescent="0.35">
      <c r="A661" s="38">
        <v>1058</v>
      </c>
      <c r="B661" s="38" t="str">
        <f>_xlfn.XLOOKUP(Table2[[#This Row],[Product ID]],Sheet1!$A$32:$A$200,Sheet1!$B$32:$B$200,"Not Found")</f>
        <v>Wardrobe</v>
      </c>
      <c r="C661" s="39">
        <v>44994</v>
      </c>
      <c r="D661" s="38" t="s">
        <v>38</v>
      </c>
      <c r="E661" s="38" t="str" cm="1">
        <f t="array" ref="E661">_xlfn.XLOOKUP(Table2[[#This Row],[Sales Rep]],Sheet1!$A$21:$A$25,Sheet1!$B$21:$B$25,Not Found)</f>
        <v>Tracy Moore</v>
      </c>
      <c r="F661" s="38" t="s">
        <v>25</v>
      </c>
      <c r="G661" s="38">
        <f>_xlfn.XLOOKUP(Table2[[#This Row],[Region]],Sheet1!$A$12:$A$15,Sheet1!$B$12:$B$15,0)</f>
        <v>0.05</v>
      </c>
      <c r="H661" s="40">
        <f>Table2[[#This Row],[Tax Rate]]*Table2[[#This Row],[Sales Amount]]</f>
        <v>189.404</v>
      </c>
      <c r="I661" s="40">
        <v>3788.08</v>
      </c>
      <c r="J661" s="38">
        <v>40</v>
      </c>
      <c r="K661" s="38" t="s">
        <v>16</v>
      </c>
      <c r="L661" s="40">
        <v>2249.7600000000002</v>
      </c>
      <c r="M661" s="40">
        <v>2598.4</v>
      </c>
      <c r="N661" s="38" t="s">
        <v>17</v>
      </c>
      <c r="O661" s="41">
        <v>0.18</v>
      </c>
      <c r="P661" s="38" t="s">
        <v>31</v>
      </c>
      <c r="Q661" s="38" t="s">
        <v>22</v>
      </c>
      <c r="R661" s="38" t="str">
        <f>IF(Cleaned_Final!$I661&gt;=5000,"High","Low")</f>
        <v>Low</v>
      </c>
    </row>
    <row r="662" spans="1:18" x14ac:dyDescent="0.35">
      <c r="A662" s="34">
        <v>1017</v>
      </c>
      <c r="B662" s="34" t="str">
        <f>_xlfn.XLOOKUP(Table2[[#This Row],[Product ID]],Sheet1!$A$32:$A$200,Sheet1!$B$32:$B$200,"Not Found")</f>
        <v>Peaches</v>
      </c>
      <c r="C662" s="35">
        <v>45283</v>
      </c>
      <c r="D662" s="34" t="s">
        <v>42</v>
      </c>
      <c r="E662" s="34" t="str" cm="1">
        <f t="array" ref="E662">_xlfn.XLOOKUP(Table2[[#This Row],[Sales Rep]],Sheet1!$A$21:$A$25,Sheet1!$B$21:$B$25,Not Found)</f>
        <v>Scott Wayne</v>
      </c>
      <c r="F662" s="34" t="s">
        <v>34</v>
      </c>
      <c r="G662" s="34">
        <f>_xlfn.XLOOKUP(Table2[[#This Row],[Region]],Sheet1!$A$12:$A$15,Sheet1!$B$12:$B$15,0)</f>
        <v>0.06</v>
      </c>
      <c r="H662" s="36">
        <f>Table2[[#This Row],[Tax Rate]]*Table2[[#This Row],[Sales Amount]]</f>
        <v>46.816199999999995</v>
      </c>
      <c r="I662" s="36">
        <v>780.27</v>
      </c>
      <c r="J662" s="34">
        <v>33</v>
      </c>
      <c r="K662" s="34" t="s">
        <v>26</v>
      </c>
      <c r="L662" s="36">
        <v>1551.25</v>
      </c>
      <c r="M662" s="36">
        <v>1994.01</v>
      </c>
      <c r="N662" s="34" t="s">
        <v>17</v>
      </c>
      <c r="O662" s="37">
        <v>0.08</v>
      </c>
      <c r="P662" s="34" t="s">
        <v>18</v>
      </c>
      <c r="Q662" s="34" t="s">
        <v>19</v>
      </c>
      <c r="R662" s="34" t="str">
        <f>IF(Cleaned_Final!$I662&gt;=5000,"High","Low")</f>
        <v>Low</v>
      </c>
    </row>
    <row r="663" spans="1:18" x14ac:dyDescent="0.35">
      <c r="A663" s="38">
        <v>1007</v>
      </c>
      <c r="B663" s="38" t="str">
        <f>_xlfn.XLOOKUP(Table2[[#This Row],[Product ID]],Sheet1!$A$32:$A$200,Sheet1!$B$32:$B$200,"Not Found")</f>
        <v>Fruit Jam</v>
      </c>
      <c r="C663" s="39">
        <v>45024</v>
      </c>
      <c r="D663" s="38" t="s">
        <v>33</v>
      </c>
      <c r="E663" s="38" t="str" cm="1">
        <f t="array" ref="E663">_xlfn.XLOOKUP(Table2[[#This Row],[Sales Rep]],Sheet1!$A$21:$A$25,Sheet1!$B$21:$B$25,Not Found)</f>
        <v>Susan Jerkins</v>
      </c>
      <c r="F663" s="38" t="s">
        <v>34</v>
      </c>
      <c r="G663" s="38">
        <f>_xlfn.XLOOKUP(Table2[[#This Row],[Region]],Sheet1!$A$12:$A$15,Sheet1!$B$12:$B$15,0)</f>
        <v>0.06</v>
      </c>
      <c r="H663" s="40">
        <f>Table2[[#This Row],[Tax Rate]]*Table2[[#This Row],[Sales Amount]]</f>
        <v>225.52680000000001</v>
      </c>
      <c r="I663" s="40">
        <v>3758.78</v>
      </c>
      <c r="J663" s="38">
        <v>13</v>
      </c>
      <c r="K663" s="38" t="s">
        <v>29</v>
      </c>
      <c r="L663" s="40">
        <v>3597.2</v>
      </c>
      <c r="M663" s="40">
        <v>4071.8199999999902</v>
      </c>
      <c r="N663" s="38" t="s">
        <v>17</v>
      </c>
      <c r="O663" s="41">
        <v>0.28999999999999998</v>
      </c>
      <c r="P663" s="38" t="s">
        <v>27</v>
      </c>
      <c r="Q663" s="38" t="s">
        <v>19</v>
      </c>
      <c r="R663" s="38" t="str">
        <f>IF(Cleaned_Final!$I663&gt;=5000,"High","Low")</f>
        <v>Low</v>
      </c>
    </row>
    <row r="664" spans="1:18" x14ac:dyDescent="0.35">
      <c r="A664" s="34">
        <v>1046</v>
      </c>
      <c r="B664" s="34" t="str">
        <f>_xlfn.XLOOKUP(Table2[[#This Row],[Product ID]],Sheet1!$A$32:$A$200,Sheet1!$B$32:$B$200,"Not Found")</f>
        <v>Sweat Shirts</v>
      </c>
      <c r="C664" s="35">
        <v>45193</v>
      </c>
      <c r="D664" s="34" t="s">
        <v>33</v>
      </c>
      <c r="E664" s="34" t="str" cm="1">
        <f t="array" ref="E664">_xlfn.XLOOKUP(Table2[[#This Row],[Sales Rep]],Sheet1!$A$21:$A$25,Sheet1!$B$21:$B$25,Not Found)</f>
        <v>Susan Jerkins</v>
      </c>
      <c r="F664" s="34" t="s">
        <v>21</v>
      </c>
      <c r="G664" s="34">
        <f>_xlfn.XLOOKUP(Table2[[#This Row],[Region]],Sheet1!$A$12:$A$15,Sheet1!$B$12:$B$15,0)</f>
        <v>0.08</v>
      </c>
      <c r="H664" s="36">
        <f>Table2[[#This Row],[Tax Rate]]*Table2[[#This Row],[Sales Amount]]</f>
        <v>375.67680000000001</v>
      </c>
      <c r="I664" s="36">
        <v>4695.96</v>
      </c>
      <c r="J664" s="34">
        <v>41</v>
      </c>
      <c r="K664" s="34" t="s">
        <v>29</v>
      </c>
      <c r="L664" s="36">
        <v>1825.37</v>
      </c>
      <c r="M664" s="36">
        <v>2073.88</v>
      </c>
      <c r="N664" s="34" t="s">
        <v>17</v>
      </c>
      <c r="O664" s="37">
        <v>0.27</v>
      </c>
      <c r="P664" s="34" t="s">
        <v>18</v>
      </c>
      <c r="Q664" s="34" t="s">
        <v>22</v>
      </c>
      <c r="R664" s="34" t="str">
        <f>IF(Cleaned_Final!$I664&gt;=5000,"High","Low")</f>
        <v>Low</v>
      </c>
    </row>
    <row r="665" spans="1:18" x14ac:dyDescent="0.35">
      <c r="A665" s="38">
        <v>1013</v>
      </c>
      <c r="B665" s="38" t="str">
        <f>_xlfn.XLOOKUP(Table2[[#This Row],[Product ID]],Sheet1!$A$32:$A$200,Sheet1!$B$32:$B$200,"Not Found")</f>
        <v>Gas Cooker</v>
      </c>
      <c r="C665" s="39">
        <v>45031</v>
      </c>
      <c r="D665" s="38" t="s">
        <v>38</v>
      </c>
      <c r="E665" s="38" t="str" cm="1">
        <f t="array" ref="E665">_xlfn.XLOOKUP(Table2[[#This Row],[Sales Rep]],Sheet1!$A$21:$A$25,Sheet1!$B$21:$B$25,Not Found)</f>
        <v>Tracy Moore</v>
      </c>
      <c r="F665" s="38" t="s">
        <v>15</v>
      </c>
      <c r="G665" s="38">
        <f>_xlfn.XLOOKUP(Table2[[#This Row],[Region]],Sheet1!$A$12:$A$15,Sheet1!$B$12:$B$15,0)</f>
        <v>7.4999999999999997E-2</v>
      </c>
      <c r="H665" s="40">
        <f>Table2[[#This Row],[Tax Rate]]*Table2[[#This Row],[Sales Amount]]</f>
        <v>544.13250000000005</v>
      </c>
      <c r="I665" s="40">
        <v>7255.1</v>
      </c>
      <c r="J665" s="38">
        <v>42</v>
      </c>
      <c r="K665" s="38" t="s">
        <v>16</v>
      </c>
      <c r="L665" s="40">
        <v>1375.57</v>
      </c>
      <c r="M665" s="40">
        <v>1729.71</v>
      </c>
      <c r="N665" s="38" t="s">
        <v>30</v>
      </c>
      <c r="O665" s="41">
        <v>0.04</v>
      </c>
      <c r="P665" s="38" t="s">
        <v>18</v>
      </c>
      <c r="Q665" s="38" t="s">
        <v>19</v>
      </c>
      <c r="R665" s="38" t="str">
        <f>IF(Cleaned_Final!$I665&gt;=5000,"High","Low")</f>
        <v>High</v>
      </c>
    </row>
    <row r="666" spans="1:18" x14ac:dyDescent="0.35">
      <c r="A666" s="34">
        <v>1040</v>
      </c>
      <c r="B666" s="34" t="str">
        <f>_xlfn.XLOOKUP(Table2[[#This Row],[Product ID]],Sheet1!$A$32:$A$200,Sheet1!$B$32:$B$200,"Not Found")</f>
        <v>Cap</v>
      </c>
      <c r="C666" s="35">
        <v>45249</v>
      </c>
      <c r="D666" s="34" t="s">
        <v>24</v>
      </c>
      <c r="E666" s="34" t="str" cm="1">
        <f t="array" ref="E666">_xlfn.XLOOKUP(Table2[[#This Row],[Sales Rep]],Sheet1!$A$21:$A$25,Sheet1!$B$21:$B$25,Not Found)</f>
        <v>Hogan Rock</v>
      </c>
      <c r="F666" s="34" t="s">
        <v>15</v>
      </c>
      <c r="G666" s="34">
        <f>_xlfn.XLOOKUP(Table2[[#This Row],[Region]],Sheet1!$A$12:$A$15,Sheet1!$B$12:$B$15,0)</f>
        <v>7.4999999999999997E-2</v>
      </c>
      <c r="H666" s="36">
        <f>Table2[[#This Row],[Tax Rate]]*Table2[[#This Row],[Sales Amount]]</f>
        <v>495.12149999999997</v>
      </c>
      <c r="I666" s="36">
        <v>6601.62</v>
      </c>
      <c r="J666" s="34">
        <v>47</v>
      </c>
      <c r="K666" s="34" t="s">
        <v>35</v>
      </c>
      <c r="L666" s="36">
        <v>2189.54</v>
      </c>
      <c r="M666" s="36">
        <v>2617</v>
      </c>
      <c r="N666" s="34" t="s">
        <v>30</v>
      </c>
      <c r="O666" s="37">
        <v>0.01</v>
      </c>
      <c r="P666" s="34" t="s">
        <v>27</v>
      </c>
      <c r="Q666" s="34" t="s">
        <v>19</v>
      </c>
      <c r="R666" s="34" t="str">
        <f>IF(Cleaned_Final!$I666&gt;=5000,"High","Low")</f>
        <v>High</v>
      </c>
    </row>
    <row r="667" spans="1:18" x14ac:dyDescent="0.35">
      <c r="A667" s="38">
        <v>1042</v>
      </c>
      <c r="B667" s="38" t="str">
        <f>_xlfn.XLOOKUP(Table2[[#This Row],[Product ID]],Sheet1!$A$32:$A$200,Sheet1!$B$32:$B$200,"Not Found")</f>
        <v>Frozen Pizza</v>
      </c>
      <c r="C667" s="39">
        <v>45049</v>
      </c>
      <c r="D667" s="38" t="s">
        <v>42</v>
      </c>
      <c r="E667" s="38" t="str" cm="1">
        <f t="array" ref="E667">_xlfn.XLOOKUP(Table2[[#This Row],[Sales Rep]],Sheet1!$A$21:$A$25,Sheet1!$B$21:$B$25,Not Found)</f>
        <v>Scott Wayne</v>
      </c>
      <c r="F667" s="38" t="s">
        <v>21</v>
      </c>
      <c r="G667" s="38">
        <f>_xlfn.XLOOKUP(Table2[[#This Row],[Region]],Sheet1!$A$12:$A$15,Sheet1!$B$12:$B$15,0)</f>
        <v>0.08</v>
      </c>
      <c r="H667" s="40">
        <f>Table2[[#This Row],[Tax Rate]]*Table2[[#This Row],[Sales Amount]]</f>
        <v>569.3424</v>
      </c>
      <c r="I667" s="40">
        <v>7116.78</v>
      </c>
      <c r="J667" s="38">
        <v>37</v>
      </c>
      <c r="K667" s="38" t="s">
        <v>16</v>
      </c>
      <c r="L667" s="40">
        <v>502.86</v>
      </c>
      <c r="M667" s="40">
        <v>687.6</v>
      </c>
      <c r="N667" s="38" t="s">
        <v>17</v>
      </c>
      <c r="O667" s="41">
        <v>0.21</v>
      </c>
      <c r="P667" s="38" t="s">
        <v>18</v>
      </c>
      <c r="Q667" s="38" t="s">
        <v>19</v>
      </c>
      <c r="R667" s="38" t="str">
        <f>IF(Cleaned_Final!$I667&gt;=5000,"High","Low")</f>
        <v>High</v>
      </c>
    </row>
    <row r="668" spans="1:18" x14ac:dyDescent="0.35">
      <c r="A668" s="34">
        <v>1009</v>
      </c>
      <c r="B668" s="34" t="str">
        <f>_xlfn.XLOOKUP(Table2[[#This Row],[Product ID]],Sheet1!$A$32:$A$200,Sheet1!$B$32:$B$200,"Not Found")</f>
        <v>Jacket</v>
      </c>
      <c r="C668" s="35">
        <v>44955</v>
      </c>
      <c r="D668" s="34" t="s">
        <v>38</v>
      </c>
      <c r="E668" s="34" t="str" cm="1">
        <f t="array" ref="E668">_xlfn.XLOOKUP(Table2[[#This Row],[Sales Rep]],Sheet1!$A$21:$A$25,Sheet1!$B$21:$B$25,Not Found)</f>
        <v>Tracy Moore</v>
      </c>
      <c r="F668" s="34" t="s">
        <v>21</v>
      </c>
      <c r="G668" s="34">
        <f>_xlfn.XLOOKUP(Table2[[#This Row],[Region]],Sheet1!$A$12:$A$15,Sheet1!$B$12:$B$15,0)</f>
        <v>0.08</v>
      </c>
      <c r="H668" s="36">
        <f>Table2[[#This Row],[Tax Rate]]*Table2[[#This Row],[Sales Amount]]</f>
        <v>14.624000000000001</v>
      </c>
      <c r="I668" s="36">
        <v>182.8</v>
      </c>
      <c r="J668" s="34">
        <v>16</v>
      </c>
      <c r="K668" s="34" t="s">
        <v>29</v>
      </c>
      <c r="L668" s="36">
        <v>3745.69</v>
      </c>
      <c r="M668" s="36">
        <v>3883.77</v>
      </c>
      <c r="N668" s="34" t="s">
        <v>17</v>
      </c>
      <c r="O668" s="37">
        <v>0.18</v>
      </c>
      <c r="P668" s="34" t="s">
        <v>27</v>
      </c>
      <c r="Q668" s="34" t="s">
        <v>22</v>
      </c>
      <c r="R668" s="34" t="str">
        <f>IF(Cleaned_Final!$I668&gt;=5000,"High","Low")</f>
        <v>Low</v>
      </c>
    </row>
    <row r="669" spans="1:18" x14ac:dyDescent="0.35">
      <c r="A669" s="38">
        <v>1050</v>
      </c>
      <c r="B669" s="38" t="str">
        <f>_xlfn.XLOOKUP(Table2[[#This Row],[Product ID]],Sheet1!$A$32:$A$200,Sheet1!$B$32:$B$200,"Not Found")</f>
        <v>Sneakers</v>
      </c>
      <c r="C669" s="39">
        <v>45063</v>
      </c>
      <c r="D669" s="38" t="s">
        <v>14</v>
      </c>
      <c r="E669" s="38" t="str" cm="1">
        <f t="array" ref="E669">_xlfn.XLOOKUP(Table2[[#This Row],[Sales Rep]],Sheet1!$A$21:$A$25,Sheet1!$B$21:$B$25,Not Found)</f>
        <v>Michael Smith</v>
      </c>
      <c r="F669" s="38" t="s">
        <v>15</v>
      </c>
      <c r="G669" s="38">
        <f>_xlfn.XLOOKUP(Table2[[#This Row],[Region]],Sheet1!$A$12:$A$15,Sheet1!$B$12:$B$15,0)</f>
        <v>7.4999999999999997E-2</v>
      </c>
      <c r="H669" s="40">
        <f>Table2[[#This Row],[Tax Rate]]*Table2[[#This Row],[Sales Amount]]</f>
        <v>169.11824999999999</v>
      </c>
      <c r="I669" s="40">
        <v>2254.91</v>
      </c>
      <c r="J669" s="38">
        <v>45</v>
      </c>
      <c r="K669" s="38" t="s">
        <v>16</v>
      </c>
      <c r="L669" s="40">
        <v>112.35</v>
      </c>
      <c r="M669" s="40">
        <v>586.17999999999995</v>
      </c>
      <c r="N669" s="38" t="s">
        <v>17</v>
      </c>
      <c r="O669" s="41">
        <v>0.28000000000000003</v>
      </c>
      <c r="P669" s="38" t="s">
        <v>31</v>
      </c>
      <c r="Q669" s="38" t="s">
        <v>22</v>
      </c>
      <c r="R669" s="38" t="str">
        <f>IF(Cleaned_Final!$I669&gt;=5000,"High","Low")</f>
        <v>Low</v>
      </c>
    </row>
    <row r="670" spans="1:18" x14ac:dyDescent="0.35">
      <c r="A670" s="34">
        <v>1027</v>
      </c>
      <c r="B670" s="34" t="str">
        <f>_xlfn.XLOOKUP(Table2[[#This Row],[Product ID]],Sheet1!$A$32:$A$200,Sheet1!$B$32:$B$200,"Not Found")</f>
        <v>Cookies</v>
      </c>
      <c r="C670" s="35">
        <v>45121</v>
      </c>
      <c r="D670" s="34" t="s">
        <v>14</v>
      </c>
      <c r="E670" s="34" t="str" cm="1">
        <f t="array" ref="E670">_xlfn.XLOOKUP(Table2[[#This Row],[Sales Rep]],Sheet1!$A$21:$A$25,Sheet1!$B$21:$B$25,Not Found)</f>
        <v>Michael Smith</v>
      </c>
      <c r="F670" s="34" t="s">
        <v>25</v>
      </c>
      <c r="G670" s="34">
        <f>_xlfn.XLOOKUP(Table2[[#This Row],[Region]],Sheet1!$A$12:$A$15,Sheet1!$B$12:$B$15,0)</f>
        <v>0.05</v>
      </c>
      <c r="H670" s="36">
        <f>Table2[[#This Row],[Tax Rate]]*Table2[[#This Row],[Sales Amount]]</f>
        <v>332.5335</v>
      </c>
      <c r="I670" s="36">
        <v>6650.67</v>
      </c>
      <c r="J670" s="34">
        <v>22</v>
      </c>
      <c r="K670" s="34" t="s">
        <v>26</v>
      </c>
      <c r="L670" s="36">
        <v>3240.2</v>
      </c>
      <c r="M670" s="36">
        <v>3606.0899999999901</v>
      </c>
      <c r="N670" s="34" t="s">
        <v>30</v>
      </c>
      <c r="O670" s="37">
        <v>7.0000000000000007E-2</v>
      </c>
      <c r="P670" s="34" t="s">
        <v>18</v>
      </c>
      <c r="Q670" s="34" t="s">
        <v>19</v>
      </c>
      <c r="R670" s="34" t="str">
        <f>IF(Cleaned_Final!$I670&gt;=5000,"High","Low")</f>
        <v>High</v>
      </c>
    </row>
    <row r="671" spans="1:18" x14ac:dyDescent="0.35">
      <c r="A671" s="38">
        <v>1066</v>
      </c>
      <c r="B671" s="38" t="str">
        <f>_xlfn.XLOOKUP(Table2[[#This Row],[Product ID]],Sheet1!$A$32:$A$200,Sheet1!$B$32:$B$200,"Not Found")</f>
        <v>Armoire</v>
      </c>
      <c r="C671" s="39">
        <v>45152</v>
      </c>
      <c r="D671" s="38" t="s">
        <v>42</v>
      </c>
      <c r="E671" s="38" t="str" cm="1">
        <f t="array" ref="E671">_xlfn.XLOOKUP(Table2[[#This Row],[Sales Rep]],Sheet1!$A$21:$A$25,Sheet1!$B$21:$B$25,Not Found)</f>
        <v>Scott Wayne</v>
      </c>
      <c r="F671" s="38" t="s">
        <v>25</v>
      </c>
      <c r="G671" s="38">
        <f>_xlfn.XLOOKUP(Table2[[#This Row],[Region]],Sheet1!$A$12:$A$15,Sheet1!$B$12:$B$15,0)</f>
        <v>0.05</v>
      </c>
      <c r="H671" s="40">
        <f>Table2[[#This Row],[Tax Rate]]*Table2[[#This Row],[Sales Amount]]</f>
        <v>244.5745</v>
      </c>
      <c r="I671" s="40">
        <v>4891.49</v>
      </c>
      <c r="J671" s="38">
        <v>20</v>
      </c>
      <c r="K671" s="38" t="s">
        <v>35</v>
      </c>
      <c r="L671" s="40">
        <v>955.18</v>
      </c>
      <c r="M671" s="40">
        <v>1072.82</v>
      </c>
      <c r="N671" s="38" t="s">
        <v>30</v>
      </c>
      <c r="O671" s="41">
        <v>0.03</v>
      </c>
      <c r="P671" s="38" t="s">
        <v>27</v>
      </c>
      <c r="Q671" s="38" t="s">
        <v>22</v>
      </c>
      <c r="R671" s="38" t="str">
        <f>IF(Cleaned_Final!$I671&gt;=5000,"High","Low")</f>
        <v>Low</v>
      </c>
    </row>
    <row r="672" spans="1:18" x14ac:dyDescent="0.35">
      <c r="A672" s="34">
        <v>1005</v>
      </c>
      <c r="B672" s="34" t="str">
        <f>_xlfn.XLOOKUP(Table2[[#This Row],[Product ID]],Sheet1!$A$32:$A$200,Sheet1!$B$32:$B$200,"Not Found")</f>
        <v>Smart Phone</v>
      </c>
      <c r="C672" s="35">
        <v>45258</v>
      </c>
      <c r="D672" s="34" t="s">
        <v>24</v>
      </c>
      <c r="E672" s="34" t="str" cm="1">
        <f t="array" ref="E672">_xlfn.XLOOKUP(Table2[[#This Row],[Sales Rep]],Sheet1!$A$21:$A$25,Sheet1!$B$21:$B$25,Not Found)</f>
        <v>Hogan Rock</v>
      </c>
      <c r="F672" s="34" t="s">
        <v>21</v>
      </c>
      <c r="G672" s="34">
        <f>_xlfn.XLOOKUP(Table2[[#This Row],[Region]],Sheet1!$A$12:$A$15,Sheet1!$B$12:$B$15,0)</f>
        <v>0.08</v>
      </c>
      <c r="H672" s="36">
        <f>Table2[[#This Row],[Tax Rate]]*Table2[[#This Row],[Sales Amount]]</f>
        <v>12.208</v>
      </c>
      <c r="I672" s="36">
        <v>152.6</v>
      </c>
      <c r="J672" s="34">
        <v>43</v>
      </c>
      <c r="K672" s="34" t="s">
        <v>16</v>
      </c>
      <c r="L672" s="36">
        <v>1200.4000000000001</v>
      </c>
      <c r="M672" s="36">
        <v>1430.45</v>
      </c>
      <c r="N672" s="34" t="s">
        <v>30</v>
      </c>
      <c r="O672" s="37">
        <v>0.08</v>
      </c>
      <c r="P672" s="34" t="s">
        <v>27</v>
      </c>
      <c r="Q672" s="34" t="s">
        <v>22</v>
      </c>
      <c r="R672" s="34" t="str">
        <f>IF(Cleaned_Final!$I672&gt;=5000,"High","Low")</f>
        <v>Low</v>
      </c>
    </row>
    <row r="673" spans="1:18" x14ac:dyDescent="0.35">
      <c r="A673" s="38">
        <v>1029</v>
      </c>
      <c r="B673" s="38" t="str">
        <f>_xlfn.XLOOKUP(Table2[[#This Row],[Product ID]],Sheet1!$A$32:$A$200,Sheet1!$B$32:$B$200,"Not Found")</f>
        <v>Camisole</v>
      </c>
      <c r="C673" s="39">
        <v>45096</v>
      </c>
      <c r="D673" s="38" t="s">
        <v>38</v>
      </c>
      <c r="E673" s="38" t="str" cm="1">
        <f t="array" ref="E673">_xlfn.XLOOKUP(Table2[[#This Row],[Sales Rep]],Sheet1!$A$21:$A$25,Sheet1!$B$21:$B$25,Not Found)</f>
        <v>Tracy Moore</v>
      </c>
      <c r="F673" s="38" t="s">
        <v>25</v>
      </c>
      <c r="G673" s="38">
        <f>_xlfn.XLOOKUP(Table2[[#This Row],[Region]],Sheet1!$A$12:$A$15,Sheet1!$B$12:$B$15,0)</f>
        <v>0.05</v>
      </c>
      <c r="H673" s="40">
        <f>Table2[[#This Row],[Tax Rate]]*Table2[[#This Row],[Sales Amount]]</f>
        <v>403.22500000000002</v>
      </c>
      <c r="I673" s="40">
        <v>8064.5</v>
      </c>
      <c r="J673" s="38">
        <v>27</v>
      </c>
      <c r="K673" s="38" t="s">
        <v>26</v>
      </c>
      <c r="L673" s="40">
        <v>3196.38</v>
      </c>
      <c r="M673" s="40">
        <v>3596.64</v>
      </c>
      <c r="N673" s="38" t="s">
        <v>30</v>
      </c>
      <c r="O673" s="41">
        <v>0.01</v>
      </c>
      <c r="P673" s="38" t="s">
        <v>18</v>
      </c>
      <c r="Q673" s="38" t="s">
        <v>22</v>
      </c>
      <c r="R673" s="38" t="str">
        <f>IF(Cleaned_Final!$I673&gt;=5000,"High","Low")</f>
        <v>High</v>
      </c>
    </row>
    <row r="674" spans="1:18" x14ac:dyDescent="0.35">
      <c r="A674" s="34">
        <v>1037</v>
      </c>
      <c r="B674" s="34" t="str">
        <f>_xlfn.XLOOKUP(Table2[[#This Row],[Product ID]],Sheet1!$A$32:$A$200,Sheet1!$B$32:$B$200,"Not Found")</f>
        <v>Turtleneck Top</v>
      </c>
      <c r="C674" s="35">
        <v>44935</v>
      </c>
      <c r="D674" s="34" t="s">
        <v>33</v>
      </c>
      <c r="E674" s="34" t="str" cm="1">
        <f t="array" ref="E674">_xlfn.XLOOKUP(Table2[[#This Row],[Sales Rep]],Sheet1!$A$21:$A$25,Sheet1!$B$21:$B$25,Not Found)</f>
        <v>Susan Jerkins</v>
      </c>
      <c r="F674" s="34" t="s">
        <v>15</v>
      </c>
      <c r="G674" s="34">
        <f>_xlfn.XLOOKUP(Table2[[#This Row],[Region]],Sheet1!$A$12:$A$15,Sheet1!$B$12:$B$15,0)</f>
        <v>7.4999999999999997E-2</v>
      </c>
      <c r="H674" s="36">
        <f>Table2[[#This Row],[Tax Rate]]*Table2[[#This Row],[Sales Amount]]</f>
        <v>581.31074999999998</v>
      </c>
      <c r="I674" s="36">
        <v>7750.81</v>
      </c>
      <c r="J674" s="34">
        <v>41</v>
      </c>
      <c r="K674" s="34" t="s">
        <v>29</v>
      </c>
      <c r="L674" s="36">
        <v>4965.07</v>
      </c>
      <c r="M674" s="36">
        <v>5243.13</v>
      </c>
      <c r="N674" s="34" t="s">
        <v>30</v>
      </c>
      <c r="O674" s="37">
        <v>0.01</v>
      </c>
      <c r="P674" s="34" t="s">
        <v>31</v>
      </c>
      <c r="Q674" s="34" t="s">
        <v>19</v>
      </c>
      <c r="R674" s="34" t="str">
        <f>IF(Cleaned_Final!$I674&gt;=5000,"High","Low")</f>
        <v>High</v>
      </c>
    </row>
    <row r="675" spans="1:18" x14ac:dyDescent="0.35">
      <c r="A675" s="38">
        <v>1038</v>
      </c>
      <c r="B675" s="38" t="str">
        <f>_xlfn.XLOOKUP(Table2[[#This Row],[Product ID]],Sheet1!$A$32:$A$200,Sheet1!$B$32:$B$200,"Not Found")</f>
        <v>Jean Pants</v>
      </c>
      <c r="C675" s="39">
        <v>44966</v>
      </c>
      <c r="D675" s="38" t="s">
        <v>42</v>
      </c>
      <c r="E675" s="38" t="str" cm="1">
        <f t="array" ref="E675">_xlfn.XLOOKUP(Table2[[#This Row],[Sales Rep]],Sheet1!$A$21:$A$25,Sheet1!$B$21:$B$25,Not Found)</f>
        <v>Scott Wayne</v>
      </c>
      <c r="F675" s="38" t="s">
        <v>34</v>
      </c>
      <c r="G675" s="38">
        <f>_xlfn.XLOOKUP(Table2[[#This Row],[Region]],Sheet1!$A$12:$A$15,Sheet1!$B$12:$B$15,0)</f>
        <v>0.06</v>
      </c>
      <c r="H675" s="40">
        <f>Table2[[#This Row],[Tax Rate]]*Table2[[#This Row],[Sales Amount]]</f>
        <v>331.76100000000002</v>
      </c>
      <c r="I675" s="40">
        <v>5529.35</v>
      </c>
      <c r="J675" s="38">
        <v>16</v>
      </c>
      <c r="K675" s="38" t="s">
        <v>16</v>
      </c>
      <c r="L675" s="40">
        <v>3899.7</v>
      </c>
      <c r="M675" s="40">
        <v>4228.18</v>
      </c>
      <c r="N675" s="38" t="s">
        <v>30</v>
      </c>
      <c r="O675" s="41">
        <v>0.27</v>
      </c>
      <c r="P675" s="38" t="s">
        <v>18</v>
      </c>
      <c r="Q675" s="38" t="s">
        <v>22</v>
      </c>
      <c r="R675" s="38" t="str">
        <f>IF(Cleaned_Final!$I675&gt;=5000,"High","Low")</f>
        <v>High</v>
      </c>
    </row>
    <row r="676" spans="1:18" x14ac:dyDescent="0.35">
      <c r="A676" s="34">
        <v>1083</v>
      </c>
      <c r="B676" s="34" t="str">
        <f>_xlfn.XLOOKUP(Table2[[#This Row],[Product ID]],Sheet1!$A$32:$A$200,Sheet1!$B$32:$B$200,"Not Found")</f>
        <v>Nightstand</v>
      </c>
      <c r="C676" s="35">
        <v>44951</v>
      </c>
      <c r="D676" s="34" t="s">
        <v>24</v>
      </c>
      <c r="E676" s="34" t="str" cm="1">
        <f t="array" ref="E676">_xlfn.XLOOKUP(Table2[[#This Row],[Sales Rep]],Sheet1!$A$21:$A$25,Sheet1!$B$21:$B$25,Not Found)</f>
        <v>Hogan Rock</v>
      </c>
      <c r="F676" s="34" t="s">
        <v>34</v>
      </c>
      <c r="G676" s="34">
        <f>_xlfn.XLOOKUP(Table2[[#This Row],[Region]],Sheet1!$A$12:$A$15,Sheet1!$B$12:$B$15,0)</f>
        <v>0.06</v>
      </c>
      <c r="H676" s="36">
        <f>Table2[[#This Row],[Tax Rate]]*Table2[[#This Row],[Sales Amount]]</f>
        <v>45.479399999999998</v>
      </c>
      <c r="I676" s="36">
        <v>757.99</v>
      </c>
      <c r="J676" s="34">
        <v>34</v>
      </c>
      <c r="K676" s="34" t="s">
        <v>29</v>
      </c>
      <c r="L676" s="36">
        <v>1167.9100000000001</v>
      </c>
      <c r="M676" s="36">
        <v>1547.26</v>
      </c>
      <c r="N676" s="34" t="s">
        <v>30</v>
      </c>
      <c r="O676" s="37">
        <v>0.11</v>
      </c>
      <c r="P676" s="34" t="s">
        <v>27</v>
      </c>
      <c r="Q676" s="34" t="s">
        <v>19</v>
      </c>
      <c r="R676" s="34" t="str">
        <f>IF(Cleaned_Final!$I676&gt;=5000,"High","Low")</f>
        <v>Low</v>
      </c>
    </row>
    <row r="677" spans="1:18" x14ac:dyDescent="0.35">
      <c r="A677" s="38">
        <v>1008</v>
      </c>
      <c r="B677" s="38" t="str">
        <f>_xlfn.XLOOKUP(Table2[[#This Row],[Product ID]],Sheet1!$A$32:$A$200,Sheet1!$B$32:$B$200,"Not Found")</f>
        <v>Skirt</v>
      </c>
      <c r="C677" s="39">
        <v>45187</v>
      </c>
      <c r="D677" s="38" t="s">
        <v>33</v>
      </c>
      <c r="E677" s="38" t="str" cm="1">
        <f t="array" ref="E677">_xlfn.XLOOKUP(Table2[[#This Row],[Sales Rep]],Sheet1!$A$21:$A$25,Sheet1!$B$21:$B$25,Not Found)</f>
        <v>Susan Jerkins</v>
      </c>
      <c r="F677" s="38" t="s">
        <v>25</v>
      </c>
      <c r="G677" s="38">
        <f>_xlfn.XLOOKUP(Table2[[#This Row],[Region]],Sheet1!$A$12:$A$15,Sheet1!$B$12:$B$15,0)</f>
        <v>0.05</v>
      </c>
      <c r="H677" s="40">
        <f>Table2[[#This Row],[Tax Rate]]*Table2[[#This Row],[Sales Amount]]</f>
        <v>384.42500000000001</v>
      </c>
      <c r="I677" s="40">
        <v>7688.5</v>
      </c>
      <c r="J677" s="38">
        <v>32</v>
      </c>
      <c r="K677" s="38" t="s">
        <v>26</v>
      </c>
      <c r="L677" s="40">
        <v>921.32</v>
      </c>
      <c r="M677" s="40">
        <v>1236.0999999999999</v>
      </c>
      <c r="N677" s="38" t="s">
        <v>30</v>
      </c>
      <c r="O677" s="41">
        <v>0.12</v>
      </c>
      <c r="P677" s="38" t="s">
        <v>31</v>
      </c>
      <c r="Q677" s="38" t="s">
        <v>19</v>
      </c>
      <c r="R677" s="38" t="str">
        <f>IF(Cleaned_Final!$I677&gt;=5000,"High","Low")</f>
        <v>High</v>
      </c>
    </row>
    <row r="678" spans="1:18" x14ac:dyDescent="0.35">
      <c r="A678" s="34">
        <v>1065</v>
      </c>
      <c r="B678" s="34" t="str">
        <f>_xlfn.XLOOKUP(Table2[[#This Row],[Product ID]],Sheet1!$A$32:$A$200,Sheet1!$B$32:$B$200,"Not Found")</f>
        <v>Potatoes</v>
      </c>
      <c r="C678" s="35">
        <v>45152</v>
      </c>
      <c r="D678" s="34" t="s">
        <v>14</v>
      </c>
      <c r="E678" s="34" t="str" cm="1">
        <f t="array" ref="E678">_xlfn.XLOOKUP(Table2[[#This Row],[Sales Rep]],Sheet1!$A$21:$A$25,Sheet1!$B$21:$B$25,Not Found)</f>
        <v>Michael Smith</v>
      </c>
      <c r="F678" s="34" t="s">
        <v>21</v>
      </c>
      <c r="G678" s="34">
        <f>_xlfn.XLOOKUP(Table2[[#This Row],[Region]],Sheet1!$A$12:$A$15,Sheet1!$B$12:$B$15,0)</f>
        <v>0.08</v>
      </c>
      <c r="H678" s="36">
        <f>Table2[[#This Row],[Tax Rate]]*Table2[[#This Row],[Sales Amount]]</f>
        <v>470.30080000000004</v>
      </c>
      <c r="I678" s="36">
        <v>5878.76</v>
      </c>
      <c r="J678" s="34">
        <v>26</v>
      </c>
      <c r="K678" s="34" t="s">
        <v>29</v>
      </c>
      <c r="L678" s="36">
        <v>4337.8500000000004</v>
      </c>
      <c r="M678" s="36">
        <v>4612.49</v>
      </c>
      <c r="N678" s="34" t="s">
        <v>17</v>
      </c>
      <c r="O678" s="37">
        <v>0.01</v>
      </c>
      <c r="P678" s="34" t="s">
        <v>18</v>
      </c>
      <c r="Q678" s="34" t="s">
        <v>22</v>
      </c>
      <c r="R678" s="34" t="str">
        <f>IF(Cleaned_Final!$I678&gt;=5000,"High","Low")</f>
        <v>High</v>
      </c>
    </row>
    <row r="679" spans="1:18" x14ac:dyDescent="0.35">
      <c r="A679" s="38">
        <v>1086</v>
      </c>
      <c r="B679" s="38" t="str">
        <f>_xlfn.XLOOKUP(Table2[[#This Row],[Product ID]],Sheet1!$A$32:$A$200,Sheet1!$B$32:$B$200,"Not Found")</f>
        <v>Gaming Console</v>
      </c>
      <c r="C679" s="39">
        <v>45050</v>
      </c>
      <c r="D679" s="38" t="s">
        <v>14</v>
      </c>
      <c r="E679" s="38" t="str" cm="1">
        <f t="array" ref="E679">_xlfn.XLOOKUP(Table2[[#This Row],[Sales Rep]],Sheet1!$A$21:$A$25,Sheet1!$B$21:$B$25,Not Found)</f>
        <v>Michael Smith</v>
      </c>
      <c r="F679" s="38" t="s">
        <v>21</v>
      </c>
      <c r="G679" s="38">
        <f>_xlfn.XLOOKUP(Table2[[#This Row],[Region]],Sheet1!$A$12:$A$15,Sheet1!$B$12:$B$15,0)</f>
        <v>0.08</v>
      </c>
      <c r="H679" s="40">
        <f>Table2[[#This Row],[Tax Rate]]*Table2[[#This Row],[Sales Amount]]</f>
        <v>627.31200000000001</v>
      </c>
      <c r="I679" s="40">
        <v>7841.4</v>
      </c>
      <c r="J679" s="38">
        <v>25</v>
      </c>
      <c r="K679" s="38" t="s">
        <v>26</v>
      </c>
      <c r="L679" s="40">
        <v>2248.71</v>
      </c>
      <c r="M679" s="40">
        <v>2626.02</v>
      </c>
      <c r="N679" s="38" t="s">
        <v>30</v>
      </c>
      <c r="O679" s="41">
        <v>0.08</v>
      </c>
      <c r="P679" s="38" t="s">
        <v>27</v>
      </c>
      <c r="Q679" s="38" t="s">
        <v>19</v>
      </c>
      <c r="R679" s="38" t="str">
        <f>IF(Cleaned_Final!$I679&gt;=5000,"High","Low")</f>
        <v>High</v>
      </c>
    </row>
    <row r="680" spans="1:18" x14ac:dyDescent="0.35">
      <c r="A680" s="34">
        <v>1017</v>
      </c>
      <c r="B680" s="34" t="str">
        <f>_xlfn.XLOOKUP(Table2[[#This Row],[Product ID]],Sheet1!$A$32:$A$200,Sheet1!$B$32:$B$200,"Not Found")</f>
        <v>Peaches</v>
      </c>
      <c r="C680" s="35">
        <v>44964</v>
      </c>
      <c r="D680" s="34" t="s">
        <v>33</v>
      </c>
      <c r="E680" s="34" t="str" cm="1">
        <f t="array" ref="E680">_xlfn.XLOOKUP(Table2[[#This Row],[Sales Rep]],Sheet1!$A$21:$A$25,Sheet1!$B$21:$B$25,Not Found)</f>
        <v>Susan Jerkins</v>
      </c>
      <c r="F680" s="34" t="s">
        <v>21</v>
      </c>
      <c r="G680" s="34">
        <f>_xlfn.XLOOKUP(Table2[[#This Row],[Region]],Sheet1!$A$12:$A$15,Sheet1!$B$12:$B$15,0)</f>
        <v>0.08</v>
      </c>
      <c r="H680" s="36">
        <f>Table2[[#This Row],[Tax Rate]]*Table2[[#This Row],[Sales Amount]]</f>
        <v>603.38400000000001</v>
      </c>
      <c r="I680" s="36">
        <v>7542.3</v>
      </c>
      <c r="J680" s="34">
        <v>2</v>
      </c>
      <c r="K680" s="34" t="s">
        <v>26</v>
      </c>
      <c r="L680" s="36">
        <v>728.41</v>
      </c>
      <c r="M680" s="36">
        <v>1094.92</v>
      </c>
      <c r="N680" s="34" t="s">
        <v>30</v>
      </c>
      <c r="O680" s="37">
        <v>0.24</v>
      </c>
      <c r="P680" s="34" t="s">
        <v>18</v>
      </c>
      <c r="Q680" s="34" t="s">
        <v>22</v>
      </c>
      <c r="R680" s="34" t="str">
        <f>IF(Cleaned_Final!$I680&gt;=5000,"High","Low")</f>
        <v>High</v>
      </c>
    </row>
    <row r="681" spans="1:18" x14ac:dyDescent="0.35">
      <c r="A681" s="38">
        <v>1071</v>
      </c>
      <c r="B681" s="38" t="str">
        <f>_xlfn.XLOOKUP(Table2[[#This Row],[Product ID]],Sheet1!$A$32:$A$200,Sheet1!$B$32:$B$200,"Not Found")</f>
        <v>Game Table</v>
      </c>
      <c r="C681" s="39">
        <v>45254</v>
      </c>
      <c r="D681" s="38" t="s">
        <v>42</v>
      </c>
      <c r="E681" s="38" t="str" cm="1">
        <f t="array" ref="E681">_xlfn.XLOOKUP(Table2[[#This Row],[Sales Rep]],Sheet1!$A$21:$A$25,Sheet1!$B$21:$B$25,Not Found)</f>
        <v>Scott Wayne</v>
      </c>
      <c r="F681" s="38" t="s">
        <v>21</v>
      </c>
      <c r="G681" s="38">
        <f>_xlfn.XLOOKUP(Table2[[#This Row],[Region]],Sheet1!$A$12:$A$15,Sheet1!$B$12:$B$15,0)</f>
        <v>0.08</v>
      </c>
      <c r="H681" s="40">
        <f>Table2[[#This Row],[Tax Rate]]*Table2[[#This Row],[Sales Amount]]</f>
        <v>643.97760000000005</v>
      </c>
      <c r="I681" s="40">
        <v>8049.72</v>
      </c>
      <c r="J681" s="38">
        <v>12</v>
      </c>
      <c r="K681" s="38" t="s">
        <v>26</v>
      </c>
      <c r="L681" s="40">
        <v>4317.95</v>
      </c>
      <c r="M681" s="40">
        <v>4636.59</v>
      </c>
      <c r="N681" s="38" t="s">
        <v>30</v>
      </c>
      <c r="O681" s="41">
        <v>0.18</v>
      </c>
      <c r="P681" s="38" t="s">
        <v>31</v>
      </c>
      <c r="Q681" s="38" t="s">
        <v>22</v>
      </c>
      <c r="R681" s="38" t="str">
        <f>IF(Cleaned_Final!$I681&gt;=5000,"High","Low")</f>
        <v>High</v>
      </c>
    </row>
    <row r="682" spans="1:18" x14ac:dyDescent="0.35">
      <c r="A682" s="34">
        <v>1089</v>
      </c>
      <c r="B682" s="34" t="str">
        <f>_xlfn.XLOOKUP(Table2[[#This Row],[Product ID]],Sheet1!$A$32:$A$200,Sheet1!$B$32:$B$200,"Not Found")</f>
        <v>Recliner</v>
      </c>
      <c r="C682" s="35">
        <v>45177</v>
      </c>
      <c r="D682" s="34" t="s">
        <v>14</v>
      </c>
      <c r="E682" s="34" t="str" cm="1">
        <f t="array" ref="E682">_xlfn.XLOOKUP(Table2[[#This Row],[Sales Rep]],Sheet1!$A$21:$A$25,Sheet1!$B$21:$B$25,Not Found)</f>
        <v>Michael Smith</v>
      </c>
      <c r="F682" s="34" t="s">
        <v>21</v>
      </c>
      <c r="G682" s="34">
        <f>_xlfn.XLOOKUP(Table2[[#This Row],[Region]],Sheet1!$A$12:$A$15,Sheet1!$B$12:$B$15,0)</f>
        <v>0.08</v>
      </c>
      <c r="H682" s="36">
        <f>Table2[[#This Row],[Tax Rate]]*Table2[[#This Row],[Sales Amount]]</f>
        <v>418.26240000000001</v>
      </c>
      <c r="I682" s="36">
        <v>5228.28</v>
      </c>
      <c r="J682" s="34">
        <v>40</v>
      </c>
      <c r="K682" s="34" t="s">
        <v>16</v>
      </c>
      <c r="L682" s="36">
        <v>4089.66</v>
      </c>
      <c r="M682" s="36">
        <v>4275.96</v>
      </c>
      <c r="N682" s="34" t="s">
        <v>30</v>
      </c>
      <c r="O682" s="37">
        <v>0.23</v>
      </c>
      <c r="P682" s="34" t="s">
        <v>31</v>
      </c>
      <c r="Q682" s="34" t="s">
        <v>19</v>
      </c>
      <c r="R682" s="34" t="str">
        <f>IF(Cleaned_Final!$I682&gt;=5000,"High","Low")</f>
        <v>High</v>
      </c>
    </row>
    <row r="683" spans="1:18" x14ac:dyDescent="0.35">
      <c r="A683" s="38">
        <v>1045</v>
      </c>
      <c r="B683" s="38" t="str">
        <f>_xlfn.XLOOKUP(Table2[[#This Row],[Product ID]],Sheet1!$A$32:$A$200,Sheet1!$B$32:$B$200,"Not Found")</f>
        <v>Bikers Shorts</v>
      </c>
      <c r="C683" s="39">
        <v>45102</v>
      </c>
      <c r="D683" s="38" t="s">
        <v>38</v>
      </c>
      <c r="E683" s="38" t="str" cm="1">
        <f t="array" ref="E683">_xlfn.XLOOKUP(Table2[[#This Row],[Sales Rep]],Sheet1!$A$21:$A$25,Sheet1!$B$21:$B$25,Not Found)</f>
        <v>Tracy Moore</v>
      </c>
      <c r="F683" s="38" t="s">
        <v>25</v>
      </c>
      <c r="G683" s="38">
        <f>_xlfn.XLOOKUP(Table2[[#This Row],[Region]],Sheet1!$A$12:$A$15,Sheet1!$B$12:$B$15,0)</f>
        <v>0.05</v>
      </c>
      <c r="H683" s="40">
        <f>Table2[[#This Row],[Tax Rate]]*Table2[[#This Row],[Sales Amount]]</f>
        <v>74.46050000000001</v>
      </c>
      <c r="I683" s="40">
        <v>1489.21</v>
      </c>
      <c r="J683" s="38">
        <v>9</v>
      </c>
      <c r="K683" s="38" t="s">
        <v>29</v>
      </c>
      <c r="L683" s="40">
        <v>4920.34</v>
      </c>
      <c r="M683" s="40">
        <v>5129.1899999999996</v>
      </c>
      <c r="N683" s="38" t="s">
        <v>17</v>
      </c>
      <c r="O683" s="41">
        <v>0.13</v>
      </c>
      <c r="P683" s="38" t="s">
        <v>31</v>
      </c>
      <c r="Q683" s="38" t="s">
        <v>19</v>
      </c>
      <c r="R683" s="38" t="str">
        <f>IF(Cleaned_Final!$I683&gt;=5000,"High","Low")</f>
        <v>Low</v>
      </c>
    </row>
    <row r="684" spans="1:18" x14ac:dyDescent="0.35">
      <c r="A684" s="34">
        <v>1004</v>
      </c>
      <c r="B684" s="34" t="str">
        <f>_xlfn.XLOOKUP(Table2[[#This Row],[Product ID]],Sheet1!$A$32:$A$200,Sheet1!$B$32:$B$200,"Not Found")</f>
        <v>Smartwatch</v>
      </c>
      <c r="C684" s="35">
        <v>45016</v>
      </c>
      <c r="D684" s="34" t="s">
        <v>33</v>
      </c>
      <c r="E684" s="34" t="str" cm="1">
        <f t="array" ref="E684">_xlfn.XLOOKUP(Table2[[#This Row],[Sales Rep]],Sheet1!$A$21:$A$25,Sheet1!$B$21:$B$25,Not Found)</f>
        <v>Susan Jerkins</v>
      </c>
      <c r="F684" s="34" t="s">
        <v>34</v>
      </c>
      <c r="G684" s="34">
        <f>_xlfn.XLOOKUP(Table2[[#This Row],[Region]],Sheet1!$A$12:$A$15,Sheet1!$B$12:$B$15,0)</f>
        <v>0.06</v>
      </c>
      <c r="H684" s="36">
        <f>Table2[[#This Row],[Tax Rate]]*Table2[[#This Row],[Sales Amount]]</f>
        <v>404.66759999999999</v>
      </c>
      <c r="I684" s="36">
        <v>6744.46</v>
      </c>
      <c r="J684" s="34">
        <v>12</v>
      </c>
      <c r="K684" s="34" t="s">
        <v>29</v>
      </c>
      <c r="L684" s="36">
        <v>4553.2299999999996</v>
      </c>
      <c r="M684" s="36">
        <v>5038.74</v>
      </c>
      <c r="N684" s="34" t="s">
        <v>30</v>
      </c>
      <c r="O684" s="37">
        <v>0.09</v>
      </c>
      <c r="P684" s="34" t="s">
        <v>31</v>
      </c>
      <c r="Q684" s="34" t="s">
        <v>22</v>
      </c>
      <c r="R684" s="34" t="str">
        <f>IF(Cleaned_Final!$I684&gt;=5000,"High","Low")</f>
        <v>High</v>
      </c>
    </row>
    <row r="685" spans="1:18" x14ac:dyDescent="0.35">
      <c r="A685" s="38">
        <v>1036</v>
      </c>
      <c r="B685" s="38" t="str">
        <f>_xlfn.XLOOKUP(Table2[[#This Row],[Product ID]],Sheet1!$A$32:$A$200,Sheet1!$B$32:$B$200,"Not Found")</f>
        <v>Shorts</v>
      </c>
      <c r="C685" s="39">
        <v>44963</v>
      </c>
      <c r="D685" s="38" t="s">
        <v>33</v>
      </c>
      <c r="E685" s="38" t="str" cm="1">
        <f t="array" ref="E685">_xlfn.XLOOKUP(Table2[[#This Row],[Sales Rep]],Sheet1!$A$21:$A$25,Sheet1!$B$21:$B$25,Not Found)</f>
        <v>Susan Jerkins</v>
      </c>
      <c r="F685" s="38" t="s">
        <v>34</v>
      </c>
      <c r="G685" s="38">
        <f>_xlfn.XLOOKUP(Table2[[#This Row],[Region]],Sheet1!$A$12:$A$15,Sheet1!$B$12:$B$15,0)</f>
        <v>0.06</v>
      </c>
      <c r="H685" s="40">
        <f>Table2[[#This Row],[Tax Rate]]*Table2[[#This Row],[Sales Amount]]</f>
        <v>374.56139999999994</v>
      </c>
      <c r="I685" s="40">
        <v>6242.69</v>
      </c>
      <c r="J685" s="38">
        <v>26</v>
      </c>
      <c r="K685" s="38" t="s">
        <v>35</v>
      </c>
      <c r="L685" s="40">
        <v>4266.3599999999997</v>
      </c>
      <c r="M685" s="40">
        <v>4331.4299999999903</v>
      </c>
      <c r="N685" s="38" t="s">
        <v>17</v>
      </c>
      <c r="O685" s="41">
        <v>0.14000000000000001</v>
      </c>
      <c r="P685" s="38" t="s">
        <v>31</v>
      </c>
      <c r="Q685" s="38" t="s">
        <v>22</v>
      </c>
      <c r="R685" s="38" t="str">
        <f>IF(Cleaned_Final!$I685&gt;=5000,"High","Low")</f>
        <v>High</v>
      </c>
    </row>
    <row r="686" spans="1:18" x14ac:dyDescent="0.35">
      <c r="A686" s="34">
        <v>1070</v>
      </c>
      <c r="B686" s="34" t="str">
        <f>_xlfn.XLOOKUP(Table2[[#This Row],[Product ID]],Sheet1!$A$32:$A$200,Sheet1!$B$32:$B$200,"Not Found")</f>
        <v>Hutch</v>
      </c>
      <c r="C686" s="35">
        <v>45242</v>
      </c>
      <c r="D686" s="34" t="s">
        <v>14</v>
      </c>
      <c r="E686" s="34" t="str" cm="1">
        <f t="array" ref="E686">_xlfn.XLOOKUP(Table2[[#This Row],[Sales Rep]],Sheet1!$A$21:$A$25,Sheet1!$B$21:$B$25,Not Found)</f>
        <v>Michael Smith</v>
      </c>
      <c r="F686" s="34" t="s">
        <v>25</v>
      </c>
      <c r="G686" s="34">
        <f>_xlfn.XLOOKUP(Table2[[#This Row],[Region]],Sheet1!$A$12:$A$15,Sheet1!$B$12:$B$15,0)</f>
        <v>0.05</v>
      </c>
      <c r="H686" s="36">
        <f>Table2[[#This Row],[Tax Rate]]*Table2[[#This Row],[Sales Amount]]</f>
        <v>372.41550000000007</v>
      </c>
      <c r="I686" s="36">
        <v>7448.31</v>
      </c>
      <c r="J686" s="34">
        <v>9</v>
      </c>
      <c r="K686" s="34" t="s">
        <v>35</v>
      </c>
      <c r="L686" s="36">
        <v>310.24</v>
      </c>
      <c r="M686" s="36">
        <v>451.81</v>
      </c>
      <c r="N686" s="34" t="s">
        <v>17</v>
      </c>
      <c r="O686" s="37">
        <v>0.1</v>
      </c>
      <c r="P686" s="34" t="s">
        <v>18</v>
      </c>
      <c r="Q686" s="34" t="s">
        <v>22</v>
      </c>
      <c r="R686" s="34" t="str">
        <f>IF(Cleaned_Final!$I686&gt;=5000,"High","Low")</f>
        <v>High</v>
      </c>
    </row>
    <row r="687" spans="1:18" x14ac:dyDescent="0.35">
      <c r="A687" s="38">
        <v>1031</v>
      </c>
      <c r="B687" s="38" t="str">
        <f>_xlfn.XLOOKUP(Table2[[#This Row],[Product ID]],Sheet1!$A$32:$A$200,Sheet1!$B$32:$B$200,"Not Found")</f>
        <v>Butter</v>
      </c>
      <c r="C687" s="39">
        <v>45102</v>
      </c>
      <c r="D687" s="38" t="s">
        <v>42</v>
      </c>
      <c r="E687" s="38" t="str" cm="1">
        <f t="array" ref="E687">_xlfn.XLOOKUP(Table2[[#This Row],[Sales Rep]],Sheet1!$A$21:$A$25,Sheet1!$B$21:$B$25,Not Found)</f>
        <v>Scott Wayne</v>
      </c>
      <c r="F687" s="38" t="s">
        <v>21</v>
      </c>
      <c r="G687" s="38">
        <f>_xlfn.XLOOKUP(Table2[[#This Row],[Region]],Sheet1!$A$12:$A$15,Sheet1!$B$12:$B$15,0)</f>
        <v>0.08</v>
      </c>
      <c r="H687" s="40">
        <f>Table2[[#This Row],[Tax Rate]]*Table2[[#This Row],[Sales Amount]]</f>
        <v>142.54560000000001</v>
      </c>
      <c r="I687" s="40">
        <v>1781.82</v>
      </c>
      <c r="J687" s="38">
        <v>10</v>
      </c>
      <c r="K687" s="38" t="s">
        <v>35</v>
      </c>
      <c r="L687" s="40">
        <v>566.86</v>
      </c>
      <c r="M687" s="40">
        <v>818.14</v>
      </c>
      <c r="N687" s="38" t="s">
        <v>17</v>
      </c>
      <c r="O687" s="41">
        <v>0.25</v>
      </c>
      <c r="P687" s="38" t="s">
        <v>31</v>
      </c>
      <c r="Q687" s="38" t="s">
        <v>22</v>
      </c>
      <c r="R687" s="38" t="str">
        <f>IF(Cleaned_Final!$I687&gt;=5000,"High","Low")</f>
        <v>Low</v>
      </c>
    </row>
    <row r="688" spans="1:18" x14ac:dyDescent="0.35">
      <c r="A688" s="34">
        <v>1019</v>
      </c>
      <c r="B688" s="34" t="str">
        <f>_xlfn.XLOOKUP(Table2[[#This Row],[Product ID]],Sheet1!$A$32:$A$200,Sheet1!$B$32:$B$200,"Not Found")</f>
        <v>Apple</v>
      </c>
      <c r="C688" s="35">
        <v>45210</v>
      </c>
      <c r="D688" s="34" t="s">
        <v>38</v>
      </c>
      <c r="E688" s="34" t="str" cm="1">
        <f t="array" ref="E688">_xlfn.XLOOKUP(Table2[[#This Row],[Sales Rep]],Sheet1!$A$21:$A$25,Sheet1!$B$21:$B$25,Not Found)</f>
        <v>Tracy Moore</v>
      </c>
      <c r="F688" s="34" t="s">
        <v>25</v>
      </c>
      <c r="G688" s="34">
        <f>_xlfn.XLOOKUP(Table2[[#This Row],[Region]],Sheet1!$A$12:$A$15,Sheet1!$B$12:$B$15,0)</f>
        <v>0.05</v>
      </c>
      <c r="H688" s="36">
        <f>Table2[[#This Row],[Tax Rate]]*Table2[[#This Row],[Sales Amount]]</f>
        <v>101.5125</v>
      </c>
      <c r="I688" s="36">
        <v>2030.25</v>
      </c>
      <c r="J688" s="34">
        <v>32</v>
      </c>
      <c r="K688" s="34" t="s">
        <v>35</v>
      </c>
      <c r="L688" s="36">
        <v>2866.47</v>
      </c>
      <c r="M688" s="36">
        <v>3286.47</v>
      </c>
      <c r="N688" s="34" t="s">
        <v>30</v>
      </c>
      <c r="O688" s="37">
        <v>0.09</v>
      </c>
      <c r="P688" s="34" t="s">
        <v>31</v>
      </c>
      <c r="Q688" s="34" t="s">
        <v>19</v>
      </c>
      <c r="R688" s="34" t="str">
        <f>IF(Cleaned_Final!$I688&gt;=5000,"High","Low")</f>
        <v>Low</v>
      </c>
    </row>
    <row r="689" spans="1:18" x14ac:dyDescent="0.35">
      <c r="A689" s="38">
        <v>1061</v>
      </c>
      <c r="B689" s="38" t="str">
        <f>_xlfn.XLOOKUP(Table2[[#This Row],[Product ID]],Sheet1!$A$32:$A$200,Sheet1!$B$32:$B$200,"Not Found")</f>
        <v>Laptop</v>
      </c>
      <c r="C689" s="39">
        <v>45007</v>
      </c>
      <c r="D689" s="38" t="s">
        <v>42</v>
      </c>
      <c r="E689" s="38" t="str" cm="1">
        <f t="array" ref="E689">_xlfn.XLOOKUP(Table2[[#This Row],[Sales Rep]],Sheet1!$A$21:$A$25,Sheet1!$B$21:$B$25,Not Found)</f>
        <v>Scott Wayne</v>
      </c>
      <c r="F689" s="38" t="s">
        <v>34</v>
      </c>
      <c r="G689" s="38">
        <f>_xlfn.XLOOKUP(Table2[[#This Row],[Region]],Sheet1!$A$12:$A$15,Sheet1!$B$12:$B$15,0)</f>
        <v>0.06</v>
      </c>
      <c r="H689" s="40">
        <f>Table2[[#This Row],[Tax Rate]]*Table2[[#This Row],[Sales Amount]]</f>
        <v>534.90299999999991</v>
      </c>
      <c r="I689" s="40">
        <v>8915.0499999999993</v>
      </c>
      <c r="J689" s="38">
        <v>34</v>
      </c>
      <c r="K689" s="38" t="s">
        <v>29</v>
      </c>
      <c r="L689" s="40">
        <v>2680.82</v>
      </c>
      <c r="M689" s="40">
        <v>2771.02</v>
      </c>
      <c r="N689" s="38" t="s">
        <v>30</v>
      </c>
      <c r="O689" s="41">
        <v>0.2</v>
      </c>
      <c r="P689" s="38" t="s">
        <v>27</v>
      </c>
      <c r="Q689" s="38" t="s">
        <v>19</v>
      </c>
      <c r="R689" s="38" t="str">
        <f>IF(Cleaned_Final!$I689&gt;=5000,"High","Low")</f>
        <v>High</v>
      </c>
    </row>
    <row r="690" spans="1:18" x14ac:dyDescent="0.35">
      <c r="A690" s="34">
        <v>1054</v>
      </c>
      <c r="B690" s="34" t="str">
        <f>_xlfn.XLOOKUP(Table2[[#This Row],[Product ID]],Sheet1!$A$32:$A$200,Sheet1!$B$32:$B$200,"Not Found")</f>
        <v>Glider</v>
      </c>
      <c r="C690" s="35">
        <v>45040</v>
      </c>
      <c r="D690" s="34" t="s">
        <v>24</v>
      </c>
      <c r="E690" s="34" t="str" cm="1">
        <f t="array" ref="E690">_xlfn.XLOOKUP(Table2[[#This Row],[Sales Rep]],Sheet1!$A$21:$A$25,Sheet1!$B$21:$B$25,Not Found)</f>
        <v>Hogan Rock</v>
      </c>
      <c r="F690" s="34" t="s">
        <v>15</v>
      </c>
      <c r="G690" s="34">
        <f>_xlfn.XLOOKUP(Table2[[#This Row],[Region]],Sheet1!$A$12:$A$15,Sheet1!$B$12:$B$15,0)</f>
        <v>7.4999999999999997E-2</v>
      </c>
      <c r="H690" s="36">
        <f>Table2[[#This Row],[Tax Rate]]*Table2[[#This Row],[Sales Amount]]</f>
        <v>564.35849999999994</v>
      </c>
      <c r="I690" s="36">
        <v>7524.78</v>
      </c>
      <c r="J690" s="34">
        <v>48</v>
      </c>
      <c r="K690" s="34" t="s">
        <v>26</v>
      </c>
      <c r="L690" s="36">
        <v>2316.92</v>
      </c>
      <c r="M690" s="36">
        <v>2462.63</v>
      </c>
      <c r="N690" s="34" t="s">
        <v>30</v>
      </c>
      <c r="O690" s="37">
        <v>0.04</v>
      </c>
      <c r="P690" s="34" t="s">
        <v>31</v>
      </c>
      <c r="Q690" s="34" t="s">
        <v>19</v>
      </c>
      <c r="R690" s="34" t="str">
        <f>IF(Cleaned_Final!$I690&gt;=5000,"High","Low")</f>
        <v>High</v>
      </c>
    </row>
    <row r="691" spans="1:18" x14ac:dyDescent="0.35">
      <c r="A691" s="38">
        <v>1039</v>
      </c>
      <c r="B691" s="38" t="str">
        <f>_xlfn.XLOOKUP(Table2[[#This Row],[Product ID]],Sheet1!$A$32:$A$200,Sheet1!$B$32:$B$200,"Not Found")</f>
        <v>Hoodie</v>
      </c>
      <c r="C691" s="39">
        <v>44966</v>
      </c>
      <c r="D691" s="38" t="s">
        <v>24</v>
      </c>
      <c r="E691" s="38" t="str" cm="1">
        <f t="array" ref="E691">_xlfn.XLOOKUP(Table2[[#This Row],[Sales Rep]],Sheet1!$A$21:$A$25,Sheet1!$B$21:$B$25,Not Found)</f>
        <v>Hogan Rock</v>
      </c>
      <c r="F691" s="38" t="s">
        <v>25</v>
      </c>
      <c r="G691" s="38">
        <f>_xlfn.XLOOKUP(Table2[[#This Row],[Region]],Sheet1!$A$12:$A$15,Sheet1!$B$12:$B$15,0)</f>
        <v>0.05</v>
      </c>
      <c r="H691" s="40">
        <f>Table2[[#This Row],[Tax Rate]]*Table2[[#This Row],[Sales Amount]]</f>
        <v>454.57299999999998</v>
      </c>
      <c r="I691" s="40">
        <v>9091.4599999999991</v>
      </c>
      <c r="J691" s="38">
        <v>20</v>
      </c>
      <c r="K691" s="38" t="s">
        <v>26</v>
      </c>
      <c r="L691" s="40">
        <v>2014.11</v>
      </c>
      <c r="M691" s="40">
        <v>2056.35</v>
      </c>
      <c r="N691" s="38" t="s">
        <v>17</v>
      </c>
      <c r="O691" s="41">
        <v>0.21</v>
      </c>
      <c r="P691" s="38" t="s">
        <v>27</v>
      </c>
      <c r="Q691" s="38" t="s">
        <v>22</v>
      </c>
      <c r="R691" s="38" t="str">
        <f>IF(Cleaned_Final!$I691&gt;=5000,"High","Low")</f>
        <v>High</v>
      </c>
    </row>
    <row r="692" spans="1:18" x14ac:dyDescent="0.35">
      <c r="A692" s="34">
        <v>1091</v>
      </c>
      <c r="B692" s="34" t="str">
        <f>_xlfn.XLOOKUP(Table2[[#This Row],[Product ID]],Sheet1!$A$32:$A$200,Sheet1!$B$32:$B$200,"Not Found")</f>
        <v>Granola Bar</v>
      </c>
      <c r="C692" s="35">
        <v>45227</v>
      </c>
      <c r="D692" s="34" t="s">
        <v>14</v>
      </c>
      <c r="E692" s="34" t="str" cm="1">
        <f t="array" ref="E692">_xlfn.XLOOKUP(Table2[[#This Row],[Sales Rep]],Sheet1!$A$21:$A$25,Sheet1!$B$21:$B$25,Not Found)</f>
        <v>Michael Smith</v>
      </c>
      <c r="F692" s="34" t="s">
        <v>21</v>
      </c>
      <c r="G692" s="34">
        <f>_xlfn.XLOOKUP(Table2[[#This Row],[Region]],Sheet1!$A$12:$A$15,Sheet1!$B$12:$B$15,0)</f>
        <v>0.08</v>
      </c>
      <c r="H692" s="36">
        <f>Table2[[#This Row],[Tax Rate]]*Table2[[#This Row],[Sales Amount]]</f>
        <v>608.90239999999994</v>
      </c>
      <c r="I692" s="36">
        <v>7611.28</v>
      </c>
      <c r="J692" s="34">
        <v>39</v>
      </c>
      <c r="K692" s="34" t="s">
        <v>16</v>
      </c>
      <c r="L692" s="36">
        <v>2184.4899999999998</v>
      </c>
      <c r="M692" s="36">
        <v>2540.4199999999901</v>
      </c>
      <c r="N692" s="34" t="s">
        <v>17</v>
      </c>
      <c r="O692" s="37">
        <v>0.27</v>
      </c>
      <c r="P692" s="34" t="s">
        <v>27</v>
      </c>
      <c r="Q692" s="34" t="s">
        <v>19</v>
      </c>
      <c r="R692" s="34" t="str">
        <f>IF(Cleaned_Final!$I692&gt;=5000,"High","Low")</f>
        <v>High</v>
      </c>
    </row>
    <row r="693" spans="1:18" x14ac:dyDescent="0.35">
      <c r="A693" s="38">
        <v>1074</v>
      </c>
      <c r="B693" s="38" t="str">
        <f>_xlfn.XLOOKUP(Table2[[#This Row],[Product ID]],Sheet1!$A$32:$A$200,Sheet1!$B$32:$B$200,"Not Found")</f>
        <v>French Fries</v>
      </c>
      <c r="C693" s="39">
        <v>45150</v>
      </c>
      <c r="D693" s="38" t="s">
        <v>14</v>
      </c>
      <c r="E693" s="38" t="str" cm="1">
        <f t="array" ref="E693">_xlfn.XLOOKUP(Table2[[#This Row],[Sales Rep]],Sheet1!$A$21:$A$25,Sheet1!$B$21:$B$25,Not Found)</f>
        <v>Michael Smith</v>
      </c>
      <c r="F693" s="38" t="s">
        <v>34</v>
      </c>
      <c r="G693" s="38">
        <f>_xlfn.XLOOKUP(Table2[[#This Row],[Region]],Sheet1!$A$12:$A$15,Sheet1!$B$12:$B$15,0)</f>
        <v>0.06</v>
      </c>
      <c r="H693" s="40">
        <f>Table2[[#This Row],[Tax Rate]]*Table2[[#This Row],[Sales Amount]]</f>
        <v>360.71039999999999</v>
      </c>
      <c r="I693" s="40">
        <v>6011.84</v>
      </c>
      <c r="J693" s="38">
        <v>2</v>
      </c>
      <c r="K693" s="38" t="s">
        <v>26</v>
      </c>
      <c r="L693" s="40">
        <v>2868.02</v>
      </c>
      <c r="M693" s="40">
        <v>2994.74</v>
      </c>
      <c r="N693" s="38" t="s">
        <v>17</v>
      </c>
      <c r="O693" s="41">
        <v>0.18</v>
      </c>
      <c r="P693" s="38" t="s">
        <v>27</v>
      </c>
      <c r="Q693" s="38" t="s">
        <v>19</v>
      </c>
      <c r="R693" s="38" t="str">
        <f>IF(Cleaned_Final!$I693&gt;=5000,"High","Low")</f>
        <v>High</v>
      </c>
    </row>
    <row r="694" spans="1:18" x14ac:dyDescent="0.35">
      <c r="A694" s="34">
        <v>1090</v>
      </c>
      <c r="B694" s="34" t="str">
        <f>_xlfn.XLOOKUP(Table2[[#This Row],[Product ID]],Sheet1!$A$32:$A$200,Sheet1!$B$32:$B$200,"Not Found")</f>
        <v>Keyboard</v>
      </c>
      <c r="C694" s="35">
        <v>45244</v>
      </c>
      <c r="D694" s="34" t="s">
        <v>14</v>
      </c>
      <c r="E694" s="34" t="str" cm="1">
        <f t="array" ref="E694">_xlfn.XLOOKUP(Table2[[#This Row],[Sales Rep]],Sheet1!$A$21:$A$25,Sheet1!$B$21:$B$25,Not Found)</f>
        <v>Michael Smith</v>
      </c>
      <c r="F694" s="34" t="s">
        <v>34</v>
      </c>
      <c r="G694" s="34">
        <f>_xlfn.XLOOKUP(Table2[[#This Row],[Region]],Sheet1!$A$12:$A$15,Sheet1!$B$12:$B$15,0)</f>
        <v>0.06</v>
      </c>
      <c r="H694" s="36">
        <f>Table2[[#This Row],[Tax Rate]]*Table2[[#This Row],[Sales Amount]]</f>
        <v>394.55459999999999</v>
      </c>
      <c r="I694" s="36">
        <v>6575.91</v>
      </c>
      <c r="J694" s="34">
        <v>1</v>
      </c>
      <c r="K694" s="34" t="s">
        <v>29</v>
      </c>
      <c r="L694" s="36">
        <v>60.28</v>
      </c>
      <c r="M694" s="36">
        <v>260.73</v>
      </c>
      <c r="N694" s="34" t="s">
        <v>17</v>
      </c>
      <c r="O694" s="37">
        <v>0.17</v>
      </c>
      <c r="P694" s="34" t="s">
        <v>18</v>
      </c>
      <c r="Q694" s="34" t="s">
        <v>19</v>
      </c>
      <c r="R694" s="34" t="str">
        <f>IF(Cleaned_Final!$I694&gt;=5000,"High","Low")</f>
        <v>High</v>
      </c>
    </row>
    <row r="695" spans="1:18" x14ac:dyDescent="0.35">
      <c r="A695" s="38">
        <v>1019</v>
      </c>
      <c r="B695" s="38" t="str">
        <f>_xlfn.XLOOKUP(Table2[[#This Row],[Product ID]],Sheet1!$A$32:$A$200,Sheet1!$B$32:$B$200,"Not Found")</f>
        <v>Apple</v>
      </c>
      <c r="C695" s="39">
        <v>45275</v>
      </c>
      <c r="D695" s="38" t="s">
        <v>24</v>
      </c>
      <c r="E695" s="38" t="str" cm="1">
        <f t="array" ref="E695">_xlfn.XLOOKUP(Table2[[#This Row],[Sales Rep]],Sheet1!$A$21:$A$25,Sheet1!$B$21:$B$25,Not Found)</f>
        <v>Hogan Rock</v>
      </c>
      <c r="F695" s="38" t="s">
        <v>34</v>
      </c>
      <c r="G695" s="38">
        <f>_xlfn.XLOOKUP(Table2[[#This Row],[Region]],Sheet1!$A$12:$A$15,Sheet1!$B$12:$B$15,0)</f>
        <v>0.06</v>
      </c>
      <c r="H695" s="40">
        <f>Table2[[#This Row],[Tax Rate]]*Table2[[#This Row],[Sales Amount]]</f>
        <v>534.1422</v>
      </c>
      <c r="I695" s="40">
        <v>8902.3700000000008</v>
      </c>
      <c r="J695" s="38">
        <v>36</v>
      </c>
      <c r="K695" s="38" t="s">
        <v>29</v>
      </c>
      <c r="L695" s="40">
        <v>1340.51</v>
      </c>
      <c r="M695" s="40">
        <v>1567.92</v>
      </c>
      <c r="N695" s="38" t="s">
        <v>30</v>
      </c>
      <c r="O695" s="41">
        <v>0.28999999999999998</v>
      </c>
      <c r="P695" s="38" t="s">
        <v>18</v>
      </c>
      <c r="Q695" s="38" t="s">
        <v>19</v>
      </c>
      <c r="R695" s="38" t="str">
        <f>IF(Cleaned_Final!$I695&gt;=5000,"High","Low")</f>
        <v>High</v>
      </c>
    </row>
    <row r="696" spans="1:18" x14ac:dyDescent="0.35">
      <c r="A696" s="34">
        <v>1039</v>
      </c>
      <c r="B696" s="34" t="str">
        <f>_xlfn.XLOOKUP(Table2[[#This Row],[Product ID]],Sheet1!$A$32:$A$200,Sheet1!$B$32:$B$200,"Not Found")</f>
        <v>Hoodie</v>
      </c>
      <c r="C696" s="35">
        <v>45041</v>
      </c>
      <c r="D696" s="34" t="s">
        <v>42</v>
      </c>
      <c r="E696" s="34" t="str" cm="1">
        <f t="array" ref="E696">_xlfn.XLOOKUP(Table2[[#This Row],[Sales Rep]],Sheet1!$A$21:$A$25,Sheet1!$B$21:$B$25,Not Found)</f>
        <v>Scott Wayne</v>
      </c>
      <c r="F696" s="34" t="s">
        <v>34</v>
      </c>
      <c r="G696" s="34">
        <f>_xlfn.XLOOKUP(Table2[[#This Row],[Region]],Sheet1!$A$12:$A$15,Sheet1!$B$12:$B$15,0)</f>
        <v>0.06</v>
      </c>
      <c r="H696" s="36">
        <f>Table2[[#This Row],[Tax Rate]]*Table2[[#This Row],[Sales Amount]]</f>
        <v>349.81139999999994</v>
      </c>
      <c r="I696" s="36">
        <v>5830.19</v>
      </c>
      <c r="J696" s="34">
        <v>24</v>
      </c>
      <c r="K696" s="34" t="s">
        <v>29</v>
      </c>
      <c r="L696" s="36">
        <v>2615.48</v>
      </c>
      <c r="M696" s="36">
        <v>3062.22</v>
      </c>
      <c r="N696" s="34" t="s">
        <v>30</v>
      </c>
      <c r="O696" s="37">
        <v>0.19</v>
      </c>
      <c r="P696" s="34" t="s">
        <v>27</v>
      </c>
      <c r="Q696" s="34" t="s">
        <v>22</v>
      </c>
      <c r="R696" s="34" t="str">
        <f>IF(Cleaned_Final!$I696&gt;=5000,"High","Low")</f>
        <v>High</v>
      </c>
    </row>
    <row r="697" spans="1:18" x14ac:dyDescent="0.35">
      <c r="A697" s="38">
        <v>1067</v>
      </c>
      <c r="B697" s="38" t="str">
        <f>_xlfn.XLOOKUP(Table2[[#This Row],[Product ID]],Sheet1!$A$32:$A$200,Sheet1!$B$32:$B$200,"Not Found")</f>
        <v>Grapes</v>
      </c>
      <c r="C697" s="39">
        <v>45112</v>
      </c>
      <c r="D697" s="38" t="s">
        <v>42</v>
      </c>
      <c r="E697" s="38" t="str" cm="1">
        <f t="array" ref="E697">_xlfn.XLOOKUP(Table2[[#This Row],[Sales Rep]],Sheet1!$A$21:$A$25,Sheet1!$B$21:$B$25,Not Found)</f>
        <v>Scott Wayne</v>
      </c>
      <c r="F697" s="38" t="s">
        <v>21</v>
      </c>
      <c r="G697" s="38">
        <f>_xlfn.XLOOKUP(Table2[[#This Row],[Region]],Sheet1!$A$12:$A$15,Sheet1!$B$12:$B$15,0)</f>
        <v>0.08</v>
      </c>
      <c r="H697" s="40">
        <f>Table2[[#This Row],[Tax Rate]]*Table2[[#This Row],[Sales Amount]]</f>
        <v>508.85360000000003</v>
      </c>
      <c r="I697" s="40">
        <v>6360.67</v>
      </c>
      <c r="J697" s="38">
        <v>27</v>
      </c>
      <c r="K697" s="38" t="s">
        <v>16</v>
      </c>
      <c r="L697" s="40">
        <v>3624.97</v>
      </c>
      <c r="M697" s="40">
        <v>3836.52</v>
      </c>
      <c r="N697" s="38" t="s">
        <v>30</v>
      </c>
      <c r="O697" s="41">
        <v>0.08</v>
      </c>
      <c r="P697" s="38" t="s">
        <v>18</v>
      </c>
      <c r="Q697" s="38" t="s">
        <v>19</v>
      </c>
      <c r="R697" s="38" t="str">
        <f>IF(Cleaned_Final!$I697&gt;=5000,"High","Low")</f>
        <v>High</v>
      </c>
    </row>
    <row r="698" spans="1:18" x14ac:dyDescent="0.35">
      <c r="A698" s="34">
        <v>1045</v>
      </c>
      <c r="B698" s="34" t="str">
        <f>_xlfn.XLOOKUP(Table2[[#This Row],[Product ID]],Sheet1!$A$32:$A$200,Sheet1!$B$32:$B$200,"Not Found")</f>
        <v>Bikers Shorts</v>
      </c>
      <c r="C698" s="35">
        <v>45249</v>
      </c>
      <c r="D698" s="34" t="s">
        <v>14</v>
      </c>
      <c r="E698" s="34" t="str" cm="1">
        <f t="array" ref="E698">_xlfn.XLOOKUP(Table2[[#This Row],[Sales Rep]],Sheet1!$A$21:$A$25,Sheet1!$B$21:$B$25,Not Found)</f>
        <v>Michael Smith</v>
      </c>
      <c r="F698" s="34" t="s">
        <v>15</v>
      </c>
      <c r="G698" s="34">
        <f>_xlfn.XLOOKUP(Table2[[#This Row],[Region]],Sheet1!$A$12:$A$15,Sheet1!$B$12:$B$15,0)</f>
        <v>7.4999999999999997E-2</v>
      </c>
      <c r="H698" s="36">
        <f>Table2[[#This Row],[Tax Rate]]*Table2[[#This Row],[Sales Amount]]</f>
        <v>123.68399999999998</v>
      </c>
      <c r="I698" s="36">
        <v>1649.12</v>
      </c>
      <c r="J698" s="34">
        <v>2</v>
      </c>
      <c r="K698" s="34" t="s">
        <v>35</v>
      </c>
      <c r="L698" s="36">
        <v>912.08</v>
      </c>
      <c r="M698" s="36">
        <v>993.24</v>
      </c>
      <c r="N698" s="34" t="s">
        <v>17</v>
      </c>
      <c r="O698" s="37">
        <v>0.09</v>
      </c>
      <c r="P698" s="34" t="s">
        <v>31</v>
      </c>
      <c r="Q698" s="34" t="s">
        <v>19</v>
      </c>
      <c r="R698" s="34" t="str">
        <f>IF(Cleaned_Final!$I698&gt;=5000,"High","Low")</f>
        <v>Low</v>
      </c>
    </row>
    <row r="699" spans="1:18" x14ac:dyDescent="0.35">
      <c r="A699" s="38">
        <v>1013</v>
      </c>
      <c r="B699" s="38" t="str">
        <f>_xlfn.XLOOKUP(Table2[[#This Row],[Product ID]],Sheet1!$A$32:$A$200,Sheet1!$B$32:$B$200,"Not Found")</f>
        <v>Gas Cooker</v>
      </c>
      <c r="C699" s="39">
        <v>44982</v>
      </c>
      <c r="D699" s="38" t="s">
        <v>38</v>
      </c>
      <c r="E699" s="38" t="str" cm="1">
        <f t="array" ref="E699">_xlfn.XLOOKUP(Table2[[#This Row],[Sales Rep]],Sheet1!$A$21:$A$25,Sheet1!$B$21:$B$25,Not Found)</f>
        <v>Tracy Moore</v>
      </c>
      <c r="F699" s="38" t="s">
        <v>34</v>
      </c>
      <c r="G699" s="38">
        <f>_xlfn.XLOOKUP(Table2[[#This Row],[Region]],Sheet1!$A$12:$A$15,Sheet1!$B$12:$B$15,0)</f>
        <v>0.06</v>
      </c>
      <c r="H699" s="40">
        <f>Table2[[#This Row],[Tax Rate]]*Table2[[#This Row],[Sales Amount]]</f>
        <v>287.50919999999996</v>
      </c>
      <c r="I699" s="40">
        <v>4791.82</v>
      </c>
      <c r="J699" s="38">
        <v>31</v>
      </c>
      <c r="K699" s="38" t="s">
        <v>26</v>
      </c>
      <c r="L699" s="40">
        <v>2757.06</v>
      </c>
      <c r="M699" s="40">
        <v>3023.97</v>
      </c>
      <c r="N699" s="38" t="s">
        <v>17</v>
      </c>
      <c r="O699" s="41">
        <v>0.21</v>
      </c>
      <c r="P699" s="38" t="s">
        <v>18</v>
      </c>
      <c r="Q699" s="38" t="s">
        <v>19</v>
      </c>
      <c r="R699" s="38" t="str">
        <f>IF(Cleaned_Final!$I699&gt;=5000,"High","Low")</f>
        <v>Low</v>
      </c>
    </row>
    <row r="700" spans="1:18" x14ac:dyDescent="0.35">
      <c r="A700" s="34">
        <v>1092</v>
      </c>
      <c r="B700" s="34" t="str">
        <f>_xlfn.XLOOKUP(Table2[[#This Row],[Product ID]],Sheet1!$A$32:$A$200,Sheet1!$B$32:$B$200,"Not Found")</f>
        <v>Recliner</v>
      </c>
      <c r="C700" s="35">
        <v>44966</v>
      </c>
      <c r="D700" s="34" t="s">
        <v>42</v>
      </c>
      <c r="E700" s="34" t="str" cm="1">
        <f t="array" ref="E700">_xlfn.XLOOKUP(Table2[[#This Row],[Sales Rep]],Sheet1!$A$21:$A$25,Sheet1!$B$21:$B$25,Not Found)</f>
        <v>Scott Wayne</v>
      </c>
      <c r="F700" s="34" t="s">
        <v>25</v>
      </c>
      <c r="G700" s="34">
        <f>_xlfn.XLOOKUP(Table2[[#This Row],[Region]],Sheet1!$A$12:$A$15,Sheet1!$B$12:$B$15,0)</f>
        <v>0.05</v>
      </c>
      <c r="H700" s="36">
        <f>Table2[[#This Row],[Tax Rate]]*Table2[[#This Row],[Sales Amount]]</f>
        <v>359.61650000000003</v>
      </c>
      <c r="I700" s="36">
        <v>7192.33</v>
      </c>
      <c r="J700" s="34">
        <v>14</v>
      </c>
      <c r="K700" s="34" t="s">
        <v>29</v>
      </c>
      <c r="L700" s="36">
        <v>3586.58</v>
      </c>
      <c r="M700" s="36">
        <v>4068.43</v>
      </c>
      <c r="N700" s="34" t="s">
        <v>30</v>
      </c>
      <c r="O700" s="37">
        <v>0.22</v>
      </c>
      <c r="P700" s="34" t="s">
        <v>31</v>
      </c>
      <c r="Q700" s="34" t="s">
        <v>19</v>
      </c>
      <c r="R700" s="34" t="str">
        <f>IF(Cleaned_Final!$I700&gt;=5000,"High","Low")</f>
        <v>High</v>
      </c>
    </row>
    <row r="701" spans="1:18" x14ac:dyDescent="0.35">
      <c r="A701" s="38">
        <v>1058</v>
      </c>
      <c r="B701" s="38" t="str">
        <f>_xlfn.XLOOKUP(Table2[[#This Row],[Product ID]],Sheet1!$A$32:$A$200,Sheet1!$B$32:$B$200,"Not Found")</f>
        <v>Wardrobe</v>
      </c>
      <c r="C701" s="39">
        <v>45280</v>
      </c>
      <c r="D701" s="38" t="s">
        <v>24</v>
      </c>
      <c r="E701" s="38" t="str" cm="1">
        <f t="array" ref="E701">_xlfn.XLOOKUP(Table2[[#This Row],[Sales Rep]],Sheet1!$A$21:$A$25,Sheet1!$B$21:$B$25,Not Found)</f>
        <v>Hogan Rock</v>
      </c>
      <c r="F701" s="38" t="s">
        <v>15</v>
      </c>
      <c r="G701" s="38">
        <f>_xlfn.XLOOKUP(Table2[[#This Row],[Region]],Sheet1!$A$12:$A$15,Sheet1!$B$12:$B$15,0)</f>
        <v>7.4999999999999997E-2</v>
      </c>
      <c r="H701" s="40">
        <f>Table2[[#This Row],[Tax Rate]]*Table2[[#This Row],[Sales Amount]]</f>
        <v>208.67474999999999</v>
      </c>
      <c r="I701" s="40">
        <v>2782.33</v>
      </c>
      <c r="J701" s="38">
        <v>2</v>
      </c>
      <c r="K701" s="38" t="s">
        <v>29</v>
      </c>
      <c r="L701" s="40">
        <v>2250.91</v>
      </c>
      <c r="M701" s="40">
        <v>2558.6799999999998</v>
      </c>
      <c r="N701" s="38" t="s">
        <v>30</v>
      </c>
      <c r="O701" s="41">
        <v>0.09</v>
      </c>
      <c r="P701" s="38" t="s">
        <v>31</v>
      </c>
      <c r="Q701" s="38" t="s">
        <v>22</v>
      </c>
      <c r="R701" s="38" t="str">
        <f>IF(Cleaned_Final!$I701&gt;=5000,"High","Low")</f>
        <v>Low</v>
      </c>
    </row>
    <row r="702" spans="1:18" x14ac:dyDescent="0.35">
      <c r="A702" s="34">
        <v>1020</v>
      </c>
      <c r="B702" s="34" t="str">
        <f>_xlfn.XLOOKUP(Table2[[#This Row],[Product ID]],Sheet1!$A$32:$A$200,Sheet1!$B$32:$B$200,"Not Found")</f>
        <v>Apron</v>
      </c>
      <c r="C702" s="35">
        <v>44966</v>
      </c>
      <c r="D702" s="34" t="s">
        <v>33</v>
      </c>
      <c r="E702" s="34" t="str" cm="1">
        <f t="array" ref="E702">_xlfn.XLOOKUP(Table2[[#This Row],[Sales Rep]],Sheet1!$A$21:$A$25,Sheet1!$B$21:$B$25,Not Found)</f>
        <v>Susan Jerkins</v>
      </c>
      <c r="F702" s="34" t="s">
        <v>34</v>
      </c>
      <c r="G702" s="34">
        <f>_xlfn.XLOOKUP(Table2[[#This Row],[Region]],Sheet1!$A$12:$A$15,Sheet1!$B$12:$B$15,0)</f>
        <v>0.06</v>
      </c>
      <c r="H702" s="36">
        <f>Table2[[#This Row],[Tax Rate]]*Table2[[#This Row],[Sales Amount]]</f>
        <v>126.1392</v>
      </c>
      <c r="I702" s="36">
        <v>2102.3200000000002</v>
      </c>
      <c r="J702" s="34">
        <v>29</v>
      </c>
      <c r="K702" s="34" t="s">
        <v>35</v>
      </c>
      <c r="L702" s="36">
        <v>184.05</v>
      </c>
      <c r="M702" s="36">
        <v>675.91</v>
      </c>
      <c r="N702" s="34" t="s">
        <v>17</v>
      </c>
      <c r="O702" s="37">
        <v>0.1</v>
      </c>
      <c r="P702" s="34" t="s">
        <v>18</v>
      </c>
      <c r="Q702" s="34" t="s">
        <v>22</v>
      </c>
      <c r="R702" s="34" t="str">
        <f>IF(Cleaned_Final!$I702&gt;=5000,"High","Low")</f>
        <v>Low</v>
      </c>
    </row>
    <row r="703" spans="1:18" x14ac:dyDescent="0.35">
      <c r="A703" s="38">
        <v>1092</v>
      </c>
      <c r="B703" s="38" t="str">
        <f>_xlfn.XLOOKUP(Table2[[#This Row],[Product ID]],Sheet1!$A$32:$A$200,Sheet1!$B$32:$B$200,"Not Found")</f>
        <v>Recliner</v>
      </c>
      <c r="C703" s="39">
        <v>45273</v>
      </c>
      <c r="D703" s="38" t="s">
        <v>33</v>
      </c>
      <c r="E703" s="38" t="str" cm="1">
        <f t="array" ref="E703">_xlfn.XLOOKUP(Table2[[#This Row],[Sales Rep]],Sheet1!$A$21:$A$25,Sheet1!$B$21:$B$25,Not Found)</f>
        <v>Susan Jerkins</v>
      </c>
      <c r="F703" s="38" t="s">
        <v>15</v>
      </c>
      <c r="G703" s="38">
        <f>_xlfn.XLOOKUP(Table2[[#This Row],[Region]],Sheet1!$A$12:$A$15,Sheet1!$B$12:$B$15,0)</f>
        <v>7.4999999999999997E-2</v>
      </c>
      <c r="H703" s="40">
        <f>Table2[[#This Row],[Tax Rate]]*Table2[[#This Row],[Sales Amount]]</f>
        <v>240.51674999999997</v>
      </c>
      <c r="I703" s="40">
        <v>3206.89</v>
      </c>
      <c r="J703" s="38">
        <v>15</v>
      </c>
      <c r="K703" s="38" t="s">
        <v>29</v>
      </c>
      <c r="L703" s="40">
        <v>2273.88</v>
      </c>
      <c r="M703" s="40">
        <v>2696.02</v>
      </c>
      <c r="N703" s="38" t="s">
        <v>30</v>
      </c>
      <c r="O703" s="41">
        <v>0.3</v>
      </c>
      <c r="P703" s="38" t="s">
        <v>18</v>
      </c>
      <c r="Q703" s="38" t="s">
        <v>19</v>
      </c>
      <c r="R703" s="38" t="str">
        <f>IF(Cleaned_Final!$I703&gt;=5000,"High","Low")</f>
        <v>Low</v>
      </c>
    </row>
    <row r="704" spans="1:18" x14ac:dyDescent="0.35">
      <c r="A704" s="34">
        <v>1072</v>
      </c>
      <c r="B704" s="34" t="str">
        <f>_xlfn.XLOOKUP(Table2[[#This Row],[Product ID]],Sheet1!$A$32:$A$200,Sheet1!$B$32:$B$200,"Not Found")</f>
        <v>T-Shirt</v>
      </c>
      <c r="C704" s="35">
        <v>45163</v>
      </c>
      <c r="D704" s="34" t="s">
        <v>33</v>
      </c>
      <c r="E704" s="34" t="str" cm="1">
        <f t="array" ref="E704">_xlfn.XLOOKUP(Table2[[#This Row],[Sales Rep]],Sheet1!$A$21:$A$25,Sheet1!$B$21:$B$25,Not Found)</f>
        <v>Susan Jerkins</v>
      </c>
      <c r="F704" s="34" t="s">
        <v>25</v>
      </c>
      <c r="G704" s="34">
        <f>_xlfn.XLOOKUP(Table2[[#This Row],[Region]],Sheet1!$A$12:$A$15,Sheet1!$B$12:$B$15,0)</f>
        <v>0.05</v>
      </c>
      <c r="H704" s="36">
        <f>Table2[[#This Row],[Tax Rate]]*Table2[[#This Row],[Sales Amount]]</f>
        <v>124.54300000000001</v>
      </c>
      <c r="I704" s="36">
        <v>2490.86</v>
      </c>
      <c r="J704" s="34">
        <v>12</v>
      </c>
      <c r="K704" s="34" t="s">
        <v>26</v>
      </c>
      <c r="L704" s="36">
        <v>1517.4</v>
      </c>
      <c r="M704" s="36">
        <v>1545.02</v>
      </c>
      <c r="N704" s="34" t="s">
        <v>30</v>
      </c>
      <c r="O704" s="37">
        <v>0.03</v>
      </c>
      <c r="P704" s="34" t="s">
        <v>27</v>
      </c>
      <c r="Q704" s="34" t="s">
        <v>22</v>
      </c>
      <c r="R704" s="34" t="str">
        <f>IF(Cleaned_Final!$I704&gt;=5000,"High","Low")</f>
        <v>Low</v>
      </c>
    </row>
    <row r="705" spans="1:18" x14ac:dyDescent="0.35">
      <c r="A705" s="38">
        <v>1061</v>
      </c>
      <c r="B705" s="38" t="str">
        <f>_xlfn.XLOOKUP(Table2[[#This Row],[Product ID]],Sheet1!$A$32:$A$200,Sheet1!$B$32:$B$200,"Not Found")</f>
        <v>Laptop</v>
      </c>
      <c r="C705" s="39">
        <v>45215</v>
      </c>
      <c r="D705" s="38" t="s">
        <v>38</v>
      </c>
      <c r="E705" s="38" t="str" cm="1">
        <f t="array" ref="E705">_xlfn.XLOOKUP(Table2[[#This Row],[Sales Rep]],Sheet1!$A$21:$A$25,Sheet1!$B$21:$B$25,Not Found)</f>
        <v>Tracy Moore</v>
      </c>
      <c r="F705" s="38" t="s">
        <v>34</v>
      </c>
      <c r="G705" s="38">
        <f>_xlfn.XLOOKUP(Table2[[#This Row],[Region]],Sheet1!$A$12:$A$15,Sheet1!$B$12:$B$15,0)</f>
        <v>0.06</v>
      </c>
      <c r="H705" s="40">
        <f>Table2[[#This Row],[Tax Rate]]*Table2[[#This Row],[Sales Amount]]</f>
        <v>133.6584</v>
      </c>
      <c r="I705" s="40">
        <v>2227.64</v>
      </c>
      <c r="J705" s="38">
        <v>37</v>
      </c>
      <c r="K705" s="38" t="s">
        <v>16</v>
      </c>
      <c r="L705" s="40">
        <v>4651.7700000000004</v>
      </c>
      <c r="M705" s="40">
        <v>4984.3900000000003</v>
      </c>
      <c r="N705" s="38" t="s">
        <v>17</v>
      </c>
      <c r="O705" s="41">
        <v>0.12</v>
      </c>
      <c r="P705" s="38" t="s">
        <v>18</v>
      </c>
      <c r="Q705" s="38" t="s">
        <v>22</v>
      </c>
      <c r="R705" s="38" t="str">
        <f>IF(Cleaned_Final!$I705&gt;=5000,"High","Low")</f>
        <v>Low</v>
      </c>
    </row>
    <row r="706" spans="1:18" x14ac:dyDescent="0.35">
      <c r="A706" s="34">
        <v>1039</v>
      </c>
      <c r="B706" s="34" t="str">
        <f>_xlfn.XLOOKUP(Table2[[#This Row],[Product ID]],Sheet1!$A$32:$A$200,Sheet1!$B$32:$B$200,"Not Found")</f>
        <v>Hoodie</v>
      </c>
      <c r="C706" s="35">
        <v>45188</v>
      </c>
      <c r="D706" s="34" t="s">
        <v>14</v>
      </c>
      <c r="E706" s="34" t="str" cm="1">
        <f t="array" ref="E706">_xlfn.XLOOKUP(Table2[[#This Row],[Sales Rep]],Sheet1!$A$21:$A$25,Sheet1!$B$21:$B$25,Not Found)</f>
        <v>Michael Smith</v>
      </c>
      <c r="F706" s="34" t="s">
        <v>25</v>
      </c>
      <c r="G706" s="34">
        <f>_xlfn.XLOOKUP(Table2[[#This Row],[Region]],Sheet1!$A$12:$A$15,Sheet1!$B$12:$B$15,0)</f>
        <v>0.05</v>
      </c>
      <c r="H706" s="36">
        <f>Table2[[#This Row],[Tax Rate]]*Table2[[#This Row],[Sales Amount]]</f>
        <v>215.30100000000004</v>
      </c>
      <c r="I706" s="36">
        <v>4306.0200000000004</v>
      </c>
      <c r="J706" s="34">
        <v>28</v>
      </c>
      <c r="K706" s="34" t="s">
        <v>29</v>
      </c>
      <c r="L706" s="36">
        <v>666.84</v>
      </c>
      <c r="M706" s="36">
        <v>817.36</v>
      </c>
      <c r="N706" s="34" t="s">
        <v>17</v>
      </c>
      <c r="O706" s="37">
        <v>0.02</v>
      </c>
      <c r="P706" s="34" t="s">
        <v>18</v>
      </c>
      <c r="Q706" s="34" t="s">
        <v>22</v>
      </c>
      <c r="R706" s="34" t="str">
        <f>IF(Cleaned_Final!$I706&gt;=5000,"High","Low")</f>
        <v>Low</v>
      </c>
    </row>
    <row r="707" spans="1:18" x14ac:dyDescent="0.35">
      <c r="A707" s="38">
        <v>1001</v>
      </c>
      <c r="B707" s="38" t="str">
        <f>_xlfn.XLOOKUP(Table2[[#This Row],[Product ID]],Sheet1!$A$32:$A$200,Sheet1!$B$32:$B$200,"Not Found")</f>
        <v>Camera</v>
      </c>
      <c r="C707" s="39">
        <v>45142</v>
      </c>
      <c r="D707" s="38" t="s">
        <v>24</v>
      </c>
      <c r="E707" s="38" t="str" cm="1">
        <f t="array" ref="E707">_xlfn.XLOOKUP(Table2[[#This Row],[Sales Rep]],Sheet1!$A$21:$A$25,Sheet1!$B$21:$B$25,Not Found)</f>
        <v>Hogan Rock</v>
      </c>
      <c r="F707" s="38" t="s">
        <v>21</v>
      </c>
      <c r="G707" s="38">
        <f>_xlfn.XLOOKUP(Table2[[#This Row],[Region]],Sheet1!$A$12:$A$15,Sheet1!$B$12:$B$15,0)</f>
        <v>0.08</v>
      </c>
      <c r="H707" s="40">
        <f>Table2[[#This Row],[Tax Rate]]*Table2[[#This Row],[Sales Amount]]</f>
        <v>727.00800000000004</v>
      </c>
      <c r="I707" s="40">
        <v>9087.6</v>
      </c>
      <c r="J707" s="38">
        <v>20</v>
      </c>
      <c r="K707" s="38" t="s">
        <v>26</v>
      </c>
      <c r="L707" s="40">
        <v>3279.76</v>
      </c>
      <c r="M707" s="40">
        <v>3563.97</v>
      </c>
      <c r="N707" s="38" t="s">
        <v>17</v>
      </c>
      <c r="O707" s="41">
        <v>0.25</v>
      </c>
      <c r="P707" s="38" t="s">
        <v>18</v>
      </c>
      <c r="Q707" s="38" t="s">
        <v>22</v>
      </c>
      <c r="R707" s="38" t="str">
        <f>IF(Cleaned_Final!$I707&gt;=5000,"High","Low")</f>
        <v>High</v>
      </c>
    </row>
    <row r="708" spans="1:18" x14ac:dyDescent="0.35">
      <c r="A708" s="34">
        <v>1003</v>
      </c>
      <c r="B708" s="34" t="str">
        <f>_xlfn.XLOOKUP(Table2[[#This Row],[Product ID]],Sheet1!$A$32:$A$200,Sheet1!$B$32:$B$200,"Not Found")</f>
        <v>Stool</v>
      </c>
      <c r="C708" s="35">
        <v>45073</v>
      </c>
      <c r="D708" s="34" t="s">
        <v>38</v>
      </c>
      <c r="E708" s="34" t="str" cm="1">
        <f t="array" ref="E708">_xlfn.XLOOKUP(Table2[[#This Row],[Sales Rep]],Sheet1!$A$21:$A$25,Sheet1!$B$21:$B$25,Not Found)</f>
        <v>Tracy Moore</v>
      </c>
      <c r="F708" s="34" t="s">
        <v>34</v>
      </c>
      <c r="G708" s="34">
        <f>_xlfn.XLOOKUP(Table2[[#This Row],[Region]],Sheet1!$A$12:$A$15,Sheet1!$B$12:$B$15,0)</f>
        <v>0.06</v>
      </c>
      <c r="H708" s="36">
        <f>Table2[[#This Row],[Tax Rate]]*Table2[[#This Row],[Sales Amount]]</f>
        <v>307.1934</v>
      </c>
      <c r="I708" s="36">
        <v>5119.8900000000003</v>
      </c>
      <c r="J708" s="34">
        <v>39</v>
      </c>
      <c r="K708" s="34" t="s">
        <v>29</v>
      </c>
      <c r="L708" s="36">
        <v>310.95999999999998</v>
      </c>
      <c r="M708" s="36">
        <v>457.84</v>
      </c>
      <c r="N708" s="34" t="s">
        <v>30</v>
      </c>
      <c r="O708" s="37">
        <v>0.03</v>
      </c>
      <c r="P708" s="34" t="s">
        <v>31</v>
      </c>
      <c r="Q708" s="34" t="s">
        <v>19</v>
      </c>
      <c r="R708" s="34" t="str">
        <f>IF(Cleaned_Final!$I708&gt;=5000,"High","Low")</f>
        <v>High</v>
      </c>
    </row>
    <row r="709" spans="1:18" x14ac:dyDescent="0.35">
      <c r="A709" s="38">
        <v>1077</v>
      </c>
      <c r="B709" s="38" t="str">
        <f>_xlfn.XLOOKUP(Table2[[#This Row],[Product ID]],Sheet1!$A$32:$A$200,Sheet1!$B$32:$B$200,"Not Found")</f>
        <v>Skirt</v>
      </c>
      <c r="C709" s="39">
        <v>45262</v>
      </c>
      <c r="D709" s="38" t="s">
        <v>24</v>
      </c>
      <c r="E709" s="38" t="str" cm="1">
        <f t="array" ref="E709">_xlfn.XLOOKUP(Table2[[#This Row],[Sales Rep]],Sheet1!$A$21:$A$25,Sheet1!$B$21:$B$25,Not Found)</f>
        <v>Hogan Rock</v>
      </c>
      <c r="F709" s="38" t="s">
        <v>34</v>
      </c>
      <c r="G709" s="38">
        <f>_xlfn.XLOOKUP(Table2[[#This Row],[Region]],Sheet1!$A$12:$A$15,Sheet1!$B$12:$B$15,0)</f>
        <v>0.06</v>
      </c>
      <c r="H709" s="40">
        <f>Table2[[#This Row],[Tax Rate]]*Table2[[#This Row],[Sales Amount]]</f>
        <v>117.6246</v>
      </c>
      <c r="I709" s="40">
        <v>1960.41</v>
      </c>
      <c r="J709" s="38">
        <v>24</v>
      </c>
      <c r="K709" s="38" t="s">
        <v>35</v>
      </c>
      <c r="L709" s="40">
        <v>2258.54</v>
      </c>
      <c r="M709" s="40">
        <v>2439.4899999999998</v>
      </c>
      <c r="N709" s="38" t="s">
        <v>17</v>
      </c>
      <c r="O709" s="41">
        <v>0.2</v>
      </c>
      <c r="P709" s="38" t="s">
        <v>31</v>
      </c>
      <c r="Q709" s="38" t="s">
        <v>22</v>
      </c>
      <c r="R709" s="38" t="str">
        <f>IF(Cleaned_Final!$I709&gt;=5000,"High","Low")</f>
        <v>Low</v>
      </c>
    </row>
    <row r="710" spans="1:18" x14ac:dyDescent="0.35">
      <c r="A710" s="34">
        <v>1092</v>
      </c>
      <c r="B710" s="34" t="str">
        <f>_xlfn.XLOOKUP(Table2[[#This Row],[Product ID]],Sheet1!$A$32:$A$200,Sheet1!$B$32:$B$200,"Not Found")</f>
        <v>Recliner</v>
      </c>
      <c r="C710" s="35">
        <v>45094</v>
      </c>
      <c r="D710" s="34" t="s">
        <v>24</v>
      </c>
      <c r="E710" s="34" t="str" cm="1">
        <f t="array" ref="E710">_xlfn.XLOOKUP(Table2[[#This Row],[Sales Rep]],Sheet1!$A$21:$A$25,Sheet1!$B$21:$B$25,Not Found)</f>
        <v>Hogan Rock</v>
      </c>
      <c r="F710" s="34" t="s">
        <v>34</v>
      </c>
      <c r="G710" s="34">
        <f>_xlfn.XLOOKUP(Table2[[#This Row],[Region]],Sheet1!$A$12:$A$15,Sheet1!$B$12:$B$15,0)</f>
        <v>0.06</v>
      </c>
      <c r="H710" s="36">
        <f>Table2[[#This Row],[Tax Rate]]*Table2[[#This Row],[Sales Amount]]</f>
        <v>51.721199999999996</v>
      </c>
      <c r="I710" s="36">
        <v>862.02</v>
      </c>
      <c r="J710" s="34">
        <v>21</v>
      </c>
      <c r="K710" s="34" t="s">
        <v>29</v>
      </c>
      <c r="L710" s="36">
        <v>2792.2</v>
      </c>
      <c r="M710" s="36">
        <v>3254.5499999999902</v>
      </c>
      <c r="N710" s="34" t="s">
        <v>30</v>
      </c>
      <c r="O710" s="37">
        <v>0.02</v>
      </c>
      <c r="P710" s="34" t="s">
        <v>31</v>
      </c>
      <c r="Q710" s="34" t="s">
        <v>22</v>
      </c>
      <c r="R710" s="34" t="str">
        <f>IF(Cleaned_Final!$I710&gt;=5000,"High","Low")</f>
        <v>Low</v>
      </c>
    </row>
    <row r="711" spans="1:18" x14ac:dyDescent="0.35">
      <c r="A711" s="38">
        <v>1062</v>
      </c>
      <c r="B711" s="38" t="str">
        <f>_xlfn.XLOOKUP(Table2[[#This Row],[Product ID]],Sheet1!$A$32:$A$200,Sheet1!$B$32:$B$200,"Not Found")</f>
        <v>Boxers</v>
      </c>
      <c r="C711" s="39">
        <v>45018</v>
      </c>
      <c r="D711" s="38" t="s">
        <v>14</v>
      </c>
      <c r="E711" s="38" t="str" cm="1">
        <f t="array" ref="E711">_xlfn.XLOOKUP(Table2[[#This Row],[Sales Rep]],Sheet1!$A$21:$A$25,Sheet1!$B$21:$B$25,Not Found)</f>
        <v>Michael Smith</v>
      </c>
      <c r="F711" s="38" t="s">
        <v>34</v>
      </c>
      <c r="G711" s="38">
        <f>_xlfn.XLOOKUP(Table2[[#This Row],[Region]],Sheet1!$A$12:$A$15,Sheet1!$B$12:$B$15,0)</f>
        <v>0.06</v>
      </c>
      <c r="H711" s="40">
        <f>Table2[[#This Row],[Tax Rate]]*Table2[[#This Row],[Sales Amount]]</f>
        <v>419.517</v>
      </c>
      <c r="I711" s="40">
        <v>6991.95</v>
      </c>
      <c r="J711" s="38">
        <v>10</v>
      </c>
      <c r="K711" s="38" t="s">
        <v>29</v>
      </c>
      <c r="L711" s="40">
        <v>1524.88</v>
      </c>
      <c r="M711" s="40">
        <v>1636.14</v>
      </c>
      <c r="N711" s="38" t="s">
        <v>30</v>
      </c>
      <c r="O711" s="41">
        <v>0.2</v>
      </c>
      <c r="P711" s="38" t="s">
        <v>27</v>
      </c>
      <c r="Q711" s="38" t="s">
        <v>19</v>
      </c>
      <c r="R711" s="38" t="str">
        <f>IF(Cleaned_Final!$I711&gt;=5000,"High","Low")</f>
        <v>High</v>
      </c>
    </row>
    <row r="712" spans="1:18" x14ac:dyDescent="0.35">
      <c r="A712" s="34">
        <v>1063</v>
      </c>
      <c r="B712" s="34" t="str">
        <f>_xlfn.XLOOKUP(Table2[[#This Row],[Product ID]],Sheet1!$A$32:$A$200,Sheet1!$B$32:$B$200,"Not Found")</f>
        <v>Noodles</v>
      </c>
      <c r="C712" s="35">
        <v>45279</v>
      </c>
      <c r="D712" s="34" t="s">
        <v>33</v>
      </c>
      <c r="E712" s="34" t="str" cm="1">
        <f t="array" ref="E712">_xlfn.XLOOKUP(Table2[[#This Row],[Sales Rep]],Sheet1!$A$21:$A$25,Sheet1!$B$21:$B$25,Not Found)</f>
        <v>Susan Jerkins</v>
      </c>
      <c r="F712" s="34" t="s">
        <v>21</v>
      </c>
      <c r="G712" s="34">
        <f>_xlfn.XLOOKUP(Table2[[#This Row],[Region]],Sheet1!$A$12:$A$15,Sheet1!$B$12:$B$15,0)</f>
        <v>0.08</v>
      </c>
      <c r="H712" s="36">
        <f>Table2[[#This Row],[Tax Rate]]*Table2[[#This Row],[Sales Amount]]</f>
        <v>311.17680000000001</v>
      </c>
      <c r="I712" s="36">
        <v>3889.71</v>
      </c>
      <c r="J712" s="34">
        <v>46</v>
      </c>
      <c r="K712" s="34" t="s">
        <v>16</v>
      </c>
      <c r="L712" s="36">
        <v>2302.62</v>
      </c>
      <c r="M712" s="36">
        <v>2740.93</v>
      </c>
      <c r="N712" s="34" t="s">
        <v>17</v>
      </c>
      <c r="O712" s="37">
        <v>0.25</v>
      </c>
      <c r="P712" s="34" t="s">
        <v>27</v>
      </c>
      <c r="Q712" s="34" t="s">
        <v>19</v>
      </c>
      <c r="R712" s="34" t="str">
        <f>IF(Cleaned_Final!$I712&gt;=5000,"High","Low")</f>
        <v>Low</v>
      </c>
    </row>
    <row r="713" spans="1:18" x14ac:dyDescent="0.35">
      <c r="A713" s="38">
        <v>1025</v>
      </c>
      <c r="B713" s="38" t="str">
        <f>_xlfn.XLOOKUP(Table2[[#This Row],[Product ID]],Sheet1!$A$32:$A$200,Sheet1!$B$32:$B$200,"Not Found")</f>
        <v>Mayonnaise</v>
      </c>
      <c r="C713" s="39">
        <v>44985</v>
      </c>
      <c r="D713" s="38" t="s">
        <v>14</v>
      </c>
      <c r="E713" s="38" t="str" cm="1">
        <f t="array" ref="E713">_xlfn.XLOOKUP(Table2[[#This Row],[Sales Rep]],Sheet1!$A$21:$A$25,Sheet1!$B$21:$B$25,Not Found)</f>
        <v>Michael Smith</v>
      </c>
      <c r="F713" s="38" t="s">
        <v>34</v>
      </c>
      <c r="G713" s="38">
        <f>_xlfn.XLOOKUP(Table2[[#This Row],[Region]],Sheet1!$A$12:$A$15,Sheet1!$B$12:$B$15,0)</f>
        <v>0.06</v>
      </c>
      <c r="H713" s="40">
        <f>Table2[[#This Row],[Tax Rate]]*Table2[[#This Row],[Sales Amount]]</f>
        <v>494.16779999999994</v>
      </c>
      <c r="I713" s="40">
        <v>8236.1299999999992</v>
      </c>
      <c r="J713" s="38">
        <v>14</v>
      </c>
      <c r="K713" s="38" t="s">
        <v>35</v>
      </c>
      <c r="L713" s="40">
        <v>859.59</v>
      </c>
      <c r="M713" s="40">
        <v>884.51</v>
      </c>
      <c r="N713" s="38" t="s">
        <v>30</v>
      </c>
      <c r="O713" s="41">
        <v>0.12</v>
      </c>
      <c r="P713" s="38" t="s">
        <v>27</v>
      </c>
      <c r="Q713" s="38" t="s">
        <v>19</v>
      </c>
      <c r="R713" s="38" t="str">
        <f>IF(Cleaned_Final!$I713&gt;=5000,"High","Low")</f>
        <v>High</v>
      </c>
    </row>
    <row r="714" spans="1:18" x14ac:dyDescent="0.35">
      <c r="A714" s="34">
        <v>1056</v>
      </c>
      <c r="B714" s="34" t="str">
        <f>_xlfn.XLOOKUP(Table2[[#This Row],[Product ID]],Sheet1!$A$32:$A$200,Sheet1!$B$32:$B$200,"Not Found")</f>
        <v>Track Suits</v>
      </c>
      <c r="C714" s="35">
        <v>44985</v>
      </c>
      <c r="D714" s="34" t="s">
        <v>38</v>
      </c>
      <c r="E714" s="34" t="str" cm="1">
        <f t="array" ref="E714">_xlfn.XLOOKUP(Table2[[#This Row],[Sales Rep]],Sheet1!$A$21:$A$25,Sheet1!$B$21:$B$25,Not Found)</f>
        <v>Tracy Moore</v>
      </c>
      <c r="F714" s="34" t="s">
        <v>15</v>
      </c>
      <c r="G714" s="34">
        <f>_xlfn.XLOOKUP(Table2[[#This Row],[Region]],Sheet1!$A$12:$A$15,Sheet1!$B$12:$B$15,0)</f>
        <v>7.4999999999999997E-2</v>
      </c>
      <c r="H714" s="36">
        <f>Table2[[#This Row],[Tax Rate]]*Table2[[#This Row],[Sales Amount]]</f>
        <v>497.18699999999995</v>
      </c>
      <c r="I714" s="36">
        <v>6629.16</v>
      </c>
      <c r="J714" s="34">
        <v>37</v>
      </c>
      <c r="K714" s="34" t="s">
        <v>35</v>
      </c>
      <c r="L714" s="36">
        <v>1555.41</v>
      </c>
      <c r="M714" s="36">
        <v>1609.94</v>
      </c>
      <c r="N714" s="34" t="s">
        <v>17</v>
      </c>
      <c r="O714" s="37">
        <v>0.16</v>
      </c>
      <c r="P714" s="34" t="s">
        <v>31</v>
      </c>
      <c r="Q714" s="34" t="s">
        <v>19</v>
      </c>
      <c r="R714" s="34" t="str">
        <f>IF(Cleaned_Final!$I714&gt;=5000,"High","Low")</f>
        <v>High</v>
      </c>
    </row>
    <row r="715" spans="1:18" x14ac:dyDescent="0.35">
      <c r="A715" s="38">
        <v>1033</v>
      </c>
      <c r="B715" s="38" t="str">
        <f>_xlfn.XLOOKUP(Table2[[#This Row],[Product ID]],Sheet1!$A$32:$A$200,Sheet1!$B$32:$B$200,"Not Found")</f>
        <v>TV Stand</v>
      </c>
      <c r="C715" s="39">
        <v>45230</v>
      </c>
      <c r="D715" s="38" t="s">
        <v>38</v>
      </c>
      <c r="E715" s="38" t="str" cm="1">
        <f t="array" ref="E715">_xlfn.XLOOKUP(Table2[[#This Row],[Sales Rep]],Sheet1!$A$21:$A$25,Sheet1!$B$21:$B$25,Not Found)</f>
        <v>Tracy Moore</v>
      </c>
      <c r="F715" s="38" t="s">
        <v>34</v>
      </c>
      <c r="G715" s="38">
        <f>_xlfn.XLOOKUP(Table2[[#This Row],[Region]],Sheet1!$A$12:$A$15,Sheet1!$B$12:$B$15,0)</f>
        <v>0.06</v>
      </c>
      <c r="H715" s="40">
        <f>Table2[[#This Row],[Tax Rate]]*Table2[[#This Row],[Sales Amount]]</f>
        <v>478.9674</v>
      </c>
      <c r="I715" s="40">
        <v>7982.79</v>
      </c>
      <c r="J715" s="38">
        <v>18</v>
      </c>
      <c r="K715" s="38" t="s">
        <v>16</v>
      </c>
      <c r="L715" s="40">
        <v>3124.48</v>
      </c>
      <c r="M715" s="40">
        <v>3553.27</v>
      </c>
      <c r="N715" s="38" t="s">
        <v>17</v>
      </c>
      <c r="O715" s="41">
        <v>0.12</v>
      </c>
      <c r="P715" s="38" t="s">
        <v>18</v>
      </c>
      <c r="Q715" s="38" t="s">
        <v>22</v>
      </c>
      <c r="R715" s="38" t="str">
        <f>IF(Cleaned_Final!$I715&gt;=5000,"High","Low")</f>
        <v>High</v>
      </c>
    </row>
    <row r="716" spans="1:18" x14ac:dyDescent="0.35">
      <c r="A716" s="34">
        <v>1038</v>
      </c>
      <c r="B716" s="34" t="str">
        <f>_xlfn.XLOOKUP(Table2[[#This Row],[Product ID]],Sheet1!$A$32:$A$200,Sheet1!$B$32:$B$200,"Not Found")</f>
        <v>Jean Pants</v>
      </c>
      <c r="C716" s="35">
        <v>45095</v>
      </c>
      <c r="D716" s="34" t="s">
        <v>38</v>
      </c>
      <c r="E716" s="34" t="str" cm="1">
        <f t="array" ref="E716">_xlfn.XLOOKUP(Table2[[#This Row],[Sales Rep]],Sheet1!$A$21:$A$25,Sheet1!$B$21:$B$25,Not Found)</f>
        <v>Tracy Moore</v>
      </c>
      <c r="F716" s="34" t="s">
        <v>21</v>
      </c>
      <c r="G716" s="34">
        <f>_xlfn.XLOOKUP(Table2[[#This Row],[Region]],Sheet1!$A$12:$A$15,Sheet1!$B$12:$B$15,0)</f>
        <v>0.08</v>
      </c>
      <c r="H716" s="36">
        <f>Table2[[#This Row],[Tax Rate]]*Table2[[#This Row],[Sales Amount]]</f>
        <v>223.38159999999999</v>
      </c>
      <c r="I716" s="36">
        <v>2792.27</v>
      </c>
      <c r="J716" s="34">
        <v>24</v>
      </c>
      <c r="K716" s="34" t="s">
        <v>29</v>
      </c>
      <c r="L716" s="36">
        <v>1543.91</v>
      </c>
      <c r="M716" s="36">
        <v>1862.88</v>
      </c>
      <c r="N716" s="34" t="s">
        <v>30</v>
      </c>
      <c r="O716" s="37">
        <v>0.09</v>
      </c>
      <c r="P716" s="34" t="s">
        <v>27</v>
      </c>
      <c r="Q716" s="34" t="s">
        <v>19</v>
      </c>
      <c r="R716" s="34" t="str">
        <f>IF(Cleaned_Final!$I716&gt;=5000,"High","Low")</f>
        <v>Low</v>
      </c>
    </row>
    <row r="717" spans="1:18" x14ac:dyDescent="0.35">
      <c r="A717" s="38">
        <v>1006</v>
      </c>
      <c r="B717" s="38" t="str">
        <f>_xlfn.XLOOKUP(Table2[[#This Row],[Product ID]],Sheet1!$A$32:$A$200,Sheet1!$B$32:$B$200,"Not Found")</f>
        <v>Monitor</v>
      </c>
      <c r="C717" s="39">
        <v>45195</v>
      </c>
      <c r="D717" s="38" t="s">
        <v>14</v>
      </c>
      <c r="E717" s="38" t="str" cm="1">
        <f t="array" ref="E717">_xlfn.XLOOKUP(Table2[[#This Row],[Sales Rep]],Sheet1!$A$21:$A$25,Sheet1!$B$21:$B$25,Not Found)</f>
        <v>Michael Smith</v>
      </c>
      <c r="F717" s="38" t="s">
        <v>34</v>
      </c>
      <c r="G717" s="38">
        <f>_xlfn.XLOOKUP(Table2[[#This Row],[Region]],Sheet1!$A$12:$A$15,Sheet1!$B$12:$B$15,0)</f>
        <v>0.06</v>
      </c>
      <c r="H717" s="40">
        <f>Table2[[#This Row],[Tax Rate]]*Table2[[#This Row],[Sales Amount]]</f>
        <v>417.26100000000002</v>
      </c>
      <c r="I717" s="40">
        <v>6954.35</v>
      </c>
      <c r="J717" s="38">
        <v>14</v>
      </c>
      <c r="K717" s="38" t="s">
        <v>26</v>
      </c>
      <c r="L717" s="40">
        <v>4503.7299999999996</v>
      </c>
      <c r="M717" s="40">
        <v>4879.8799999999901</v>
      </c>
      <c r="N717" s="38" t="s">
        <v>30</v>
      </c>
      <c r="O717" s="41">
        <v>0.24</v>
      </c>
      <c r="P717" s="38" t="s">
        <v>27</v>
      </c>
      <c r="Q717" s="38" t="s">
        <v>22</v>
      </c>
      <c r="R717" s="38" t="str">
        <f>IF(Cleaned_Final!$I717&gt;=5000,"High","Low")</f>
        <v>High</v>
      </c>
    </row>
    <row r="718" spans="1:18" x14ac:dyDescent="0.35">
      <c r="A718" s="34">
        <v>1058</v>
      </c>
      <c r="B718" s="34" t="str">
        <f>_xlfn.XLOOKUP(Table2[[#This Row],[Product ID]],Sheet1!$A$32:$A$200,Sheet1!$B$32:$B$200,"Not Found")</f>
        <v>Wardrobe</v>
      </c>
      <c r="C718" s="35">
        <v>45289</v>
      </c>
      <c r="D718" s="34" t="s">
        <v>24</v>
      </c>
      <c r="E718" s="34" t="str" cm="1">
        <f t="array" ref="E718">_xlfn.XLOOKUP(Table2[[#This Row],[Sales Rep]],Sheet1!$A$21:$A$25,Sheet1!$B$21:$B$25,Not Found)</f>
        <v>Hogan Rock</v>
      </c>
      <c r="F718" s="34" t="s">
        <v>15</v>
      </c>
      <c r="G718" s="34">
        <f>_xlfn.XLOOKUP(Table2[[#This Row],[Region]],Sheet1!$A$12:$A$15,Sheet1!$B$12:$B$15,0)</f>
        <v>7.4999999999999997E-2</v>
      </c>
      <c r="H718" s="36">
        <f>Table2[[#This Row],[Tax Rate]]*Table2[[#This Row],[Sales Amount]]</f>
        <v>203.56575000000001</v>
      </c>
      <c r="I718" s="36">
        <v>2714.21</v>
      </c>
      <c r="J718" s="34">
        <v>34</v>
      </c>
      <c r="K718" s="34" t="s">
        <v>35</v>
      </c>
      <c r="L718" s="36">
        <v>3160.61</v>
      </c>
      <c r="M718" s="36">
        <v>3273.22</v>
      </c>
      <c r="N718" s="34" t="s">
        <v>17</v>
      </c>
      <c r="O718" s="37">
        <v>0.08</v>
      </c>
      <c r="P718" s="34" t="s">
        <v>31</v>
      </c>
      <c r="Q718" s="34" t="s">
        <v>22</v>
      </c>
      <c r="R718" s="34" t="str">
        <f>IF(Cleaned_Final!$I718&gt;=5000,"High","Low")</f>
        <v>Low</v>
      </c>
    </row>
    <row r="719" spans="1:18" x14ac:dyDescent="0.35">
      <c r="A719" s="38">
        <v>1044</v>
      </c>
      <c r="B719" s="38" t="str">
        <f>_xlfn.XLOOKUP(Table2[[#This Row],[Product ID]],Sheet1!$A$32:$A$200,Sheet1!$B$32:$B$200,"Not Found")</f>
        <v>Burger</v>
      </c>
      <c r="C719" s="39">
        <v>44971</v>
      </c>
      <c r="D719" s="38" t="s">
        <v>24</v>
      </c>
      <c r="E719" s="38" t="str" cm="1">
        <f t="array" ref="E719">_xlfn.XLOOKUP(Table2[[#This Row],[Sales Rep]],Sheet1!$A$21:$A$25,Sheet1!$B$21:$B$25,Not Found)</f>
        <v>Hogan Rock</v>
      </c>
      <c r="F719" s="38" t="s">
        <v>21</v>
      </c>
      <c r="G719" s="38">
        <f>_xlfn.XLOOKUP(Table2[[#This Row],[Region]],Sheet1!$A$12:$A$15,Sheet1!$B$12:$B$15,0)</f>
        <v>0.08</v>
      </c>
      <c r="H719" s="40">
        <f>Table2[[#This Row],[Tax Rate]]*Table2[[#This Row],[Sales Amount]]</f>
        <v>751.74240000000009</v>
      </c>
      <c r="I719" s="40">
        <v>9396.7800000000007</v>
      </c>
      <c r="J719" s="38">
        <v>12</v>
      </c>
      <c r="K719" s="38" t="s">
        <v>35</v>
      </c>
      <c r="L719" s="40">
        <v>2221.31</v>
      </c>
      <c r="M719" s="40">
        <v>2494.48</v>
      </c>
      <c r="N719" s="38" t="s">
        <v>17</v>
      </c>
      <c r="O719" s="41">
        <v>0.22</v>
      </c>
      <c r="P719" s="38" t="s">
        <v>27</v>
      </c>
      <c r="Q719" s="38" t="s">
        <v>19</v>
      </c>
      <c r="R719" s="38" t="str">
        <f>IF(Cleaned_Final!$I719&gt;=5000,"High","Low")</f>
        <v>High</v>
      </c>
    </row>
    <row r="720" spans="1:18" x14ac:dyDescent="0.35">
      <c r="A720" s="34">
        <v>1045</v>
      </c>
      <c r="B720" s="34" t="str">
        <f>_xlfn.XLOOKUP(Table2[[#This Row],[Product ID]],Sheet1!$A$32:$A$200,Sheet1!$B$32:$B$200,"Not Found")</f>
        <v>Bikers Shorts</v>
      </c>
      <c r="C720" s="35">
        <v>45271</v>
      </c>
      <c r="D720" s="34" t="s">
        <v>42</v>
      </c>
      <c r="E720" s="34" t="str" cm="1">
        <f t="array" ref="E720">_xlfn.XLOOKUP(Table2[[#This Row],[Sales Rep]],Sheet1!$A$21:$A$25,Sheet1!$B$21:$B$25,Not Found)</f>
        <v>Scott Wayne</v>
      </c>
      <c r="F720" s="34" t="s">
        <v>21</v>
      </c>
      <c r="G720" s="34">
        <f>_xlfn.XLOOKUP(Table2[[#This Row],[Region]],Sheet1!$A$12:$A$15,Sheet1!$B$12:$B$15,0)</f>
        <v>0.08</v>
      </c>
      <c r="H720" s="36">
        <f>Table2[[#This Row],[Tax Rate]]*Table2[[#This Row],[Sales Amount]]</f>
        <v>512.00879999999995</v>
      </c>
      <c r="I720" s="36">
        <v>6400.11</v>
      </c>
      <c r="J720" s="34">
        <v>22</v>
      </c>
      <c r="K720" s="34" t="s">
        <v>29</v>
      </c>
      <c r="L720" s="36">
        <v>241.85</v>
      </c>
      <c r="M720" s="36">
        <v>613.09</v>
      </c>
      <c r="N720" s="34" t="s">
        <v>17</v>
      </c>
      <c r="O720" s="37">
        <v>0.06</v>
      </c>
      <c r="P720" s="34" t="s">
        <v>18</v>
      </c>
      <c r="Q720" s="34" t="s">
        <v>19</v>
      </c>
      <c r="R720" s="34" t="str">
        <f>IF(Cleaned_Final!$I720&gt;=5000,"High","Low")</f>
        <v>High</v>
      </c>
    </row>
    <row r="721" spans="1:18" x14ac:dyDescent="0.35">
      <c r="A721" s="38">
        <v>1032</v>
      </c>
      <c r="B721" s="38" t="str">
        <f>_xlfn.XLOOKUP(Table2[[#This Row],[Product ID]],Sheet1!$A$32:$A$200,Sheet1!$B$32:$B$200,"Not Found")</f>
        <v>Refridgerator</v>
      </c>
      <c r="C721" s="39">
        <v>45107</v>
      </c>
      <c r="D721" s="38" t="s">
        <v>38</v>
      </c>
      <c r="E721" s="38" t="str" cm="1">
        <f t="array" ref="E721">_xlfn.XLOOKUP(Table2[[#This Row],[Sales Rep]],Sheet1!$A$21:$A$25,Sheet1!$B$21:$B$25,Not Found)</f>
        <v>Tracy Moore</v>
      </c>
      <c r="F721" s="38" t="s">
        <v>15</v>
      </c>
      <c r="G721" s="38">
        <f>_xlfn.XLOOKUP(Table2[[#This Row],[Region]],Sheet1!$A$12:$A$15,Sheet1!$B$12:$B$15,0)</f>
        <v>7.4999999999999997E-2</v>
      </c>
      <c r="H721" s="40">
        <f>Table2[[#This Row],[Tax Rate]]*Table2[[#This Row],[Sales Amount]]</f>
        <v>248.45024999999998</v>
      </c>
      <c r="I721" s="40">
        <v>3312.67</v>
      </c>
      <c r="J721" s="38">
        <v>6</v>
      </c>
      <c r="K721" s="38" t="s">
        <v>29</v>
      </c>
      <c r="L721" s="40">
        <v>2522.7600000000002</v>
      </c>
      <c r="M721" s="40">
        <v>2840.14</v>
      </c>
      <c r="N721" s="38" t="s">
        <v>17</v>
      </c>
      <c r="O721" s="41">
        <v>7.0000000000000007E-2</v>
      </c>
      <c r="P721" s="38" t="s">
        <v>31</v>
      </c>
      <c r="Q721" s="38" t="s">
        <v>22</v>
      </c>
      <c r="R721" s="38" t="str">
        <f>IF(Cleaned_Final!$I721&gt;=5000,"High","Low")</f>
        <v>Low</v>
      </c>
    </row>
    <row r="722" spans="1:18" x14ac:dyDescent="0.35">
      <c r="A722" s="34">
        <v>1045</v>
      </c>
      <c r="B722" s="34" t="str">
        <f>_xlfn.XLOOKUP(Table2[[#This Row],[Product ID]],Sheet1!$A$32:$A$200,Sheet1!$B$32:$B$200,"Not Found")</f>
        <v>Bikers Shorts</v>
      </c>
      <c r="C722" s="35">
        <v>45096</v>
      </c>
      <c r="D722" s="34" t="s">
        <v>24</v>
      </c>
      <c r="E722" s="34" t="str" cm="1">
        <f t="array" ref="E722">_xlfn.XLOOKUP(Table2[[#This Row],[Sales Rep]],Sheet1!$A$21:$A$25,Sheet1!$B$21:$B$25,Not Found)</f>
        <v>Hogan Rock</v>
      </c>
      <c r="F722" s="34" t="s">
        <v>15</v>
      </c>
      <c r="G722" s="34">
        <f>_xlfn.XLOOKUP(Table2[[#This Row],[Region]],Sheet1!$A$12:$A$15,Sheet1!$B$12:$B$15,0)</f>
        <v>7.4999999999999997E-2</v>
      </c>
      <c r="H722" s="36">
        <f>Table2[[#This Row],[Tax Rate]]*Table2[[#This Row],[Sales Amount]]</f>
        <v>207.61275000000001</v>
      </c>
      <c r="I722" s="36">
        <v>2768.17</v>
      </c>
      <c r="J722" s="34">
        <v>36</v>
      </c>
      <c r="K722" s="34" t="s">
        <v>35</v>
      </c>
      <c r="L722" s="36">
        <v>3835.64</v>
      </c>
      <c r="M722" s="36">
        <v>4076.77</v>
      </c>
      <c r="N722" s="34" t="s">
        <v>17</v>
      </c>
      <c r="O722" s="37">
        <v>0.1</v>
      </c>
      <c r="P722" s="34" t="s">
        <v>31</v>
      </c>
      <c r="Q722" s="34" t="s">
        <v>22</v>
      </c>
      <c r="R722" s="34" t="str">
        <f>IF(Cleaned_Final!$I722&gt;=5000,"High","Low")</f>
        <v>Low</v>
      </c>
    </row>
    <row r="723" spans="1:18" x14ac:dyDescent="0.35">
      <c r="A723" s="38">
        <v>1061</v>
      </c>
      <c r="B723" s="38" t="str">
        <f>_xlfn.XLOOKUP(Table2[[#This Row],[Product ID]],Sheet1!$A$32:$A$200,Sheet1!$B$32:$B$200,"Not Found")</f>
        <v>Laptop</v>
      </c>
      <c r="C723" s="39">
        <v>45282</v>
      </c>
      <c r="D723" s="38" t="s">
        <v>42</v>
      </c>
      <c r="E723" s="38" t="str" cm="1">
        <f t="array" ref="E723">_xlfn.XLOOKUP(Table2[[#This Row],[Sales Rep]],Sheet1!$A$21:$A$25,Sheet1!$B$21:$B$25,Not Found)</f>
        <v>Scott Wayne</v>
      </c>
      <c r="F723" s="38" t="s">
        <v>15</v>
      </c>
      <c r="G723" s="38">
        <f>_xlfn.XLOOKUP(Table2[[#This Row],[Region]],Sheet1!$A$12:$A$15,Sheet1!$B$12:$B$15,0)</f>
        <v>7.4999999999999997E-2</v>
      </c>
      <c r="H723" s="40">
        <f>Table2[[#This Row],[Tax Rate]]*Table2[[#This Row],[Sales Amount]]</f>
        <v>149.26275000000001</v>
      </c>
      <c r="I723" s="40">
        <v>1990.17</v>
      </c>
      <c r="J723" s="38">
        <v>45</v>
      </c>
      <c r="K723" s="38" t="s">
        <v>29</v>
      </c>
      <c r="L723" s="40">
        <v>1364.51</v>
      </c>
      <c r="M723" s="40">
        <v>1844.8</v>
      </c>
      <c r="N723" s="38" t="s">
        <v>17</v>
      </c>
      <c r="O723" s="41">
        <v>0.18</v>
      </c>
      <c r="P723" s="38" t="s">
        <v>18</v>
      </c>
      <c r="Q723" s="38" t="s">
        <v>19</v>
      </c>
      <c r="R723" s="38" t="str">
        <f>IF(Cleaned_Final!$I723&gt;=5000,"High","Low")</f>
        <v>Low</v>
      </c>
    </row>
    <row r="724" spans="1:18" x14ac:dyDescent="0.35">
      <c r="A724" s="34">
        <v>1047</v>
      </c>
      <c r="B724" s="34" t="str">
        <f>_xlfn.XLOOKUP(Table2[[#This Row],[Product ID]],Sheet1!$A$32:$A$200,Sheet1!$B$32:$B$200,"Not Found")</f>
        <v>Mouse</v>
      </c>
      <c r="C724" s="35">
        <v>45117</v>
      </c>
      <c r="D724" s="34" t="s">
        <v>24</v>
      </c>
      <c r="E724" s="34" t="str" cm="1">
        <f t="array" ref="E724">_xlfn.XLOOKUP(Table2[[#This Row],[Sales Rep]],Sheet1!$A$21:$A$25,Sheet1!$B$21:$B$25,Not Found)</f>
        <v>Hogan Rock</v>
      </c>
      <c r="F724" s="34" t="s">
        <v>15</v>
      </c>
      <c r="G724" s="34">
        <f>_xlfn.XLOOKUP(Table2[[#This Row],[Region]],Sheet1!$A$12:$A$15,Sheet1!$B$12:$B$15,0)</f>
        <v>7.4999999999999997E-2</v>
      </c>
      <c r="H724" s="36">
        <f>Table2[[#This Row],[Tax Rate]]*Table2[[#This Row],[Sales Amount]]</f>
        <v>523.27125000000001</v>
      </c>
      <c r="I724" s="36">
        <v>6976.95</v>
      </c>
      <c r="J724" s="34">
        <v>36</v>
      </c>
      <c r="K724" s="34" t="s">
        <v>26</v>
      </c>
      <c r="L724" s="36">
        <v>4043.53</v>
      </c>
      <c r="M724" s="36">
        <v>4384.8500000000004</v>
      </c>
      <c r="N724" s="34" t="s">
        <v>30</v>
      </c>
      <c r="O724" s="37">
        <v>0.14000000000000001</v>
      </c>
      <c r="P724" s="34" t="s">
        <v>18</v>
      </c>
      <c r="Q724" s="34" t="s">
        <v>19</v>
      </c>
      <c r="R724" s="34" t="str">
        <f>IF(Cleaned_Final!$I724&gt;=5000,"High","Low")</f>
        <v>High</v>
      </c>
    </row>
    <row r="725" spans="1:18" x14ac:dyDescent="0.35">
      <c r="A725" s="38">
        <v>1021</v>
      </c>
      <c r="B725" s="38" t="str">
        <f>_xlfn.XLOOKUP(Table2[[#This Row],[Product ID]],Sheet1!$A$32:$A$200,Sheet1!$B$32:$B$200,"Not Found")</f>
        <v>Almond Milk</v>
      </c>
      <c r="C725" s="39">
        <v>45081</v>
      </c>
      <c r="D725" s="38" t="s">
        <v>38</v>
      </c>
      <c r="E725" s="38" t="str" cm="1">
        <f t="array" ref="E725">_xlfn.XLOOKUP(Table2[[#This Row],[Sales Rep]],Sheet1!$A$21:$A$25,Sheet1!$B$21:$B$25,Not Found)</f>
        <v>Tracy Moore</v>
      </c>
      <c r="F725" s="38" t="s">
        <v>15</v>
      </c>
      <c r="G725" s="38">
        <f>_xlfn.XLOOKUP(Table2[[#This Row],[Region]],Sheet1!$A$12:$A$15,Sheet1!$B$12:$B$15,0)</f>
        <v>7.4999999999999997E-2</v>
      </c>
      <c r="H725" s="40">
        <f>Table2[[#This Row],[Tax Rate]]*Table2[[#This Row],[Sales Amount]]</f>
        <v>169.89600000000002</v>
      </c>
      <c r="I725" s="40">
        <v>2265.2800000000002</v>
      </c>
      <c r="J725" s="38">
        <v>22</v>
      </c>
      <c r="K725" s="38" t="s">
        <v>35</v>
      </c>
      <c r="L725" s="40">
        <v>1296.44</v>
      </c>
      <c r="M725" s="40">
        <v>1751.24</v>
      </c>
      <c r="N725" s="38" t="s">
        <v>30</v>
      </c>
      <c r="O725" s="41">
        <v>0.22</v>
      </c>
      <c r="P725" s="38" t="s">
        <v>18</v>
      </c>
      <c r="Q725" s="38" t="s">
        <v>19</v>
      </c>
      <c r="R725" s="38" t="str">
        <f>IF(Cleaned_Final!$I725&gt;=5000,"High","Low")</f>
        <v>Low</v>
      </c>
    </row>
    <row r="726" spans="1:18" x14ac:dyDescent="0.35">
      <c r="A726" s="34">
        <v>1080</v>
      </c>
      <c r="B726" s="34" t="str">
        <f>_xlfn.XLOOKUP(Table2[[#This Row],[Product ID]],Sheet1!$A$32:$A$200,Sheet1!$B$32:$B$200,"Not Found")</f>
        <v>Headphones</v>
      </c>
      <c r="C726" s="35">
        <v>45114</v>
      </c>
      <c r="D726" s="34" t="s">
        <v>33</v>
      </c>
      <c r="E726" s="34" t="str" cm="1">
        <f t="array" ref="E726">_xlfn.XLOOKUP(Table2[[#This Row],[Sales Rep]],Sheet1!$A$21:$A$25,Sheet1!$B$21:$B$25,Not Found)</f>
        <v>Susan Jerkins</v>
      </c>
      <c r="F726" s="34" t="s">
        <v>21</v>
      </c>
      <c r="G726" s="34">
        <f>_xlfn.XLOOKUP(Table2[[#This Row],[Region]],Sheet1!$A$12:$A$15,Sheet1!$B$12:$B$15,0)</f>
        <v>0.08</v>
      </c>
      <c r="H726" s="36">
        <f>Table2[[#This Row],[Tax Rate]]*Table2[[#This Row],[Sales Amount]]</f>
        <v>479.48</v>
      </c>
      <c r="I726" s="36">
        <v>5993.5</v>
      </c>
      <c r="J726" s="34">
        <v>14</v>
      </c>
      <c r="K726" s="34" t="s">
        <v>26</v>
      </c>
      <c r="L726" s="36">
        <v>4127.54</v>
      </c>
      <c r="M726" s="36">
        <v>4495.13</v>
      </c>
      <c r="N726" s="34" t="s">
        <v>30</v>
      </c>
      <c r="O726" s="37">
        <v>0.06</v>
      </c>
      <c r="P726" s="34" t="s">
        <v>27</v>
      </c>
      <c r="Q726" s="34" t="s">
        <v>22</v>
      </c>
      <c r="R726" s="34" t="str">
        <f>IF(Cleaned_Final!$I726&gt;=5000,"High","Low")</f>
        <v>High</v>
      </c>
    </row>
    <row r="727" spans="1:18" x14ac:dyDescent="0.35">
      <c r="A727" s="38">
        <v>1085</v>
      </c>
      <c r="B727" s="38" t="str">
        <f>_xlfn.XLOOKUP(Table2[[#This Row],[Product ID]],Sheet1!$A$32:$A$200,Sheet1!$B$32:$B$200,"Not Found")</f>
        <v>Settee</v>
      </c>
      <c r="C727" s="39">
        <v>44933</v>
      </c>
      <c r="D727" s="38" t="s">
        <v>38</v>
      </c>
      <c r="E727" s="38" t="str" cm="1">
        <f t="array" ref="E727">_xlfn.XLOOKUP(Table2[[#This Row],[Sales Rep]],Sheet1!$A$21:$A$25,Sheet1!$B$21:$B$25,Not Found)</f>
        <v>Tracy Moore</v>
      </c>
      <c r="F727" s="38" t="s">
        <v>21</v>
      </c>
      <c r="G727" s="38">
        <f>_xlfn.XLOOKUP(Table2[[#This Row],[Region]],Sheet1!$A$12:$A$15,Sheet1!$B$12:$B$15,0)</f>
        <v>0.08</v>
      </c>
      <c r="H727" s="40">
        <f>Table2[[#This Row],[Tax Rate]]*Table2[[#This Row],[Sales Amount]]</f>
        <v>217.59119999999999</v>
      </c>
      <c r="I727" s="40">
        <v>2719.89</v>
      </c>
      <c r="J727" s="38">
        <v>16</v>
      </c>
      <c r="K727" s="38" t="s">
        <v>26</v>
      </c>
      <c r="L727" s="40">
        <v>472.08</v>
      </c>
      <c r="M727" s="40">
        <v>842.46</v>
      </c>
      <c r="N727" s="38" t="s">
        <v>30</v>
      </c>
      <c r="O727" s="41">
        <v>0</v>
      </c>
      <c r="P727" s="38" t="s">
        <v>18</v>
      </c>
      <c r="Q727" s="38" t="s">
        <v>22</v>
      </c>
      <c r="R727" s="38" t="str">
        <f>IF(Cleaned_Final!$I727&gt;=5000,"High","Low")</f>
        <v>Low</v>
      </c>
    </row>
    <row r="728" spans="1:18" x14ac:dyDescent="0.35">
      <c r="A728" s="34">
        <v>1075</v>
      </c>
      <c r="B728" s="34" t="str">
        <f>_xlfn.XLOOKUP(Table2[[#This Row],[Product ID]],Sheet1!$A$32:$A$200,Sheet1!$B$32:$B$200,"Not Found")</f>
        <v>Bookshelf</v>
      </c>
      <c r="C728" s="35">
        <v>45059</v>
      </c>
      <c r="D728" s="34" t="s">
        <v>14</v>
      </c>
      <c r="E728" s="34" t="str" cm="1">
        <f t="array" ref="E728">_xlfn.XLOOKUP(Table2[[#This Row],[Sales Rep]],Sheet1!$A$21:$A$25,Sheet1!$B$21:$B$25,Not Found)</f>
        <v>Michael Smith</v>
      </c>
      <c r="F728" s="34" t="s">
        <v>34</v>
      </c>
      <c r="G728" s="34">
        <f>_xlfn.XLOOKUP(Table2[[#This Row],[Region]],Sheet1!$A$12:$A$15,Sheet1!$B$12:$B$15,0)</f>
        <v>0.06</v>
      </c>
      <c r="H728" s="36">
        <f>Table2[[#This Row],[Tax Rate]]*Table2[[#This Row],[Sales Amount]]</f>
        <v>399.20939999999996</v>
      </c>
      <c r="I728" s="36">
        <v>6653.49</v>
      </c>
      <c r="J728" s="34">
        <v>36</v>
      </c>
      <c r="K728" s="34" t="s">
        <v>29</v>
      </c>
      <c r="L728" s="36">
        <v>4337.6099999999997</v>
      </c>
      <c r="M728" s="36">
        <v>4386.82</v>
      </c>
      <c r="N728" s="34" t="s">
        <v>17</v>
      </c>
      <c r="O728" s="37">
        <v>0.23</v>
      </c>
      <c r="P728" s="34" t="s">
        <v>31</v>
      </c>
      <c r="Q728" s="34" t="s">
        <v>19</v>
      </c>
      <c r="R728" s="34" t="str">
        <f>IF(Cleaned_Final!$I728&gt;=5000,"High","Low")</f>
        <v>High</v>
      </c>
    </row>
    <row r="729" spans="1:18" x14ac:dyDescent="0.35">
      <c r="A729" s="38">
        <v>1036</v>
      </c>
      <c r="B729" s="38" t="str">
        <f>_xlfn.XLOOKUP(Table2[[#This Row],[Product ID]],Sheet1!$A$32:$A$200,Sheet1!$B$32:$B$200,"Not Found")</f>
        <v>Shorts</v>
      </c>
      <c r="C729" s="39">
        <v>45161</v>
      </c>
      <c r="D729" s="38" t="s">
        <v>24</v>
      </c>
      <c r="E729" s="38" t="str" cm="1">
        <f t="array" ref="E729">_xlfn.XLOOKUP(Table2[[#This Row],[Sales Rep]],Sheet1!$A$21:$A$25,Sheet1!$B$21:$B$25,Not Found)</f>
        <v>Hogan Rock</v>
      </c>
      <c r="F729" s="38" t="s">
        <v>34</v>
      </c>
      <c r="G729" s="38">
        <f>_xlfn.XLOOKUP(Table2[[#This Row],[Region]],Sheet1!$A$12:$A$15,Sheet1!$B$12:$B$15,0)</f>
        <v>0.06</v>
      </c>
      <c r="H729" s="40">
        <f>Table2[[#This Row],[Tax Rate]]*Table2[[#This Row],[Sales Amount]]</f>
        <v>490.07399999999996</v>
      </c>
      <c r="I729" s="40">
        <v>8167.9</v>
      </c>
      <c r="J729" s="38">
        <v>25</v>
      </c>
      <c r="K729" s="38" t="s">
        <v>26</v>
      </c>
      <c r="L729" s="40">
        <v>2520.9699999999998</v>
      </c>
      <c r="M729" s="40">
        <v>2707.1099999999901</v>
      </c>
      <c r="N729" s="38" t="s">
        <v>30</v>
      </c>
      <c r="O729" s="41">
        <v>0.25</v>
      </c>
      <c r="P729" s="38" t="s">
        <v>18</v>
      </c>
      <c r="Q729" s="38" t="s">
        <v>22</v>
      </c>
      <c r="R729" s="38" t="str">
        <f>IF(Cleaned_Final!$I729&gt;=5000,"High","Low")</f>
        <v>High</v>
      </c>
    </row>
    <row r="730" spans="1:18" x14ac:dyDescent="0.35">
      <c r="A730" s="34">
        <v>1099</v>
      </c>
      <c r="B730" s="34" t="str">
        <f>_xlfn.XLOOKUP(Table2[[#This Row],[Product ID]],Sheet1!$A$32:$A$200,Sheet1!$B$32:$B$200,"Not Found")</f>
        <v>Chest</v>
      </c>
      <c r="C730" s="35">
        <v>44971</v>
      </c>
      <c r="D730" s="34" t="s">
        <v>24</v>
      </c>
      <c r="E730" s="34" t="str" cm="1">
        <f t="array" ref="E730">_xlfn.XLOOKUP(Table2[[#This Row],[Sales Rep]],Sheet1!$A$21:$A$25,Sheet1!$B$21:$B$25,Not Found)</f>
        <v>Hogan Rock</v>
      </c>
      <c r="F730" s="34" t="s">
        <v>25</v>
      </c>
      <c r="G730" s="34">
        <f>_xlfn.XLOOKUP(Table2[[#This Row],[Region]],Sheet1!$A$12:$A$15,Sheet1!$B$12:$B$15,0)</f>
        <v>0.05</v>
      </c>
      <c r="H730" s="36">
        <f>Table2[[#This Row],[Tax Rate]]*Table2[[#This Row],[Sales Amount]]</f>
        <v>390.1225</v>
      </c>
      <c r="I730" s="36">
        <v>7802.45</v>
      </c>
      <c r="J730" s="34">
        <v>32</v>
      </c>
      <c r="K730" s="34" t="s">
        <v>29</v>
      </c>
      <c r="L730" s="36">
        <v>1517.86</v>
      </c>
      <c r="M730" s="36">
        <v>1948.46</v>
      </c>
      <c r="N730" s="34" t="s">
        <v>30</v>
      </c>
      <c r="O730" s="37">
        <v>0.02</v>
      </c>
      <c r="P730" s="34" t="s">
        <v>31</v>
      </c>
      <c r="Q730" s="34" t="s">
        <v>19</v>
      </c>
      <c r="R730" s="34" t="str">
        <f>IF(Cleaned_Final!$I730&gt;=5000,"High","Low")</f>
        <v>High</v>
      </c>
    </row>
    <row r="731" spans="1:18" x14ac:dyDescent="0.35">
      <c r="A731" s="38">
        <v>1019</v>
      </c>
      <c r="B731" s="38" t="str">
        <f>_xlfn.XLOOKUP(Table2[[#This Row],[Product ID]],Sheet1!$A$32:$A$200,Sheet1!$B$32:$B$200,"Not Found")</f>
        <v>Apple</v>
      </c>
      <c r="C731" s="39">
        <v>45240</v>
      </c>
      <c r="D731" s="38" t="s">
        <v>14</v>
      </c>
      <c r="E731" s="38" t="str" cm="1">
        <f t="array" ref="E731">_xlfn.XLOOKUP(Table2[[#This Row],[Sales Rep]],Sheet1!$A$21:$A$25,Sheet1!$B$21:$B$25,Not Found)</f>
        <v>Michael Smith</v>
      </c>
      <c r="F731" s="38" t="s">
        <v>34</v>
      </c>
      <c r="G731" s="38">
        <f>_xlfn.XLOOKUP(Table2[[#This Row],[Region]],Sheet1!$A$12:$A$15,Sheet1!$B$12:$B$15,0)</f>
        <v>0.06</v>
      </c>
      <c r="H731" s="40">
        <f>Table2[[#This Row],[Tax Rate]]*Table2[[#This Row],[Sales Amount]]</f>
        <v>457.94580000000002</v>
      </c>
      <c r="I731" s="40">
        <v>7632.43</v>
      </c>
      <c r="J731" s="38">
        <v>33</v>
      </c>
      <c r="K731" s="38" t="s">
        <v>16</v>
      </c>
      <c r="L731" s="40">
        <v>1362.31</v>
      </c>
      <c r="M731" s="40">
        <v>1486.29</v>
      </c>
      <c r="N731" s="38" t="s">
        <v>17</v>
      </c>
      <c r="O731" s="41">
        <v>0.18</v>
      </c>
      <c r="P731" s="38" t="s">
        <v>31</v>
      </c>
      <c r="Q731" s="38" t="s">
        <v>22</v>
      </c>
      <c r="R731" s="38" t="str">
        <f>IF(Cleaned_Final!$I731&gt;=5000,"High","Low")</f>
        <v>High</v>
      </c>
    </row>
    <row r="732" spans="1:18" x14ac:dyDescent="0.35">
      <c r="A732" s="34">
        <v>1020</v>
      </c>
      <c r="B732" s="34" t="str">
        <f>_xlfn.XLOOKUP(Table2[[#This Row],[Product ID]],Sheet1!$A$32:$A$200,Sheet1!$B$32:$B$200,"Not Found")</f>
        <v>Apron</v>
      </c>
      <c r="C732" s="35">
        <v>45175</v>
      </c>
      <c r="D732" s="34" t="s">
        <v>14</v>
      </c>
      <c r="E732" s="34" t="str" cm="1">
        <f t="array" ref="E732">_xlfn.XLOOKUP(Table2[[#This Row],[Sales Rep]],Sheet1!$A$21:$A$25,Sheet1!$B$21:$B$25,Not Found)</f>
        <v>Michael Smith</v>
      </c>
      <c r="F732" s="34" t="s">
        <v>34</v>
      </c>
      <c r="G732" s="34">
        <f>_xlfn.XLOOKUP(Table2[[#This Row],[Region]],Sheet1!$A$12:$A$15,Sheet1!$B$12:$B$15,0)</f>
        <v>0.06</v>
      </c>
      <c r="H732" s="36">
        <f>Table2[[#This Row],[Tax Rate]]*Table2[[#This Row],[Sales Amount]]</f>
        <v>117.50700000000001</v>
      </c>
      <c r="I732" s="36">
        <v>1958.45</v>
      </c>
      <c r="J732" s="34">
        <v>45</v>
      </c>
      <c r="K732" s="34" t="s">
        <v>29</v>
      </c>
      <c r="L732" s="36">
        <v>2188.4499999999998</v>
      </c>
      <c r="M732" s="36">
        <v>2255.0499999999902</v>
      </c>
      <c r="N732" s="34" t="s">
        <v>30</v>
      </c>
      <c r="O732" s="37">
        <v>0.11</v>
      </c>
      <c r="P732" s="34" t="s">
        <v>27</v>
      </c>
      <c r="Q732" s="34" t="s">
        <v>22</v>
      </c>
      <c r="R732" s="34" t="str">
        <f>IF(Cleaned_Final!$I732&gt;=5000,"High","Low")</f>
        <v>Low</v>
      </c>
    </row>
    <row r="733" spans="1:18" x14ac:dyDescent="0.35">
      <c r="A733" s="38">
        <v>1057</v>
      </c>
      <c r="B733" s="38" t="str">
        <f>_xlfn.XLOOKUP(Table2[[#This Row],[Product ID]],Sheet1!$A$32:$A$200,Sheet1!$B$32:$B$200,"Not Found")</f>
        <v>Avocadro Pear</v>
      </c>
      <c r="C733" s="39">
        <v>44957</v>
      </c>
      <c r="D733" s="38" t="s">
        <v>33</v>
      </c>
      <c r="E733" s="38" t="str" cm="1">
        <f t="array" ref="E733">_xlfn.XLOOKUP(Table2[[#This Row],[Sales Rep]],Sheet1!$A$21:$A$25,Sheet1!$B$21:$B$25,Not Found)</f>
        <v>Susan Jerkins</v>
      </c>
      <c r="F733" s="38" t="s">
        <v>15</v>
      </c>
      <c r="G733" s="38">
        <f>_xlfn.XLOOKUP(Table2[[#This Row],[Region]],Sheet1!$A$12:$A$15,Sheet1!$B$12:$B$15,0)</f>
        <v>7.4999999999999997E-2</v>
      </c>
      <c r="H733" s="40">
        <f>Table2[[#This Row],[Tax Rate]]*Table2[[#This Row],[Sales Amount]]</f>
        <v>73.125749999999996</v>
      </c>
      <c r="I733" s="40">
        <v>975.01</v>
      </c>
      <c r="J733" s="38">
        <v>36</v>
      </c>
      <c r="K733" s="38" t="s">
        <v>26</v>
      </c>
      <c r="L733" s="40">
        <v>4995.3</v>
      </c>
      <c r="M733" s="40">
        <v>5165.09</v>
      </c>
      <c r="N733" s="38" t="s">
        <v>17</v>
      </c>
      <c r="O733" s="41">
        <v>0.24</v>
      </c>
      <c r="P733" s="38" t="s">
        <v>18</v>
      </c>
      <c r="Q733" s="38" t="s">
        <v>19</v>
      </c>
      <c r="R733" s="38" t="str">
        <f>IF(Cleaned_Final!$I733&gt;=5000,"High","Low")</f>
        <v>Low</v>
      </c>
    </row>
    <row r="734" spans="1:18" x14ac:dyDescent="0.35">
      <c r="A734" s="34">
        <v>1018</v>
      </c>
      <c r="B734" s="34" t="str">
        <f>_xlfn.XLOOKUP(Table2[[#This Row],[Product ID]],Sheet1!$A$32:$A$200,Sheet1!$B$32:$B$200,"Not Found")</f>
        <v>Dress Shirt</v>
      </c>
      <c r="C734" s="35">
        <v>44949</v>
      </c>
      <c r="D734" s="34" t="s">
        <v>24</v>
      </c>
      <c r="E734" s="34" t="str" cm="1">
        <f t="array" ref="E734">_xlfn.XLOOKUP(Table2[[#This Row],[Sales Rep]],Sheet1!$A$21:$A$25,Sheet1!$B$21:$B$25,Not Found)</f>
        <v>Hogan Rock</v>
      </c>
      <c r="F734" s="34" t="s">
        <v>15</v>
      </c>
      <c r="G734" s="34">
        <f>_xlfn.XLOOKUP(Table2[[#This Row],[Region]],Sheet1!$A$12:$A$15,Sheet1!$B$12:$B$15,0)</f>
        <v>7.4999999999999997E-2</v>
      </c>
      <c r="H734" s="36">
        <f>Table2[[#This Row],[Tax Rate]]*Table2[[#This Row],[Sales Amount]]</f>
        <v>526.46924999999999</v>
      </c>
      <c r="I734" s="36">
        <v>7019.59</v>
      </c>
      <c r="J734" s="34">
        <v>20</v>
      </c>
      <c r="K734" s="34" t="s">
        <v>16</v>
      </c>
      <c r="L734" s="36">
        <v>1140.6199999999999</v>
      </c>
      <c r="M734" s="36">
        <v>1258.6299999999901</v>
      </c>
      <c r="N734" s="34" t="s">
        <v>17</v>
      </c>
      <c r="O734" s="37">
        <v>0.26</v>
      </c>
      <c r="P734" s="34" t="s">
        <v>27</v>
      </c>
      <c r="Q734" s="34" t="s">
        <v>19</v>
      </c>
      <c r="R734" s="34" t="str">
        <f>IF(Cleaned_Final!$I734&gt;=5000,"High","Low")</f>
        <v>High</v>
      </c>
    </row>
    <row r="735" spans="1:18" x14ac:dyDescent="0.35">
      <c r="A735" s="38">
        <v>1047</v>
      </c>
      <c r="B735" s="38" t="str">
        <f>_xlfn.XLOOKUP(Table2[[#This Row],[Product ID]],Sheet1!$A$32:$A$200,Sheet1!$B$32:$B$200,"Not Found")</f>
        <v>Mouse</v>
      </c>
      <c r="C735" s="39">
        <v>45086</v>
      </c>
      <c r="D735" s="38" t="s">
        <v>24</v>
      </c>
      <c r="E735" s="38" t="str" cm="1">
        <f t="array" ref="E735">_xlfn.XLOOKUP(Table2[[#This Row],[Sales Rep]],Sheet1!$A$21:$A$25,Sheet1!$B$21:$B$25,Not Found)</f>
        <v>Hogan Rock</v>
      </c>
      <c r="F735" s="38" t="s">
        <v>34</v>
      </c>
      <c r="G735" s="38">
        <f>_xlfn.XLOOKUP(Table2[[#This Row],[Region]],Sheet1!$A$12:$A$15,Sheet1!$B$12:$B$15,0)</f>
        <v>0.06</v>
      </c>
      <c r="H735" s="40">
        <f>Table2[[#This Row],[Tax Rate]]*Table2[[#This Row],[Sales Amount]]</f>
        <v>224.79839999999999</v>
      </c>
      <c r="I735" s="40">
        <v>3746.64</v>
      </c>
      <c r="J735" s="38">
        <v>18</v>
      </c>
      <c r="K735" s="38" t="s">
        <v>29</v>
      </c>
      <c r="L735" s="40">
        <v>560.91999999999996</v>
      </c>
      <c r="M735" s="40">
        <v>1024.31</v>
      </c>
      <c r="N735" s="38" t="s">
        <v>17</v>
      </c>
      <c r="O735" s="41">
        <v>0.26</v>
      </c>
      <c r="P735" s="38" t="s">
        <v>18</v>
      </c>
      <c r="Q735" s="38" t="s">
        <v>19</v>
      </c>
      <c r="R735" s="38" t="str">
        <f>IF(Cleaned_Final!$I735&gt;=5000,"High","Low")</f>
        <v>Low</v>
      </c>
    </row>
    <row r="736" spans="1:18" x14ac:dyDescent="0.35">
      <c r="A736" s="34">
        <v>1049</v>
      </c>
      <c r="B736" s="34" t="str">
        <f>_xlfn.XLOOKUP(Table2[[#This Row],[Product ID]],Sheet1!$A$32:$A$200,Sheet1!$B$32:$B$200,"Not Found")</f>
        <v>Coffee Table</v>
      </c>
      <c r="C736" s="35">
        <v>45289</v>
      </c>
      <c r="D736" s="34" t="s">
        <v>33</v>
      </c>
      <c r="E736" s="34" t="str" cm="1">
        <f t="array" ref="E736">_xlfn.XLOOKUP(Table2[[#This Row],[Sales Rep]],Sheet1!$A$21:$A$25,Sheet1!$B$21:$B$25,Not Found)</f>
        <v>Susan Jerkins</v>
      </c>
      <c r="F736" s="34" t="s">
        <v>25</v>
      </c>
      <c r="G736" s="34">
        <f>_xlfn.XLOOKUP(Table2[[#This Row],[Region]],Sheet1!$A$12:$A$15,Sheet1!$B$12:$B$15,0)</f>
        <v>0.05</v>
      </c>
      <c r="H736" s="36">
        <f>Table2[[#This Row],[Tax Rate]]*Table2[[#This Row],[Sales Amount]]</f>
        <v>219.01149999999998</v>
      </c>
      <c r="I736" s="36">
        <v>4380.2299999999996</v>
      </c>
      <c r="J736" s="34">
        <v>38</v>
      </c>
      <c r="K736" s="34" t="s">
        <v>26</v>
      </c>
      <c r="L736" s="36">
        <v>2945.92</v>
      </c>
      <c r="M736" s="36">
        <v>3381.22</v>
      </c>
      <c r="N736" s="34" t="s">
        <v>17</v>
      </c>
      <c r="O736" s="37">
        <v>0.23</v>
      </c>
      <c r="P736" s="34" t="s">
        <v>18</v>
      </c>
      <c r="Q736" s="34" t="s">
        <v>22</v>
      </c>
      <c r="R736" s="34" t="str">
        <f>IF(Cleaned_Final!$I736&gt;=5000,"High","Low")</f>
        <v>Low</v>
      </c>
    </row>
    <row r="737" spans="1:18" x14ac:dyDescent="0.35">
      <c r="A737" s="38">
        <v>1014</v>
      </c>
      <c r="B737" s="38" t="str">
        <f>_xlfn.XLOOKUP(Table2[[#This Row],[Product ID]],Sheet1!$A$32:$A$200,Sheet1!$B$32:$B$200,"Not Found")</f>
        <v>Cheese Block</v>
      </c>
      <c r="C737" s="39">
        <v>45084</v>
      </c>
      <c r="D737" s="38" t="s">
        <v>42</v>
      </c>
      <c r="E737" s="38" t="str" cm="1">
        <f t="array" ref="E737">_xlfn.XLOOKUP(Table2[[#This Row],[Sales Rep]],Sheet1!$A$21:$A$25,Sheet1!$B$21:$B$25,Not Found)</f>
        <v>Scott Wayne</v>
      </c>
      <c r="F737" s="38" t="s">
        <v>15</v>
      </c>
      <c r="G737" s="38">
        <f>_xlfn.XLOOKUP(Table2[[#This Row],[Region]],Sheet1!$A$12:$A$15,Sheet1!$B$12:$B$15,0)</f>
        <v>7.4999999999999997E-2</v>
      </c>
      <c r="H737" s="40">
        <f>Table2[[#This Row],[Tax Rate]]*Table2[[#This Row],[Sales Amount]]</f>
        <v>30.628499999999999</v>
      </c>
      <c r="I737" s="40">
        <v>408.38</v>
      </c>
      <c r="J737" s="38">
        <v>3</v>
      </c>
      <c r="K737" s="38" t="s">
        <v>35</v>
      </c>
      <c r="L737" s="40">
        <v>2468.29</v>
      </c>
      <c r="M737" s="40">
        <v>2723.13</v>
      </c>
      <c r="N737" s="38" t="s">
        <v>17</v>
      </c>
      <c r="O737" s="41">
        <v>0.08</v>
      </c>
      <c r="P737" s="38" t="s">
        <v>18</v>
      </c>
      <c r="Q737" s="38" t="s">
        <v>22</v>
      </c>
      <c r="R737" s="38" t="str">
        <f>IF(Cleaned_Final!$I737&gt;=5000,"High","Low")</f>
        <v>Low</v>
      </c>
    </row>
    <row r="738" spans="1:18" x14ac:dyDescent="0.35">
      <c r="A738" s="34">
        <v>1015</v>
      </c>
      <c r="B738" s="34" t="str">
        <f>_xlfn.XLOOKUP(Table2[[#This Row],[Product ID]],Sheet1!$A$32:$A$200,Sheet1!$B$32:$B$200,"Not Found")</f>
        <v>Chocolate Bar</v>
      </c>
      <c r="C738" s="35">
        <v>44965</v>
      </c>
      <c r="D738" s="34" t="s">
        <v>33</v>
      </c>
      <c r="E738" s="34" t="str" cm="1">
        <f t="array" ref="E738">_xlfn.XLOOKUP(Table2[[#This Row],[Sales Rep]],Sheet1!$A$21:$A$25,Sheet1!$B$21:$B$25,Not Found)</f>
        <v>Susan Jerkins</v>
      </c>
      <c r="F738" s="34" t="s">
        <v>34</v>
      </c>
      <c r="G738" s="34">
        <f>_xlfn.XLOOKUP(Table2[[#This Row],[Region]],Sheet1!$A$12:$A$15,Sheet1!$B$12:$B$15,0)</f>
        <v>0.06</v>
      </c>
      <c r="H738" s="36">
        <f>Table2[[#This Row],[Tax Rate]]*Table2[[#This Row],[Sales Amount]]</f>
        <v>160.18859999999998</v>
      </c>
      <c r="I738" s="36">
        <v>2669.81</v>
      </c>
      <c r="J738" s="34">
        <v>23</v>
      </c>
      <c r="K738" s="34" t="s">
        <v>35</v>
      </c>
      <c r="L738" s="36">
        <v>2644.77</v>
      </c>
      <c r="M738" s="36">
        <v>2684.83</v>
      </c>
      <c r="N738" s="34" t="s">
        <v>30</v>
      </c>
      <c r="O738" s="37">
        <v>0.24</v>
      </c>
      <c r="P738" s="34" t="s">
        <v>18</v>
      </c>
      <c r="Q738" s="34" t="s">
        <v>19</v>
      </c>
      <c r="R738" s="34" t="str">
        <f>IF(Cleaned_Final!$I738&gt;=5000,"High","Low")</f>
        <v>Low</v>
      </c>
    </row>
    <row r="739" spans="1:18" x14ac:dyDescent="0.35">
      <c r="A739" s="38">
        <v>1031</v>
      </c>
      <c r="B739" s="38" t="str">
        <f>_xlfn.XLOOKUP(Table2[[#This Row],[Product ID]],Sheet1!$A$32:$A$200,Sheet1!$B$32:$B$200,"Not Found")</f>
        <v>Butter</v>
      </c>
      <c r="C739" s="39">
        <v>45008</v>
      </c>
      <c r="D739" s="38" t="s">
        <v>38</v>
      </c>
      <c r="E739" s="38" t="str" cm="1">
        <f t="array" ref="E739">_xlfn.XLOOKUP(Table2[[#This Row],[Sales Rep]],Sheet1!$A$21:$A$25,Sheet1!$B$21:$B$25,Not Found)</f>
        <v>Tracy Moore</v>
      </c>
      <c r="F739" s="38" t="s">
        <v>34</v>
      </c>
      <c r="G739" s="38">
        <f>_xlfn.XLOOKUP(Table2[[#This Row],[Region]],Sheet1!$A$12:$A$15,Sheet1!$B$12:$B$15,0)</f>
        <v>0.06</v>
      </c>
      <c r="H739" s="40">
        <f>Table2[[#This Row],[Tax Rate]]*Table2[[#This Row],[Sales Amount]]</f>
        <v>26.003999999999998</v>
      </c>
      <c r="I739" s="40">
        <v>433.4</v>
      </c>
      <c r="J739" s="38">
        <v>32</v>
      </c>
      <c r="K739" s="38" t="s">
        <v>29</v>
      </c>
      <c r="L739" s="40">
        <v>3351.33</v>
      </c>
      <c r="M739" s="40">
        <v>3711.47</v>
      </c>
      <c r="N739" s="38" t="s">
        <v>30</v>
      </c>
      <c r="O739" s="41">
        <v>0.16</v>
      </c>
      <c r="P739" s="38" t="s">
        <v>18</v>
      </c>
      <c r="Q739" s="38" t="s">
        <v>22</v>
      </c>
      <c r="R739" s="38" t="str">
        <f>IF(Cleaned_Final!$I739&gt;=5000,"High","Low")</f>
        <v>Low</v>
      </c>
    </row>
    <row r="740" spans="1:18" x14ac:dyDescent="0.35">
      <c r="A740" s="34">
        <v>1001</v>
      </c>
      <c r="B740" s="34" t="str">
        <f>_xlfn.XLOOKUP(Table2[[#This Row],[Product ID]],Sheet1!$A$32:$A$200,Sheet1!$B$32:$B$200,"Not Found")</f>
        <v>Camera</v>
      </c>
      <c r="C740" s="35">
        <v>45282</v>
      </c>
      <c r="D740" s="34" t="s">
        <v>24</v>
      </c>
      <c r="E740" s="34" t="str" cm="1">
        <f t="array" ref="E740">_xlfn.XLOOKUP(Table2[[#This Row],[Sales Rep]],Sheet1!$A$21:$A$25,Sheet1!$B$21:$B$25,Not Found)</f>
        <v>Hogan Rock</v>
      </c>
      <c r="F740" s="34" t="s">
        <v>21</v>
      </c>
      <c r="G740" s="34">
        <f>_xlfn.XLOOKUP(Table2[[#This Row],[Region]],Sheet1!$A$12:$A$15,Sheet1!$B$12:$B$15,0)</f>
        <v>0.08</v>
      </c>
      <c r="H740" s="36">
        <f>Table2[[#This Row],[Tax Rate]]*Table2[[#This Row],[Sales Amount]]</f>
        <v>704.3152</v>
      </c>
      <c r="I740" s="36">
        <v>8803.94</v>
      </c>
      <c r="J740" s="34">
        <v>45</v>
      </c>
      <c r="K740" s="34" t="s">
        <v>29</v>
      </c>
      <c r="L740" s="36">
        <v>1372.36</v>
      </c>
      <c r="M740" s="36">
        <v>1687.83</v>
      </c>
      <c r="N740" s="34" t="s">
        <v>30</v>
      </c>
      <c r="O740" s="37">
        <v>0.02</v>
      </c>
      <c r="P740" s="34" t="s">
        <v>31</v>
      </c>
      <c r="Q740" s="34" t="s">
        <v>19</v>
      </c>
      <c r="R740" s="34" t="str">
        <f>IF(Cleaned_Final!$I740&gt;=5000,"High","Low")</f>
        <v>High</v>
      </c>
    </row>
    <row r="741" spans="1:18" x14ac:dyDescent="0.35">
      <c r="A741" s="38">
        <v>1054</v>
      </c>
      <c r="B741" s="38" t="str">
        <f>_xlfn.XLOOKUP(Table2[[#This Row],[Product ID]],Sheet1!$A$32:$A$200,Sheet1!$B$32:$B$200,"Not Found")</f>
        <v>Glider</v>
      </c>
      <c r="C741" s="39">
        <v>45184</v>
      </c>
      <c r="D741" s="38" t="s">
        <v>14</v>
      </c>
      <c r="E741" s="38" t="str" cm="1">
        <f t="array" ref="E741">_xlfn.XLOOKUP(Table2[[#This Row],[Sales Rep]],Sheet1!$A$21:$A$25,Sheet1!$B$21:$B$25,Not Found)</f>
        <v>Michael Smith</v>
      </c>
      <c r="F741" s="38" t="s">
        <v>25</v>
      </c>
      <c r="G741" s="38">
        <f>_xlfn.XLOOKUP(Table2[[#This Row],[Region]],Sheet1!$A$12:$A$15,Sheet1!$B$12:$B$15,0)</f>
        <v>0.05</v>
      </c>
      <c r="H741" s="40">
        <f>Table2[[#This Row],[Tax Rate]]*Table2[[#This Row],[Sales Amount]]</f>
        <v>125.48150000000001</v>
      </c>
      <c r="I741" s="40">
        <v>2509.63</v>
      </c>
      <c r="J741" s="38">
        <v>16</v>
      </c>
      <c r="K741" s="38" t="s">
        <v>35</v>
      </c>
      <c r="L741" s="40">
        <v>4557.79</v>
      </c>
      <c r="M741" s="40">
        <v>5043.3599999999997</v>
      </c>
      <c r="N741" s="38" t="s">
        <v>17</v>
      </c>
      <c r="O741" s="41">
        <v>0.14000000000000001</v>
      </c>
      <c r="P741" s="38" t="s">
        <v>31</v>
      </c>
      <c r="Q741" s="38" t="s">
        <v>22</v>
      </c>
      <c r="R741" s="38" t="str">
        <f>IF(Cleaned_Final!$I741&gt;=5000,"High","Low")</f>
        <v>Low</v>
      </c>
    </row>
    <row r="742" spans="1:18" x14ac:dyDescent="0.35">
      <c r="A742" s="34">
        <v>1003</v>
      </c>
      <c r="B742" s="34" t="str">
        <f>_xlfn.XLOOKUP(Table2[[#This Row],[Product ID]],Sheet1!$A$32:$A$200,Sheet1!$B$32:$B$200,"Not Found")</f>
        <v>Stool</v>
      </c>
      <c r="C742" s="35">
        <v>45132</v>
      </c>
      <c r="D742" s="34" t="s">
        <v>38</v>
      </c>
      <c r="E742" s="34" t="str" cm="1">
        <f t="array" ref="E742">_xlfn.XLOOKUP(Table2[[#This Row],[Sales Rep]],Sheet1!$A$21:$A$25,Sheet1!$B$21:$B$25,Not Found)</f>
        <v>Tracy Moore</v>
      </c>
      <c r="F742" s="34" t="s">
        <v>21</v>
      </c>
      <c r="G742" s="34">
        <f>_xlfn.XLOOKUP(Table2[[#This Row],[Region]],Sheet1!$A$12:$A$15,Sheet1!$B$12:$B$15,0)</f>
        <v>0.08</v>
      </c>
      <c r="H742" s="36">
        <f>Table2[[#This Row],[Tax Rate]]*Table2[[#This Row],[Sales Amount]]</f>
        <v>449.41120000000001</v>
      </c>
      <c r="I742" s="36">
        <v>5617.64</v>
      </c>
      <c r="J742" s="34">
        <v>5</v>
      </c>
      <c r="K742" s="34" t="s">
        <v>26</v>
      </c>
      <c r="L742" s="36">
        <v>2206.58</v>
      </c>
      <c r="M742" s="36">
        <v>2490.4699999999998</v>
      </c>
      <c r="N742" s="34" t="s">
        <v>30</v>
      </c>
      <c r="O742" s="37">
        <v>0.28000000000000003</v>
      </c>
      <c r="P742" s="34" t="s">
        <v>18</v>
      </c>
      <c r="Q742" s="34" t="s">
        <v>19</v>
      </c>
      <c r="R742" s="34" t="str">
        <f>IF(Cleaned_Final!$I742&gt;=5000,"High","Low")</f>
        <v>High</v>
      </c>
    </row>
    <row r="743" spans="1:18" x14ac:dyDescent="0.35">
      <c r="A743" s="38">
        <v>1016</v>
      </c>
      <c r="B743" s="38" t="str">
        <f>_xlfn.XLOOKUP(Table2[[#This Row],[Product ID]],Sheet1!$A$32:$A$200,Sheet1!$B$32:$B$200,"Not Found")</f>
        <v>Washing Machine</v>
      </c>
      <c r="C743" s="39">
        <v>45003</v>
      </c>
      <c r="D743" s="38" t="s">
        <v>24</v>
      </c>
      <c r="E743" s="38" t="str" cm="1">
        <f t="array" ref="E743">_xlfn.XLOOKUP(Table2[[#This Row],[Sales Rep]],Sheet1!$A$21:$A$25,Sheet1!$B$21:$B$25,Not Found)</f>
        <v>Hogan Rock</v>
      </c>
      <c r="F743" s="38" t="s">
        <v>25</v>
      </c>
      <c r="G743" s="38">
        <f>_xlfn.XLOOKUP(Table2[[#This Row],[Region]],Sheet1!$A$12:$A$15,Sheet1!$B$12:$B$15,0)</f>
        <v>0.05</v>
      </c>
      <c r="H743" s="40">
        <f>Table2[[#This Row],[Tax Rate]]*Table2[[#This Row],[Sales Amount]]</f>
        <v>24.295000000000002</v>
      </c>
      <c r="I743" s="40">
        <v>485.9</v>
      </c>
      <c r="J743" s="38">
        <v>4</v>
      </c>
      <c r="K743" s="38" t="s">
        <v>26</v>
      </c>
      <c r="L743" s="40">
        <v>688.98</v>
      </c>
      <c r="M743" s="40">
        <v>863.81</v>
      </c>
      <c r="N743" s="38" t="s">
        <v>30</v>
      </c>
      <c r="O743" s="41">
        <v>0.27</v>
      </c>
      <c r="P743" s="38" t="s">
        <v>31</v>
      </c>
      <c r="Q743" s="38" t="s">
        <v>22</v>
      </c>
      <c r="R743" s="38" t="str">
        <f>IF(Cleaned_Final!$I743&gt;=5000,"High","Low")</f>
        <v>Low</v>
      </c>
    </row>
    <row r="744" spans="1:18" x14ac:dyDescent="0.35">
      <c r="A744" s="34">
        <v>1087</v>
      </c>
      <c r="B744" s="34" t="str">
        <f>_xlfn.XLOOKUP(Table2[[#This Row],[Product ID]],Sheet1!$A$32:$A$200,Sheet1!$B$32:$B$200,"Not Found")</f>
        <v>Sofa Set</v>
      </c>
      <c r="C744" s="35">
        <v>44938</v>
      </c>
      <c r="D744" s="34" t="s">
        <v>33</v>
      </c>
      <c r="E744" s="34" t="str" cm="1">
        <f t="array" ref="E744">_xlfn.XLOOKUP(Table2[[#This Row],[Sales Rep]],Sheet1!$A$21:$A$25,Sheet1!$B$21:$B$25,Not Found)</f>
        <v>Susan Jerkins</v>
      </c>
      <c r="F744" s="34" t="s">
        <v>15</v>
      </c>
      <c r="G744" s="34">
        <f>_xlfn.XLOOKUP(Table2[[#This Row],[Region]],Sheet1!$A$12:$A$15,Sheet1!$B$12:$B$15,0)</f>
        <v>7.4999999999999997E-2</v>
      </c>
      <c r="H744" s="36">
        <f>Table2[[#This Row],[Tax Rate]]*Table2[[#This Row],[Sales Amount]]</f>
        <v>502.63424999999995</v>
      </c>
      <c r="I744" s="36">
        <v>6701.79</v>
      </c>
      <c r="J744" s="34">
        <v>21</v>
      </c>
      <c r="K744" s="34" t="s">
        <v>26</v>
      </c>
      <c r="L744" s="36">
        <v>3724.38</v>
      </c>
      <c r="M744" s="36">
        <v>3988.7</v>
      </c>
      <c r="N744" s="34" t="s">
        <v>30</v>
      </c>
      <c r="O744" s="37">
        <v>0.03</v>
      </c>
      <c r="P744" s="34" t="s">
        <v>27</v>
      </c>
      <c r="Q744" s="34" t="s">
        <v>22</v>
      </c>
      <c r="R744" s="34" t="str">
        <f>IF(Cleaned_Final!$I744&gt;=5000,"High","Low")</f>
        <v>High</v>
      </c>
    </row>
    <row r="745" spans="1:18" x14ac:dyDescent="0.35">
      <c r="A745" s="38">
        <v>1057</v>
      </c>
      <c r="B745" s="38" t="str">
        <f>_xlfn.XLOOKUP(Table2[[#This Row],[Product ID]],Sheet1!$A$32:$A$200,Sheet1!$B$32:$B$200,"Not Found")</f>
        <v>Avocadro Pear</v>
      </c>
      <c r="C745" s="39">
        <v>45221</v>
      </c>
      <c r="D745" s="38" t="s">
        <v>38</v>
      </c>
      <c r="E745" s="38" t="str" cm="1">
        <f t="array" ref="E745">_xlfn.XLOOKUP(Table2[[#This Row],[Sales Rep]],Sheet1!$A$21:$A$25,Sheet1!$B$21:$B$25,Not Found)</f>
        <v>Tracy Moore</v>
      </c>
      <c r="F745" s="38" t="s">
        <v>25</v>
      </c>
      <c r="G745" s="38">
        <f>_xlfn.XLOOKUP(Table2[[#This Row],[Region]],Sheet1!$A$12:$A$15,Sheet1!$B$12:$B$15,0)</f>
        <v>0.05</v>
      </c>
      <c r="H745" s="40">
        <f>Table2[[#This Row],[Tax Rate]]*Table2[[#This Row],[Sales Amount]]</f>
        <v>164.89850000000001</v>
      </c>
      <c r="I745" s="40">
        <v>3297.97</v>
      </c>
      <c r="J745" s="38">
        <v>40</v>
      </c>
      <c r="K745" s="38" t="s">
        <v>29</v>
      </c>
      <c r="L745" s="40">
        <v>3233.37</v>
      </c>
      <c r="M745" s="40">
        <v>3723.21</v>
      </c>
      <c r="N745" s="38" t="s">
        <v>30</v>
      </c>
      <c r="O745" s="41">
        <v>0.22</v>
      </c>
      <c r="P745" s="38" t="s">
        <v>27</v>
      </c>
      <c r="Q745" s="38" t="s">
        <v>22</v>
      </c>
      <c r="R745" s="38" t="str">
        <f>IF(Cleaned_Final!$I745&gt;=5000,"High","Low")</f>
        <v>Low</v>
      </c>
    </row>
    <row r="746" spans="1:18" x14ac:dyDescent="0.35">
      <c r="A746" s="34">
        <v>1075</v>
      </c>
      <c r="B746" s="34" t="str">
        <f>_xlfn.XLOOKUP(Table2[[#This Row],[Product ID]],Sheet1!$A$32:$A$200,Sheet1!$B$32:$B$200,"Not Found")</f>
        <v>Bookshelf</v>
      </c>
      <c r="C746" s="35">
        <v>45150</v>
      </c>
      <c r="D746" s="34" t="s">
        <v>24</v>
      </c>
      <c r="E746" s="34" t="str" cm="1">
        <f t="array" ref="E746">_xlfn.XLOOKUP(Table2[[#This Row],[Sales Rep]],Sheet1!$A$21:$A$25,Sheet1!$B$21:$B$25,Not Found)</f>
        <v>Hogan Rock</v>
      </c>
      <c r="F746" s="34" t="s">
        <v>34</v>
      </c>
      <c r="G746" s="34">
        <f>_xlfn.XLOOKUP(Table2[[#This Row],[Region]],Sheet1!$A$12:$A$15,Sheet1!$B$12:$B$15,0)</f>
        <v>0.06</v>
      </c>
      <c r="H746" s="36">
        <f>Table2[[#This Row],[Tax Rate]]*Table2[[#This Row],[Sales Amount]]</f>
        <v>539.36399999999992</v>
      </c>
      <c r="I746" s="36">
        <v>8989.4</v>
      </c>
      <c r="J746" s="34">
        <v>14</v>
      </c>
      <c r="K746" s="34" t="s">
        <v>16</v>
      </c>
      <c r="L746" s="36">
        <v>1612.93</v>
      </c>
      <c r="M746" s="36">
        <v>1964.15</v>
      </c>
      <c r="N746" s="34" t="s">
        <v>17</v>
      </c>
      <c r="O746" s="37">
        <v>0.24</v>
      </c>
      <c r="P746" s="34" t="s">
        <v>27</v>
      </c>
      <c r="Q746" s="34" t="s">
        <v>22</v>
      </c>
      <c r="R746" s="34" t="str">
        <f>IF(Cleaned_Final!$I746&gt;=5000,"High","Low")</f>
        <v>High</v>
      </c>
    </row>
    <row r="747" spans="1:18" x14ac:dyDescent="0.35">
      <c r="A747" s="38">
        <v>1012</v>
      </c>
      <c r="B747" s="38" t="str">
        <f>_xlfn.XLOOKUP(Table2[[#This Row],[Product ID]],Sheet1!$A$32:$A$200,Sheet1!$B$32:$B$200,"Not Found")</f>
        <v>Cabinet</v>
      </c>
      <c r="C747" s="39">
        <v>44939</v>
      </c>
      <c r="D747" s="38" t="s">
        <v>42</v>
      </c>
      <c r="E747" s="38" t="str" cm="1">
        <f t="array" ref="E747">_xlfn.XLOOKUP(Table2[[#This Row],[Sales Rep]],Sheet1!$A$21:$A$25,Sheet1!$B$21:$B$25,Not Found)</f>
        <v>Scott Wayne</v>
      </c>
      <c r="F747" s="38" t="s">
        <v>34</v>
      </c>
      <c r="G747" s="38">
        <f>_xlfn.XLOOKUP(Table2[[#This Row],[Region]],Sheet1!$A$12:$A$15,Sheet1!$B$12:$B$15,0)</f>
        <v>0.06</v>
      </c>
      <c r="H747" s="40">
        <f>Table2[[#This Row],[Tax Rate]]*Table2[[#This Row],[Sales Amount]]</f>
        <v>533.54219999999998</v>
      </c>
      <c r="I747" s="40">
        <v>8892.3700000000008</v>
      </c>
      <c r="J747" s="38">
        <v>39</v>
      </c>
      <c r="K747" s="38" t="s">
        <v>16</v>
      </c>
      <c r="L747" s="40">
        <v>3126.52</v>
      </c>
      <c r="M747" s="40">
        <v>3465.79</v>
      </c>
      <c r="N747" s="38" t="s">
        <v>30</v>
      </c>
      <c r="O747" s="41">
        <v>0.08</v>
      </c>
      <c r="P747" s="38" t="s">
        <v>18</v>
      </c>
      <c r="Q747" s="38" t="s">
        <v>19</v>
      </c>
      <c r="R747" s="38" t="str">
        <f>IF(Cleaned_Final!$I747&gt;=5000,"High","Low")</f>
        <v>High</v>
      </c>
    </row>
    <row r="748" spans="1:18" x14ac:dyDescent="0.35">
      <c r="A748" s="34">
        <v>1074</v>
      </c>
      <c r="B748" s="34" t="str">
        <f>_xlfn.XLOOKUP(Table2[[#This Row],[Product ID]],Sheet1!$A$32:$A$200,Sheet1!$B$32:$B$200,"Not Found")</f>
        <v>French Fries</v>
      </c>
      <c r="C748" s="35">
        <v>44972</v>
      </c>
      <c r="D748" s="34" t="s">
        <v>42</v>
      </c>
      <c r="E748" s="34" t="str" cm="1">
        <f t="array" ref="E748">_xlfn.XLOOKUP(Table2[[#This Row],[Sales Rep]],Sheet1!$A$21:$A$25,Sheet1!$B$21:$B$25,Not Found)</f>
        <v>Scott Wayne</v>
      </c>
      <c r="F748" s="34" t="s">
        <v>25</v>
      </c>
      <c r="G748" s="34">
        <f>_xlfn.XLOOKUP(Table2[[#This Row],[Region]],Sheet1!$A$12:$A$15,Sheet1!$B$12:$B$15,0)</f>
        <v>0.05</v>
      </c>
      <c r="H748" s="36">
        <f>Table2[[#This Row],[Tax Rate]]*Table2[[#This Row],[Sales Amount]]</f>
        <v>166.01900000000001</v>
      </c>
      <c r="I748" s="36">
        <v>3320.38</v>
      </c>
      <c r="J748" s="34">
        <v>31</v>
      </c>
      <c r="K748" s="34" t="s">
        <v>16</v>
      </c>
      <c r="L748" s="36">
        <v>1138.32</v>
      </c>
      <c r="M748" s="36">
        <v>1266.25</v>
      </c>
      <c r="N748" s="34" t="s">
        <v>17</v>
      </c>
      <c r="O748" s="37">
        <v>0.14000000000000001</v>
      </c>
      <c r="P748" s="34" t="s">
        <v>18</v>
      </c>
      <c r="Q748" s="34" t="s">
        <v>22</v>
      </c>
      <c r="R748" s="34" t="str">
        <f>IF(Cleaned_Final!$I748&gt;=5000,"High","Low")</f>
        <v>Low</v>
      </c>
    </row>
    <row r="749" spans="1:18" x14ac:dyDescent="0.35">
      <c r="A749" s="38">
        <v>1096</v>
      </c>
      <c r="B749" s="38" t="str">
        <f>_xlfn.XLOOKUP(Table2[[#This Row],[Product ID]],Sheet1!$A$32:$A$200,Sheet1!$B$32:$B$200,"Not Found")</f>
        <v>Radio</v>
      </c>
      <c r="C749" s="39">
        <v>45081</v>
      </c>
      <c r="D749" s="38" t="s">
        <v>14</v>
      </c>
      <c r="E749" s="38" t="str" cm="1">
        <f t="array" ref="E749">_xlfn.XLOOKUP(Table2[[#This Row],[Sales Rep]],Sheet1!$A$21:$A$25,Sheet1!$B$21:$B$25,Not Found)</f>
        <v>Michael Smith</v>
      </c>
      <c r="F749" s="38" t="s">
        <v>25</v>
      </c>
      <c r="G749" s="38">
        <f>_xlfn.XLOOKUP(Table2[[#This Row],[Region]],Sheet1!$A$12:$A$15,Sheet1!$B$12:$B$15,0)</f>
        <v>0.05</v>
      </c>
      <c r="H749" s="40">
        <f>Table2[[#This Row],[Tax Rate]]*Table2[[#This Row],[Sales Amount]]</f>
        <v>450.97550000000001</v>
      </c>
      <c r="I749" s="40">
        <v>9019.51</v>
      </c>
      <c r="J749" s="38">
        <v>14</v>
      </c>
      <c r="K749" s="38" t="s">
        <v>16</v>
      </c>
      <c r="L749" s="40">
        <v>2251.9499999999998</v>
      </c>
      <c r="M749" s="40">
        <v>2626.3199999999902</v>
      </c>
      <c r="N749" s="38" t="s">
        <v>17</v>
      </c>
      <c r="O749" s="41">
        <v>0.21</v>
      </c>
      <c r="P749" s="38" t="s">
        <v>31</v>
      </c>
      <c r="Q749" s="38" t="s">
        <v>19</v>
      </c>
      <c r="R749" s="38" t="str">
        <f>IF(Cleaned_Final!$I749&gt;=5000,"High","Low")</f>
        <v>High</v>
      </c>
    </row>
    <row r="750" spans="1:18" x14ac:dyDescent="0.35">
      <c r="A750" s="34">
        <v>1016</v>
      </c>
      <c r="B750" s="34" t="str">
        <f>_xlfn.XLOOKUP(Table2[[#This Row],[Product ID]],Sheet1!$A$32:$A$200,Sheet1!$B$32:$B$200,"Not Found")</f>
        <v>Washing Machine</v>
      </c>
      <c r="C750" s="35">
        <v>45039</v>
      </c>
      <c r="D750" s="34" t="s">
        <v>24</v>
      </c>
      <c r="E750" s="34" t="str" cm="1">
        <f t="array" ref="E750">_xlfn.XLOOKUP(Table2[[#This Row],[Sales Rep]],Sheet1!$A$21:$A$25,Sheet1!$B$21:$B$25,Not Found)</f>
        <v>Hogan Rock</v>
      </c>
      <c r="F750" s="34" t="s">
        <v>25</v>
      </c>
      <c r="G750" s="34">
        <f>_xlfn.XLOOKUP(Table2[[#This Row],[Region]],Sheet1!$A$12:$A$15,Sheet1!$B$12:$B$15,0)</f>
        <v>0.05</v>
      </c>
      <c r="H750" s="36">
        <f>Table2[[#This Row],[Tax Rate]]*Table2[[#This Row],[Sales Amount]]</f>
        <v>498.09799999999996</v>
      </c>
      <c r="I750" s="36">
        <v>9961.9599999999991</v>
      </c>
      <c r="J750" s="34">
        <v>6</v>
      </c>
      <c r="K750" s="34" t="s">
        <v>16</v>
      </c>
      <c r="L750" s="36">
        <v>4502.09</v>
      </c>
      <c r="M750" s="36">
        <v>4879.72</v>
      </c>
      <c r="N750" s="34" t="s">
        <v>30</v>
      </c>
      <c r="O750" s="37">
        <v>0.13</v>
      </c>
      <c r="P750" s="34" t="s">
        <v>31</v>
      </c>
      <c r="Q750" s="34" t="s">
        <v>19</v>
      </c>
      <c r="R750" s="34" t="str">
        <f>IF(Cleaned_Final!$I750&gt;=5000,"High","Low")</f>
        <v>High</v>
      </c>
    </row>
    <row r="751" spans="1:18" x14ac:dyDescent="0.35">
      <c r="A751" s="38">
        <v>1072</v>
      </c>
      <c r="B751" s="38" t="str">
        <f>_xlfn.XLOOKUP(Table2[[#This Row],[Product ID]],Sheet1!$A$32:$A$200,Sheet1!$B$32:$B$200,"Not Found")</f>
        <v>T-Shirt</v>
      </c>
      <c r="C751" s="39">
        <v>45159</v>
      </c>
      <c r="D751" s="38" t="s">
        <v>42</v>
      </c>
      <c r="E751" s="38" t="str" cm="1">
        <f t="array" ref="E751">_xlfn.XLOOKUP(Table2[[#This Row],[Sales Rep]],Sheet1!$A$21:$A$25,Sheet1!$B$21:$B$25,Not Found)</f>
        <v>Scott Wayne</v>
      </c>
      <c r="F751" s="38" t="s">
        <v>21</v>
      </c>
      <c r="G751" s="38">
        <f>_xlfn.XLOOKUP(Table2[[#This Row],[Region]],Sheet1!$A$12:$A$15,Sheet1!$B$12:$B$15,0)</f>
        <v>0.08</v>
      </c>
      <c r="H751" s="40">
        <f>Table2[[#This Row],[Tax Rate]]*Table2[[#This Row],[Sales Amount]]</f>
        <v>661.72960000000012</v>
      </c>
      <c r="I751" s="40">
        <v>8271.6200000000008</v>
      </c>
      <c r="J751" s="38">
        <v>12</v>
      </c>
      <c r="K751" s="38" t="s">
        <v>29</v>
      </c>
      <c r="L751" s="40">
        <v>710.99</v>
      </c>
      <c r="M751" s="40">
        <v>876.46</v>
      </c>
      <c r="N751" s="38" t="s">
        <v>17</v>
      </c>
      <c r="O751" s="41">
        <v>0.03</v>
      </c>
      <c r="P751" s="38" t="s">
        <v>31</v>
      </c>
      <c r="Q751" s="38" t="s">
        <v>19</v>
      </c>
      <c r="R751" s="38" t="str">
        <f>IF(Cleaned_Final!$I751&gt;=5000,"High","Low")</f>
        <v>High</v>
      </c>
    </row>
    <row r="752" spans="1:18" x14ac:dyDescent="0.35">
      <c r="A752" s="34">
        <v>1076</v>
      </c>
      <c r="B752" s="34" t="str">
        <f>_xlfn.XLOOKUP(Table2[[#This Row],[Product ID]],Sheet1!$A$32:$A$200,Sheet1!$B$32:$B$200,"Not Found")</f>
        <v>Polo Shirt</v>
      </c>
      <c r="C752" s="35">
        <v>44943</v>
      </c>
      <c r="D752" s="34" t="s">
        <v>33</v>
      </c>
      <c r="E752" s="34" t="str" cm="1">
        <f t="array" ref="E752">_xlfn.XLOOKUP(Table2[[#This Row],[Sales Rep]],Sheet1!$A$21:$A$25,Sheet1!$B$21:$B$25,Not Found)</f>
        <v>Susan Jerkins</v>
      </c>
      <c r="F752" s="34" t="s">
        <v>25</v>
      </c>
      <c r="G752" s="34">
        <f>_xlfn.XLOOKUP(Table2[[#This Row],[Region]],Sheet1!$A$12:$A$15,Sheet1!$B$12:$B$15,0)</f>
        <v>0.05</v>
      </c>
      <c r="H752" s="36">
        <f>Table2[[#This Row],[Tax Rate]]*Table2[[#This Row],[Sales Amount]]</f>
        <v>423.2115</v>
      </c>
      <c r="I752" s="36">
        <v>8464.23</v>
      </c>
      <c r="J752" s="34">
        <v>16</v>
      </c>
      <c r="K752" s="34" t="s">
        <v>29</v>
      </c>
      <c r="L752" s="36">
        <v>1964.15</v>
      </c>
      <c r="M752" s="36">
        <v>2211.17</v>
      </c>
      <c r="N752" s="34" t="s">
        <v>17</v>
      </c>
      <c r="O752" s="37">
        <v>0.21</v>
      </c>
      <c r="P752" s="34" t="s">
        <v>27</v>
      </c>
      <c r="Q752" s="34" t="s">
        <v>19</v>
      </c>
      <c r="R752" s="34" t="str">
        <f>IF(Cleaned_Final!$I752&gt;=5000,"High","Low")</f>
        <v>High</v>
      </c>
    </row>
    <row r="753" spans="1:18" x14ac:dyDescent="0.35">
      <c r="A753" s="38">
        <v>1024</v>
      </c>
      <c r="B753" s="38" t="str">
        <f>_xlfn.XLOOKUP(Table2[[#This Row],[Product ID]],Sheet1!$A$32:$A$200,Sheet1!$B$32:$B$200,"Not Found")</f>
        <v>Pasta Pack</v>
      </c>
      <c r="C753" s="39">
        <v>45286</v>
      </c>
      <c r="D753" s="38" t="s">
        <v>24</v>
      </c>
      <c r="E753" s="38" t="str" cm="1">
        <f t="array" ref="E753">_xlfn.XLOOKUP(Table2[[#This Row],[Sales Rep]],Sheet1!$A$21:$A$25,Sheet1!$B$21:$B$25,Not Found)</f>
        <v>Hogan Rock</v>
      </c>
      <c r="F753" s="38" t="s">
        <v>15</v>
      </c>
      <c r="G753" s="38">
        <f>_xlfn.XLOOKUP(Table2[[#This Row],[Region]],Sheet1!$A$12:$A$15,Sheet1!$B$12:$B$15,0)</f>
        <v>7.4999999999999997E-2</v>
      </c>
      <c r="H753" s="40">
        <f>Table2[[#This Row],[Tax Rate]]*Table2[[#This Row],[Sales Amount]]</f>
        <v>192.38925</v>
      </c>
      <c r="I753" s="40">
        <v>2565.19</v>
      </c>
      <c r="J753" s="38">
        <v>17</v>
      </c>
      <c r="K753" s="38" t="s">
        <v>16</v>
      </c>
      <c r="L753" s="40">
        <v>4114.66</v>
      </c>
      <c r="M753" s="40">
        <v>4269.0199999999904</v>
      </c>
      <c r="N753" s="38" t="s">
        <v>17</v>
      </c>
      <c r="O753" s="41">
        <v>0.27</v>
      </c>
      <c r="P753" s="38" t="s">
        <v>27</v>
      </c>
      <c r="Q753" s="38" t="s">
        <v>22</v>
      </c>
      <c r="R753" s="38" t="str">
        <f>IF(Cleaned_Final!$I753&gt;=5000,"High","Low")</f>
        <v>Low</v>
      </c>
    </row>
    <row r="754" spans="1:18" x14ac:dyDescent="0.35">
      <c r="A754" s="34">
        <v>1028</v>
      </c>
      <c r="B754" s="34" t="str">
        <f>_xlfn.XLOOKUP(Table2[[#This Row],[Product ID]],Sheet1!$A$32:$A$200,Sheet1!$B$32:$B$200,"Not Found")</f>
        <v>Pyjamas</v>
      </c>
      <c r="C754" s="35">
        <v>45149</v>
      </c>
      <c r="D754" s="34" t="s">
        <v>33</v>
      </c>
      <c r="E754" s="34" t="str" cm="1">
        <f t="array" ref="E754">_xlfn.XLOOKUP(Table2[[#This Row],[Sales Rep]],Sheet1!$A$21:$A$25,Sheet1!$B$21:$B$25,Not Found)</f>
        <v>Susan Jerkins</v>
      </c>
      <c r="F754" s="34" t="s">
        <v>21</v>
      </c>
      <c r="G754" s="34">
        <f>_xlfn.XLOOKUP(Table2[[#This Row],[Region]],Sheet1!$A$12:$A$15,Sheet1!$B$12:$B$15,0)</f>
        <v>0.08</v>
      </c>
      <c r="H754" s="36">
        <f>Table2[[#This Row],[Tax Rate]]*Table2[[#This Row],[Sales Amount]]</f>
        <v>464.74800000000005</v>
      </c>
      <c r="I754" s="36">
        <v>5809.35</v>
      </c>
      <c r="J754" s="34">
        <v>45</v>
      </c>
      <c r="K754" s="34" t="s">
        <v>29</v>
      </c>
      <c r="L754" s="36">
        <v>4848.9799999999996</v>
      </c>
      <c r="M754" s="36">
        <v>4985.75</v>
      </c>
      <c r="N754" s="34" t="s">
        <v>17</v>
      </c>
      <c r="O754" s="37">
        <v>0.2</v>
      </c>
      <c r="P754" s="34" t="s">
        <v>27</v>
      </c>
      <c r="Q754" s="34" t="s">
        <v>19</v>
      </c>
      <c r="R754" s="34" t="str">
        <f>IF(Cleaned_Final!$I754&gt;=5000,"High","Low")</f>
        <v>High</v>
      </c>
    </row>
    <row r="755" spans="1:18" x14ac:dyDescent="0.35">
      <c r="A755" s="38">
        <v>1008</v>
      </c>
      <c r="B755" s="38" t="str">
        <f>_xlfn.XLOOKUP(Table2[[#This Row],[Product ID]],Sheet1!$A$32:$A$200,Sheet1!$B$32:$B$200,"Not Found")</f>
        <v>Skirt</v>
      </c>
      <c r="C755" s="39">
        <v>45280</v>
      </c>
      <c r="D755" s="38" t="s">
        <v>33</v>
      </c>
      <c r="E755" s="38" t="str" cm="1">
        <f t="array" ref="E755">_xlfn.XLOOKUP(Table2[[#This Row],[Sales Rep]],Sheet1!$A$21:$A$25,Sheet1!$B$21:$B$25,Not Found)</f>
        <v>Susan Jerkins</v>
      </c>
      <c r="F755" s="38" t="s">
        <v>21</v>
      </c>
      <c r="G755" s="38">
        <f>_xlfn.XLOOKUP(Table2[[#This Row],[Region]],Sheet1!$A$12:$A$15,Sheet1!$B$12:$B$15,0)</f>
        <v>0.08</v>
      </c>
      <c r="H755" s="40">
        <f>Table2[[#This Row],[Tax Rate]]*Table2[[#This Row],[Sales Amount]]</f>
        <v>61.266400000000004</v>
      </c>
      <c r="I755" s="40">
        <v>765.83</v>
      </c>
      <c r="J755" s="38">
        <v>23</v>
      </c>
      <c r="K755" s="38" t="s">
        <v>29</v>
      </c>
      <c r="L755" s="40">
        <v>2296.9299999999998</v>
      </c>
      <c r="M755" s="40">
        <v>2319.62</v>
      </c>
      <c r="N755" s="38" t="s">
        <v>17</v>
      </c>
      <c r="O755" s="41">
        <v>0.23</v>
      </c>
      <c r="P755" s="38" t="s">
        <v>27</v>
      </c>
      <c r="Q755" s="38" t="s">
        <v>22</v>
      </c>
      <c r="R755" s="38" t="str">
        <f>IF(Cleaned_Final!$I755&gt;=5000,"High","Low")</f>
        <v>Low</v>
      </c>
    </row>
    <row r="756" spans="1:18" x14ac:dyDescent="0.35">
      <c r="A756" s="34">
        <v>1092</v>
      </c>
      <c r="B756" s="34" t="str">
        <f>_xlfn.XLOOKUP(Table2[[#This Row],[Product ID]],Sheet1!$A$32:$A$200,Sheet1!$B$32:$B$200,"Not Found")</f>
        <v>Recliner</v>
      </c>
      <c r="C756" s="35">
        <v>45114</v>
      </c>
      <c r="D756" s="34" t="s">
        <v>42</v>
      </c>
      <c r="E756" s="34" t="str" cm="1">
        <f t="array" ref="E756">_xlfn.XLOOKUP(Table2[[#This Row],[Sales Rep]],Sheet1!$A$21:$A$25,Sheet1!$B$21:$B$25,Not Found)</f>
        <v>Scott Wayne</v>
      </c>
      <c r="F756" s="34" t="s">
        <v>25</v>
      </c>
      <c r="G756" s="34">
        <f>_xlfn.XLOOKUP(Table2[[#This Row],[Region]],Sheet1!$A$12:$A$15,Sheet1!$B$12:$B$15,0)</f>
        <v>0.05</v>
      </c>
      <c r="H756" s="36">
        <f>Table2[[#This Row],[Tax Rate]]*Table2[[#This Row],[Sales Amount]]</f>
        <v>51.984500000000004</v>
      </c>
      <c r="I756" s="36">
        <v>1039.69</v>
      </c>
      <c r="J756" s="34">
        <v>14</v>
      </c>
      <c r="K756" s="34" t="s">
        <v>16</v>
      </c>
      <c r="L756" s="36">
        <v>2559.65</v>
      </c>
      <c r="M756" s="36">
        <v>2709.4</v>
      </c>
      <c r="N756" s="34" t="s">
        <v>17</v>
      </c>
      <c r="O756" s="37">
        <v>0.11</v>
      </c>
      <c r="P756" s="34" t="s">
        <v>31</v>
      </c>
      <c r="Q756" s="34" t="s">
        <v>22</v>
      </c>
      <c r="R756" s="34" t="str">
        <f>IF(Cleaned_Final!$I756&gt;=5000,"High","Low")</f>
        <v>Low</v>
      </c>
    </row>
    <row r="757" spans="1:18" x14ac:dyDescent="0.35">
      <c r="A757" s="38">
        <v>1036</v>
      </c>
      <c r="B757" s="38" t="str">
        <f>_xlfn.XLOOKUP(Table2[[#This Row],[Product ID]],Sheet1!$A$32:$A$200,Sheet1!$B$32:$B$200,"Not Found")</f>
        <v>Shorts</v>
      </c>
      <c r="C757" s="39">
        <v>45270</v>
      </c>
      <c r="D757" s="38" t="s">
        <v>24</v>
      </c>
      <c r="E757" s="38" t="str" cm="1">
        <f t="array" ref="E757">_xlfn.XLOOKUP(Table2[[#This Row],[Sales Rep]],Sheet1!$A$21:$A$25,Sheet1!$B$21:$B$25,Not Found)</f>
        <v>Hogan Rock</v>
      </c>
      <c r="F757" s="38" t="s">
        <v>15</v>
      </c>
      <c r="G757" s="38">
        <f>_xlfn.XLOOKUP(Table2[[#This Row],[Region]],Sheet1!$A$12:$A$15,Sheet1!$B$12:$B$15,0)</f>
        <v>7.4999999999999997E-2</v>
      </c>
      <c r="H757" s="40">
        <f>Table2[[#This Row],[Tax Rate]]*Table2[[#This Row],[Sales Amount]]</f>
        <v>749.178</v>
      </c>
      <c r="I757" s="40">
        <v>9989.0400000000009</v>
      </c>
      <c r="J757" s="38">
        <v>7</v>
      </c>
      <c r="K757" s="38" t="s">
        <v>26</v>
      </c>
      <c r="L757" s="40">
        <v>2882.25</v>
      </c>
      <c r="M757" s="40">
        <v>3163.7</v>
      </c>
      <c r="N757" s="38" t="s">
        <v>17</v>
      </c>
      <c r="O757" s="41">
        <v>0.05</v>
      </c>
      <c r="P757" s="38" t="s">
        <v>18</v>
      </c>
      <c r="Q757" s="38" t="s">
        <v>22</v>
      </c>
      <c r="R757" s="38" t="str">
        <f>IF(Cleaned_Final!$I757&gt;=5000,"High","Low")</f>
        <v>High</v>
      </c>
    </row>
    <row r="758" spans="1:18" x14ac:dyDescent="0.35">
      <c r="A758" s="34">
        <v>1090</v>
      </c>
      <c r="B758" s="34" t="str">
        <f>_xlfn.XLOOKUP(Table2[[#This Row],[Product ID]],Sheet1!$A$32:$A$200,Sheet1!$B$32:$B$200,"Not Found")</f>
        <v>Keyboard</v>
      </c>
      <c r="C758" s="35">
        <v>45291</v>
      </c>
      <c r="D758" s="34" t="s">
        <v>38</v>
      </c>
      <c r="E758" s="34" t="str" cm="1">
        <f t="array" ref="E758">_xlfn.XLOOKUP(Table2[[#This Row],[Sales Rep]],Sheet1!$A$21:$A$25,Sheet1!$B$21:$B$25,Not Found)</f>
        <v>Tracy Moore</v>
      </c>
      <c r="F758" s="34" t="s">
        <v>21</v>
      </c>
      <c r="G758" s="34">
        <f>_xlfn.XLOOKUP(Table2[[#This Row],[Region]],Sheet1!$A$12:$A$15,Sheet1!$B$12:$B$15,0)</f>
        <v>0.08</v>
      </c>
      <c r="H758" s="36">
        <f>Table2[[#This Row],[Tax Rate]]*Table2[[#This Row],[Sales Amount]]</f>
        <v>266.69839999999999</v>
      </c>
      <c r="I758" s="36">
        <v>3333.73</v>
      </c>
      <c r="J758" s="34">
        <v>46</v>
      </c>
      <c r="K758" s="34" t="s">
        <v>29</v>
      </c>
      <c r="L758" s="36">
        <v>4665.12</v>
      </c>
      <c r="M758" s="36">
        <v>4675.8999999999996</v>
      </c>
      <c r="N758" s="34" t="s">
        <v>30</v>
      </c>
      <c r="O758" s="37">
        <v>0.19</v>
      </c>
      <c r="P758" s="34" t="s">
        <v>18</v>
      </c>
      <c r="Q758" s="34" t="s">
        <v>22</v>
      </c>
      <c r="R758" s="34" t="str">
        <f>IF(Cleaned_Final!$I758&gt;=5000,"High","Low")</f>
        <v>Low</v>
      </c>
    </row>
    <row r="759" spans="1:18" x14ac:dyDescent="0.35">
      <c r="A759" s="38">
        <v>1008</v>
      </c>
      <c r="B759" s="38" t="str">
        <f>_xlfn.XLOOKUP(Table2[[#This Row],[Product ID]],Sheet1!$A$32:$A$200,Sheet1!$B$32:$B$200,"Not Found")</f>
        <v>Skirt</v>
      </c>
      <c r="C759" s="39">
        <v>45089</v>
      </c>
      <c r="D759" s="38" t="s">
        <v>42</v>
      </c>
      <c r="E759" s="38" t="str" cm="1">
        <f t="array" ref="E759">_xlfn.XLOOKUP(Table2[[#This Row],[Sales Rep]],Sheet1!$A$21:$A$25,Sheet1!$B$21:$B$25,Not Found)</f>
        <v>Scott Wayne</v>
      </c>
      <c r="F759" s="38" t="s">
        <v>34</v>
      </c>
      <c r="G759" s="38">
        <f>_xlfn.XLOOKUP(Table2[[#This Row],[Region]],Sheet1!$A$12:$A$15,Sheet1!$B$12:$B$15,0)</f>
        <v>0.06</v>
      </c>
      <c r="H759" s="40">
        <f>Table2[[#This Row],[Tax Rate]]*Table2[[#This Row],[Sales Amount]]</f>
        <v>450.4212</v>
      </c>
      <c r="I759" s="40">
        <v>7507.02</v>
      </c>
      <c r="J759" s="38">
        <v>32</v>
      </c>
      <c r="K759" s="38" t="s">
        <v>26</v>
      </c>
      <c r="L759" s="40">
        <v>4298.12</v>
      </c>
      <c r="M759" s="40">
        <v>4446.8999999999996</v>
      </c>
      <c r="N759" s="38" t="s">
        <v>30</v>
      </c>
      <c r="O759" s="41">
        <v>0.1</v>
      </c>
      <c r="P759" s="38" t="s">
        <v>27</v>
      </c>
      <c r="Q759" s="38" t="s">
        <v>19</v>
      </c>
      <c r="R759" s="38" t="str">
        <f>IF(Cleaned_Final!$I759&gt;=5000,"High","Low")</f>
        <v>High</v>
      </c>
    </row>
    <row r="760" spans="1:18" x14ac:dyDescent="0.35">
      <c r="A760" s="34">
        <v>1058</v>
      </c>
      <c r="B760" s="34" t="str">
        <f>_xlfn.XLOOKUP(Table2[[#This Row],[Product ID]],Sheet1!$A$32:$A$200,Sheet1!$B$32:$B$200,"Not Found")</f>
        <v>Wardrobe</v>
      </c>
      <c r="C760" s="35">
        <v>45252</v>
      </c>
      <c r="D760" s="34" t="s">
        <v>42</v>
      </c>
      <c r="E760" s="34" t="str" cm="1">
        <f t="array" ref="E760">_xlfn.XLOOKUP(Table2[[#This Row],[Sales Rep]],Sheet1!$A$21:$A$25,Sheet1!$B$21:$B$25,Not Found)</f>
        <v>Scott Wayne</v>
      </c>
      <c r="F760" s="34" t="s">
        <v>21</v>
      </c>
      <c r="G760" s="34">
        <f>_xlfn.XLOOKUP(Table2[[#This Row],[Region]],Sheet1!$A$12:$A$15,Sheet1!$B$12:$B$15,0)</f>
        <v>0.08</v>
      </c>
      <c r="H760" s="36">
        <f>Table2[[#This Row],[Tax Rate]]*Table2[[#This Row],[Sales Amount]]</f>
        <v>646.87839999999994</v>
      </c>
      <c r="I760" s="36">
        <v>8085.98</v>
      </c>
      <c r="J760" s="34">
        <v>15</v>
      </c>
      <c r="K760" s="34" t="s">
        <v>29</v>
      </c>
      <c r="L760" s="36">
        <v>894.48</v>
      </c>
      <c r="M760" s="36">
        <v>1336.37</v>
      </c>
      <c r="N760" s="34" t="s">
        <v>17</v>
      </c>
      <c r="O760" s="37">
        <v>0.26</v>
      </c>
      <c r="P760" s="34" t="s">
        <v>18</v>
      </c>
      <c r="Q760" s="34" t="s">
        <v>22</v>
      </c>
      <c r="R760" s="34" t="str">
        <f>IF(Cleaned_Final!$I760&gt;=5000,"High","Low")</f>
        <v>High</v>
      </c>
    </row>
    <row r="761" spans="1:18" x14ac:dyDescent="0.35">
      <c r="A761" s="38">
        <v>1060</v>
      </c>
      <c r="B761" s="38" t="str">
        <f>_xlfn.XLOOKUP(Table2[[#This Row],[Product ID]],Sheet1!$A$32:$A$200,Sheet1!$B$32:$B$200,"Not Found")</f>
        <v>Head Warmer</v>
      </c>
      <c r="C761" s="39">
        <v>45000</v>
      </c>
      <c r="D761" s="38" t="s">
        <v>24</v>
      </c>
      <c r="E761" s="38" t="str" cm="1">
        <f t="array" ref="E761">_xlfn.XLOOKUP(Table2[[#This Row],[Sales Rep]],Sheet1!$A$21:$A$25,Sheet1!$B$21:$B$25,Not Found)</f>
        <v>Hogan Rock</v>
      </c>
      <c r="F761" s="38" t="s">
        <v>25</v>
      </c>
      <c r="G761" s="38">
        <f>_xlfn.XLOOKUP(Table2[[#This Row],[Region]],Sheet1!$A$12:$A$15,Sheet1!$B$12:$B$15,0)</f>
        <v>0.05</v>
      </c>
      <c r="H761" s="40">
        <f>Table2[[#This Row],[Tax Rate]]*Table2[[#This Row],[Sales Amount]]</f>
        <v>429.72150000000005</v>
      </c>
      <c r="I761" s="40">
        <v>8594.43</v>
      </c>
      <c r="J761" s="38">
        <v>44</v>
      </c>
      <c r="K761" s="38" t="s">
        <v>29</v>
      </c>
      <c r="L761" s="40">
        <v>2211.9499999999998</v>
      </c>
      <c r="M761" s="40">
        <v>2512.8399999999901</v>
      </c>
      <c r="N761" s="38" t="s">
        <v>17</v>
      </c>
      <c r="O761" s="41">
        <v>0.04</v>
      </c>
      <c r="P761" s="38" t="s">
        <v>18</v>
      </c>
      <c r="Q761" s="38" t="s">
        <v>19</v>
      </c>
      <c r="R761" s="38" t="str">
        <f>IF(Cleaned_Final!$I761&gt;=5000,"High","Low")</f>
        <v>High</v>
      </c>
    </row>
    <row r="762" spans="1:18" x14ac:dyDescent="0.35">
      <c r="A762" s="34">
        <v>1050</v>
      </c>
      <c r="B762" s="34" t="str">
        <f>_xlfn.XLOOKUP(Table2[[#This Row],[Product ID]],Sheet1!$A$32:$A$200,Sheet1!$B$32:$B$200,"Not Found")</f>
        <v>Sneakers</v>
      </c>
      <c r="C762" s="35">
        <v>45159</v>
      </c>
      <c r="D762" s="34" t="s">
        <v>24</v>
      </c>
      <c r="E762" s="34" t="str" cm="1">
        <f t="array" ref="E762">_xlfn.XLOOKUP(Table2[[#This Row],[Sales Rep]],Sheet1!$A$21:$A$25,Sheet1!$B$21:$B$25,Not Found)</f>
        <v>Hogan Rock</v>
      </c>
      <c r="F762" s="34" t="s">
        <v>15</v>
      </c>
      <c r="G762" s="34">
        <f>_xlfn.XLOOKUP(Table2[[#This Row],[Region]],Sheet1!$A$12:$A$15,Sheet1!$B$12:$B$15,0)</f>
        <v>7.4999999999999997E-2</v>
      </c>
      <c r="H762" s="36">
        <f>Table2[[#This Row],[Tax Rate]]*Table2[[#This Row],[Sales Amount]]</f>
        <v>748.23900000000003</v>
      </c>
      <c r="I762" s="36">
        <v>9976.52</v>
      </c>
      <c r="J762" s="34">
        <v>17</v>
      </c>
      <c r="K762" s="34" t="s">
        <v>16</v>
      </c>
      <c r="L762" s="36">
        <v>2346.8000000000002</v>
      </c>
      <c r="M762" s="36">
        <v>2654.65</v>
      </c>
      <c r="N762" s="34" t="s">
        <v>30</v>
      </c>
      <c r="O762" s="37">
        <v>0.13</v>
      </c>
      <c r="P762" s="34" t="s">
        <v>18</v>
      </c>
      <c r="Q762" s="34" t="s">
        <v>22</v>
      </c>
      <c r="R762" s="34" t="str">
        <f>IF(Cleaned_Final!$I762&gt;=5000,"High","Low")</f>
        <v>High</v>
      </c>
    </row>
    <row r="763" spans="1:18" x14ac:dyDescent="0.35">
      <c r="A763" s="38">
        <v>1028</v>
      </c>
      <c r="B763" s="38" t="str">
        <f>_xlfn.XLOOKUP(Table2[[#This Row],[Product ID]],Sheet1!$A$32:$A$200,Sheet1!$B$32:$B$200,"Not Found")</f>
        <v>Pyjamas</v>
      </c>
      <c r="C763" s="39">
        <v>45150</v>
      </c>
      <c r="D763" s="38" t="s">
        <v>33</v>
      </c>
      <c r="E763" s="38" t="str" cm="1">
        <f t="array" ref="E763">_xlfn.XLOOKUP(Table2[[#This Row],[Sales Rep]],Sheet1!$A$21:$A$25,Sheet1!$B$21:$B$25,Not Found)</f>
        <v>Susan Jerkins</v>
      </c>
      <c r="F763" s="38" t="s">
        <v>25</v>
      </c>
      <c r="G763" s="38">
        <f>_xlfn.XLOOKUP(Table2[[#This Row],[Region]],Sheet1!$A$12:$A$15,Sheet1!$B$12:$B$15,0)</f>
        <v>0.05</v>
      </c>
      <c r="H763" s="40">
        <f>Table2[[#This Row],[Tax Rate]]*Table2[[#This Row],[Sales Amount]]</f>
        <v>124.54100000000001</v>
      </c>
      <c r="I763" s="40">
        <v>2490.8200000000002</v>
      </c>
      <c r="J763" s="38">
        <v>41</v>
      </c>
      <c r="K763" s="38" t="s">
        <v>29</v>
      </c>
      <c r="L763" s="40">
        <v>3956.03</v>
      </c>
      <c r="M763" s="40">
        <v>4163.68</v>
      </c>
      <c r="N763" s="38" t="s">
        <v>30</v>
      </c>
      <c r="O763" s="41">
        <v>0.12</v>
      </c>
      <c r="P763" s="38" t="s">
        <v>27</v>
      </c>
      <c r="Q763" s="38" t="s">
        <v>22</v>
      </c>
      <c r="R763" s="38" t="str">
        <f>IF(Cleaned_Final!$I763&gt;=5000,"High","Low")</f>
        <v>Low</v>
      </c>
    </row>
    <row r="764" spans="1:18" x14ac:dyDescent="0.35">
      <c r="A764" s="34">
        <v>1092</v>
      </c>
      <c r="B764" s="34" t="str">
        <f>_xlfn.XLOOKUP(Table2[[#This Row],[Product ID]],Sheet1!$A$32:$A$200,Sheet1!$B$32:$B$200,"Not Found")</f>
        <v>Recliner</v>
      </c>
      <c r="C764" s="35">
        <v>45245</v>
      </c>
      <c r="D764" s="34" t="s">
        <v>24</v>
      </c>
      <c r="E764" s="34" t="str" cm="1">
        <f t="array" ref="E764">_xlfn.XLOOKUP(Table2[[#This Row],[Sales Rep]],Sheet1!$A$21:$A$25,Sheet1!$B$21:$B$25,Not Found)</f>
        <v>Hogan Rock</v>
      </c>
      <c r="F764" s="34" t="s">
        <v>34</v>
      </c>
      <c r="G764" s="34">
        <f>_xlfn.XLOOKUP(Table2[[#This Row],[Region]],Sheet1!$A$12:$A$15,Sheet1!$B$12:$B$15,0)</f>
        <v>0.06</v>
      </c>
      <c r="H764" s="36">
        <f>Table2[[#This Row],[Tax Rate]]*Table2[[#This Row],[Sales Amount]]</f>
        <v>29.9682</v>
      </c>
      <c r="I764" s="36">
        <v>499.47</v>
      </c>
      <c r="J764" s="34">
        <v>47</v>
      </c>
      <c r="K764" s="34" t="s">
        <v>35</v>
      </c>
      <c r="L764" s="36">
        <v>3034.32</v>
      </c>
      <c r="M764" s="36">
        <v>3375.79</v>
      </c>
      <c r="N764" s="34" t="s">
        <v>30</v>
      </c>
      <c r="O764" s="37">
        <v>0.28000000000000003</v>
      </c>
      <c r="P764" s="34" t="s">
        <v>31</v>
      </c>
      <c r="Q764" s="34" t="s">
        <v>19</v>
      </c>
      <c r="R764" s="34" t="str">
        <f>IF(Cleaned_Final!$I764&gt;=5000,"High","Low")</f>
        <v>Low</v>
      </c>
    </row>
    <row r="765" spans="1:18" x14ac:dyDescent="0.35">
      <c r="A765" s="38">
        <v>1041</v>
      </c>
      <c r="B765" s="38" t="str">
        <f>_xlfn.XLOOKUP(Table2[[#This Row],[Product ID]],Sheet1!$A$32:$A$200,Sheet1!$B$32:$B$200,"Not Found")</f>
        <v>Bread</v>
      </c>
      <c r="C765" s="39">
        <v>44986</v>
      </c>
      <c r="D765" s="38" t="s">
        <v>33</v>
      </c>
      <c r="E765" s="38" t="str" cm="1">
        <f t="array" ref="E765">_xlfn.XLOOKUP(Table2[[#This Row],[Sales Rep]],Sheet1!$A$21:$A$25,Sheet1!$B$21:$B$25,Not Found)</f>
        <v>Susan Jerkins</v>
      </c>
      <c r="F765" s="38" t="s">
        <v>34</v>
      </c>
      <c r="G765" s="38">
        <f>_xlfn.XLOOKUP(Table2[[#This Row],[Region]],Sheet1!$A$12:$A$15,Sheet1!$B$12:$B$15,0)</f>
        <v>0.06</v>
      </c>
      <c r="H765" s="40">
        <f>Table2[[#This Row],[Tax Rate]]*Table2[[#This Row],[Sales Amount]]</f>
        <v>250.24799999999999</v>
      </c>
      <c r="I765" s="40">
        <v>4170.8</v>
      </c>
      <c r="J765" s="38">
        <v>44</v>
      </c>
      <c r="K765" s="38" t="s">
        <v>35</v>
      </c>
      <c r="L765" s="40">
        <v>3288.39</v>
      </c>
      <c r="M765" s="40">
        <v>3391.46</v>
      </c>
      <c r="N765" s="38" t="s">
        <v>30</v>
      </c>
      <c r="O765" s="41">
        <v>0.05</v>
      </c>
      <c r="P765" s="38" t="s">
        <v>31</v>
      </c>
      <c r="Q765" s="38" t="s">
        <v>22</v>
      </c>
      <c r="R765" s="38" t="str">
        <f>IF(Cleaned_Final!$I765&gt;=5000,"High","Low")</f>
        <v>Low</v>
      </c>
    </row>
    <row r="766" spans="1:18" x14ac:dyDescent="0.35">
      <c r="A766" s="34">
        <v>1100</v>
      </c>
      <c r="B766" s="34" t="str">
        <f>_xlfn.XLOOKUP(Table2[[#This Row],[Product ID]],Sheet1!$A$32:$A$200,Sheet1!$B$32:$B$200,"Not Found")</f>
        <v>Protein Cookies</v>
      </c>
      <c r="C766" s="35">
        <v>45261</v>
      </c>
      <c r="D766" s="34" t="s">
        <v>42</v>
      </c>
      <c r="E766" s="34" t="str" cm="1">
        <f t="array" ref="E766">_xlfn.XLOOKUP(Table2[[#This Row],[Sales Rep]],Sheet1!$A$21:$A$25,Sheet1!$B$21:$B$25,Not Found)</f>
        <v>Scott Wayne</v>
      </c>
      <c r="F766" s="34" t="s">
        <v>34</v>
      </c>
      <c r="G766" s="34">
        <f>_xlfn.XLOOKUP(Table2[[#This Row],[Region]],Sheet1!$A$12:$A$15,Sheet1!$B$12:$B$15,0)</f>
        <v>0.06</v>
      </c>
      <c r="H766" s="36">
        <f>Table2[[#This Row],[Tax Rate]]*Table2[[#This Row],[Sales Amount]]</f>
        <v>83.268000000000001</v>
      </c>
      <c r="I766" s="36">
        <v>1387.8</v>
      </c>
      <c r="J766" s="34">
        <v>34</v>
      </c>
      <c r="K766" s="34" t="s">
        <v>16</v>
      </c>
      <c r="L766" s="36">
        <v>4991.09</v>
      </c>
      <c r="M766" s="36">
        <v>5402.28</v>
      </c>
      <c r="N766" s="34" t="s">
        <v>17</v>
      </c>
      <c r="O766" s="37">
        <v>0</v>
      </c>
      <c r="P766" s="34" t="s">
        <v>18</v>
      </c>
      <c r="Q766" s="34" t="s">
        <v>22</v>
      </c>
      <c r="R766" s="34" t="str">
        <f>IF(Cleaned_Final!$I766&gt;=5000,"High","Low")</f>
        <v>Low</v>
      </c>
    </row>
    <row r="767" spans="1:18" x14ac:dyDescent="0.35">
      <c r="A767" s="38">
        <v>1064</v>
      </c>
      <c r="B767" s="38" t="str">
        <f>_xlfn.XLOOKUP(Table2[[#This Row],[Product ID]],Sheet1!$A$32:$A$200,Sheet1!$B$32:$B$200,"Not Found")</f>
        <v>Smartphone</v>
      </c>
      <c r="C767" s="39">
        <v>45148</v>
      </c>
      <c r="D767" s="38" t="s">
        <v>14</v>
      </c>
      <c r="E767" s="38" t="str" cm="1">
        <f t="array" ref="E767">_xlfn.XLOOKUP(Table2[[#This Row],[Sales Rep]],Sheet1!$A$21:$A$25,Sheet1!$B$21:$B$25,Not Found)</f>
        <v>Michael Smith</v>
      </c>
      <c r="F767" s="38" t="s">
        <v>25</v>
      </c>
      <c r="G767" s="38">
        <f>_xlfn.XLOOKUP(Table2[[#This Row],[Region]],Sheet1!$A$12:$A$15,Sheet1!$B$12:$B$15,0)</f>
        <v>0.05</v>
      </c>
      <c r="H767" s="40">
        <f>Table2[[#This Row],[Tax Rate]]*Table2[[#This Row],[Sales Amount]]</f>
        <v>16.100999999999999</v>
      </c>
      <c r="I767" s="40">
        <v>322.02</v>
      </c>
      <c r="J767" s="38">
        <v>5</v>
      </c>
      <c r="K767" s="38" t="s">
        <v>26</v>
      </c>
      <c r="L767" s="40">
        <v>421.05</v>
      </c>
      <c r="M767" s="40">
        <v>488.23</v>
      </c>
      <c r="N767" s="38" t="s">
        <v>17</v>
      </c>
      <c r="O767" s="41">
        <v>7.0000000000000007E-2</v>
      </c>
      <c r="P767" s="38" t="s">
        <v>31</v>
      </c>
      <c r="Q767" s="38" t="s">
        <v>22</v>
      </c>
      <c r="R767" s="38" t="str">
        <f>IF(Cleaned_Final!$I767&gt;=5000,"High","Low")</f>
        <v>Low</v>
      </c>
    </row>
    <row r="768" spans="1:18" x14ac:dyDescent="0.35">
      <c r="A768" s="34">
        <v>1027</v>
      </c>
      <c r="B768" s="34" t="str">
        <f>_xlfn.XLOOKUP(Table2[[#This Row],[Product ID]],Sheet1!$A$32:$A$200,Sheet1!$B$32:$B$200,"Not Found")</f>
        <v>Cookies</v>
      </c>
      <c r="C768" s="35">
        <v>44963</v>
      </c>
      <c r="D768" s="34" t="s">
        <v>38</v>
      </c>
      <c r="E768" s="34" t="str" cm="1">
        <f t="array" ref="E768">_xlfn.XLOOKUP(Table2[[#This Row],[Sales Rep]],Sheet1!$A$21:$A$25,Sheet1!$B$21:$B$25,Not Found)</f>
        <v>Tracy Moore</v>
      </c>
      <c r="F768" s="34" t="s">
        <v>21</v>
      </c>
      <c r="G768" s="34">
        <f>_xlfn.XLOOKUP(Table2[[#This Row],[Region]],Sheet1!$A$12:$A$15,Sheet1!$B$12:$B$15,0)</f>
        <v>0.08</v>
      </c>
      <c r="H768" s="36">
        <f>Table2[[#This Row],[Tax Rate]]*Table2[[#This Row],[Sales Amount]]</f>
        <v>293.45839999999998</v>
      </c>
      <c r="I768" s="36">
        <v>3668.23</v>
      </c>
      <c r="J768" s="34">
        <v>45</v>
      </c>
      <c r="K768" s="34" t="s">
        <v>26</v>
      </c>
      <c r="L768" s="36">
        <v>1153.9000000000001</v>
      </c>
      <c r="M768" s="36">
        <v>1485.34</v>
      </c>
      <c r="N768" s="34" t="s">
        <v>30</v>
      </c>
      <c r="O768" s="37">
        <v>0.25</v>
      </c>
      <c r="P768" s="34" t="s">
        <v>31</v>
      </c>
      <c r="Q768" s="34" t="s">
        <v>22</v>
      </c>
      <c r="R768" s="34" t="str">
        <f>IF(Cleaned_Final!$I768&gt;=5000,"High","Low")</f>
        <v>Low</v>
      </c>
    </row>
    <row r="769" spans="1:18" x14ac:dyDescent="0.35">
      <c r="A769" s="38">
        <v>1063</v>
      </c>
      <c r="B769" s="38" t="str">
        <f>_xlfn.XLOOKUP(Table2[[#This Row],[Product ID]],Sheet1!$A$32:$A$200,Sheet1!$B$32:$B$200,"Not Found")</f>
        <v>Noodles</v>
      </c>
      <c r="C769" s="39">
        <v>45204</v>
      </c>
      <c r="D769" s="38" t="s">
        <v>42</v>
      </c>
      <c r="E769" s="38" t="str" cm="1">
        <f t="array" ref="E769">_xlfn.XLOOKUP(Table2[[#This Row],[Sales Rep]],Sheet1!$A$21:$A$25,Sheet1!$B$21:$B$25,Not Found)</f>
        <v>Scott Wayne</v>
      </c>
      <c r="F769" s="38" t="s">
        <v>25</v>
      </c>
      <c r="G769" s="38">
        <f>_xlfn.XLOOKUP(Table2[[#This Row],[Region]],Sheet1!$A$12:$A$15,Sheet1!$B$12:$B$15,0)</f>
        <v>0.05</v>
      </c>
      <c r="H769" s="40">
        <f>Table2[[#This Row],[Tax Rate]]*Table2[[#This Row],[Sales Amount]]</f>
        <v>392.95050000000003</v>
      </c>
      <c r="I769" s="40">
        <v>7859.01</v>
      </c>
      <c r="J769" s="38">
        <v>27</v>
      </c>
      <c r="K769" s="38" t="s">
        <v>26</v>
      </c>
      <c r="L769" s="40">
        <v>2069.08</v>
      </c>
      <c r="M769" s="40">
        <v>2246.2399999999998</v>
      </c>
      <c r="N769" s="38" t="s">
        <v>30</v>
      </c>
      <c r="O769" s="41">
        <v>0.06</v>
      </c>
      <c r="P769" s="38" t="s">
        <v>27</v>
      </c>
      <c r="Q769" s="38" t="s">
        <v>22</v>
      </c>
      <c r="R769" s="38" t="str">
        <f>IF(Cleaned_Final!$I769&gt;=5000,"High","Low")</f>
        <v>High</v>
      </c>
    </row>
    <row r="770" spans="1:18" x14ac:dyDescent="0.35">
      <c r="A770" s="34">
        <v>1017</v>
      </c>
      <c r="B770" s="34" t="str">
        <f>_xlfn.XLOOKUP(Table2[[#This Row],[Product ID]],Sheet1!$A$32:$A$200,Sheet1!$B$32:$B$200,"Not Found")</f>
        <v>Peaches</v>
      </c>
      <c r="C770" s="35">
        <v>45122</v>
      </c>
      <c r="D770" s="34" t="s">
        <v>24</v>
      </c>
      <c r="E770" s="34" t="str" cm="1">
        <f t="array" ref="E770">_xlfn.XLOOKUP(Table2[[#This Row],[Sales Rep]],Sheet1!$A$21:$A$25,Sheet1!$B$21:$B$25,Not Found)</f>
        <v>Hogan Rock</v>
      </c>
      <c r="F770" s="34" t="s">
        <v>15</v>
      </c>
      <c r="G770" s="34">
        <f>_xlfn.XLOOKUP(Table2[[#This Row],[Region]],Sheet1!$A$12:$A$15,Sheet1!$B$12:$B$15,0)</f>
        <v>7.4999999999999997E-2</v>
      </c>
      <c r="H770" s="36">
        <f>Table2[[#This Row],[Tax Rate]]*Table2[[#This Row],[Sales Amount]]</f>
        <v>427.88924999999995</v>
      </c>
      <c r="I770" s="36">
        <v>5705.19</v>
      </c>
      <c r="J770" s="34">
        <v>23</v>
      </c>
      <c r="K770" s="34" t="s">
        <v>35</v>
      </c>
      <c r="L770" s="36">
        <v>1771.52</v>
      </c>
      <c r="M770" s="36">
        <v>2147.8000000000002</v>
      </c>
      <c r="N770" s="34" t="s">
        <v>30</v>
      </c>
      <c r="O770" s="37">
        <v>7.0000000000000007E-2</v>
      </c>
      <c r="P770" s="34" t="s">
        <v>27</v>
      </c>
      <c r="Q770" s="34" t="s">
        <v>19</v>
      </c>
      <c r="R770" s="34" t="str">
        <f>IF(Cleaned_Final!$I770&gt;=5000,"High","Low")</f>
        <v>High</v>
      </c>
    </row>
    <row r="771" spans="1:18" x14ac:dyDescent="0.35">
      <c r="A771" s="38">
        <v>1073</v>
      </c>
      <c r="B771" s="38" t="str">
        <f>_xlfn.XLOOKUP(Table2[[#This Row],[Product ID]],Sheet1!$A$32:$A$200,Sheet1!$B$32:$B$200,"Not Found")</f>
        <v>Console Table</v>
      </c>
      <c r="C771" s="39">
        <v>45278</v>
      </c>
      <c r="D771" s="38" t="s">
        <v>38</v>
      </c>
      <c r="E771" s="38" t="str" cm="1">
        <f t="array" ref="E771">_xlfn.XLOOKUP(Table2[[#This Row],[Sales Rep]],Sheet1!$A$21:$A$25,Sheet1!$B$21:$B$25,Not Found)</f>
        <v>Tracy Moore</v>
      </c>
      <c r="F771" s="38" t="s">
        <v>21</v>
      </c>
      <c r="G771" s="38">
        <f>_xlfn.XLOOKUP(Table2[[#This Row],[Region]],Sheet1!$A$12:$A$15,Sheet1!$B$12:$B$15,0)</f>
        <v>0.08</v>
      </c>
      <c r="H771" s="40">
        <f>Table2[[#This Row],[Tax Rate]]*Table2[[#This Row],[Sales Amount]]</f>
        <v>255.72</v>
      </c>
      <c r="I771" s="40">
        <v>3196.5</v>
      </c>
      <c r="J771" s="38">
        <v>40</v>
      </c>
      <c r="K771" s="38" t="s">
        <v>26</v>
      </c>
      <c r="L771" s="40">
        <v>157.15</v>
      </c>
      <c r="M771" s="40">
        <v>436.53</v>
      </c>
      <c r="N771" s="38" t="s">
        <v>30</v>
      </c>
      <c r="O771" s="41">
        <v>0.04</v>
      </c>
      <c r="P771" s="38" t="s">
        <v>18</v>
      </c>
      <c r="Q771" s="38" t="s">
        <v>22</v>
      </c>
      <c r="R771" s="38" t="str">
        <f>IF(Cleaned_Final!$I771&gt;=5000,"High","Low")</f>
        <v>Low</v>
      </c>
    </row>
    <row r="772" spans="1:18" x14ac:dyDescent="0.35">
      <c r="A772" s="34">
        <v>1033</v>
      </c>
      <c r="B772" s="34" t="str">
        <f>_xlfn.XLOOKUP(Table2[[#This Row],[Product ID]],Sheet1!$A$32:$A$200,Sheet1!$B$32:$B$200,"Not Found")</f>
        <v>TV Stand</v>
      </c>
      <c r="C772" s="35">
        <v>45168</v>
      </c>
      <c r="D772" s="34" t="s">
        <v>14</v>
      </c>
      <c r="E772" s="34" t="str" cm="1">
        <f t="array" ref="E772">_xlfn.XLOOKUP(Table2[[#This Row],[Sales Rep]],Sheet1!$A$21:$A$25,Sheet1!$B$21:$B$25,Not Found)</f>
        <v>Michael Smith</v>
      </c>
      <c r="F772" s="34" t="s">
        <v>34</v>
      </c>
      <c r="G772" s="34">
        <f>_xlfn.XLOOKUP(Table2[[#This Row],[Region]],Sheet1!$A$12:$A$15,Sheet1!$B$12:$B$15,0)</f>
        <v>0.06</v>
      </c>
      <c r="H772" s="36">
        <f>Table2[[#This Row],[Tax Rate]]*Table2[[#This Row],[Sales Amount]]</f>
        <v>394.67939999999999</v>
      </c>
      <c r="I772" s="36">
        <v>6577.99</v>
      </c>
      <c r="J772" s="34">
        <v>14</v>
      </c>
      <c r="K772" s="34" t="s">
        <v>26</v>
      </c>
      <c r="L772" s="36">
        <v>504.3</v>
      </c>
      <c r="M772" s="36">
        <v>735.95</v>
      </c>
      <c r="N772" s="34" t="s">
        <v>17</v>
      </c>
      <c r="O772" s="37">
        <v>0.21</v>
      </c>
      <c r="P772" s="34" t="s">
        <v>18</v>
      </c>
      <c r="Q772" s="34" t="s">
        <v>22</v>
      </c>
      <c r="R772" s="34" t="str">
        <f>IF(Cleaned_Final!$I772&gt;=5000,"High","Low")</f>
        <v>High</v>
      </c>
    </row>
    <row r="773" spans="1:18" x14ac:dyDescent="0.35">
      <c r="A773" s="38">
        <v>1084</v>
      </c>
      <c r="B773" s="38" t="str">
        <f>_xlfn.XLOOKUP(Table2[[#This Row],[Product ID]],Sheet1!$A$32:$A$200,Sheet1!$B$32:$B$200,"Not Found")</f>
        <v>Card Table</v>
      </c>
      <c r="C773" s="39">
        <v>45250</v>
      </c>
      <c r="D773" s="38" t="s">
        <v>14</v>
      </c>
      <c r="E773" s="38" t="str" cm="1">
        <f t="array" ref="E773">_xlfn.XLOOKUP(Table2[[#This Row],[Sales Rep]],Sheet1!$A$21:$A$25,Sheet1!$B$21:$B$25,Not Found)</f>
        <v>Michael Smith</v>
      </c>
      <c r="F773" s="38" t="s">
        <v>25</v>
      </c>
      <c r="G773" s="38">
        <f>_xlfn.XLOOKUP(Table2[[#This Row],[Region]],Sheet1!$A$12:$A$15,Sheet1!$B$12:$B$15,0)</f>
        <v>0.05</v>
      </c>
      <c r="H773" s="40">
        <f>Table2[[#This Row],[Tax Rate]]*Table2[[#This Row],[Sales Amount]]</f>
        <v>119.849</v>
      </c>
      <c r="I773" s="40">
        <v>2396.98</v>
      </c>
      <c r="J773" s="38">
        <v>15</v>
      </c>
      <c r="K773" s="38" t="s">
        <v>16</v>
      </c>
      <c r="L773" s="40">
        <v>3420.72</v>
      </c>
      <c r="M773" s="40">
        <v>3513.74</v>
      </c>
      <c r="N773" s="38" t="s">
        <v>30</v>
      </c>
      <c r="O773" s="41">
        <v>0.02</v>
      </c>
      <c r="P773" s="38" t="s">
        <v>18</v>
      </c>
      <c r="Q773" s="38" t="s">
        <v>19</v>
      </c>
      <c r="R773" s="38" t="str">
        <f>IF(Cleaned_Final!$I773&gt;=5000,"High","Low")</f>
        <v>Low</v>
      </c>
    </row>
    <row r="774" spans="1:18" x14ac:dyDescent="0.35">
      <c r="A774" s="34">
        <v>1077</v>
      </c>
      <c r="B774" s="34" t="str">
        <f>_xlfn.XLOOKUP(Table2[[#This Row],[Product ID]],Sheet1!$A$32:$A$200,Sheet1!$B$32:$B$200,"Not Found")</f>
        <v>Skirt</v>
      </c>
      <c r="C774" s="35">
        <v>45145</v>
      </c>
      <c r="D774" s="34" t="s">
        <v>33</v>
      </c>
      <c r="E774" s="34" t="str" cm="1">
        <f t="array" ref="E774">_xlfn.XLOOKUP(Table2[[#This Row],[Sales Rep]],Sheet1!$A$21:$A$25,Sheet1!$B$21:$B$25,Not Found)</f>
        <v>Susan Jerkins</v>
      </c>
      <c r="F774" s="34" t="s">
        <v>34</v>
      </c>
      <c r="G774" s="34">
        <f>_xlfn.XLOOKUP(Table2[[#This Row],[Region]],Sheet1!$A$12:$A$15,Sheet1!$B$12:$B$15,0)</f>
        <v>0.06</v>
      </c>
      <c r="H774" s="36">
        <f>Table2[[#This Row],[Tax Rate]]*Table2[[#This Row],[Sales Amount]]</f>
        <v>14.5428</v>
      </c>
      <c r="I774" s="36">
        <v>242.38</v>
      </c>
      <c r="J774" s="34">
        <v>43</v>
      </c>
      <c r="K774" s="34" t="s">
        <v>26</v>
      </c>
      <c r="L774" s="36">
        <v>4402.66</v>
      </c>
      <c r="M774" s="36">
        <v>4724.7</v>
      </c>
      <c r="N774" s="34" t="s">
        <v>30</v>
      </c>
      <c r="O774" s="37">
        <v>0.1</v>
      </c>
      <c r="P774" s="34" t="s">
        <v>27</v>
      </c>
      <c r="Q774" s="34" t="s">
        <v>22</v>
      </c>
      <c r="R774" s="34" t="str">
        <f>IF(Cleaned_Final!$I774&gt;=5000,"High","Low")</f>
        <v>Low</v>
      </c>
    </row>
    <row r="775" spans="1:18" x14ac:dyDescent="0.35">
      <c r="A775" s="38">
        <v>1092</v>
      </c>
      <c r="B775" s="38" t="str">
        <f>_xlfn.XLOOKUP(Table2[[#This Row],[Product ID]],Sheet1!$A$32:$A$200,Sheet1!$B$32:$B$200,"Not Found")</f>
        <v>Recliner</v>
      </c>
      <c r="C775" s="39">
        <v>45118</v>
      </c>
      <c r="D775" s="38" t="s">
        <v>38</v>
      </c>
      <c r="E775" s="38" t="str" cm="1">
        <f t="array" ref="E775">_xlfn.XLOOKUP(Table2[[#This Row],[Sales Rep]],Sheet1!$A$21:$A$25,Sheet1!$B$21:$B$25,Not Found)</f>
        <v>Tracy Moore</v>
      </c>
      <c r="F775" s="38" t="s">
        <v>34</v>
      </c>
      <c r="G775" s="38">
        <f>_xlfn.XLOOKUP(Table2[[#This Row],[Region]],Sheet1!$A$12:$A$15,Sheet1!$B$12:$B$15,0)</f>
        <v>0.06</v>
      </c>
      <c r="H775" s="40">
        <f>Table2[[#This Row],[Tax Rate]]*Table2[[#This Row],[Sales Amount]]</f>
        <v>460.02600000000001</v>
      </c>
      <c r="I775" s="40">
        <v>7667.1</v>
      </c>
      <c r="J775" s="38">
        <v>33</v>
      </c>
      <c r="K775" s="38" t="s">
        <v>35</v>
      </c>
      <c r="L775" s="40">
        <v>2595.42</v>
      </c>
      <c r="M775" s="40">
        <v>3083.06</v>
      </c>
      <c r="N775" s="38" t="s">
        <v>30</v>
      </c>
      <c r="O775" s="41">
        <v>0.08</v>
      </c>
      <c r="P775" s="38" t="s">
        <v>31</v>
      </c>
      <c r="Q775" s="38" t="s">
        <v>19</v>
      </c>
      <c r="R775" s="38" t="str">
        <f>IF(Cleaned_Final!$I775&gt;=5000,"High","Low")</f>
        <v>High</v>
      </c>
    </row>
    <row r="776" spans="1:18" x14ac:dyDescent="0.35">
      <c r="A776" s="34">
        <v>1029</v>
      </c>
      <c r="B776" s="34" t="str">
        <f>_xlfn.XLOOKUP(Table2[[#This Row],[Product ID]],Sheet1!$A$32:$A$200,Sheet1!$B$32:$B$200,"Not Found")</f>
        <v>Camisole</v>
      </c>
      <c r="C776" s="35">
        <v>44943</v>
      </c>
      <c r="D776" s="34" t="s">
        <v>33</v>
      </c>
      <c r="E776" s="34" t="str" cm="1">
        <f t="array" ref="E776">_xlfn.XLOOKUP(Table2[[#This Row],[Sales Rep]],Sheet1!$A$21:$A$25,Sheet1!$B$21:$B$25,Not Found)</f>
        <v>Susan Jerkins</v>
      </c>
      <c r="F776" s="34" t="s">
        <v>15</v>
      </c>
      <c r="G776" s="34">
        <f>_xlfn.XLOOKUP(Table2[[#This Row],[Region]],Sheet1!$A$12:$A$15,Sheet1!$B$12:$B$15,0)</f>
        <v>7.4999999999999997E-2</v>
      </c>
      <c r="H776" s="36">
        <f>Table2[[#This Row],[Tax Rate]]*Table2[[#This Row],[Sales Amount]]</f>
        <v>470.62950000000001</v>
      </c>
      <c r="I776" s="36">
        <v>6275.06</v>
      </c>
      <c r="J776" s="34">
        <v>31</v>
      </c>
      <c r="K776" s="34" t="s">
        <v>35</v>
      </c>
      <c r="L776" s="36">
        <v>2719</v>
      </c>
      <c r="M776" s="36">
        <v>3133.55</v>
      </c>
      <c r="N776" s="34" t="s">
        <v>17</v>
      </c>
      <c r="O776" s="37">
        <v>0.17</v>
      </c>
      <c r="P776" s="34" t="s">
        <v>27</v>
      </c>
      <c r="Q776" s="34" t="s">
        <v>22</v>
      </c>
      <c r="R776" s="34" t="str">
        <f>IF(Cleaned_Final!$I776&gt;=5000,"High","Low")</f>
        <v>High</v>
      </c>
    </row>
    <row r="777" spans="1:18" x14ac:dyDescent="0.35">
      <c r="A777" s="38">
        <v>1013</v>
      </c>
      <c r="B777" s="38" t="str">
        <f>_xlfn.XLOOKUP(Table2[[#This Row],[Product ID]],Sheet1!$A$32:$A$200,Sheet1!$B$32:$B$200,"Not Found")</f>
        <v>Gas Cooker</v>
      </c>
      <c r="C777" s="39">
        <v>44938</v>
      </c>
      <c r="D777" s="38" t="s">
        <v>42</v>
      </c>
      <c r="E777" s="38" t="str" cm="1">
        <f t="array" ref="E777">_xlfn.XLOOKUP(Table2[[#This Row],[Sales Rep]],Sheet1!$A$21:$A$25,Sheet1!$B$21:$B$25,Not Found)</f>
        <v>Scott Wayne</v>
      </c>
      <c r="F777" s="38" t="s">
        <v>21</v>
      </c>
      <c r="G777" s="38">
        <f>_xlfn.XLOOKUP(Table2[[#This Row],[Region]],Sheet1!$A$12:$A$15,Sheet1!$B$12:$B$15,0)</f>
        <v>0.08</v>
      </c>
      <c r="H777" s="40">
        <f>Table2[[#This Row],[Tax Rate]]*Table2[[#This Row],[Sales Amount]]</f>
        <v>611.74400000000003</v>
      </c>
      <c r="I777" s="40">
        <v>7646.8</v>
      </c>
      <c r="J777" s="38">
        <v>35</v>
      </c>
      <c r="K777" s="38" t="s">
        <v>35</v>
      </c>
      <c r="L777" s="40">
        <v>1312.71</v>
      </c>
      <c r="M777" s="40">
        <v>1352.11</v>
      </c>
      <c r="N777" s="38" t="s">
        <v>17</v>
      </c>
      <c r="O777" s="41">
        <v>0.22</v>
      </c>
      <c r="P777" s="38" t="s">
        <v>27</v>
      </c>
      <c r="Q777" s="38" t="s">
        <v>22</v>
      </c>
      <c r="R777" s="38" t="str">
        <f>IF(Cleaned_Final!$I777&gt;=5000,"High","Low")</f>
        <v>High</v>
      </c>
    </row>
    <row r="778" spans="1:18" x14ac:dyDescent="0.35">
      <c r="A778" s="34">
        <v>1046</v>
      </c>
      <c r="B778" s="34" t="str">
        <f>_xlfn.XLOOKUP(Table2[[#This Row],[Product ID]],Sheet1!$A$32:$A$200,Sheet1!$B$32:$B$200,"Not Found")</f>
        <v>Sweat Shirts</v>
      </c>
      <c r="C778" s="35">
        <v>45119</v>
      </c>
      <c r="D778" s="34" t="s">
        <v>38</v>
      </c>
      <c r="E778" s="34" t="str" cm="1">
        <f t="array" ref="E778">_xlfn.XLOOKUP(Table2[[#This Row],[Sales Rep]],Sheet1!$A$21:$A$25,Sheet1!$B$21:$B$25,Not Found)</f>
        <v>Tracy Moore</v>
      </c>
      <c r="F778" s="34" t="s">
        <v>15</v>
      </c>
      <c r="G778" s="34">
        <f>_xlfn.XLOOKUP(Table2[[#This Row],[Region]],Sheet1!$A$12:$A$15,Sheet1!$B$12:$B$15,0)</f>
        <v>7.4999999999999997E-2</v>
      </c>
      <c r="H778" s="36">
        <f>Table2[[#This Row],[Tax Rate]]*Table2[[#This Row],[Sales Amount]]</f>
        <v>36.411749999999998</v>
      </c>
      <c r="I778" s="36">
        <v>485.49</v>
      </c>
      <c r="J778" s="34">
        <v>17</v>
      </c>
      <c r="K778" s="34" t="s">
        <v>16</v>
      </c>
      <c r="L778" s="36">
        <v>3850.99</v>
      </c>
      <c r="M778" s="36">
        <v>4045.3399999999901</v>
      </c>
      <c r="N778" s="34" t="s">
        <v>17</v>
      </c>
      <c r="O778" s="37">
        <v>0.16</v>
      </c>
      <c r="P778" s="34" t="s">
        <v>31</v>
      </c>
      <c r="Q778" s="34" t="s">
        <v>19</v>
      </c>
      <c r="R778" s="34" t="str">
        <f>IF(Cleaned_Final!$I778&gt;=5000,"High","Low")</f>
        <v>Low</v>
      </c>
    </row>
    <row r="779" spans="1:18" x14ac:dyDescent="0.35">
      <c r="A779" s="38">
        <v>1035</v>
      </c>
      <c r="B779" s="38" t="str">
        <f>_xlfn.XLOOKUP(Table2[[#This Row],[Product ID]],Sheet1!$A$32:$A$200,Sheet1!$B$32:$B$200,"Not Found")</f>
        <v>Doughnut</v>
      </c>
      <c r="C779" s="39">
        <v>44948</v>
      </c>
      <c r="D779" s="38" t="s">
        <v>42</v>
      </c>
      <c r="E779" s="38" t="str" cm="1">
        <f t="array" ref="E779">_xlfn.XLOOKUP(Table2[[#This Row],[Sales Rep]],Sheet1!$A$21:$A$25,Sheet1!$B$21:$B$25,Not Found)</f>
        <v>Scott Wayne</v>
      </c>
      <c r="F779" s="38" t="s">
        <v>15</v>
      </c>
      <c r="G779" s="38">
        <f>_xlfn.XLOOKUP(Table2[[#This Row],[Region]],Sheet1!$A$12:$A$15,Sheet1!$B$12:$B$15,0)</f>
        <v>7.4999999999999997E-2</v>
      </c>
      <c r="H779" s="40">
        <f>Table2[[#This Row],[Tax Rate]]*Table2[[#This Row],[Sales Amount]]</f>
        <v>629.06099999999992</v>
      </c>
      <c r="I779" s="40">
        <v>8387.48</v>
      </c>
      <c r="J779" s="38">
        <v>28</v>
      </c>
      <c r="K779" s="38" t="s">
        <v>16</v>
      </c>
      <c r="L779" s="40">
        <v>3771.38</v>
      </c>
      <c r="M779" s="40">
        <v>4234.92</v>
      </c>
      <c r="N779" s="38" t="s">
        <v>30</v>
      </c>
      <c r="O779" s="41">
        <v>0.28000000000000003</v>
      </c>
      <c r="P779" s="38" t="s">
        <v>31</v>
      </c>
      <c r="Q779" s="38" t="s">
        <v>22</v>
      </c>
      <c r="R779" s="38" t="str">
        <f>IF(Cleaned_Final!$I779&gt;=5000,"High","Low")</f>
        <v>High</v>
      </c>
    </row>
    <row r="780" spans="1:18" x14ac:dyDescent="0.35">
      <c r="A780" s="34">
        <v>1006</v>
      </c>
      <c r="B780" s="34" t="str">
        <f>_xlfn.XLOOKUP(Table2[[#This Row],[Product ID]],Sheet1!$A$32:$A$200,Sheet1!$B$32:$B$200,"Not Found")</f>
        <v>Monitor</v>
      </c>
      <c r="C780" s="35">
        <v>45046</v>
      </c>
      <c r="D780" s="34" t="s">
        <v>33</v>
      </c>
      <c r="E780" s="34" t="str" cm="1">
        <f t="array" ref="E780">_xlfn.XLOOKUP(Table2[[#This Row],[Sales Rep]],Sheet1!$A$21:$A$25,Sheet1!$B$21:$B$25,Not Found)</f>
        <v>Susan Jerkins</v>
      </c>
      <c r="F780" s="34" t="s">
        <v>15</v>
      </c>
      <c r="G780" s="34">
        <f>_xlfn.XLOOKUP(Table2[[#This Row],[Region]],Sheet1!$A$12:$A$15,Sheet1!$B$12:$B$15,0)</f>
        <v>7.4999999999999997E-2</v>
      </c>
      <c r="H780" s="36">
        <f>Table2[[#This Row],[Tax Rate]]*Table2[[#This Row],[Sales Amount]]</f>
        <v>467.49824999999998</v>
      </c>
      <c r="I780" s="36">
        <v>6233.31</v>
      </c>
      <c r="J780" s="34">
        <v>19</v>
      </c>
      <c r="K780" s="34" t="s">
        <v>29</v>
      </c>
      <c r="L780" s="36">
        <v>2962.41</v>
      </c>
      <c r="M780" s="36">
        <v>3218.8999999999901</v>
      </c>
      <c r="N780" s="34" t="s">
        <v>30</v>
      </c>
      <c r="O780" s="37">
        <v>0.28999999999999998</v>
      </c>
      <c r="P780" s="34" t="s">
        <v>18</v>
      </c>
      <c r="Q780" s="34" t="s">
        <v>22</v>
      </c>
      <c r="R780" s="34" t="str">
        <f>IF(Cleaned_Final!$I780&gt;=5000,"High","Low")</f>
        <v>High</v>
      </c>
    </row>
    <row r="781" spans="1:18" x14ac:dyDescent="0.35">
      <c r="A781" s="38">
        <v>1082</v>
      </c>
      <c r="B781" s="38" t="str">
        <f>_xlfn.XLOOKUP(Table2[[#This Row],[Product ID]],Sheet1!$A$32:$A$200,Sheet1!$B$32:$B$200,"Not Found")</f>
        <v>USB Drive</v>
      </c>
      <c r="C781" s="39">
        <v>45136</v>
      </c>
      <c r="D781" s="38" t="s">
        <v>38</v>
      </c>
      <c r="E781" s="38" t="str" cm="1">
        <f t="array" ref="E781">_xlfn.XLOOKUP(Table2[[#This Row],[Sales Rep]],Sheet1!$A$21:$A$25,Sheet1!$B$21:$B$25,Not Found)</f>
        <v>Tracy Moore</v>
      </c>
      <c r="F781" s="38" t="s">
        <v>34</v>
      </c>
      <c r="G781" s="38">
        <f>_xlfn.XLOOKUP(Table2[[#This Row],[Region]],Sheet1!$A$12:$A$15,Sheet1!$B$12:$B$15,0)</f>
        <v>0.06</v>
      </c>
      <c r="H781" s="40">
        <f>Table2[[#This Row],[Tax Rate]]*Table2[[#This Row],[Sales Amount]]</f>
        <v>340.65659999999997</v>
      </c>
      <c r="I781" s="40">
        <v>5677.61</v>
      </c>
      <c r="J781" s="38">
        <v>46</v>
      </c>
      <c r="K781" s="38" t="s">
        <v>26</v>
      </c>
      <c r="L781" s="40">
        <v>1102.69</v>
      </c>
      <c r="M781" s="40">
        <v>1437.12</v>
      </c>
      <c r="N781" s="38" t="s">
        <v>30</v>
      </c>
      <c r="O781" s="41">
        <v>0.11</v>
      </c>
      <c r="P781" s="38" t="s">
        <v>31</v>
      </c>
      <c r="Q781" s="38" t="s">
        <v>19</v>
      </c>
      <c r="R781" s="38" t="str">
        <f>IF(Cleaned_Final!$I781&gt;=5000,"High","Low")</f>
        <v>High</v>
      </c>
    </row>
    <row r="782" spans="1:18" x14ac:dyDescent="0.35">
      <c r="A782" s="34">
        <v>1069</v>
      </c>
      <c r="B782" s="34" t="str">
        <f>_xlfn.XLOOKUP(Table2[[#This Row],[Product ID]],Sheet1!$A$32:$A$200,Sheet1!$B$32:$B$200,"Not Found")</f>
        <v>Suit</v>
      </c>
      <c r="C782" s="35">
        <v>45232</v>
      </c>
      <c r="D782" s="34" t="s">
        <v>33</v>
      </c>
      <c r="E782" s="34" t="str" cm="1">
        <f t="array" ref="E782">_xlfn.XLOOKUP(Table2[[#This Row],[Sales Rep]],Sheet1!$A$21:$A$25,Sheet1!$B$21:$B$25,Not Found)</f>
        <v>Susan Jerkins</v>
      </c>
      <c r="F782" s="34" t="s">
        <v>15</v>
      </c>
      <c r="G782" s="34">
        <f>_xlfn.XLOOKUP(Table2[[#This Row],[Region]],Sheet1!$A$12:$A$15,Sheet1!$B$12:$B$15,0)</f>
        <v>7.4999999999999997E-2</v>
      </c>
      <c r="H782" s="36">
        <f>Table2[[#This Row],[Tax Rate]]*Table2[[#This Row],[Sales Amount]]</f>
        <v>471.27600000000001</v>
      </c>
      <c r="I782" s="36">
        <v>6283.68</v>
      </c>
      <c r="J782" s="34">
        <v>23</v>
      </c>
      <c r="K782" s="34" t="s">
        <v>16</v>
      </c>
      <c r="L782" s="36">
        <v>530.24</v>
      </c>
      <c r="M782" s="36">
        <v>987.41</v>
      </c>
      <c r="N782" s="34" t="s">
        <v>17</v>
      </c>
      <c r="O782" s="37">
        <v>0.23</v>
      </c>
      <c r="P782" s="34" t="s">
        <v>31</v>
      </c>
      <c r="Q782" s="34" t="s">
        <v>19</v>
      </c>
      <c r="R782" s="34" t="str">
        <f>IF(Cleaned_Final!$I782&gt;=5000,"High","Low")</f>
        <v>High</v>
      </c>
    </row>
    <row r="783" spans="1:18" x14ac:dyDescent="0.35">
      <c r="A783" s="38">
        <v>1047</v>
      </c>
      <c r="B783" s="38" t="str">
        <f>_xlfn.XLOOKUP(Table2[[#This Row],[Product ID]],Sheet1!$A$32:$A$200,Sheet1!$B$32:$B$200,"Not Found")</f>
        <v>Mouse</v>
      </c>
      <c r="C783" s="39">
        <v>45196</v>
      </c>
      <c r="D783" s="38" t="s">
        <v>38</v>
      </c>
      <c r="E783" s="38" t="str" cm="1">
        <f t="array" ref="E783">_xlfn.XLOOKUP(Table2[[#This Row],[Sales Rep]],Sheet1!$A$21:$A$25,Sheet1!$B$21:$B$25,Not Found)</f>
        <v>Tracy Moore</v>
      </c>
      <c r="F783" s="38" t="s">
        <v>15</v>
      </c>
      <c r="G783" s="38">
        <f>_xlfn.XLOOKUP(Table2[[#This Row],[Region]],Sheet1!$A$12:$A$15,Sheet1!$B$12:$B$15,0)</f>
        <v>7.4999999999999997E-2</v>
      </c>
      <c r="H783" s="40">
        <f>Table2[[#This Row],[Tax Rate]]*Table2[[#This Row],[Sales Amount]]</f>
        <v>649.34174999999993</v>
      </c>
      <c r="I783" s="40">
        <v>8657.89</v>
      </c>
      <c r="J783" s="38">
        <v>32</v>
      </c>
      <c r="K783" s="38" t="s">
        <v>35</v>
      </c>
      <c r="L783" s="40">
        <v>367.98</v>
      </c>
      <c r="M783" s="40">
        <v>806.14</v>
      </c>
      <c r="N783" s="38" t="s">
        <v>17</v>
      </c>
      <c r="O783" s="41">
        <v>0.22</v>
      </c>
      <c r="P783" s="38" t="s">
        <v>31</v>
      </c>
      <c r="Q783" s="38" t="s">
        <v>22</v>
      </c>
      <c r="R783" s="38" t="str">
        <f>IF(Cleaned_Final!$I783&gt;=5000,"High","Low")</f>
        <v>High</v>
      </c>
    </row>
    <row r="784" spans="1:18" x14ac:dyDescent="0.35">
      <c r="A784" s="34">
        <v>1025</v>
      </c>
      <c r="B784" s="34" t="str">
        <f>_xlfn.XLOOKUP(Table2[[#This Row],[Product ID]],Sheet1!$A$32:$A$200,Sheet1!$B$32:$B$200,"Not Found")</f>
        <v>Mayonnaise</v>
      </c>
      <c r="C784" s="35">
        <v>45118</v>
      </c>
      <c r="D784" s="34" t="s">
        <v>33</v>
      </c>
      <c r="E784" s="34" t="str" cm="1">
        <f t="array" ref="E784">_xlfn.XLOOKUP(Table2[[#This Row],[Sales Rep]],Sheet1!$A$21:$A$25,Sheet1!$B$21:$B$25,Not Found)</f>
        <v>Susan Jerkins</v>
      </c>
      <c r="F784" s="34" t="s">
        <v>21</v>
      </c>
      <c r="G784" s="34">
        <f>_xlfn.XLOOKUP(Table2[[#This Row],[Region]],Sheet1!$A$12:$A$15,Sheet1!$B$12:$B$15,0)</f>
        <v>0.08</v>
      </c>
      <c r="H784" s="36">
        <f>Table2[[#This Row],[Tax Rate]]*Table2[[#This Row],[Sales Amount]]</f>
        <v>472.85360000000003</v>
      </c>
      <c r="I784" s="36">
        <v>5910.67</v>
      </c>
      <c r="J784" s="34">
        <v>40</v>
      </c>
      <c r="K784" s="34" t="s">
        <v>35</v>
      </c>
      <c r="L784" s="36">
        <v>2983.85</v>
      </c>
      <c r="M784" s="36">
        <v>3239.74</v>
      </c>
      <c r="N784" s="34" t="s">
        <v>30</v>
      </c>
      <c r="O784" s="37">
        <v>0.27</v>
      </c>
      <c r="P784" s="34" t="s">
        <v>31</v>
      </c>
      <c r="Q784" s="34" t="s">
        <v>19</v>
      </c>
      <c r="R784" s="34" t="str">
        <f>IF(Cleaned_Final!$I784&gt;=5000,"High","Low")</f>
        <v>High</v>
      </c>
    </row>
    <row r="785" spans="1:18" x14ac:dyDescent="0.35">
      <c r="A785" s="38">
        <v>1066</v>
      </c>
      <c r="B785" s="38" t="str">
        <f>_xlfn.XLOOKUP(Table2[[#This Row],[Product ID]],Sheet1!$A$32:$A$200,Sheet1!$B$32:$B$200,"Not Found")</f>
        <v>Armoire</v>
      </c>
      <c r="C785" s="39">
        <v>45101</v>
      </c>
      <c r="D785" s="38" t="s">
        <v>14</v>
      </c>
      <c r="E785" s="38" t="str" cm="1">
        <f t="array" ref="E785">_xlfn.XLOOKUP(Table2[[#This Row],[Sales Rep]],Sheet1!$A$21:$A$25,Sheet1!$B$21:$B$25,Not Found)</f>
        <v>Michael Smith</v>
      </c>
      <c r="F785" s="38" t="s">
        <v>21</v>
      </c>
      <c r="G785" s="38">
        <f>_xlfn.XLOOKUP(Table2[[#This Row],[Region]],Sheet1!$A$12:$A$15,Sheet1!$B$12:$B$15,0)</f>
        <v>0.08</v>
      </c>
      <c r="H785" s="40">
        <f>Table2[[#This Row],[Tax Rate]]*Table2[[#This Row],[Sales Amount]]</f>
        <v>468.11279999999999</v>
      </c>
      <c r="I785" s="40">
        <v>5851.41</v>
      </c>
      <c r="J785" s="38">
        <v>13</v>
      </c>
      <c r="K785" s="38" t="s">
        <v>16</v>
      </c>
      <c r="L785" s="40">
        <v>4133.92</v>
      </c>
      <c r="M785" s="40">
        <v>4358.37</v>
      </c>
      <c r="N785" s="38" t="s">
        <v>30</v>
      </c>
      <c r="O785" s="41">
        <v>0.13</v>
      </c>
      <c r="P785" s="38" t="s">
        <v>18</v>
      </c>
      <c r="Q785" s="38" t="s">
        <v>22</v>
      </c>
      <c r="R785" s="38" t="str">
        <f>IF(Cleaned_Final!$I785&gt;=5000,"High","Low")</f>
        <v>High</v>
      </c>
    </row>
    <row r="786" spans="1:18" x14ac:dyDescent="0.35">
      <c r="A786" s="34">
        <v>1010</v>
      </c>
      <c r="B786" s="34" t="str">
        <f>_xlfn.XLOOKUP(Table2[[#This Row],[Product ID]],Sheet1!$A$32:$A$200,Sheet1!$B$32:$B$200,"Not Found")</f>
        <v>Lawn Chair</v>
      </c>
      <c r="C786" s="35">
        <v>45211</v>
      </c>
      <c r="D786" s="34" t="s">
        <v>33</v>
      </c>
      <c r="E786" s="34" t="str" cm="1">
        <f t="array" ref="E786">_xlfn.XLOOKUP(Table2[[#This Row],[Sales Rep]],Sheet1!$A$21:$A$25,Sheet1!$B$21:$B$25,Not Found)</f>
        <v>Susan Jerkins</v>
      </c>
      <c r="F786" s="34" t="s">
        <v>15</v>
      </c>
      <c r="G786" s="34">
        <f>_xlfn.XLOOKUP(Table2[[#This Row],[Region]],Sheet1!$A$12:$A$15,Sheet1!$B$12:$B$15,0)</f>
        <v>7.4999999999999997E-2</v>
      </c>
      <c r="H786" s="36">
        <f>Table2[[#This Row],[Tax Rate]]*Table2[[#This Row],[Sales Amount]]</f>
        <v>743.07899999999995</v>
      </c>
      <c r="I786" s="36">
        <v>9907.7199999999993</v>
      </c>
      <c r="J786" s="34">
        <v>20</v>
      </c>
      <c r="K786" s="34" t="s">
        <v>16</v>
      </c>
      <c r="L786" s="36">
        <v>4298.74</v>
      </c>
      <c r="M786" s="36">
        <v>4475.1899999999996</v>
      </c>
      <c r="N786" s="34" t="s">
        <v>17</v>
      </c>
      <c r="O786" s="37">
        <v>0.16</v>
      </c>
      <c r="P786" s="34" t="s">
        <v>18</v>
      </c>
      <c r="Q786" s="34" t="s">
        <v>19</v>
      </c>
      <c r="R786" s="34" t="str">
        <f>IF(Cleaned_Final!$I786&gt;=5000,"High","Low")</f>
        <v>High</v>
      </c>
    </row>
    <row r="787" spans="1:18" x14ac:dyDescent="0.35">
      <c r="A787" s="38">
        <v>1056</v>
      </c>
      <c r="B787" s="38" t="str">
        <f>_xlfn.XLOOKUP(Table2[[#This Row],[Product ID]],Sheet1!$A$32:$A$200,Sheet1!$B$32:$B$200,"Not Found")</f>
        <v>Track Suits</v>
      </c>
      <c r="C787" s="39">
        <v>45130</v>
      </c>
      <c r="D787" s="38" t="s">
        <v>14</v>
      </c>
      <c r="E787" s="38" t="str" cm="1">
        <f t="array" ref="E787">_xlfn.XLOOKUP(Table2[[#This Row],[Sales Rep]],Sheet1!$A$21:$A$25,Sheet1!$B$21:$B$25,Not Found)</f>
        <v>Michael Smith</v>
      </c>
      <c r="F787" s="38" t="s">
        <v>21</v>
      </c>
      <c r="G787" s="38">
        <f>_xlfn.XLOOKUP(Table2[[#This Row],[Region]],Sheet1!$A$12:$A$15,Sheet1!$B$12:$B$15,0)</f>
        <v>0.08</v>
      </c>
      <c r="H787" s="40">
        <f>Table2[[#This Row],[Tax Rate]]*Table2[[#This Row],[Sales Amount]]</f>
        <v>607.33040000000005</v>
      </c>
      <c r="I787" s="40">
        <v>7591.63</v>
      </c>
      <c r="J787" s="38">
        <v>35</v>
      </c>
      <c r="K787" s="38" t="s">
        <v>16</v>
      </c>
      <c r="L787" s="40">
        <v>2344.9299999999998</v>
      </c>
      <c r="M787" s="40">
        <v>2707.25</v>
      </c>
      <c r="N787" s="38" t="s">
        <v>30</v>
      </c>
      <c r="O787" s="41">
        <v>0.12</v>
      </c>
      <c r="P787" s="38" t="s">
        <v>31</v>
      </c>
      <c r="Q787" s="38" t="s">
        <v>22</v>
      </c>
      <c r="R787" s="38" t="str">
        <f>IF(Cleaned_Final!$I787&gt;=5000,"High","Low")</f>
        <v>High</v>
      </c>
    </row>
    <row r="788" spans="1:18" x14ac:dyDescent="0.35">
      <c r="A788" s="34">
        <v>1030</v>
      </c>
      <c r="B788" s="34" t="str">
        <f>_xlfn.XLOOKUP(Table2[[#This Row],[Product ID]],Sheet1!$A$32:$A$200,Sheet1!$B$32:$B$200,"Not Found")</f>
        <v>Jeans</v>
      </c>
      <c r="C788" s="35">
        <v>45090</v>
      </c>
      <c r="D788" s="34" t="s">
        <v>33</v>
      </c>
      <c r="E788" s="34" t="str" cm="1">
        <f t="array" ref="E788">_xlfn.XLOOKUP(Table2[[#This Row],[Sales Rep]],Sheet1!$A$21:$A$25,Sheet1!$B$21:$B$25,Not Found)</f>
        <v>Susan Jerkins</v>
      </c>
      <c r="F788" s="34" t="s">
        <v>21</v>
      </c>
      <c r="G788" s="34">
        <f>_xlfn.XLOOKUP(Table2[[#This Row],[Region]],Sheet1!$A$12:$A$15,Sheet1!$B$12:$B$15,0)</f>
        <v>0.08</v>
      </c>
      <c r="H788" s="36">
        <f>Table2[[#This Row],[Tax Rate]]*Table2[[#This Row],[Sales Amount]]</f>
        <v>358.29680000000002</v>
      </c>
      <c r="I788" s="36">
        <v>4478.71</v>
      </c>
      <c r="J788" s="34">
        <v>5</v>
      </c>
      <c r="K788" s="34" t="s">
        <v>29</v>
      </c>
      <c r="L788" s="36">
        <v>3932.14</v>
      </c>
      <c r="M788" s="36">
        <v>4082.7599999999902</v>
      </c>
      <c r="N788" s="34" t="s">
        <v>30</v>
      </c>
      <c r="O788" s="37">
        <v>0.26</v>
      </c>
      <c r="P788" s="34" t="s">
        <v>31</v>
      </c>
      <c r="Q788" s="34" t="s">
        <v>19</v>
      </c>
      <c r="R788" s="34" t="str">
        <f>IF(Cleaned_Final!$I788&gt;=5000,"High","Low")</f>
        <v>Low</v>
      </c>
    </row>
    <row r="789" spans="1:18" x14ac:dyDescent="0.35">
      <c r="A789" s="38">
        <v>1005</v>
      </c>
      <c r="B789" s="38" t="str">
        <f>_xlfn.XLOOKUP(Table2[[#This Row],[Product ID]],Sheet1!$A$32:$A$200,Sheet1!$B$32:$B$200,"Not Found")</f>
        <v>Smart Phone</v>
      </c>
      <c r="C789" s="39">
        <v>45177</v>
      </c>
      <c r="D789" s="38" t="s">
        <v>38</v>
      </c>
      <c r="E789" s="38" t="str" cm="1">
        <f t="array" ref="E789">_xlfn.XLOOKUP(Table2[[#This Row],[Sales Rep]],Sheet1!$A$21:$A$25,Sheet1!$B$21:$B$25,Not Found)</f>
        <v>Tracy Moore</v>
      </c>
      <c r="F789" s="38" t="s">
        <v>15</v>
      </c>
      <c r="G789" s="38">
        <f>_xlfn.XLOOKUP(Table2[[#This Row],[Region]],Sheet1!$A$12:$A$15,Sheet1!$B$12:$B$15,0)</f>
        <v>7.4999999999999997E-2</v>
      </c>
      <c r="H789" s="40">
        <f>Table2[[#This Row],[Tax Rate]]*Table2[[#This Row],[Sales Amount]]</f>
        <v>532.7422499999999</v>
      </c>
      <c r="I789" s="40">
        <v>7103.23</v>
      </c>
      <c r="J789" s="38">
        <v>9</v>
      </c>
      <c r="K789" s="38" t="s">
        <v>35</v>
      </c>
      <c r="L789" s="40">
        <v>4737.0600000000004</v>
      </c>
      <c r="M789" s="40">
        <v>4869.5</v>
      </c>
      <c r="N789" s="38" t="s">
        <v>30</v>
      </c>
      <c r="O789" s="41">
        <v>7.0000000000000007E-2</v>
      </c>
      <c r="P789" s="38" t="s">
        <v>18</v>
      </c>
      <c r="Q789" s="38" t="s">
        <v>19</v>
      </c>
      <c r="R789" s="38" t="str">
        <f>IF(Cleaned_Final!$I789&gt;=5000,"High","Low")</f>
        <v>High</v>
      </c>
    </row>
    <row r="790" spans="1:18" x14ac:dyDescent="0.35">
      <c r="A790" s="34">
        <v>1033</v>
      </c>
      <c r="B790" s="34" t="str">
        <f>_xlfn.XLOOKUP(Table2[[#This Row],[Product ID]],Sheet1!$A$32:$A$200,Sheet1!$B$32:$B$200,"Not Found")</f>
        <v>TV Stand</v>
      </c>
      <c r="C790" s="35">
        <v>45153</v>
      </c>
      <c r="D790" s="34" t="s">
        <v>38</v>
      </c>
      <c r="E790" s="34" t="str" cm="1">
        <f t="array" ref="E790">_xlfn.XLOOKUP(Table2[[#This Row],[Sales Rep]],Sheet1!$A$21:$A$25,Sheet1!$B$21:$B$25,Not Found)</f>
        <v>Tracy Moore</v>
      </c>
      <c r="F790" s="34" t="s">
        <v>34</v>
      </c>
      <c r="G790" s="34">
        <f>_xlfn.XLOOKUP(Table2[[#This Row],[Region]],Sheet1!$A$12:$A$15,Sheet1!$B$12:$B$15,0)</f>
        <v>0.06</v>
      </c>
      <c r="H790" s="36">
        <f>Table2[[#This Row],[Tax Rate]]*Table2[[#This Row],[Sales Amount]]</f>
        <v>237.2028</v>
      </c>
      <c r="I790" s="36">
        <v>3953.38</v>
      </c>
      <c r="J790" s="34">
        <v>29</v>
      </c>
      <c r="K790" s="34" t="s">
        <v>29</v>
      </c>
      <c r="L790" s="36">
        <v>1412.09</v>
      </c>
      <c r="M790" s="36">
        <v>1596.6499999999901</v>
      </c>
      <c r="N790" s="34" t="s">
        <v>17</v>
      </c>
      <c r="O790" s="37">
        <v>7.0000000000000007E-2</v>
      </c>
      <c r="P790" s="34" t="s">
        <v>18</v>
      </c>
      <c r="Q790" s="34" t="s">
        <v>19</v>
      </c>
      <c r="R790" s="34" t="str">
        <f>IF(Cleaned_Final!$I790&gt;=5000,"High","Low")</f>
        <v>Low</v>
      </c>
    </row>
    <row r="791" spans="1:18" x14ac:dyDescent="0.35">
      <c r="A791" s="38">
        <v>1065</v>
      </c>
      <c r="B791" s="38" t="str">
        <f>_xlfn.XLOOKUP(Table2[[#This Row],[Product ID]],Sheet1!$A$32:$A$200,Sheet1!$B$32:$B$200,"Not Found")</f>
        <v>Potatoes</v>
      </c>
      <c r="C791" s="39">
        <v>44933</v>
      </c>
      <c r="D791" s="38" t="s">
        <v>38</v>
      </c>
      <c r="E791" s="38" t="str" cm="1">
        <f t="array" ref="E791">_xlfn.XLOOKUP(Table2[[#This Row],[Sales Rep]],Sheet1!$A$21:$A$25,Sheet1!$B$21:$B$25,Not Found)</f>
        <v>Tracy Moore</v>
      </c>
      <c r="F791" s="38" t="s">
        <v>15</v>
      </c>
      <c r="G791" s="38">
        <f>_xlfn.XLOOKUP(Table2[[#This Row],[Region]],Sheet1!$A$12:$A$15,Sheet1!$B$12:$B$15,0)</f>
        <v>7.4999999999999997E-2</v>
      </c>
      <c r="H791" s="40">
        <f>Table2[[#This Row],[Tax Rate]]*Table2[[#This Row],[Sales Amount]]</f>
        <v>177.44024999999999</v>
      </c>
      <c r="I791" s="40">
        <v>2365.87</v>
      </c>
      <c r="J791" s="38">
        <v>6</v>
      </c>
      <c r="K791" s="38" t="s">
        <v>29</v>
      </c>
      <c r="L791" s="40">
        <v>2019.9</v>
      </c>
      <c r="M791" s="40">
        <v>2116.7399999999998</v>
      </c>
      <c r="N791" s="38" t="s">
        <v>30</v>
      </c>
      <c r="O791" s="41">
        <v>0.11</v>
      </c>
      <c r="P791" s="38" t="s">
        <v>31</v>
      </c>
      <c r="Q791" s="38" t="s">
        <v>19</v>
      </c>
      <c r="R791" s="38" t="str">
        <f>IF(Cleaned_Final!$I791&gt;=5000,"High","Low")</f>
        <v>Low</v>
      </c>
    </row>
    <row r="792" spans="1:18" x14ac:dyDescent="0.35">
      <c r="A792" s="34">
        <v>1018</v>
      </c>
      <c r="B792" s="34" t="str">
        <f>_xlfn.XLOOKUP(Table2[[#This Row],[Product ID]],Sheet1!$A$32:$A$200,Sheet1!$B$32:$B$200,"Not Found")</f>
        <v>Dress Shirt</v>
      </c>
      <c r="C792" s="35">
        <v>44955</v>
      </c>
      <c r="D792" s="34" t="s">
        <v>24</v>
      </c>
      <c r="E792" s="34" t="str" cm="1">
        <f t="array" ref="E792">_xlfn.XLOOKUP(Table2[[#This Row],[Sales Rep]],Sheet1!$A$21:$A$25,Sheet1!$B$21:$B$25,Not Found)</f>
        <v>Hogan Rock</v>
      </c>
      <c r="F792" s="34" t="s">
        <v>21</v>
      </c>
      <c r="G792" s="34">
        <f>_xlfn.XLOOKUP(Table2[[#This Row],[Region]],Sheet1!$A$12:$A$15,Sheet1!$B$12:$B$15,0)</f>
        <v>0.08</v>
      </c>
      <c r="H792" s="36">
        <f>Table2[[#This Row],[Tax Rate]]*Table2[[#This Row],[Sales Amount]]</f>
        <v>480.70640000000003</v>
      </c>
      <c r="I792" s="36">
        <v>6008.83</v>
      </c>
      <c r="J792" s="34">
        <v>25</v>
      </c>
      <c r="K792" s="34" t="s">
        <v>26</v>
      </c>
      <c r="L792" s="36">
        <v>4660.82</v>
      </c>
      <c r="M792" s="36">
        <v>5011.4299999999903</v>
      </c>
      <c r="N792" s="34" t="s">
        <v>30</v>
      </c>
      <c r="O792" s="37">
        <v>7.0000000000000007E-2</v>
      </c>
      <c r="P792" s="34" t="s">
        <v>27</v>
      </c>
      <c r="Q792" s="34" t="s">
        <v>19</v>
      </c>
      <c r="R792" s="34" t="str">
        <f>IF(Cleaned_Final!$I792&gt;=5000,"High","Low")</f>
        <v>High</v>
      </c>
    </row>
    <row r="793" spans="1:18" x14ac:dyDescent="0.35">
      <c r="A793" s="38">
        <v>1096</v>
      </c>
      <c r="B793" s="38" t="str">
        <f>_xlfn.XLOOKUP(Table2[[#This Row],[Product ID]],Sheet1!$A$32:$A$200,Sheet1!$B$32:$B$200,"Not Found")</f>
        <v>Radio</v>
      </c>
      <c r="C793" s="39">
        <v>44959</v>
      </c>
      <c r="D793" s="38" t="s">
        <v>42</v>
      </c>
      <c r="E793" s="38" t="str" cm="1">
        <f t="array" ref="E793">_xlfn.XLOOKUP(Table2[[#This Row],[Sales Rep]],Sheet1!$A$21:$A$25,Sheet1!$B$21:$B$25,Not Found)</f>
        <v>Scott Wayne</v>
      </c>
      <c r="F793" s="38" t="s">
        <v>34</v>
      </c>
      <c r="G793" s="38">
        <f>_xlfn.XLOOKUP(Table2[[#This Row],[Region]],Sheet1!$A$12:$A$15,Sheet1!$B$12:$B$15,0)</f>
        <v>0.06</v>
      </c>
      <c r="H793" s="40">
        <f>Table2[[#This Row],[Tax Rate]]*Table2[[#This Row],[Sales Amount]]</f>
        <v>557.34</v>
      </c>
      <c r="I793" s="40">
        <v>9289</v>
      </c>
      <c r="J793" s="38">
        <v>31</v>
      </c>
      <c r="K793" s="38" t="s">
        <v>35</v>
      </c>
      <c r="L793" s="40">
        <v>1724.24</v>
      </c>
      <c r="M793" s="40">
        <v>2036.2</v>
      </c>
      <c r="N793" s="38" t="s">
        <v>30</v>
      </c>
      <c r="O793" s="41">
        <v>0.17</v>
      </c>
      <c r="P793" s="38" t="s">
        <v>18</v>
      </c>
      <c r="Q793" s="38" t="s">
        <v>19</v>
      </c>
      <c r="R793" s="38" t="str">
        <f>IF(Cleaned_Final!$I793&gt;=5000,"High","Low")</f>
        <v>High</v>
      </c>
    </row>
    <row r="794" spans="1:18" x14ac:dyDescent="0.35">
      <c r="A794" s="34">
        <v>1049</v>
      </c>
      <c r="B794" s="34" t="str">
        <f>_xlfn.XLOOKUP(Table2[[#This Row],[Product ID]],Sheet1!$A$32:$A$200,Sheet1!$B$32:$B$200,"Not Found")</f>
        <v>Coffee Table</v>
      </c>
      <c r="C794" s="35">
        <v>45060</v>
      </c>
      <c r="D794" s="34" t="s">
        <v>38</v>
      </c>
      <c r="E794" s="34" t="str" cm="1">
        <f t="array" ref="E794">_xlfn.XLOOKUP(Table2[[#This Row],[Sales Rep]],Sheet1!$A$21:$A$25,Sheet1!$B$21:$B$25,Not Found)</f>
        <v>Tracy Moore</v>
      </c>
      <c r="F794" s="34" t="s">
        <v>25</v>
      </c>
      <c r="G794" s="34">
        <f>_xlfn.XLOOKUP(Table2[[#This Row],[Region]],Sheet1!$A$12:$A$15,Sheet1!$B$12:$B$15,0)</f>
        <v>0.05</v>
      </c>
      <c r="H794" s="36">
        <f>Table2[[#This Row],[Tax Rate]]*Table2[[#This Row],[Sales Amount]]</f>
        <v>464.92399999999998</v>
      </c>
      <c r="I794" s="36">
        <v>9298.48</v>
      </c>
      <c r="J794" s="34">
        <v>22</v>
      </c>
      <c r="K794" s="34" t="s">
        <v>35</v>
      </c>
      <c r="L794" s="36">
        <v>4573.6899999999996</v>
      </c>
      <c r="M794" s="36">
        <v>4820.2999999999902</v>
      </c>
      <c r="N794" s="34" t="s">
        <v>30</v>
      </c>
      <c r="O794" s="37">
        <v>0.04</v>
      </c>
      <c r="P794" s="34" t="s">
        <v>18</v>
      </c>
      <c r="Q794" s="34" t="s">
        <v>19</v>
      </c>
      <c r="R794" s="34" t="str">
        <f>IF(Cleaned_Final!$I794&gt;=5000,"High","Low")</f>
        <v>High</v>
      </c>
    </row>
    <row r="795" spans="1:18" x14ac:dyDescent="0.35">
      <c r="A795" s="38">
        <v>1011</v>
      </c>
      <c r="B795" s="38" t="str">
        <f>_xlfn.XLOOKUP(Table2[[#This Row],[Product ID]],Sheet1!$A$32:$A$200,Sheet1!$B$32:$B$200,"Not Found")</f>
        <v>Coffee Table</v>
      </c>
      <c r="C795" s="39">
        <v>45005</v>
      </c>
      <c r="D795" s="38" t="s">
        <v>14</v>
      </c>
      <c r="E795" s="38" t="str" cm="1">
        <f t="array" ref="E795">_xlfn.XLOOKUP(Table2[[#This Row],[Sales Rep]],Sheet1!$A$21:$A$25,Sheet1!$B$21:$B$25,Not Found)</f>
        <v>Michael Smith</v>
      </c>
      <c r="F795" s="38" t="s">
        <v>34</v>
      </c>
      <c r="G795" s="38">
        <f>_xlfn.XLOOKUP(Table2[[#This Row],[Region]],Sheet1!$A$12:$A$15,Sheet1!$B$12:$B$15,0)</f>
        <v>0.06</v>
      </c>
      <c r="H795" s="40">
        <f>Table2[[#This Row],[Tax Rate]]*Table2[[#This Row],[Sales Amount]]</f>
        <v>209.0916</v>
      </c>
      <c r="I795" s="40">
        <v>3484.86</v>
      </c>
      <c r="J795" s="38">
        <v>2</v>
      </c>
      <c r="K795" s="38" t="s">
        <v>16</v>
      </c>
      <c r="L795" s="40">
        <v>4906.17</v>
      </c>
      <c r="M795" s="40">
        <v>5107.43</v>
      </c>
      <c r="N795" s="38" t="s">
        <v>17</v>
      </c>
      <c r="O795" s="41">
        <v>0.1</v>
      </c>
      <c r="P795" s="38" t="s">
        <v>18</v>
      </c>
      <c r="Q795" s="38" t="s">
        <v>19</v>
      </c>
      <c r="R795" s="38" t="str">
        <f>IF(Cleaned_Final!$I795&gt;=5000,"High","Low")</f>
        <v>Low</v>
      </c>
    </row>
    <row r="796" spans="1:18" x14ac:dyDescent="0.35">
      <c r="A796" s="34">
        <v>1085</v>
      </c>
      <c r="B796" s="34" t="str">
        <f>_xlfn.XLOOKUP(Table2[[#This Row],[Product ID]],Sheet1!$A$32:$A$200,Sheet1!$B$32:$B$200,"Not Found")</f>
        <v>Settee</v>
      </c>
      <c r="C796" s="35">
        <v>44984</v>
      </c>
      <c r="D796" s="34" t="s">
        <v>38</v>
      </c>
      <c r="E796" s="34" t="str" cm="1">
        <f t="array" ref="E796">_xlfn.XLOOKUP(Table2[[#This Row],[Sales Rep]],Sheet1!$A$21:$A$25,Sheet1!$B$21:$B$25,Not Found)</f>
        <v>Tracy Moore</v>
      </c>
      <c r="F796" s="34" t="s">
        <v>21</v>
      </c>
      <c r="G796" s="34">
        <f>_xlfn.XLOOKUP(Table2[[#This Row],[Region]],Sheet1!$A$12:$A$15,Sheet1!$B$12:$B$15,0)</f>
        <v>0.08</v>
      </c>
      <c r="H796" s="36">
        <f>Table2[[#This Row],[Tax Rate]]*Table2[[#This Row],[Sales Amount]]</f>
        <v>425.92080000000004</v>
      </c>
      <c r="I796" s="36">
        <v>5324.01</v>
      </c>
      <c r="J796" s="34">
        <v>45</v>
      </c>
      <c r="K796" s="34" t="s">
        <v>16</v>
      </c>
      <c r="L796" s="36">
        <v>3325.96</v>
      </c>
      <c r="M796" s="36">
        <v>3781.4</v>
      </c>
      <c r="N796" s="34" t="s">
        <v>17</v>
      </c>
      <c r="O796" s="37">
        <v>0.27</v>
      </c>
      <c r="P796" s="34" t="s">
        <v>31</v>
      </c>
      <c r="Q796" s="34" t="s">
        <v>19</v>
      </c>
      <c r="R796" s="34" t="str">
        <f>IF(Cleaned_Final!$I796&gt;=5000,"High","Low")</f>
        <v>High</v>
      </c>
    </row>
    <row r="797" spans="1:18" x14ac:dyDescent="0.35">
      <c r="A797" s="38">
        <v>1026</v>
      </c>
      <c r="B797" s="38" t="str">
        <f>_xlfn.XLOOKUP(Table2[[#This Row],[Product ID]],Sheet1!$A$32:$A$200,Sheet1!$B$32:$B$200,"Not Found")</f>
        <v>Television</v>
      </c>
      <c r="C797" s="39">
        <v>44952</v>
      </c>
      <c r="D797" s="38" t="s">
        <v>24</v>
      </c>
      <c r="E797" s="38" t="str" cm="1">
        <f t="array" ref="E797">_xlfn.XLOOKUP(Table2[[#This Row],[Sales Rep]],Sheet1!$A$21:$A$25,Sheet1!$B$21:$B$25,Not Found)</f>
        <v>Hogan Rock</v>
      </c>
      <c r="F797" s="38" t="s">
        <v>34</v>
      </c>
      <c r="G797" s="38">
        <f>_xlfn.XLOOKUP(Table2[[#This Row],[Region]],Sheet1!$A$12:$A$15,Sheet1!$B$12:$B$15,0)</f>
        <v>0.06</v>
      </c>
      <c r="H797" s="40">
        <f>Table2[[#This Row],[Tax Rate]]*Table2[[#This Row],[Sales Amount]]</f>
        <v>131.71199999999999</v>
      </c>
      <c r="I797" s="40">
        <v>2195.1999999999998</v>
      </c>
      <c r="J797" s="38">
        <v>5</v>
      </c>
      <c r="K797" s="38" t="s">
        <v>26</v>
      </c>
      <c r="L797" s="40">
        <v>4093.61</v>
      </c>
      <c r="M797" s="40">
        <v>4117.88</v>
      </c>
      <c r="N797" s="38" t="s">
        <v>17</v>
      </c>
      <c r="O797" s="41">
        <v>0.12</v>
      </c>
      <c r="P797" s="38" t="s">
        <v>31</v>
      </c>
      <c r="Q797" s="38" t="s">
        <v>22</v>
      </c>
      <c r="R797" s="38" t="str">
        <f>IF(Cleaned_Final!$I797&gt;=5000,"High","Low")</f>
        <v>Low</v>
      </c>
    </row>
    <row r="798" spans="1:18" x14ac:dyDescent="0.35">
      <c r="A798" s="34">
        <v>1063</v>
      </c>
      <c r="B798" s="34" t="str">
        <f>_xlfn.XLOOKUP(Table2[[#This Row],[Product ID]],Sheet1!$A$32:$A$200,Sheet1!$B$32:$B$200,"Not Found")</f>
        <v>Noodles</v>
      </c>
      <c r="C798" s="35">
        <v>45152</v>
      </c>
      <c r="D798" s="34" t="s">
        <v>14</v>
      </c>
      <c r="E798" s="34" t="str" cm="1">
        <f t="array" ref="E798">_xlfn.XLOOKUP(Table2[[#This Row],[Sales Rep]],Sheet1!$A$21:$A$25,Sheet1!$B$21:$B$25,Not Found)</f>
        <v>Michael Smith</v>
      </c>
      <c r="F798" s="34" t="s">
        <v>15</v>
      </c>
      <c r="G798" s="34">
        <f>_xlfn.XLOOKUP(Table2[[#This Row],[Region]],Sheet1!$A$12:$A$15,Sheet1!$B$12:$B$15,0)</f>
        <v>7.4999999999999997E-2</v>
      </c>
      <c r="H798" s="36">
        <f>Table2[[#This Row],[Tax Rate]]*Table2[[#This Row],[Sales Amount]]</f>
        <v>746.75625000000002</v>
      </c>
      <c r="I798" s="36">
        <v>9956.75</v>
      </c>
      <c r="J798" s="34">
        <v>27</v>
      </c>
      <c r="K798" s="34" t="s">
        <v>29</v>
      </c>
      <c r="L798" s="36">
        <v>3760.25</v>
      </c>
      <c r="M798" s="36">
        <v>4147.1099999999997</v>
      </c>
      <c r="N798" s="34" t="s">
        <v>30</v>
      </c>
      <c r="O798" s="37">
        <v>0.22</v>
      </c>
      <c r="P798" s="34" t="s">
        <v>18</v>
      </c>
      <c r="Q798" s="34" t="s">
        <v>19</v>
      </c>
      <c r="R798" s="34" t="str">
        <f>IF(Cleaned_Final!$I798&gt;=5000,"High","Low")</f>
        <v>High</v>
      </c>
    </row>
    <row r="799" spans="1:18" x14ac:dyDescent="0.35">
      <c r="A799" s="38">
        <v>1089</v>
      </c>
      <c r="B799" s="38" t="str">
        <f>_xlfn.XLOOKUP(Table2[[#This Row],[Product ID]],Sheet1!$A$32:$A$200,Sheet1!$B$32:$B$200,"Not Found")</f>
        <v>Recliner</v>
      </c>
      <c r="C799" s="39">
        <v>45211</v>
      </c>
      <c r="D799" s="38" t="s">
        <v>24</v>
      </c>
      <c r="E799" s="38" t="str" cm="1">
        <f t="array" ref="E799">_xlfn.XLOOKUP(Table2[[#This Row],[Sales Rep]],Sheet1!$A$21:$A$25,Sheet1!$B$21:$B$25,Not Found)</f>
        <v>Hogan Rock</v>
      </c>
      <c r="F799" s="38" t="s">
        <v>25</v>
      </c>
      <c r="G799" s="38">
        <f>_xlfn.XLOOKUP(Table2[[#This Row],[Region]],Sheet1!$A$12:$A$15,Sheet1!$B$12:$B$15,0)</f>
        <v>0.05</v>
      </c>
      <c r="H799" s="40">
        <f>Table2[[#This Row],[Tax Rate]]*Table2[[#This Row],[Sales Amount]]</f>
        <v>490.65350000000001</v>
      </c>
      <c r="I799" s="40">
        <v>9813.07</v>
      </c>
      <c r="J799" s="38">
        <v>25</v>
      </c>
      <c r="K799" s="38" t="s">
        <v>16</v>
      </c>
      <c r="L799" s="40">
        <v>3512.69</v>
      </c>
      <c r="M799" s="40">
        <v>3964.63</v>
      </c>
      <c r="N799" s="38" t="s">
        <v>17</v>
      </c>
      <c r="O799" s="41">
        <v>0.03</v>
      </c>
      <c r="P799" s="38" t="s">
        <v>31</v>
      </c>
      <c r="Q799" s="38" t="s">
        <v>22</v>
      </c>
      <c r="R799" s="38" t="str">
        <f>IF(Cleaned_Final!$I799&gt;=5000,"High","Low")</f>
        <v>High</v>
      </c>
    </row>
    <row r="800" spans="1:18" x14ac:dyDescent="0.35">
      <c r="A800" s="34">
        <v>1086</v>
      </c>
      <c r="B800" s="34" t="str">
        <f>_xlfn.XLOOKUP(Table2[[#This Row],[Product ID]],Sheet1!$A$32:$A$200,Sheet1!$B$32:$B$200,"Not Found")</f>
        <v>Gaming Console</v>
      </c>
      <c r="C800" s="35">
        <v>44930</v>
      </c>
      <c r="D800" s="34" t="s">
        <v>14</v>
      </c>
      <c r="E800" s="34" t="str" cm="1">
        <f t="array" ref="E800">_xlfn.XLOOKUP(Table2[[#This Row],[Sales Rep]],Sheet1!$A$21:$A$25,Sheet1!$B$21:$B$25,Not Found)</f>
        <v>Michael Smith</v>
      </c>
      <c r="F800" s="34" t="s">
        <v>25</v>
      </c>
      <c r="G800" s="34">
        <f>_xlfn.XLOOKUP(Table2[[#This Row],[Region]],Sheet1!$A$12:$A$15,Sheet1!$B$12:$B$15,0)</f>
        <v>0.05</v>
      </c>
      <c r="H800" s="36">
        <f>Table2[[#This Row],[Tax Rate]]*Table2[[#This Row],[Sales Amount]]</f>
        <v>326.50700000000006</v>
      </c>
      <c r="I800" s="36">
        <v>6530.14</v>
      </c>
      <c r="J800" s="34">
        <v>8</v>
      </c>
      <c r="K800" s="34" t="s">
        <v>16</v>
      </c>
      <c r="L800" s="36">
        <v>1569.31</v>
      </c>
      <c r="M800" s="36">
        <v>1798.02</v>
      </c>
      <c r="N800" s="34" t="s">
        <v>30</v>
      </c>
      <c r="O800" s="37">
        <v>7.0000000000000007E-2</v>
      </c>
      <c r="P800" s="34" t="s">
        <v>31</v>
      </c>
      <c r="Q800" s="34" t="s">
        <v>19</v>
      </c>
      <c r="R800" s="34" t="str">
        <f>IF(Cleaned_Final!$I800&gt;=5000,"High","Low")</f>
        <v>High</v>
      </c>
    </row>
    <row r="801" spans="1:18" x14ac:dyDescent="0.35">
      <c r="A801" s="38">
        <v>1059</v>
      </c>
      <c r="B801" s="38" t="str">
        <f>_xlfn.XLOOKUP(Table2[[#This Row],[Product ID]],Sheet1!$A$32:$A$200,Sheet1!$B$32:$B$200,"Not Found")</f>
        <v>Coffee Beans</v>
      </c>
      <c r="C801" s="39">
        <v>45025</v>
      </c>
      <c r="D801" s="38" t="s">
        <v>33</v>
      </c>
      <c r="E801" s="38" t="str" cm="1">
        <f t="array" ref="E801">_xlfn.XLOOKUP(Table2[[#This Row],[Sales Rep]],Sheet1!$A$21:$A$25,Sheet1!$B$21:$B$25,Not Found)</f>
        <v>Susan Jerkins</v>
      </c>
      <c r="F801" s="38" t="s">
        <v>25</v>
      </c>
      <c r="G801" s="38">
        <f>_xlfn.XLOOKUP(Table2[[#This Row],[Region]],Sheet1!$A$12:$A$15,Sheet1!$B$12:$B$15,0)</f>
        <v>0.05</v>
      </c>
      <c r="H801" s="40">
        <f>Table2[[#This Row],[Tax Rate]]*Table2[[#This Row],[Sales Amount]]</f>
        <v>403.185</v>
      </c>
      <c r="I801" s="40">
        <v>8063.7</v>
      </c>
      <c r="J801" s="38">
        <v>1</v>
      </c>
      <c r="K801" s="38" t="s">
        <v>35</v>
      </c>
      <c r="L801" s="40">
        <v>332.62</v>
      </c>
      <c r="M801" s="40">
        <v>612.46</v>
      </c>
      <c r="N801" s="38" t="s">
        <v>17</v>
      </c>
      <c r="O801" s="41">
        <v>0.24</v>
      </c>
      <c r="P801" s="38" t="s">
        <v>18</v>
      </c>
      <c r="Q801" s="38" t="s">
        <v>22</v>
      </c>
      <c r="R801" s="38" t="str">
        <f>IF(Cleaned_Final!$I801&gt;=5000,"High","Low")</f>
        <v>High</v>
      </c>
    </row>
    <row r="802" spans="1:18" x14ac:dyDescent="0.35">
      <c r="A802" s="34">
        <v>1027</v>
      </c>
      <c r="B802" s="34" t="str">
        <f>_xlfn.XLOOKUP(Table2[[#This Row],[Product ID]],Sheet1!$A$32:$A$200,Sheet1!$B$32:$B$200,"Not Found")</f>
        <v>Cookies</v>
      </c>
      <c r="C802" s="35">
        <v>44965</v>
      </c>
      <c r="D802" s="34" t="s">
        <v>42</v>
      </c>
      <c r="E802" s="34" t="str" cm="1">
        <f t="array" ref="E802">_xlfn.XLOOKUP(Table2[[#This Row],[Sales Rep]],Sheet1!$A$21:$A$25,Sheet1!$B$21:$B$25,Not Found)</f>
        <v>Scott Wayne</v>
      </c>
      <c r="F802" s="34" t="s">
        <v>21</v>
      </c>
      <c r="G802" s="34">
        <f>_xlfn.XLOOKUP(Table2[[#This Row],[Region]],Sheet1!$A$12:$A$15,Sheet1!$B$12:$B$15,0)</f>
        <v>0.08</v>
      </c>
      <c r="H802" s="36">
        <f>Table2[[#This Row],[Tax Rate]]*Table2[[#This Row],[Sales Amount]]</f>
        <v>574.35919999999999</v>
      </c>
      <c r="I802" s="36">
        <v>7179.49</v>
      </c>
      <c r="J802" s="34">
        <v>20</v>
      </c>
      <c r="K802" s="34" t="s">
        <v>35</v>
      </c>
      <c r="L802" s="36">
        <v>1748.11</v>
      </c>
      <c r="M802" s="36">
        <v>2220.9</v>
      </c>
      <c r="N802" s="34" t="s">
        <v>30</v>
      </c>
      <c r="O802" s="37">
        <v>0.23</v>
      </c>
      <c r="P802" s="34" t="s">
        <v>31</v>
      </c>
      <c r="Q802" s="34" t="s">
        <v>22</v>
      </c>
      <c r="R802" s="34" t="str">
        <f>IF(Cleaned_Final!$I802&gt;=5000,"High","Low")</f>
        <v>High</v>
      </c>
    </row>
    <row r="803" spans="1:18" x14ac:dyDescent="0.35">
      <c r="A803" s="38">
        <v>1049</v>
      </c>
      <c r="B803" s="38" t="str">
        <f>_xlfn.XLOOKUP(Table2[[#This Row],[Product ID]],Sheet1!$A$32:$A$200,Sheet1!$B$32:$B$200,"Not Found")</f>
        <v>Coffee Table</v>
      </c>
      <c r="C803" s="39">
        <v>45197</v>
      </c>
      <c r="D803" s="38" t="s">
        <v>42</v>
      </c>
      <c r="E803" s="38" t="str" cm="1">
        <f t="array" ref="E803">_xlfn.XLOOKUP(Table2[[#This Row],[Sales Rep]],Sheet1!$A$21:$A$25,Sheet1!$B$21:$B$25,Not Found)</f>
        <v>Scott Wayne</v>
      </c>
      <c r="F803" s="38" t="s">
        <v>21</v>
      </c>
      <c r="G803" s="38">
        <f>_xlfn.XLOOKUP(Table2[[#This Row],[Region]],Sheet1!$A$12:$A$15,Sheet1!$B$12:$B$15,0)</f>
        <v>0.08</v>
      </c>
      <c r="H803" s="40">
        <f>Table2[[#This Row],[Tax Rate]]*Table2[[#This Row],[Sales Amount]]</f>
        <v>477.78160000000003</v>
      </c>
      <c r="I803" s="40">
        <v>5972.27</v>
      </c>
      <c r="J803" s="38">
        <v>44</v>
      </c>
      <c r="K803" s="38" t="s">
        <v>16</v>
      </c>
      <c r="L803" s="40">
        <v>3351.33</v>
      </c>
      <c r="M803" s="40">
        <v>3465.35</v>
      </c>
      <c r="N803" s="38" t="s">
        <v>17</v>
      </c>
      <c r="O803" s="41">
        <v>0.12</v>
      </c>
      <c r="P803" s="38" t="s">
        <v>27</v>
      </c>
      <c r="Q803" s="38" t="s">
        <v>19</v>
      </c>
      <c r="R803" s="38" t="str">
        <f>IF(Cleaned_Final!$I803&gt;=5000,"High","Low")</f>
        <v>High</v>
      </c>
    </row>
    <row r="804" spans="1:18" x14ac:dyDescent="0.35">
      <c r="A804" s="34">
        <v>1077</v>
      </c>
      <c r="B804" s="34" t="str">
        <f>_xlfn.XLOOKUP(Table2[[#This Row],[Product ID]],Sheet1!$A$32:$A$200,Sheet1!$B$32:$B$200,"Not Found")</f>
        <v>Skirt</v>
      </c>
      <c r="C804" s="35">
        <v>45211</v>
      </c>
      <c r="D804" s="34" t="s">
        <v>24</v>
      </c>
      <c r="E804" s="34" t="str" cm="1">
        <f t="array" ref="E804">_xlfn.XLOOKUP(Table2[[#This Row],[Sales Rep]],Sheet1!$A$21:$A$25,Sheet1!$B$21:$B$25,Not Found)</f>
        <v>Hogan Rock</v>
      </c>
      <c r="F804" s="34" t="s">
        <v>25</v>
      </c>
      <c r="G804" s="34">
        <f>_xlfn.XLOOKUP(Table2[[#This Row],[Region]],Sheet1!$A$12:$A$15,Sheet1!$B$12:$B$15,0)</f>
        <v>0.05</v>
      </c>
      <c r="H804" s="36">
        <f>Table2[[#This Row],[Tax Rate]]*Table2[[#This Row],[Sales Amount]]</f>
        <v>31.407499999999999</v>
      </c>
      <c r="I804" s="36">
        <v>628.15</v>
      </c>
      <c r="J804" s="34">
        <v>23</v>
      </c>
      <c r="K804" s="34" t="s">
        <v>35</v>
      </c>
      <c r="L804" s="36">
        <v>557.52</v>
      </c>
      <c r="M804" s="36">
        <v>822.39</v>
      </c>
      <c r="N804" s="34" t="s">
        <v>17</v>
      </c>
      <c r="O804" s="37">
        <v>0.28999999999999998</v>
      </c>
      <c r="P804" s="34" t="s">
        <v>31</v>
      </c>
      <c r="Q804" s="34" t="s">
        <v>19</v>
      </c>
      <c r="R804" s="34" t="str">
        <f>IF(Cleaned_Final!$I804&gt;=5000,"High","Low")</f>
        <v>Low</v>
      </c>
    </row>
    <row r="805" spans="1:18" x14ac:dyDescent="0.35">
      <c r="A805" s="38">
        <v>1033</v>
      </c>
      <c r="B805" s="38" t="str">
        <f>_xlfn.XLOOKUP(Table2[[#This Row],[Product ID]],Sheet1!$A$32:$A$200,Sheet1!$B$32:$B$200,"Not Found")</f>
        <v>TV Stand</v>
      </c>
      <c r="C805" s="39">
        <v>45083</v>
      </c>
      <c r="D805" s="38" t="s">
        <v>42</v>
      </c>
      <c r="E805" s="38" t="str" cm="1">
        <f t="array" ref="E805">_xlfn.XLOOKUP(Table2[[#This Row],[Sales Rep]],Sheet1!$A$21:$A$25,Sheet1!$B$21:$B$25,Not Found)</f>
        <v>Scott Wayne</v>
      </c>
      <c r="F805" s="38" t="s">
        <v>34</v>
      </c>
      <c r="G805" s="38">
        <f>_xlfn.XLOOKUP(Table2[[#This Row],[Region]],Sheet1!$A$12:$A$15,Sheet1!$B$12:$B$15,0)</f>
        <v>0.06</v>
      </c>
      <c r="H805" s="40">
        <f>Table2[[#This Row],[Tax Rate]]*Table2[[#This Row],[Sales Amount]]</f>
        <v>276.1302</v>
      </c>
      <c r="I805" s="40">
        <v>4602.17</v>
      </c>
      <c r="J805" s="38">
        <v>32</v>
      </c>
      <c r="K805" s="38" t="s">
        <v>26</v>
      </c>
      <c r="L805" s="40">
        <v>108.99</v>
      </c>
      <c r="M805" s="40">
        <v>351.6</v>
      </c>
      <c r="N805" s="38" t="s">
        <v>17</v>
      </c>
      <c r="O805" s="41">
        <v>0.27</v>
      </c>
      <c r="P805" s="38" t="s">
        <v>31</v>
      </c>
      <c r="Q805" s="38" t="s">
        <v>22</v>
      </c>
      <c r="R805" s="38" t="str">
        <f>IF(Cleaned_Final!$I805&gt;=5000,"High","Low")</f>
        <v>Low</v>
      </c>
    </row>
    <row r="806" spans="1:18" x14ac:dyDescent="0.35">
      <c r="A806" s="34">
        <v>1098</v>
      </c>
      <c r="B806" s="34" t="str">
        <f>_xlfn.XLOOKUP(Table2[[#This Row],[Product ID]],Sheet1!$A$32:$A$200,Sheet1!$B$32:$B$200,"Not Found")</f>
        <v>File Cabinet</v>
      </c>
      <c r="C806" s="35">
        <v>45001</v>
      </c>
      <c r="D806" s="34" t="s">
        <v>24</v>
      </c>
      <c r="E806" s="34" t="str" cm="1">
        <f t="array" ref="E806">_xlfn.XLOOKUP(Table2[[#This Row],[Sales Rep]],Sheet1!$A$21:$A$25,Sheet1!$B$21:$B$25,Not Found)</f>
        <v>Hogan Rock</v>
      </c>
      <c r="F806" s="34" t="s">
        <v>25</v>
      </c>
      <c r="G806" s="34">
        <f>_xlfn.XLOOKUP(Table2[[#This Row],[Region]],Sheet1!$A$12:$A$15,Sheet1!$B$12:$B$15,0)</f>
        <v>0.05</v>
      </c>
      <c r="H806" s="36">
        <f>Table2[[#This Row],[Tax Rate]]*Table2[[#This Row],[Sales Amount]]</f>
        <v>339.01900000000001</v>
      </c>
      <c r="I806" s="36">
        <v>6780.38</v>
      </c>
      <c r="J806" s="34">
        <v>11</v>
      </c>
      <c r="K806" s="34" t="s">
        <v>16</v>
      </c>
      <c r="L806" s="36">
        <v>741.48</v>
      </c>
      <c r="M806" s="36">
        <v>878.09</v>
      </c>
      <c r="N806" s="34" t="s">
        <v>30</v>
      </c>
      <c r="O806" s="37">
        <v>0.28999999999999998</v>
      </c>
      <c r="P806" s="34" t="s">
        <v>18</v>
      </c>
      <c r="Q806" s="34" t="s">
        <v>22</v>
      </c>
      <c r="R806" s="34" t="str">
        <f>IF(Cleaned_Final!$I806&gt;=5000,"High","Low")</f>
        <v>High</v>
      </c>
    </row>
    <row r="807" spans="1:18" x14ac:dyDescent="0.35">
      <c r="A807" s="38">
        <v>1099</v>
      </c>
      <c r="B807" s="38" t="str">
        <f>_xlfn.XLOOKUP(Table2[[#This Row],[Product ID]],Sheet1!$A$32:$A$200,Sheet1!$B$32:$B$200,"Not Found")</f>
        <v>Chest</v>
      </c>
      <c r="C807" s="39">
        <v>45214</v>
      </c>
      <c r="D807" s="38" t="s">
        <v>24</v>
      </c>
      <c r="E807" s="38" t="str" cm="1">
        <f t="array" ref="E807">_xlfn.XLOOKUP(Table2[[#This Row],[Sales Rep]],Sheet1!$A$21:$A$25,Sheet1!$B$21:$B$25,Not Found)</f>
        <v>Hogan Rock</v>
      </c>
      <c r="F807" s="38" t="s">
        <v>34</v>
      </c>
      <c r="G807" s="38">
        <f>_xlfn.XLOOKUP(Table2[[#This Row],[Region]],Sheet1!$A$12:$A$15,Sheet1!$B$12:$B$15,0)</f>
        <v>0.06</v>
      </c>
      <c r="H807" s="40">
        <f>Table2[[#This Row],[Tax Rate]]*Table2[[#This Row],[Sales Amount]]</f>
        <v>408.45359999999999</v>
      </c>
      <c r="I807" s="40">
        <v>6807.56</v>
      </c>
      <c r="J807" s="38">
        <v>39</v>
      </c>
      <c r="K807" s="38" t="s">
        <v>35</v>
      </c>
      <c r="L807" s="40">
        <v>3592.89</v>
      </c>
      <c r="M807" s="40">
        <v>4004</v>
      </c>
      <c r="N807" s="38" t="s">
        <v>30</v>
      </c>
      <c r="O807" s="41">
        <v>0.13</v>
      </c>
      <c r="P807" s="38" t="s">
        <v>18</v>
      </c>
      <c r="Q807" s="38" t="s">
        <v>19</v>
      </c>
      <c r="R807" s="38" t="str">
        <f>IF(Cleaned_Final!$I807&gt;=5000,"High","Low")</f>
        <v>High</v>
      </c>
    </row>
    <row r="808" spans="1:18" x14ac:dyDescent="0.35">
      <c r="A808" s="34">
        <v>1001</v>
      </c>
      <c r="B808" s="34" t="str">
        <f>_xlfn.XLOOKUP(Table2[[#This Row],[Product ID]],Sheet1!$A$32:$A$200,Sheet1!$B$32:$B$200,"Not Found")</f>
        <v>Camera</v>
      </c>
      <c r="C808" s="35">
        <v>45056</v>
      </c>
      <c r="D808" s="34" t="s">
        <v>24</v>
      </c>
      <c r="E808" s="34" t="str" cm="1">
        <f t="array" ref="E808">_xlfn.XLOOKUP(Table2[[#This Row],[Sales Rep]],Sheet1!$A$21:$A$25,Sheet1!$B$21:$B$25,Not Found)</f>
        <v>Hogan Rock</v>
      </c>
      <c r="F808" s="34" t="s">
        <v>34</v>
      </c>
      <c r="G808" s="34">
        <f>_xlfn.XLOOKUP(Table2[[#This Row],[Region]],Sheet1!$A$12:$A$15,Sheet1!$B$12:$B$15,0)</f>
        <v>0.06</v>
      </c>
      <c r="H808" s="36">
        <f>Table2[[#This Row],[Tax Rate]]*Table2[[#This Row],[Sales Amount]]</f>
        <v>227.63459999999998</v>
      </c>
      <c r="I808" s="36">
        <v>3793.91</v>
      </c>
      <c r="J808" s="34">
        <v>47</v>
      </c>
      <c r="K808" s="34" t="s">
        <v>26</v>
      </c>
      <c r="L808" s="36">
        <v>4865.33</v>
      </c>
      <c r="M808" s="36">
        <v>5316.13</v>
      </c>
      <c r="N808" s="34" t="s">
        <v>30</v>
      </c>
      <c r="O808" s="37">
        <v>0.06</v>
      </c>
      <c r="P808" s="34" t="s">
        <v>27</v>
      </c>
      <c r="Q808" s="34" t="s">
        <v>19</v>
      </c>
      <c r="R808" s="34" t="str">
        <f>IF(Cleaned_Final!$I808&gt;=5000,"High","Low")</f>
        <v>Low</v>
      </c>
    </row>
    <row r="809" spans="1:18" x14ac:dyDescent="0.35">
      <c r="A809" s="38">
        <v>1021</v>
      </c>
      <c r="B809" s="38" t="str">
        <f>_xlfn.XLOOKUP(Table2[[#This Row],[Product ID]],Sheet1!$A$32:$A$200,Sheet1!$B$32:$B$200,"Not Found")</f>
        <v>Almond Milk</v>
      </c>
      <c r="C809" s="39">
        <v>45101</v>
      </c>
      <c r="D809" s="38" t="s">
        <v>42</v>
      </c>
      <c r="E809" s="38" t="str" cm="1">
        <f t="array" ref="E809">_xlfn.XLOOKUP(Table2[[#This Row],[Sales Rep]],Sheet1!$A$21:$A$25,Sheet1!$B$21:$B$25,Not Found)</f>
        <v>Scott Wayne</v>
      </c>
      <c r="F809" s="38" t="s">
        <v>21</v>
      </c>
      <c r="G809" s="38">
        <f>_xlfn.XLOOKUP(Table2[[#This Row],[Region]],Sheet1!$A$12:$A$15,Sheet1!$B$12:$B$15,0)</f>
        <v>0.08</v>
      </c>
      <c r="H809" s="40">
        <f>Table2[[#This Row],[Tax Rate]]*Table2[[#This Row],[Sales Amount]]</f>
        <v>753.82</v>
      </c>
      <c r="I809" s="40">
        <v>9422.75</v>
      </c>
      <c r="J809" s="38">
        <v>24</v>
      </c>
      <c r="K809" s="38" t="s">
        <v>35</v>
      </c>
      <c r="L809" s="40">
        <v>4916.17</v>
      </c>
      <c r="M809" s="40">
        <v>5309.32</v>
      </c>
      <c r="N809" s="38" t="s">
        <v>17</v>
      </c>
      <c r="O809" s="41">
        <v>0.19</v>
      </c>
      <c r="P809" s="38" t="s">
        <v>31</v>
      </c>
      <c r="Q809" s="38" t="s">
        <v>19</v>
      </c>
      <c r="R809" s="38" t="str">
        <f>IF(Cleaned_Final!$I809&gt;=5000,"High","Low")</f>
        <v>High</v>
      </c>
    </row>
    <row r="810" spans="1:18" x14ac:dyDescent="0.35">
      <c r="A810" s="34">
        <v>1055</v>
      </c>
      <c r="B810" s="34" t="str">
        <f>_xlfn.XLOOKUP(Table2[[#This Row],[Product ID]],Sheet1!$A$32:$A$200,Sheet1!$B$32:$B$200,"Not Found")</f>
        <v>Cupboard</v>
      </c>
      <c r="C810" s="35">
        <v>45010</v>
      </c>
      <c r="D810" s="34" t="s">
        <v>24</v>
      </c>
      <c r="E810" s="34" t="str" cm="1">
        <f t="array" ref="E810">_xlfn.XLOOKUP(Table2[[#This Row],[Sales Rep]],Sheet1!$A$21:$A$25,Sheet1!$B$21:$B$25,Not Found)</f>
        <v>Hogan Rock</v>
      </c>
      <c r="F810" s="34" t="s">
        <v>34</v>
      </c>
      <c r="G810" s="34">
        <f>_xlfn.XLOOKUP(Table2[[#This Row],[Region]],Sheet1!$A$12:$A$15,Sheet1!$B$12:$B$15,0)</f>
        <v>0.06</v>
      </c>
      <c r="H810" s="36">
        <f>Table2[[#This Row],[Tax Rate]]*Table2[[#This Row],[Sales Amount]]</f>
        <v>105.40979999999999</v>
      </c>
      <c r="I810" s="36">
        <v>1756.83</v>
      </c>
      <c r="J810" s="34">
        <v>11</v>
      </c>
      <c r="K810" s="34" t="s">
        <v>35</v>
      </c>
      <c r="L810" s="36">
        <v>2495.1999999999998</v>
      </c>
      <c r="M810" s="36">
        <v>2600.9299999999998</v>
      </c>
      <c r="N810" s="34" t="s">
        <v>30</v>
      </c>
      <c r="O810" s="37">
        <v>0.21</v>
      </c>
      <c r="P810" s="34" t="s">
        <v>27</v>
      </c>
      <c r="Q810" s="34" t="s">
        <v>22</v>
      </c>
      <c r="R810" s="34" t="str">
        <f>IF(Cleaned_Final!$I810&gt;=5000,"High","Low")</f>
        <v>Low</v>
      </c>
    </row>
    <row r="811" spans="1:18" x14ac:dyDescent="0.35">
      <c r="A811" s="38">
        <v>1006</v>
      </c>
      <c r="B811" s="38" t="str">
        <f>_xlfn.XLOOKUP(Table2[[#This Row],[Product ID]],Sheet1!$A$32:$A$200,Sheet1!$B$32:$B$200,"Not Found")</f>
        <v>Monitor</v>
      </c>
      <c r="C811" s="39">
        <v>44948</v>
      </c>
      <c r="D811" s="38" t="s">
        <v>42</v>
      </c>
      <c r="E811" s="38" t="str" cm="1">
        <f t="array" ref="E811">_xlfn.XLOOKUP(Table2[[#This Row],[Sales Rep]],Sheet1!$A$21:$A$25,Sheet1!$B$21:$B$25,Not Found)</f>
        <v>Scott Wayne</v>
      </c>
      <c r="F811" s="38" t="s">
        <v>25</v>
      </c>
      <c r="G811" s="38">
        <f>_xlfn.XLOOKUP(Table2[[#This Row],[Region]],Sheet1!$A$12:$A$15,Sheet1!$B$12:$B$15,0)</f>
        <v>0.05</v>
      </c>
      <c r="H811" s="40">
        <f>Table2[[#This Row],[Tax Rate]]*Table2[[#This Row],[Sales Amount]]</f>
        <v>252.67800000000003</v>
      </c>
      <c r="I811" s="40">
        <v>5053.5600000000004</v>
      </c>
      <c r="J811" s="38">
        <v>29</v>
      </c>
      <c r="K811" s="38" t="s">
        <v>35</v>
      </c>
      <c r="L811" s="40">
        <v>4353.29</v>
      </c>
      <c r="M811" s="40">
        <v>4405.8</v>
      </c>
      <c r="N811" s="38" t="s">
        <v>30</v>
      </c>
      <c r="O811" s="41">
        <v>0.04</v>
      </c>
      <c r="P811" s="38" t="s">
        <v>27</v>
      </c>
      <c r="Q811" s="38" t="s">
        <v>19</v>
      </c>
      <c r="R811" s="38" t="str">
        <f>IF(Cleaned_Final!$I811&gt;=5000,"High","Low")</f>
        <v>High</v>
      </c>
    </row>
    <row r="812" spans="1:18" x14ac:dyDescent="0.35">
      <c r="A812" s="34">
        <v>1092</v>
      </c>
      <c r="B812" s="34" t="str">
        <f>_xlfn.XLOOKUP(Table2[[#This Row],[Product ID]],Sheet1!$A$32:$A$200,Sheet1!$B$32:$B$200,"Not Found")</f>
        <v>Recliner</v>
      </c>
      <c r="C812" s="35">
        <v>44953</v>
      </c>
      <c r="D812" s="34" t="s">
        <v>24</v>
      </c>
      <c r="E812" s="34" t="str" cm="1">
        <f t="array" ref="E812">_xlfn.XLOOKUP(Table2[[#This Row],[Sales Rep]],Sheet1!$A$21:$A$25,Sheet1!$B$21:$B$25,Not Found)</f>
        <v>Hogan Rock</v>
      </c>
      <c r="F812" s="34" t="s">
        <v>21</v>
      </c>
      <c r="G812" s="34">
        <f>_xlfn.XLOOKUP(Table2[[#This Row],[Region]],Sheet1!$A$12:$A$15,Sheet1!$B$12:$B$15,0)</f>
        <v>0.08</v>
      </c>
      <c r="H812" s="36">
        <f>Table2[[#This Row],[Tax Rate]]*Table2[[#This Row],[Sales Amount]]</f>
        <v>555.18000000000006</v>
      </c>
      <c r="I812" s="36">
        <v>6939.75</v>
      </c>
      <c r="J812" s="34">
        <v>26</v>
      </c>
      <c r="K812" s="34" t="s">
        <v>16</v>
      </c>
      <c r="L812" s="36">
        <v>3697.29</v>
      </c>
      <c r="M812" s="36">
        <v>4003.96</v>
      </c>
      <c r="N812" s="34" t="s">
        <v>30</v>
      </c>
      <c r="O812" s="37">
        <v>0.24</v>
      </c>
      <c r="P812" s="34" t="s">
        <v>18</v>
      </c>
      <c r="Q812" s="34" t="s">
        <v>19</v>
      </c>
      <c r="R812" s="34" t="str">
        <f>IF(Cleaned_Final!$I812&gt;=5000,"High","Low")</f>
        <v>High</v>
      </c>
    </row>
    <row r="813" spans="1:18" x14ac:dyDescent="0.35">
      <c r="A813" s="38">
        <v>1081</v>
      </c>
      <c r="B813" s="38" t="str">
        <f>_xlfn.XLOOKUP(Table2[[#This Row],[Product ID]],Sheet1!$A$32:$A$200,Sheet1!$B$32:$B$200,"Not Found")</f>
        <v>Rocking Chair</v>
      </c>
      <c r="C813" s="39">
        <v>45121</v>
      </c>
      <c r="D813" s="38" t="s">
        <v>38</v>
      </c>
      <c r="E813" s="38" t="str" cm="1">
        <f t="array" ref="E813">_xlfn.XLOOKUP(Table2[[#This Row],[Sales Rep]],Sheet1!$A$21:$A$25,Sheet1!$B$21:$B$25,Not Found)</f>
        <v>Tracy Moore</v>
      </c>
      <c r="F813" s="38" t="s">
        <v>15</v>
      </c>
      <c r="G813" s="38">
        <f>_xlfn.XLOOKUP(Table2[[#This Row],[Region]],Sheet1!$A$12:$A$15,Sheet1!$B$12:$B$15,0)</f>
        <v>7.4999999999999997E-2</v>
      </c>
      <c r="H813" s="40">
        <f>Table2[[#This Row],[Tax Rate]]*Table2[[#This Row],[Sales Amount]]</f>
        <v>525.12300000000005</v>
      </c>
      <c r="I813" s="40">
        <v>7001.64</v>
      </c>
      <c r="J813" s="38">
        <v>16</v>
      </c>
      <c r="K813" s="38" t="s">
        <v>29</v>
      </c>
      <c r="L813" s="40">
        <v>2530.15</v>
      </c>
      <c r="M813" s="40">
        <v>2568.13</v>
      </c>
      <c r="N813" s="38" t="s">
        <v>30</v>
      </c>
      <c r="O813" s="41">
        <v>0.01</v>
      </c>
      <c r="P813" s="38" t="s">
        <v>31</v>
      </c>
      <c r="Q813" s="38" t="s">
        <v>19</v>
      </c>
      <c r="R813" s="38" t="str">
        <f>IF(Cleaned_Final!$I813&gt;=5000,"High","Low")</f>
        <v>High</v>
      </c>
    </row>
    <row r="814" spans="1:18" x14ac:dyDescent="0.35">
      <c r="A814" s="34">
        <v>1069</v>
      </c>
      <c r="B814" s="34" t="str">
        <f>_xlfn.XLOOKUP(Table2[[#This Row],[Product ID]],Sheet1!$A$32:$A$200,Sheet1!$B$32:$B$200,"Not Found")</f>
        <v>Suit</v>
      </c>
      <c r="C814" s="35">
        <v>45263</v>
      </c>
      <c r="D814" s="34" t="s">
        <v>24</v>
      </c>
      <c r="E814" s="34" t="str" cm="1">
        <f t="array" ref="E814">_xlfn.XLOOKUP(Table2[[#This Row],[Sales Rep]],Sheet1!$A$21:$A$25,Sheet1!$B$21:$B$25,Not Found)</f>
        <v>Hogan Rock</v>
      </c>
      <c r="F814" s="34" t="s">
        <v>15</v>
      </c>
      <c r="G814" s="34">
        <f>_xlfn.XLOOKUP(Table2[[#This Row],[Region]],Sheet1!$A$12:$A$15,Sheet1!$B$12:$B$15,0)</f>
        <v>7.4999999999999997E-2</v>
      </c>
      <c r="H814" s="36">
        <f>Table2[[#This Row],[Tax Rate]]*Table2[[#This Row],[Sales Amount]]</f>
        <v>489.11474999999996</v>
      </c>
      <c r="I814" s="36">
        <v>6521.53</v>
      </c>
      <c r="J814" s="34">
        <v>35</v>
      </c>
      <c r="K814" s="34" t="s">
        <v>35</v>
      </c>
      <c r="L814" s="36">
        <v>2885.16</v>
      </c>
      <c r="M814" s="36">
        <v>3224.8399999999901</v>
      </c>
      <c r="N814" s="34" t="s">
        <v>30</v>
      </c>
      <c r="O814" s="37">
        <v>0.14000000000000001</v>
      </c>
      <c r="P814" s="34" t="s">
        <v>18</v>
      </c>
      <c r="Q814" s="34" t="s">
        <v>19</v>
      </c>
      <c r="R814" s="34" t="str">
        <f>IF(Cleaned_Final!$I814&gt;=5000,"High","Low")</f>
        <v>High</v>
      </c>
    </row>
    <row r="815" spans="1:18" x14ac:dyDescent="0.35">
      <c r="A815" s="38">
        <v>1095</v>
      </c>
      <c r="B815" s="38" t="str">
        <f>_xlfn.XLOOKUP(Table2[[#This Row],[Product ID]],Sheet1!$A$32:$A$200,Sheet1!$B$32:$B$200,"Not Found")</f>
        <v>Bluetooth Speaker</v>
      </c>
      <c r="C815" s="39">
        <v>45162</v>
      </c>
      <c r="D815" s="38" t="s">
        <v>14</v>
      </c>
      <c r="E815" s="38" t="str" cm="1">
        <f t="array" ref="E815">_xlfn.XLOOKUP(Table2[[#This Row],[Sales Rep]],Sheet1!$A$21:$A$25,Sheet1!$B$21:$B$25,Not Found)</f>
        <v>Michael Smith</v>
      </c>
      <c r="F815" s="38" t="s">
        <v>21</v>
      </c>
      <c r="G815" s="38">
        <f>_xlfn.XLOOKUP(Table2[[#This Row],[Region]],Sheet1!$A$12:$A$15,Sheet1!$B$12:$B$15,0)</f>
        <v>0.08</v>
      </c>
      <c r="H815" s="40">
        <f>Table2[[#This Row],[Tax Rate]]*Table2[[#This Row],[Sales Amount]]</f>
        <v>226.02799999999999</v>
      </c>
      <c r="I815" s="40">
        <v>2825.35</v>
      </c>
      <c r="J815" s="38">
        <v>20</v>
      </c>
      <c r="K815" s="38" t="s">
        <v>26</v>
      </c>
      <c r="L815" s="40">
        <v>729.27</v>
      </c>
      <c r="M815" s="40">
        <v>999.18</v>
      </c>
      <c r="N815" s="38" t="s">
        <v>30</v>
      </c>
      <c r="O815" s="41">
        <v>0.1</v>
      </c>
      <c r="P815" s="38" t="s">
        <v>27</v>
      </c>
      <c r="Q815" s="38" t="s">
        <v>19</v>
      </c>
      <c r="R815" s="38" t="str">
        <f>IF(Cleaned_Final!$I815&gt;=5000,"High","Low")</f>
        <v>Low</v>
      </c>
    </row>
    <row r="816" spans="1:18" x14ac:dyDescent="0.35">
      <c r="A816" s="34">
        <v>1005</v>
      </c>
      <c r="B816" s="34" t="str">
        <f>_xlfn.XLOOKUP(Table2[[#This Row],[Product ID]],Sheet1!$A$32:$A$200,Sheet1!$B$32:$B$200,"Not Found")</f>
        <v>Smart Phone</v>
      </c>
      <c r="C816" s="35">
        <v>45018</v>
      </c>
      <c r="D816" s="34" t="s">
        <v>24</v>
      </c>
      <c r="E816" s="34" t="str" cm="1">
        <f t="array" ref="E816">_xlfn.XLOOKUP(Table2[[#This Row],[Sales Rep]],Sheet1!$A$21:$A$25,Sheet1!$B$21:$B$25,Not Found)</f>
        <v>Hogan Rock</v>
      </c>
      <c r="F816" s="34" t="s">
        <v>25</v>
      </c>
      <c r="G816" s="34">
        <f>_xlfn.XLOOKUP(Table2[[#This Row],[Region]],Sheet1!$A$12:$A$15,Sheet1!$B$12:$B$15,0)</f>
        <v>0.05</v>
      </c>
      <c r="H816" s="36">
        <f>Table2[[#This Row],[Tax Rate]]*Table2[[#This Row],[Sales Amount]]</f>
        <v>82.322500000000005</v>
      </c>
      <c r="I816" s="36">
        <v>1646.45</v>
      </c>
      <c r="J816" s="34">
        <v>46</v>
      </c>
      <c r="K816" s="34" t="s">
        <v>16</v>
      </c>
      <c r="L816" s="36">
        <v>4691.42</v>
      </c>
      <c r="M816" s="36">
        <v>5026.1899999999996</v>
      </c>
      <c r="N816" s="34" t="s">
        <v>17</v>
      </c>
      <c r="O816" s="37">
        <v>0.22</v>
      </c>
      <c r="P816" s="34" t="s">
        <v>27</v>
      </c>
      <c r="Q816" s="34" t="s">
        <v>22</v>
      </c>
      <c r="R816" s="34" t="str">
        <f>IF(Cleaned_Final!$I816&gt;=5000,"High","Low")</f>
        <v>Low</v>
      </c>
    </row>
    <row r="817" spans="1:18" x14ac:dyDescent="0.35">
      <c r="A817" s="38">
        <v>1003</v>
      </c>
      <c r="B817" s="38" t="str">
        <f>_xlfn.XLOOKUP(Table2[[#This Row],[Product ID]],Sheet1!$A$32:$A$200,Sheet1!$B$32:$B$200,"Not Found")</f>
        <v>Stool</v>
      </c>
      <c r="C817" s="39">
        <v>44947</v>
      </c>
      <c r="D817" s="38" t="s">
        <v>33</v>
      </c>
      <c r="E817" s="38" t="str" cm="1">
        <f t="array" ref="E817">_xlfn.XLOOKUP(Table2[[#This Row],[Sales Rep]],Sheet1!$A$21:$A$25,Sheet1!$B$21:$B$25,Not Found)</f>
        <v>Susan Jerkins</v>
      </c>
      <c r="F817" s="38" t="s">
        <v>15</v>
      </c>
      <c r="G817" s="38">
        <f>_xlfn.XLOOKUP(Table2[[#This Row],[Region]],Sheet1!$A$12:$A$15,Sheet1!$B$12:$B$15,0)</f>
        <v>7.4999999999999997E-2</v>
      </c>
      <c r="H817" s="40">
        <f>Table2[[#This Row],[Tax Rate]]*Table2[[#This Row],[Sales Amount]]</f>
        <v>479.68574999999998</v>
      </c>
      <c r="I817" s="40">
        <v>6395.81</v>
      </c>
      <c r="J817" s="38">
        <v>3</v>
      </c>
      <c r="K817" s="38" t="s">
        <v>16</v>
      </c>
      <c r="L817" s="40">
        <v>1792.05</v>
      </c>
      <c r="M817" s="40">
        <v>2091.23</v>
      </c>
      <c r="N817" s="38" t="s">
        <v>17</v>
      </c>
      <c r="O817" s="41">
        <v>0.09</v>
      </c>
      <c r="P817" s="38" t="s">
        <v>18</v>
      </c>
      <c r="Q817" s="38" t="s">
        <v>22</v>
      </c>
      <c r="R817" s="38" t="str">
        <f>IF(Cleaned_Final!$I817&gt;=5000,"High","Low")</f>
        <v>High</v>
      </c>
    </row>
    <row r="818" spans="1:18" x14ac:dyDescent="0.35">
      <c r="A818" s="34">
        <v>1053</v>
      </c>
      <c r="B818" s="34" t="str">
        <f>_xlfn.XLOOKUP(Table2[[#This Row],[Product ID]],Sheet1!$A$32:$A$200,Sheet1!$B$32:$B$200,"Not Found")</f>
        <v>Bed</v>
      </c>
      <c r="C818" s="35">
        <v>45229</v>
      </c>
      <c r="D818" s="34" t="s">
        <v>24</v>
      </c>
      <c r="E818" s="34" t="str" cm="1">
        <f t="array" ref="E818">_xlfn.XLOOKUP(Table2[[#This Row],[Sales Rep]],Sheet1!$A$21:$A$25,Sheet1!$B$21:$B$25,Not Found)</f>
        <v>Hogan Rock</v>
      </c>
      <c r="F818" s="34" t="s">
        <v>15</v>
      </c>
      <c r="G818" s="34">
        <f>_xlfn.XLOOKUP(Table2[[#This Row],[Region]],Sheet1!$A$12:$A$15,Sheet1!$B$12:$B$15,0)</f>
        <v>7.4999999999999997E-2</v>
      </c>
      <c r="H818" s="36">
        <f>Table2[[#This Row],[Tax Rate]]*Table2[[#This Row],[Sales Amount]]</f>
        <v>452.48174999999998</v>
      </c>
      <c r="I818" s="36">
        <v>6033.09</v>
      </c>
      <c r="J818" s="34">
        <v>1</v>
      </c>
      <c r="K818" s="34" t="s">
        <v>26</v>
      </c>
      <c r="L818" s="36">
        <v>2258.44</v>
      </c>
      <c r="M818" s="36">
        <v>2475.56</v>
      </c>
      <c r="N818" s="34" t="s">
        <v>30</v>
      </c>
      <c r="O818" s="37">
        <v>0.25</v>
      </c>
      <c r="P818" s="34" t="s">
        <v>18</v>
      </c>
      <c r="Q818" s="34" t="s">
        <v>19</v>
      </c>
      <c r="R818" s="34" t="str">
        <f>IF(Cleaned_Final!$I818&gt;=5000,"High","Low")</f>
        <v>High</v>
      </c>
    </row>
    <row r="819" spans="1:18" x14ac:dyDescent="0.35">
      <c r="A819" s="38">
        <v>1023</v>
      </c>
      <c r="B819" s="38" t="str">
        <f>_xlfn.XLOOKUP(Table2[[#This Row],[Product ID]],Sheet1!$A$32:$A$200,Sheet1!$B$32:$B$200,"Not Found")</f>
        <v>Tights</v>
      </c>
      <c r="C819" s="39">
        <v>45283</v>
      </c>
      <c r="D819" s="38" t="s">
        <v>14</v>
      </c>
      <c r="E819" s="38" t="str" cm="1">
        <f t="array" ref="E819">_xlfn.XLOOKUP(Table2[[#This Row],[Sales Rep]],Sheet1!$A$21:$A$25,Sheet1!$B$21:$B$25,Not Found)</f>
        <v>Michael Smith</v>
      </c>
      <c r="F819" s="38" t="s">
        <v>34</v>
      </c>
      <c r="G819" s="38">
        <f>_xlfn.XLOOKUP(Table2[[#This Row],[Region]],Sheet1!$A$12:$A$15,Sheet1!$B$12:$B$15,0)</f>
        <v>0.06</v>
      </c>
      <c r="H819" s="40">
        <f>Table2[[#This Row],[Tax Rate]]*Table2[[#This Row],[Sales Amount]]</f>
        <v>112.53719999999998</v>
      </c>
      <c r="I819" s="40">
        <v>1875.62</v>
      </c>
      <c r="J819" s="38">
        <v>47</v>
      </c>
      <c r="K819" s="38" t="s">
        <v>35</v>
      </c>
      <c r="L819" s="40">
        <v>3374.72</v>
      </c>
      <c r="M819" s="40">
        <v>3483.1499999999901</v>
      </c>
      <c r="N819" s="38" t="s">
        <v>17</v>
      </c>
      <c r="O819" s="41">
        <v>0.18</v>
      </c>
      <c r="P819" s="38" t="s">
        <v>18</v>
      </c>
      <c r="Q819" s="38" t="s">
        <v>19</v>
      </c>
      <c r="R819" s="38" t="str">
        <f>IF(Cleaned_Final!$I819&gt;=5000,"High","Low")</f>
        <v>Low</v>
      </c>
    </row>
    <row r="820" spans="1:18" x14ac:dyDescent="0.35">
      <c r="A820" s="34">
        <v>1053</v>
      </c>
      <c r="B820" s="34" t="str">
        <f>_xlfn.XLOOKUP(Table2[[#This Row],[Product ID]],Sheet1!$A$32:$A$200,Sheet1!$B$32:$B$200,"Not Found")</f>
        <v>Bed</v>
      </c>
      <c r="C820" s="35">
        <v>45010</v>
      </c>
      <c r="D820" s="34" t="s">
        <v>14</v>
      </c>
      <c r="E820" s="34" t="str" cm="1">
        <f t="array" ref="E820">_xlfn.XLOOKUP(Table2[[#This Row],[Sales Rep]],Sheet1!$A$21:$A$25,Sheet1!$B$21:$B$25,Not Found)</f>
        <v>Michael Smith</v>
      </c>
      <c r="F820" s="34" t="s">
        <v>34</v>
      </c>
      <c r="G820" s="34">
        <f>_xlfn.XLOOKUP(Table2[[#This Row],[Region]],Sheet1!$A$12:$A$15,Sheet1!$B$12:$B$15,0)</f>
        <v>0.06</v>
      </c>
      <c r="H820" s="36">
        <f>Table2[[#This Row],[Tax Rate]]*Table2[[#This Row],[Sales Amount]]</f>
        <v>424.8528</v>
      </c>
      <c r="I820" s="36">
        <v>7080.88</v>
      </c>
      <c r="J820" s="34">
        <v>1</v>
      </c>
      <c r="K820" s="34" t="s">
        <v>29</v>
      </c>
      <c r="L820" s="36">
        <v>1702.82</v>
      </c>
      <c r="M820" s="36">
        <v>1862.61</v>
      </c>
      <c r="N820" s="34" t="s">
        <v>17</v>
      </c>
      <c r="O820" s="37">
        <v>0.24</v>
      </c>
      <c r="P820" s="34" t="s">
        <v>18</v>
      </c>
      <c r="Q820" s="34" t="s">
        <v>22</v>
      </c>
      <c r="R820" s="34" t="str">
        <f>IF(Cleaned_Final!$I820&gt;=5000,"High","Low")</f>
        <v>High</v>
      </c>
    </row>
    <row r="821" spans="1:18" x14ac:dyDescent="0.35">
      <c r="A821" s="38">
        <v>1037</v>
      </c>
      <c r="B821" s="38" t="str">
        <f>_xlfn.XLOOKUP(Table2[[#This Row],[Product ID]],Sheet1!$A$32:$A$200,Sheet1!$B$32:$B$200,"Not Found")</f>
        <v>Turtleneck Top</v>
      </c>
      <c r="C821" s="39">
        <v>45188</v>
      </c>
      <c r="D821" s="38" t="s">
        <v>42</v>
      </c>
      <c r="E821" s="38" t="str" cm="1">
        <f t="array" ref="E821">_xlfn.XLOOKUP(Table2[[#This Row],[Sales Rep]],Sheet1!$A$21:$A$25,Sheet1!$B$21:$B$25,Not Found)</f>
        <v>Scott Wayne</v>
      </c>
      <c r="F821" s="38" t="s">
        <v>25</v>
      </c>
      <c r="G821" s="38">
        <f>_xlfn.XLOOKUP(Table2[[#This Row],[Region]],Sheet1!$A$12:$A$15,Sheet1!$B$12:$B$15,0)</f>
        <v>0.05</v>
      </c>
      <c r="H821" s="40">
        <f>Table2[[#This Row],[Tax Rate]]*Table2[[#This Row],[Sales Amount]]</f>
        <v>230.31</v>
      </c>
      <c r="I821" s="40">
        <v>4606.2</v>
      </c>
      <c r="J821" s="38">
        <v>17</v>
      </c>
      <c r="K821" s="38" t="s">
        <v>35</v>
      </c>
      <c r="L821" s="40">
        <v>1308.58</v>
      </c>
      <c r="M821" s="40">
        <v>1575.59</v>
      </c>
      <c r="N821" s="38" t="s">
        <v>30</v>
      </c>
      <c r="O821" s="41">
        <v>0.3</v>
      </c>
      <c r="P821" s="38" t="s">
        <v>18</v>
      </c>
      <c r="Q821" s="38" t="s">
        <v>19</v>
      </c>
      <c r="R821" s="38" t="str">
        <f>IF(Cleaned_Final!$I821&gt;=5000,"High","Low")</f>
        <v>Low</v>
      </c>
    </row>
    <row r="822" spans="1:18" x14ac:dyDescent="0.35">
      <c r="A822" s="34">
        <v>1074</v>
      </c>
      <c r="B822" s="34" t="str">
        <f>_xlfn.XLOOKUP(Table2[[#This Row],[Product ID]],Sheet1!$A$32:$A$200,Sheet1!$B$32:$B$200,"Not Found")</f>
        <v>French Fries</v>
      </c>
      <c r="C822" s="35">
        <v>45073</v>
      </c>
      <c r="D822" s="34" t="s">
        <v>38</v>
      </c>
      <c r="E822" s="34" t="str" cm="1">
        <f t="array" ref="E822">_xlfn.XLOOKUP(Table2[[#This Row],[Sales Rep]],Sheet1!$A$21:$A$25,Sheet1!$B$21:$B$25,Not Found)</f>
        <v>Tracy Moore</v>
      </c>
      <c r="F822" s="34" t="s">
        <v>21</v>
      </c>
      <c r="G822" s="34">
        <f>_xlfn.XLOOKUP(Table2[[#This Row],[Region]],Sheet1!$A$12:$A$15,Sheet1!$B$12:$B$15,0)</f>
        <v>0.08</v>
      </c>
      <c r="H822" s="36">
        <f>Table2[[#This Row],[Tax Rate]]*Table2[[#This Row],[Sales Amount]]</f>
        <v>536.8664</v>
      </c>
      <c r="I822" s="36">
        <v>6710.83</v>
      </c>
      <c r="J822" s="34">
        <v>2</v>
      </c>
      <c r="K822" s="34" t="s">
        <v>26</v>
      </c>
      <c r="L822" s="36">
        <v>3173.69</v>
      </c>
      <c r="M822" s="36">
        <v>3503.11</v>
      </c>
      <c r="N822" s="34" t="s">
        <v>30</v>
      </c>
      <c r="O822" s="37">
        <v>0.2</v>
      </c>
      <c r="P822" s="34" t="s">
        <v>27</v>
      </c>
      <c r="Q822" s="34" t="s">
        <v>22</v>
      </c>
      <c r="R822" s="34" t="str">
        <f>IF(Cleaned_Final!$I822&gt;=5000,"High","Low")</f>
        <v>High</v>
      </c>
    </row>
    <row r="823" spans="1:18" x14ac:dyDescent="0.35">
      <c r="A823" s="38">
        <v>1074</v>
      </c>
      <c r="B823" s="38" t="str">
        <f>_xlfn.XLOOKUP(Table2[[#This Row],[Product ID]],Sheet1!$A$32:$A$200,Sheet1!$B$32:$B$200,"Not Found")</f>
        <v>French Fries</v>
      </c>
      <c r="C823" s="39">
        <v>45183</v>
      </c>
      <c r="D823" s="38" t="s">
        <v>24</v>
      </c>
      <c r="E823" s="38" t="str" cm="1">
        <f t="array" ref="E823">_xlfn.XLOOKUP(Table2[[#This Row],[Sales Rep]],Sheet1!$A$21:$A$25,Sheet1!$B$21:$B$25,Not Found)</f>
        <v>Hogan Rock</v>
      </c>
      <c r="F823" s="38" t="s">
        <v>25</v>
      </c>
      <c r="G823" s="38">
        <f>_xlfn.XLOOKUP(Table2[[#This Row],[Region]],Sheet1!$A$12:$A$15,Sheet1!$B$12:$B$15,0)</f>
        <v>0.05</v>
      </c>
      <c r="H823" s="40">
        <f>Table2[[#This Row],[Tax Rate]]*Table2[[#This Row],[Sales Amount]]</f>
        <v>419.49650000000003</v>
      </c>
      <c r="I823" s="40">
        <v>8389.93</v>
      </c>
      <c r="J823" s="38">
        <v>29</v>
      </c>
      <c r="K823" s="38" t="s">
        <v>16</v>
      </c>
      <c r="L823" s="40">
        <v>173.67</v>
      </c>
      <c r="M823" s="40">
        <v>565.62</v>
      </c>
      <c r="N823" s="38" t="s">
        <v>17</v>
      </c>
      <c r="O823" s="41">
        <v>0.3</v>
      </c>
      <c r="P823" s="38" t="s">
        <v>18</v>
      </c>
      <c r="Q823" s="38" t="s">
        <v>19</v>
      </c>
      <c r="R823" s="38" t="str">
        <f>IF(Cleaned_Final!$I823&gt;=5000,"High","Low")</f>
        <v>High</v>
      </c>
    </row>
    <row r="824" spans="1:18" x14ac:dyDescent="0.35">
      <c r="A824" s="34">
        <v>1083</v>
      </c>
      <c r="B824" s="34" t="str">
        <f>_xlfn.XLOOKUP(Table2[[#This Row],[Product ID]],Sheet1!$A$32:$A$200,Sheet1!$B$32:$B$200,"Not Found")</f>
        <v>Nightstand</v>
      </c>
      <c r="C824" s="35">
        <v>44984</v>
      </c>
      <c r="D824" s="34" t="s">
        <v>42</v>
      </c>
      <c r="E824" s="34" t="str" cm="1">
        <f t="array" ref="E824">_xlfn.XLOOKUP(Table2[[#This Row],[Sales Rep]],Sheet1!$A$21:$A$25,Sheet1!$B$21:$B$25,Not Found)</f>
        <v>Scott Wayne</v>
      </c>
      <c r="F824" s="34" t="s">
        <v>21</v>
      </c>
      <c r="G824" s="34">
        <f>_xlfn.XLOOKUP(Table2[[#This Row],[Region]],Sheet1!$A$12:$A$15,Sheet1!$B$12:$B$15,0)</f>
        <v>0.08</v>
      </c>
      <c r="H824" s="36">
        <f>Table2[[#This Row],[Tax Rate]]*Table2[[#This Row],[Sales Amount]]</f>
        <v>142.4248</v>
      </c>
      <c r="I824" s="36">
        <v>1780.31</v>
      </c>
      <c r="J824" s="34">
        <v>20</v>
      </c>
      <c r="K824" s="34" t="s">
        <v>29</v>
      </c>
      <c r="L824" s="36">
        <v>3617.59</v>
      </c>
      <c r="M824" s="36">
        <v>4003.5</v>
      </c>
      <c r="N824" s="34" t="s">
        <v>30</v>
      </c>
      <c r="O824" s="37">
        <v>0.01</v>
      </c>
      <c r="P824" s="34" t="s">
        <v>31</v>
      </c>
      <c r="Q824" s="34" t="s">
        <v>22</v>
      </c>
      <c r="R824" s="34" t="str">
        <f>IF(Cleaned_Final!$I824&gt;=5000,"High","Low")</f>
        <v>Low</v>
      </c>
    </row>
    <row r="825" spans="1:18" x14ac:dyDescent="0.35">
      <c r="A825" s="38">
        <v>1017</v>
      </c>
      <c r="B825" s="38" t="str">
        <f>_xlfn.XLOOKUP(Table2[[#This Row],[Product ID]],Sheet1!$A$32:$A$200,Sheet1!$B$32:$B$200,"Not Found")</f>
        <v>Peaches</v>
      </c>
      <c r="C825" s="39">
        <v>44941</v>
      </c>
      <c r="D825" s="38" t="s">
        <v>38</v>
      </c>
      <c r="E825" s="38" t="str" cm="1">
        <f t="array" ref="E825">_xlfn.XLOOKUP(Table2[[#This Row],[Sales Rep]],Sheet1!$A$21:$A$25,Sheet1!$B$21:$B$25,Not Found)</f>
        <v>Tracy Moore</v>
      </c>
      <c r="F825" s="38" t="s">
        <v>15</v>
      </c>
      <c r="G825" s="38">
        <f>_xlfn.XLOOKUP(Table2[[#This Row],[Region]],Sheet1!$A$12:$A$15,Sheet1!$B$12:$B$15,0)</f>
        <v>7.4999999999999997E-2</v>
      </c>
      <c r="H825" s="40">
        <f>Table2[[#This Row],[Tax Rate]]*Table2[[#This Row],[Sales Amount]]</f>
        <v>21.714749999999999</v>
      </c>
      <c r="I825" s="40">
        <v>289.52999999999997</v>
      </c>
      <c r="J825" s="38">
        <v>6</v>
      </c>
      <c r="K825" s="38" t="s">
        <v>16</v>
      </c>
      <c r="L825" s="40">
        <v>2594.42</v>
      </c>
      <c r="M825" s="40">
        <v>3081.04</v>
      </c>
      <c r="N825" s="38" t="s">
        <v>17</v>
      </c>
      <c r="O825" s="41">
        <v>0.1</v>
      </c>
      <c r="P825" s="38" t="s">
        <v>27</v>
      </c>
      <c r="Q825" s="38" t="s">
        <v>22</v>
      </c>
      <c r="R825" s="38" t="str">
        <f>IF(Cleaned_Final!$I825&gt;=5000,"High","Low")</f>
        <v>Low</v>
      </c>
    </row>
    <row r="826" spans="1:18" x14ac:dyDescent="0.35">
      <c r="A826" s="34">
        <v>1085</v>
      </c>
      <c r="B826" s="34" t="str">
        <f>_xlfn.XLOOKUP(Table2[[#This Row],[Product ID]],Sheet1!$A$32:$A$200,Sheet1!$B$32:$B$200,"Not Found")</f>
        <v>Settee</v>
      </c>
      <c r="C826" s="35">
        <v>45088</v>
      </c>
      <c r="D826" s="34" t="s">
        <v>24</v>
      </c>
      <c r="E826" s="34" t="str" cm="1">
        <f t="array" ref="E826">_xlfn.XLOOKUP(Table2[[#This Row],[Sales Rep]],Sheet1!$A$21:$A$25,Sheet1!$B$21:$B$25,Not Found)</f>
        <v>Hogan Rock</v>
      </c>
      <c r="F826" s="34" t="s">
        <v>34</v>
      </c>
      <c r="G826" s="34">
        <f>_xlfn.XLOOKUP(Table2[[#This Row],[Region]],Sheet1!$A$12:$A$15,Sheet1!$B$12:$B$15,0)</f>
        <v>0.06</v>
      </c>
      <c r="H826" s="36">
        <f>Table2[[#This Row],[Tax Rate]]*Table2[[#This Row],[Sales Amount]]</f>
        <v>468.78719999999998</v>
      </c>
      <c r="I826" s="36">
        <v>7813.12</v>
      </c>
      <c r="J826" s="34">
        <v>8</v>
      </c>
      <c r="K826" s="34" t="s">
        <v>26</v>
      </c>
      <c r="L826" s="36">
        <v>3048.48</v>
      </c>
      <c r="M826" s="36">
        <v>3198.54</v>
      </c>
      <c r="N826" s="34" t="s">
        <v>17</v>
      </c>
      <c r="O826" s="37">
        <v>0.03</v>
      </c>
      <c r="P826" s="34" t="s">
        <v>27</v>
      </c>
      <c r="Q826" s="34" t="s">
        <v>19</v>
      </c>
      <c r="R826" s="34" t="str">
        <f>IF(Cleaned_Final!$I826&gt;=5000,"High","Low")</f>
        <v>High</v>
      </c>
    </row>
    <row r="827" spans="1:18" x14ac:dyDescent="0.35">
      <c r="A827" s="38">
        <v>1078</v>
      </c>
      <c r="B827" s="38" t="str">
        <f>_xlfn.XLOOKUP(Table2[[#This Row],[Product ID]],Sheet1!$A$32:$A$200,Sheet1!$B$32:$B$200,"Not Found")</f>
        <v>Kitchen Island</v>
      </c>
      <c r="C827" s="39">
        <v>45089</v>
      </c>
      <c r="D827" s="38" t="s">
        <v>33</v>
      </c>
      <c r="E827" s="38" t="str" cm="1">
        <f t="array" ref="E827">_xlfn.XLOOKUP(Table2[[#This Row],[Sales Rep]],Sheet1!$A$21:$A$25,Sheet1!$B$21:$B$25,Not Found)</f>
        <v>Susan Jerkins</v>
      </c>
      <c r="F827" s="38" t="s">
        <v>25</v>
      </c>
      <c r="G827" s="38">
        <f>_xlfn.XLOOKUP(Table2[[#This Row],[Region]],Sheet1!$A$12:$A$15,Sheet1!$B$12:$B$15,0)</f>
        <v>0.05</v>
      </c>
      <c r="H827" s="40">
        <f>Table2[[#This Row],[Tax Rate]]*Table2[[#This Row],[Sales Amount]]</f>
        <v>306.8</v>
      </c>
      <c r="I827" s="40">
        <v>6136</v>
      </c>
      <c r="J827" s="38">
        <v>29</v>
      </c>
      <c r="K827" s="38" t="s">
        <v>35</v>
      </c>
      <c r="L827" s="40">
        <v>3177.81</v>
      </c>
      <c r="M827" s="40">
        <v>3222.65</v>
      </c>
      <c r="N827" s="38" t="s">
        <v>17</v>
      </c>
      <c r="O827" s="41">
        <v>0.08</v>
      </c>
      <c r="P827" s="38" t="s">
        <v>31</v>
      </c>
      <c r="Q827" s="38" t="s">
        <v>22</v>
      </c>
      <c r="R827" s="38" t="str">
        <f>IF(Cleaned_Final!$I827&gt;=5000,"High","Low")</f>
        <v>High</v>
      </c>
    </row>
    <row r="828" spans="1:18" x14ac:dyDescent="0.35">
      <c r="A828" s="34">
        <v>1073</v>
      </c>
      <c r="B828" s="34" t="str">
        <f>_xlfn.XLOOKUP(Table2[[#This Row],[Product ID]],Sheet1!$A$32:$A$200,Sheet1!$B$32:$B$200,"Not Found")</f>
        <v>Console Table</v>
      </c>
      <c r="C828" s="35">
        <v>45246</v>
      </c>
      <c r="D828" s="34" t="s">
        <v>24</v>
      </c>
      <c r="E828" s="34" t="str" cm="1">
        <f t="array" ref="E828">_xlfn.XLOOKUP(Table2[[#This Row],[Sales Rep]],Sheet1!$A$21:$A$25,Sheet1!$B$21:$B$25,Not Found)</f>
        <v>Hogan Rock</v>
      </c>
      <c r="F828" s="34" t="s">
        <v>25</v>
      </c>
      <c r="G828" s="34">
        <f>_xlfn.XLOOKUP(Table2[[#This Row],[Region]],Sheet1!$A$12:$A$15,Sheet1!$B$12:$B$15,0)</f>
        <v>0.05</v>
      </c>
      <c r="H828" s="36">
        <f>Table2[[#This Row],[Tax Rate]]*Table2[[#This Row],[Sales Amount]]</f>
        <v>351.32150000000001</v>
      </c>
      <c r="I828" s="36">
        <v>7026.43</v>
      </c>
      <c r="J828" s="34">
        <v>48</v>
      </c>
      <c r="K828" s="34" t="s">
        <v>29</v>
      </c>
      <c r="L828" s="36">
        <v>2658.9</v>
      </c>
      <c r="M828" s="36">
        <v>2838.27</v>
      </c>
      <c r="N828" s="34" t="s">
        <v>30</v>
      </c>
      <c r="O828" s="37">
        <v>0.25</v>
      </c>
      <c r="P828" s="34" t="s">
        <v>31</v>
      </c>
      <c r="Q828" s="34" t="s">
        <v>19</v>
      </c>
      <c r="R828" s="34" t="str">
        <f>IF(Cleaned_Final!$I828&gt;=5000,"High","Low")</f>
        <v>High</v>
      </c>
    </row>
    <row r="829" spans="1:18" x14ac:dyDescent="0.35">
      <c r="A829" s="38">
        <v>1001</v>
      </c>
      <c r="B829" s="38" t="str">
        <f>_xlfn.XLOOKUP(Table2[[#This Row],[Product ID]],Sheet1!$A$32:$A$200,Sheet1!$B$32:$B$200,"Not Found")</f>
        <v>Camera</v>
      </c>
      <c r="C829" s="39">
        <v>45207</v>
      </c>
      <c r="D829" s="38" t="s">
        <v>14</v>
      </c>
      <c r="E829" s="38" t="str" cm="1">
        <f t="array" ref="E829">_xlfn.XLOOKUP(Table2[[#This Row],[Sales Rep]],Sheet1!$A$21:$A$25,Sheet1!$B$21:$B$25,Not Found)</f>
        <v>Michael Smith</v>
      </c>
      <c r="F829" s="38" t="s">
        <v>21</v>
      </c>
      <c r="G829" s="38">
        <f>_xlfn.XLOOKUP(Table2[[#This Row],[Region]],Sheet1!$A$12:$A$15,Sheet1!$B$12:$B$15,0)</f>
        <v>0.08</v>
      </c>
      <c r="H829" s="40">
        <f>Table2[[#This Row],[Tax Rate]]*Table2[[#This Row],[Sales Amount]]</f>
        <v>671.8184</v>
      </c>
      <c r="I829" s="40">
        <v>8397.73</v>
      </c>
      <c r="J829" s="38">
        <v>33</v>
      </c>
      <c r="K829" s="38" t="s">
        <v>16</v>
      </c>
      <c r="L829" s="40">
        <v>2933.54</v>
      </c>
      <c r="M829" s="40">
        <v>3307.75</v>
      </c>
      <c r="N829" s="38" t="s">
        <v>17</v>
      </c>
      <c r="O829" s="41">
        <v>0.01</v>
      </c>
      <c r="P829" s="38" t="s">
        <v>27</v>
      </c>
      <c r="Q829" s="38" t="s">
        <v>22</v>
      </c>
      <c r="R829" s="38" t="str">
        <f>IF(Cleaned_Final!$I829&gt;=5000,"High","Low")</f>
        <v>High</v>
      </c>
    </row>
    <row r="830" spans="1:18" x14ac:dyDescent="0.35">
      <c r="A830" s="34">
        <v>1051</v>
      </c>
      <c r="B830" s="34" t="str">
        <f>_xlfn.XLOOKUP(Table2[[#This Row],[Product ID]],Sheet1!$A$32:$A$200,Sheet1!$B$32:$B$200,"Not Found")</f>
        <v>Tablet</v>
      </c>
      <c r="C830" s="35">
        <v>45206</v>
      </c>
      <c r="D830" s="34" t="s">
        <v>14</v>
      </c>
      <c r="E830" s="34" t="str" cm="1">
        <f t="array" ref="E830">_xlfn.XLOOKUP(Table2[[#This Row],[Sales Rep]],Sheet1!$A$21:$A$25,Sheet1!$B$21:$B$25,Not Found)</f>
        <v>Michael Smith</v>
      </c>
      <c r="F830" s="34" t="s">
        <v>21</v>
      </c>
      <c r="G830" s="34">
        <f>_xlfn.XLOOKUP(Table2[[#This Row],[Region]],Sheet1!$A$12:$A$15,Sheet1!$B$12:$B$15,0)</f>
        <v>0.08</v>
      </c>
      <c r="H830" s="36">
        <f>Table2[[#This Row],[Tax Rate]]*Table2[[#This Row],[Sales Amount]]</f>
        <v>643.82640000000004</v>
      </c>
      <c r="I830" s="36">
        <v>8047.83</v>
      </c>
      <c r="J830" s="34">
        <v>3</v>
      </c>
      <c r="K830" s="34" t="s">
        <v>16</v>
      </c>
      <c r="L830" s="36">
        <v>3434.75</v>
      </c>
      <c r="M830" s="36">
        <v>3659.42</v>
      </c>
      <c r="N830" s="34" t="s">
        <v>30</v>
      </c>
      <c r="O830" s="37">
        <v>0.16</v>
      </c>
      <c r="P830" s="34" t="s">
        <v>18</v>
      </c>
      <c r="Q830" s="34" t="s">
        <v>19</v>
      </c>
      <c r="R830" s="34" t="str">
        <f>IF(Cleaned_Final!$I830&gt;=5000,"High","Low")</f>
        <v>High</v>
      </c>
    </row>
    <row r="831" spans="1:18" x14ac:dyDescent="0.35">
      <c r="A831" s="38">
        <v>1045</v>
      </c>
      <c r="B831" s="38" t="str">
        <f>_xlfn.XLOOKUP(Table2[[#This Row],[Product ID]],Sheet1!$A$32:$A$200,Sheet1!$B$32:$B$200,"Not Found")</f>
        <v>Bikers Shorts</v>
      </c>
      <c r="C831" s="39">
        <v>44938</v>
      </c>
      <c r="D831" s="38" t="s">
        <v>33</v>
      </c>
      <c r="E831" s="38" t="str" cm="1">
        <f t="array" ref="E831">_xlfn.XLOOKUP(Table2[[#This Row],[Sales Rep]],Sheet1!$A$21:$A$25,Sheet1!$B$21:$B$25,Not Found)</f>
        <v>Susan Jerkins</v>
      </c>
      <c r="F831" s="38" t="s">
        <v>25</v>
      </c>
      <c r="G831" s="38">
        <f>_xlfn.XLOOKUP(Table2[[#This Row],[Region]],Sheet1!$A$12:$A$15,Sheet1!$B$12:$B$15,0)</f>
        <v>0.05</v>
      </c>
      <c r="H831" s="40">
        <f>Table2[[#This Row],[Tax Rate]]*Table2[[#This Row],[Sales Amount]]</f>
        <v>480.65550000000007</v>
      </c>
      <c r="I831" s="40">
        <v>9613.11</v>
      </c>
      <c r="J831" s="38">
        <v>35</v>
      </c>
      <c r="K831" s="38" t="s">
        <v>16</v>
      </c>
      <c r="L831" s="40">
        <v>3777.94</v>
      </c>
      <c r="M831" s="40">
        <v>4188.66</v>
      </c>
      <c r="N831" s="38" t="s">
        <v>30</v>
      </c>
      <c r="O831" s="41">
        <v>0.17</v>
      </c>
      <c r="P831" s="38" t="s">
        <v>27</v>
      </c>
      <c r="Q831" s="38" t="s">
        <v>19</v>
      </c>
      <c r="R831" s="38" t="str">
        <f>IF(Cleaned_Final!$I831&gt;=5000,"High","Low")</f>
        <v>High</v>
      </c>
    </row>
    <row r="832" spans="1:18" x14ac:dyDescent="0.35">
      <c r="A832" s="34">
        <v>1077</v>
      </c>
      <c r="B832" s="34" t="str">
        <f>_xlfn.XLOOKUP(Table2[[#This Row],[Product ID]],Sheet1!$A$32:$A$200,Sheet1!$B$32:$B$200,"Not Found")</f>
        <v>Skirt</v>
      </c>
      <c r="C832" s="35">
        <v>45200</v>
      </c>
      <c r="D832" s="34" t="s">
        <v>42</v>
      </c>
      <c r="E832" s="34" t="str" cm="1">
        <f t="array" ref="E832">_xlfn.XLOOKUP(Table2[[#This Row],[Sales Rep]],Sheet1!$A$21:$A$25,Sheet1!$B$21:$B$25,Not Found)</f>
        <v>Scott Wayne</v>
      </c>
      <c r="F832" s="34" t="s">
        <v>21</v>
      </c>
      <c r="G832" s="34">
        <f>_xlfn.XLOOKUP(Table2[[#This Row],[Region]],Sheet1!$A$12:$A$15,Sheet1!$B$12:$B$15,0)</f>
        <v>0.08</v>
      </c>
      <c r="H832" s="36">
        <f>Table2[[#This Row],[Tax Rate]]*Table2[[#This Row],[Sales Amount]]</f>
        <v>432.46080000000001</v>
      </c>
      <c r="I832" s="36">
        <v>5405.76</v>
      </c>
      <c r="J832" s="34">
        <v>5</v>
      </c>
      <c r="K832" s="34" t="s">
        <v>35</v>
      </c>
      <c r="L832" s="36">
        <v>3650.89</v>
      </c>
      <c r="M832" s="36">
        <v>3930.06</v>
      </c>
      <c r="N832" s="34" t="s">
        <v>30</v>
      </c>
      <c r="O832" s="37">
        <v>0.17</v>
      </c>
      <c r="P832" s="34" t="s">
        <v>27</v>
      </c>
      <c r="Q832" s="34" t="s">
        <v>19</v>
      </c>
      <c r="R832" s="34" t="str">
        <f>IF(Cleaned_Final!$I832&gt;=5000,"High","Low")</f>
        <v>High</v>
      </c>
    </row>
    <row r="833" spans="1:18" x14ac:dyDescent="0.35">
      <c r="A833" s="38">
        <v>1004</v>
      </c>
      <c r="B833" s="38" t="str">
        <f>_xlfn.XLOOKUP(Table2[[#This Row],[Product ID]],Sheet1!$A$32:$A$200,Sheet1!$B$32:$B$200,"Not Found")</f>
        <v>Smartwatch</v>
      </c>
      <c r="C833" s="39">
        <v>45197</v>
      </c>
      <c r="D833" s="38" t="s">
        <v>38</v>
      </c>
      <c r="E833" s="38" t="str" cm="1">
        <f t="array" ref="E833">_xlfn.XLOOKUP(Table2[[#This Row],[Sales Rep]],Sheet1!$A$21:$A$25,Sheet1!$B$21:$B$25,Not Found)</f>
        <v>Tracy Moore</v>
      </c>
      <c r="F833" s="38" t="s">
        <v>25</v>
      </c>
      <c r="G833" s="38">
        <f>_xlfn.XLOOKUP(Table2[[#This Row],[Region]],Sheet1!$A$12:$A$15,Sheet1!$B$12:$B$15,0)</f>
        <v>0.05</v>
      </c>
      <c r="H833" s="40">
        <f>Table2[[#This Row],[Tax Rate]]*Table2[[#This Row],[Sales Amount]]</f>
        <v>246.80549999999999</v>
      </c>
      <c r="I833" s="40">
        <v>4936.1099999999997</v>
      </c>
      <c r="J833" s="38">
        <v>27</v>
      </c>
      <c r="K833" s="38" t="s">
        <v>29</v>
      </c>
      <c r="L833" s="40">
        <v>4354.6000000000004</v>
      </c>
      <c r="M833" s="40">
        <v>4820.2</v>
      </c>
      <c r="N833" s="38" t="s">
        <v>30</v>
      </c>
      <c r="O833" s="41">
        <v>0.14000000000000001</v>
      </c>
      <c r="P833" s="38" t="s">
        <v>31</v>
      </c>
      <c r="Q833" s="38" t="s">
        <v>22</v>
      </c>
      <c r="R833" s="38" t="str">
        <f>IF(Cleaned_Final!$I833&gt;=5000,"High","Low")</f>
        <v>Low</v>
      </c>
    </row>
    <row r="834" spans="1:18" x14ac:dyDescent="0.35">
      <c r="A834" s="34">
        <v>1062</v>
      </c>
      <c r="B834" s="34" t="str">
        <f>_xlfn.XLOOKUP(Table2[[#This Row],[Product ID]],Sheet1!$A$32:$A$200,Sheet1!$B$32:$B$200,"Not Found")</f>
        <v>Boxers</v>
      </c>
      <c r="C834" s="35">
        <v>45134</v>
      </c>
      <c r="D834" s="34" t="s">
        <v>24</v>
      </c>
      <c r="E834" s="34" t="str" cm="1">
        <f t="array" ref="E834">_xlfn.XLOOKUP(Table2[[#This Row],[Sales Rep]],Sheet1!$A$21:$A$25,Sheet1!$B$21:$B$25,Not Found)</f>
        <v>Hogan Rock</v>
      </c>
      <c r="F834" s="34" t="s">
        <v>25</v>
      </c>
      <c r="G834" s="34">
        <f>_xlfn.XLOOKUP(Table2[[#This Row],[Region]],Sheet1!$A$12:$A$15,Sheet1!$B$12:$B$15,0)</f>
        <v>0.05</v>
      </c>
      <c r="H834" s="36">
        <f>Table2[[#This Row],[Tax Rate]]*Table2[[#This Row],[Sales Amount]]</f>
        <v>203.934</v>
      </c>
      <c r="I834" s="36">
        <v>4078.68</v>
      </c>
      <c r="J834" s="34">
        <v>44</v>
      </c>
      <c r="K834" s="34" t="s">
        <v>35</v>
      </c>
      <c r="L834" s="36">
        <v>987.74</v>
      </c>
      <c r="M834" s="36">
        <v>1462.19</v>
      </c>
      <c r="N834" s="34" t="s">
        <v>30</v>
      </c>
      <c r="O834" s="37">
        <v>0.24</v>
      </c>
      <c r="P834" s="34" t="s">
        <v>27</v>
      </c>
      <c r="Q834" s="34" t="s">
        <v>19</v>
      </c>
      <c r="R834" s="34" t="str">
        <f>IF(Cleaned_Final!$I834&gt;=5000,"High","Low")</f>
        <v>Low</v>
      </c>
    </row>
    <row r="835" spans="1:18" x14ac:dyDescent="0.35">
      <c r="A835" s="38">
        <v>1065</v>
      </c>
      <c r="B835" s="38" t="str">
        <f>_xlfn.XLOOKUP(Table2[[#This Row],[Product ID]],Sheet1!$A$32:$A$200,Sheet1!$B$32:$B$200,"Not Found")</f>
        <v>Potatoes</v>
      </c>
      <c r="C835" s="39">
        <v>44953</v>
      </c>
      <c r="D835" s="38" t="s">
        <v>14</v>
      </c>
      <c r="E835" s="38" t="str" cm="1">
        <f t="array" ref="E835">_xlfn.XLOOKUP(Table2[[#This Row],[Sales Rep]],Sheet1!$A$21:$A$25,Sheet1!$B$21:$B$25,Not Found)</f>
        <v>Michael Smith</v>
      </c>
      <c r="F835" s="38" t="s">
        <v>25</v>
      </c>
      <c r="G835" s="38">
        <f>_xlfn.XLOOKUP(Table2[[#This Row],[Region]],Sheet1!$A$12:$A$15,Sheet1!$B$12:$B$15,0)</f>
        <v>0.05</v>
      </c>
      <c r="H835" s="40">
        <f>Table2[[#This Row],[Tax Rate]]*Table2[[#This Row],[Sales Amount]]</f>
        <v>81.076999999999998</v>
      </c>
      <c r="I835" s="40">
        <v>1621.54</v>
      </c>
      <c r="J835" s="38">
        <v>12</v>
      </c>
      <c r="K835" s="38" t="s">
        <v>35</v>
      </c>
      <c r="L835" s="40">
        <v>2035.68</v>
      </c>
      <c r="M835" s="40">
        <v>2079.64</v>
      </c>
      <c r="N835" s="38" t="s">
        <v>17</v>
      </c>
      <c r="O835" s="41">
        <v>0.04</v>
      </c>
      <c r="P835" s="38" t="s">
        <v>18</v>
      </c>
      <c r="Q835" s="38" t="s">
        <v>19</v>
      </c>
      <c r="R835" s="38" t="str">
        <f>IF(Cleaned_Final!$I835&gt;=5000,"High","Low")</f>
        <v>Low</v>
      </c>
    </row>
    <row r="836" spans="1:18" x14ac:dyDescent="0.35">
      <c r="A836" s="34">
        <v>1032</v>
      </c>
      <c r="B836" s="34" t="str">
        <f>_xlfn.XLOOKUP(Table2[[#This Row],[Product ID]],Sheet1!$A$32:$A$200,Sheet1!$B$32:$B$200,"Not Found")</f>
        <v>Refridgerator</v>
      </c>
      <c r="C836" s="35">
        <v>44998</v>
      </c>
      <c r="D836" s="34" t="s">
        <v>42</v>
      </c>
      <c r="E836" s="34" t="str" cm="1">
        <f t="array" ref="E836">_xlfn.XLOOKUP(Table2[[#This Row],[Sales Rep]],Sheet1!$A$21:$A$25,Sheet1!$B$21:$B$25,Not Found)</f>
        <v>Scott Wayne</v>
      </c>
      <c r="F836" s="34" t="s">
        <v>15</v>
      </c>
      <c r="G836" s="34">
        <f>_xlfn.XLOOKUP(Table2[[#This Row],[Region]],Sheet1!$A$12:$A$15,Sheet1!$B$12:$B$15,0)</f>
        <v>7.4999999999999997E-2</v>
      </c>
      <c r="H836" s="36">
        <f>Table2[[#This Row],[Tax Rate]]*Table2[[#This Row],[Sales Amount]]</f>
        <v>432.66075000000001</v>
      </c>
      <c r="I836" s="36">
        <v>5768.81</v>
      </c>
      <c r="J836" s="34">
        <v>20</v>
      </c>
      <c r="K836" s="34" t="s">
        <v>35</v>
      </c>
      <c r="L836" s="36">
        <v>4741.59</v>
      </c>
      <c r="M836" s="36">
        <v>4975.2299999999996</v>
      </c>
      <c r="N836" s="34" t="s">
        <v>30</v>
      </c>
      <c r="O836" s="37">
        <v>0.09</v>
      </c>
      <c r="P836" s="34" t="s">
        <v>31</v>
      </c>
      <c r="Q836" s="34" t="s">
        <v>19</v>
      </c>
      <c r="R836" s="34" t="str">
        <f>IF(Cleaned_Final!$I836&gt;=5000,"High","Low")</f>
        <v>High</v>
      </c>
    </row>
    <row r="837" spans="1:18" x14ac:dyDescent="0.35">
      <c r="A837" s="38">
        <v>1034</v>
      </c>
      <c r="B837" s="38" t="str">
        <f>_xlfn.XLOOKUP(Table2[[#This Row],[Product ID]],Sheet1!$A$32:$A$200,Sheet1!$B$32:$B$200,"Not Found")</f>
        <v>Socks Pack</v>
      </c>
      <c r="C837" s="39">
        <v>44986</v>
      </c>
      <c r="D837" s="38" t="s">
        <v>33</v>
      </c>
      <c r="E837" s="38" t="str" cm="1">
        <f t="array" ref="E837">_xlfn.XLOOKUP(Table2[[#This Row],[Sales Rep]],Sheet1!$A$21:$A$25,Sheet1!$B$21:$B$25,Not Found)</f>
        <v>Susan Jerkins</v>
      </c>
      <c r="F837" s="38" t="s">
        <v>21</v>
      </c>
      <c r="G837" s="38">
        <f>_xlfn.XLOOKUP(Table2[[#This Row],[Region]],Sheet1!$A$12:$A$15,Sheet1!$B$12:$B$15,0)</f>
        <v>0.08</v>
      </c>
      <c r="H837" s="40">
        <f>Table2[[#This Row],[Tax Rate]]*Table2[[#This Row],[Sales Amount]]</f>
        <v>227.39360000000002</v>
      </c>
      <c r="I837" s="40">
        <v>2842.42</v>
      </c>
      <c r="J837" s="38">
        <v>45</v>
      </c>
      <c r="K837" s="38" t="s">
        <v>26</v>
      </c>
      <c r="L837" s="40">
        <v>2013.12</v>
      </c>
      <c r="M837" s="40">
        <v>2321.87</v>
      </c>
      <c r="N837" s="38" t="s">
        <v>30</v>
      </c>
      <c r="O837" s="41">
        <v>0.18</v>
      </c>
      <c r="P837" s="38" t="s">
        <v>27</v>
      </c>
      <c r="Q837" s="38" t="s">
        <v>22</v>
      </c>
      <c r="R837" s="38" t="str">
        <f>IF(Cleaned_Final!$I837&gt;=5000,"High","Low")</f>
        <v>Low</v>
      </c>
    </row>
    <row r="838" spans="1:18" x14ac:dyDescent="0.35">
      <c r="A838" s="34">
        <v>1092</v>
      </c>
      <c r="B838" s="34" t="str">
        <f>_xlfn.XLOOKUP(Table2[[#This Row],[Product ID]],Sheet1!$A$32:$A$200,Sheet1!$B$32:$B$200,"Not Found")</f>
        <v>Recliner</v>
      </c>
      <c r="C838" s="35">
        <v>45071</v>
      </c>
      <c r="D838" s="34" t="s">
        <v>14</v>
      </c>
      <c r="E838" s="34" t="str" cm="1">
        <f t="array" ref="E838">_xlfn.XLOOKUP(Table2[[#This Row],[Sales Rep]],Sheet1!$A$21:$A$25,Sheet1!$B$21:$B$25,Not Found)</f>
        <v>Michael Smith</v>
      </c>
      <c r="F838" s="34" t="s">
        <v>34</v>
      </c>
      <c r="G838" s="34">
        <f>_xlfn.XLOOKUP(Table2[[#This Row],[Region]],Sheet1!$A$12:$A$15,Sheet1!$B$12:$B$15,0)</f>
        <v>0.06</v>
      </c>
      <c r="H838" s="36">
        <f>Table2[[#This Row],[Tax Rate]]*Table2[[#This Row],[Sales Amount]]</f>
        <v>553.25639999999999</v>
      </c>
      <c r="I838" s="36">
        <v>9220.94</v>
      </c>
      <c r="J838" s="34">
        <v>20</v>
      </c>
      <c r="K838" s="34" t="s">
        <v>26</v>
      </c>
      <c r="L838" s="36">
        <v>668.11</v>
      </c>
      <c r="M838" s="36">
        <v>803.49</v>
      </c>
      <c r="N838" s="34" t="s">
        <v>30</v>
      </c>
      <c r="O838" s="37">
        <v>0.21</v>
      </c>
      <c r="P838" s="34" t="s">
        <v>27</v>
      </c>
      <c r="Q838" s="34" t="s">
        <v>19</v>
      </c>
      <c r="R838" s="34" t="str">
        <f>IF(Cleaned_Final!$I838&gt;=5000,"High","Low")</f>
        <v>High</v>
      </c>
    </row>
    <row r="839" spans="1:18" x14ac:dyDescent="0.35">
      <c r="A839" s="38">
        <v>1095</v>
      </c>
      <c r="B839" s="38" t="str">
        <f>_xlfn.XLOOKUP(Table2[[#This Row],[Product ID]],Sheet1!$A$32:$A$200,Sheet1!$B$32:$B$200,"Not Found")</f>
        <v>Bluetooth Speaker</v>
      </c>
      <c r="C839" s="39">
        <v>45019</v>
      </c>
      <c r="D839" s="38" t="s">
        <v>33</v>
      </c>
      <c r="E839" s="38" t="str" cm="1">
        <f t="array" ref="E839">_xlfn.XLOOKUP(Table2[[#This Row],[Sales Rep]],Sheet1!$A$21:$A$25,Sheet1!$B$21:$B$25,Not Found)</f>
        <v>Susan Jerkins</v>
      </c>
      <c r="F839" s="38" t="s">
        <v>34</v>
      </c>
      <c r="G839" s="38">
        <f>_xlfn.XLOOKUP(Table2[[#This Row],[Region]],Sheet1!$A$12:$A$15,Sheet1!$B$12:$B$15,0)</f>
        <v>0.06</v>
      </c>
      <c r="H839" s="40">
        <f>Table2[[#This Row],[Tax Rate]]*Table2[[#This Row],[Sales Amount]]</f>
        <v>352.41539999999998</v>
      </c>
      <c r="I839" s="40">
        <v>5873.59</v>
      </c>
      <c r="J839" s="38">
        <v>9</v>
      </c>
      <c r="K839" s="38" t="s">
        <v>26</v>
      </c>
      <c r="L839" s="40">
        <v>2650.95</v>
      </c>
      <c r="M839" s="40">
        <v>2860.4199999999901</v>
      </c>
      <c r="N839" s="38" t="s">
        <v>30</v>
      </c>
      <c r="O839" s="41">
        <v>0.12</v>
      </c>
      <c r="P839" s="38" t="s">
        <v>18</v>
      </c>
      <c r="Q839" s="38" t="s">
        <v>22</v>
      </c>
      <c r="R839" s="38" t="str">
        <f>IF(Cleaned_Final!$I839&gt;=5000,"High","Low")</f>
        <v>High</v>
      </c>
    </row>
    <row r="840" spans="1:18" x14ac:dyDescent="0.35">
      <c r="A840" s="34">
        <v>1072</v>
      </c>
      <c r="B840" s="34" t="str">
        <f>_xlfn.XLOOKUP(Table2[[#This Row],[Product ID]],Sheet1!$A$32:$A$200,Sheet1!$B$32:$B$200,"Not Found")</f>
        <v>T-Shirt</v>
      </c>
      <c r="C840" s="35">
        <v>45235</v>
      </c>
      <c r="D840" s="34" t="s">
        <v>24</v>
      </c>
      <c r="E840" s="34" t="str" cm="1">
        <f t="array" ref="E840">_xlfn.XLOOKUP(Table2[[#This Row],[Sales Rep]],Sheet1!$A$21:$A$25,Sheet1!$B$21:$B$25,Not Found)</f>
        <v>Hogan Rock</v>
      </c>
      <c r="F840" s="34" t="s">
        <v>21</v>
      </c>
      <c r="G840" s="34">
        <f>_xlfn.XLOOKUP(Table2[[#This Row],[Region]],Sheet1!$A$12:$A$15,Sheet1!$B$12:$B$15,0)</f>
        <v>0.08</v>
      </c>
      <c r="H840" s="36">
        <f>Table2[[#This Row],[Tax Rate]]*Table2[[#This Row],[Sales Amount]]</f>
        <v>477.52960000000002</v>
      </c>
      <c r="I840" s="36">
        <v>5969.12</v>
      </c>
      <c r="J840" s="34">
        <v>39</v>
      </c>
      <c r="K840" s="34" t="s">
        <v>29</v>
      </c>
      <c r="L840" s="36">
        <v>591.98</v>
      </c>
      <c r="M840" s="36">
        <v>934.04</v>
      </c>
      <c r="N840" s="34" t="s">
        <v>30</v>
      </c>
      <c r="O840" s="37">
        <v>0.26</v>
      </c>
      <c r="P840" s="34" t="s">
        <v>27</v>
      </c>
      <c r="Q840" s="34" t="s">
        <v>22</v>
      </c>
      <c r="R840" s="34" t="str">
        <f>IF(Cleaned_Final!$I840&gt;=5000,"High","Low")</f>
        <v>High</v>
      </c>
    </row>
    <row r="841" spans="1:18" x14ac:dyDescent="0.35">
      <c r="A841" s="38">
        <v>1039</v>
      </c>
      <c r="B841" s="38" t="str">
        <f>_xlfn.XLOOKUP(Table2[[#This Row],[Product ID]],Sheet1!$A$32:$A$200,Sheet1!$B$32:$B$200,"Not Found")</f>
        <v>Hoodie</v>
      </c>
      <c r="C841" s="39">
        <v>44934</v>
      </c>
      <c r="D841" s="38" t="s">
        <v>38</v>
      </c>
      <c r="E841" s="38" t="str" cm="1">
        <f t="array" ref="E841">_xlfn.XLOOKUP(Table2[[#This Row],[Sales Rep]],Sheet1!$A$21:$A$25,Sheet1!$B$21:$B$25,Not Found)</f>
        <v>Tracy Moore</v>
      </c>
      <c r="F841" s="38" t="s">
        <v>25</v>
      </c>
      <c r="G841" s="38">
        <f>_xlfn.XLOOKUP(Table2[[#This Row],[Region]],Sheet1!$A$12:$A$15,Sheet1!$B$12:$B$15,0)</f>
        <v>0.05</v>
      </c>
      <c r="H841" s="40">
        <f>Table2[[#This Row],[Tax Rate]]*Table2[[#This Row],[Sales Amount]]</f>
        <v>180.6875</v>
      </c>
      <c r="I841" s="40">
        <v>3613.75</v>
      </c>
      <c r="J841" s="38">
        <v>4</v>
      </c>
      <c r="K841" s="38" t="s">
        <v>35</v>
      </c>
      <c r="L841" s="40">
        <v>1054.1199999999999</v>
      </c>
      <c r="M841" s="40">
        <v>1175.21999999999</v>
      </c>
      <c r="N841" s="38" t="s">
        <v>17</v>
      </c>
      <c r="O841" s="41">
        <v>0.12</v>
      </c>
      <c r="P841" s="38" t="s">
        <v>27</v>
      </c>
      <c r="Q841" s="38" t="s">
        <v>22</v>
      </c>
      <c r="R841" s="38" t="str">
        <f>IF(Cleaned_Final!$I841&gt;=5000,"High","Low")</f>
        <v>Low</v>
      </c>
    </row>
    <row r="842" spans="1:18" x14ac:dyDescent="0.35">
      <c r="A842" s="34">
        <v>1026</v>
      </c>
      <c r="B842" s="34" t="str">
        <f>_xlfn.XLOOKUP(Table2[[#This Row],[Product ID]],Sheet1!$A$32:$A$200,Sheet1!$B$32:$B$200,"Not Found")</f>
        <v>Television</v>
      </c>
      <c r="C842" s="35">
        <v>45005</v>
      </c>
      <c r="D842" s="34" t="s">
        <v>14</v>
      </c>
      <c r="E842" s="34" t="str" cm="1">
        <f t="array" ref="E842">_xlfn.XLOOKUP(Table2[[#This Row],[Sales Rep]],Sheet1!$A$21:$A$25,Sheet1!$B$21:$B$25,Not Found)</f>
        <v>Michael Smith</v>
      </c>
      <c r="F842" s="34" t="s">
        <v>34</v>
      </c>
      <c r="G842" s="34">
        <f>_xlfn.XLOOKUP(Table2[[#This Row],[Region]],Sheet1!$A$12:$A$15,Sheet1!$B$12:$B$15,0)</f>
        <v>0.06</v>
      </c>
      <c r="H842" s="36">
        <f>Table2[[#This Row],[Tax Rate]]*Table2[[#This Row],[Sales Amount]]</f>
        <v>36.881399999999999</v>
      </c>
      <c r="I842" s="36">
        <v>614.69000000000005</v>
      </c>
      <c r="J842" s="34">
        <v>19</v>
      </c>
      <c r="K842" s="34" t="s">
        <v>35</v>
      </c>
      <c r="L842" s="36">
        <v>4991.68</v>
      </c>
      <c r="M842" s="36">
        <v>5296.65</v>
      </c>
      <c r="N842" s="34" t="s">
        <v>30</v>
      </c>
      <c r="O842" s="37">
        <v>0.12</v>
      </c>
      <c r="P842" s="34" t="s">
        <v>27</v>
      </c>
      <c r="Q842" s="34" t="s">
        <v>19</v>
      </c>
      <c r="R842" s="34" t="str">
        <f>IF(Cleaned_Final!$I842&gt;=5000,"High","Low")</f>
        <v>Low</v>
      </c>
    </row>
    <row r="843" spans="1:18" x14ac:dyDescent="0.35">
      <c r="A843" s="38">
        <v>1034</v>
      </c>
      <c r="B843" s="38" t="str">
        <f>_xlfn.XLOOKUP(Table2[[#This Row],[Product ID]],Sheet1!$A$32:$A$200,Sheet1!$B$32:$B$200,"Not Found")</f>
        <v>Socks Pack</v>
      </c>
      <c r="C843" s="39">
        <v>44953</v>
      </c>
      <c r="D843" s="38" t="s">
        <v>14</v>
      </c>
      <c r="E843" s="38" t="str" cm="1">
        <f t="array" ref="E843">_xlfn.XLOOKUP(Table2[[#This Row],[Sales Rep]],Sheet1!$A$21:$A$25,Sheet1!$B$21:$B$25,Not Found)</f>
        <v>Michael Smith</v>
      </c>
      <c r="F843" s="38" t="s">
        <v>34</v>
      </c>
      <c r="G843" s="38">
        <f>_xlfn.XLOOKUP(Table2[[#This Row],[Region]],Sheet1!$A$12:$A$15,Sheet1!$B$12:$B$15,0)</f>
        <v>0.06</v>
      </c>
      <c r="H843" s="40">
        <f>Table2[[#This Row],[Tax Rate]]*Table2[[#This Row],[Sales Amount]]</f>
        <v>24.855599999999999</v>
      </c>
      <c r="I843" s="40">
        <v>414.26</v>
      </c>
      <c r="J843" s="38">
        <v>38</v>
      </c>
      <c r="K843" s="38" t="s">
        <v>26</v>
      </c>
      <c r="L843" s="40">
        <v>2729.75</v>
      </c>
      <c r="M843" s="40">
        <v>3081.5</v>
      </c>
      <c r="N843" s="38" t="s">
        <v>30</v>
      </c>
      <c r="O843" s="41">
        <v>0.01</v>
      </c>
      <c r="P843" s="38" t="s">
        <v>27</v>
      </c>
      <c r="Q843" s="38" t="s">
        <v>19</v>
      </c>
      <c r="R843" s="38" t="str">
        <f>IF(Cleaned_Final!$I843&gt;=5000,"High","Low")</f>
        <v>Low</v>
      </c>
    </row>
    <row r="844" spans="1:18" x14ac:dyDescent="0.35">
      <c r="A844" s="34">
        <v>1054</v>
      </c>
      <c r="B844" s="34" t="str">
        <f>_xlfn.XLOOKUP(Table2[[#This Row],[Product ID]],Sheet1!$A$32:$A$200,Sheet1!$B$32:$B$200,"Not Found")</f>
        <v>Glider</v>
      </c>
      <c r="C844" s="35">
        <v>45100</v>
      </c>
      <c r="D844" s="34" t="s">
        <v>24</v>
      </c>
      <c r="E844" s="34" t="str" cm="1">
        <f t="array" ref="E844">_xlfn.XLOOKUP(Table2[[#This Row],[Sales Rep]],Sheet1!$A$21:$A$25,Sheet1!$B$21:$B$25,Not Found)</f>
        <v>Hogan Rock</v>
      </c>
      <c r="F844" s="34" t="s">
        <v>21</v>
      </c>
      <c r="G844" s="34">
        <f>_xlfn.XLOOKUP(Table2[[#This Row],[Region]],Sheet1!$A$12:$A$15,Sheet1!$B$12:$B$15,0)</f>
        <v>0.08</v>
      </c>
      <c r="H844" s="36">
        <f>Table2[[#This Row],[Tax Rate]]*Table2[[#This Row],[Sales Amount]]</f>
        <v>343.28160000000003</v>
      </c>
      <c r="I844" s="36">
        <v>4291.0200000000004</v>
      </c>
      <c r="J844" s="34">
        <v>27</v>
      </c>
      <c r="K844" s="34" t="s">
        <v>35</v>
      </c>
      <c r="L844" s="36">
        <v>1456.09</v>
      </c>
      <c r="M844" s="36">
        <v>1510.4299999999901</v>
      </c>
      <c r="N844" s="34" t="s">
        <v>17</v>
      </c>
      <c r="O844" s="37">
        <v>0.17</v>
      </c>
      <c r="P844" s="34" t="s">
        <v>18</v>
      </c>
      <c r="Q844" s="34" t="s">
        <v>22</v>
      </c>
      <c r="R844" s="34" t="str">
        <f>IF(Cleaned_Final!$I844&gt;=5000,"High","Low")</f>
        <v>Low</v>
      </c>
    </row>
    <row r="845" spans="1:18" x14ac:dyDescent="0.35">
      <c r="A845" s="38">
        <v>1003</v>
      </c>
      <c r="B845" s="38" t="str">
        <f>_xlfn.XLOOKUP(Table2[[#This Row],[Product ID]],Sheet1!$A$32:$A$200,Sheet1!$B$32:$B$200,"Not Found")</f>
        <v>Stool</v>
      </c>
      <c r="C845" s="39">
        <v>44976</v>
      </c>
      <c r="D845" s="38" t="s">
        <v>42</v>
      </c>
      <c r="E845" s="38" t="str" cm="1">
        <f t="array" ref="E845">_xlfn.XLOOKUP(Table2[[#This Row],[Sales Rep]],Sheet1!$A$21:$A$25,Sheet1!$B$21:$B$25,Not Found)</f>
        <v>Scott Wayne</v>
      </c>
      <c r="F845" s="38" t="s">
        <v>34</v>
      </c>
      <c r="G845" s="38">
        <f>_xlfn.XLOOKUP(Table2[[#This Row],[Region]],Sheet1!$A$12:$A$15,Sheet1!$B$12:$B$15,0)</f>
        <v>0.06</v>
      </c>
      <c r="H845" s="40">
        <f>Table2[[#This Row],[Tax Rate]]*Table2[[#This Row],[Sales Amount]]</f>
        <v>56.231999999999999</v>
      </c>
      <c r="I845" s="40">
        <v>937.2</v>
      </c>
      <c r="J845" s="38">
        <v>45</v>
      </c>
      <c r="K845" s="38" t="s">
        <v>35</v>
      </c>
      <c r="L845" s="40">
        <v>4974.1400000000003</v>
      </c>
      <c r="M845" s="40">
        <v>5227.93</v>
      </c>
      <c r="N845" s="38" t="s">
        <v>30</v>
      </c>
      <c r="O845" s="41">
        <v>0.21</v>
      </c>
      <c r="P845" s="38" t="s">
        <v>27</v>
      </c>
      <c r="Q845" s="38" t="s">
        <v>19</v>
      </c>
      <c r="R845" s="38" t="str">
        <f>IF(Cleaned_Final!$I845&gt;=5000,"High","Low")</f>
        <v>Low</v>
      </c>
    </row>
    <row r="846" spans="1:18" x14ac:dyDescent="0.35">
      <c r="A846" s="34">
        <v>1050</v>
      </c>
      <c r="B846" s="34" t="str">
        <f>_xlfn.XLOOKUP(Table2[[#This Row],[Product ID]],Sheet1!$A$32:$A$200,Sheet1!$B$32:$B$200,"Not Found")</f>
        <v>Sneakers</v>
      </c>
      <c r="C846" s="35">
        <v>45125</v>
      </c>
      <c r="D846" s="34" t="s">
        <v>38</v>
      </c>
      <c r="E846" s="34" t="str" cm="1">
        <f t="array" ref="E846">_xlfn.XLOOKUP(Table2[[#This Row],[Sales Rep]],Sheet1!$A$21:$A$25,Sheet1!$B$21:$B$25,Not Found)</f>
        <v>Tracy Moore</v>
      </c>
      <c r="F846" s="34" t="s">
        <v>25</v>
      </c>
      <c r="G846" s="34">
        <f>_xlfn.XLOOKUP(Table2[[#This Row],[Region]],Sheet1!$A$12:$A$15,Sheet1!$B$12:$B$15,0)</f>
        <v>0.05</v>
      </c>
      <c r="H846" s="36">
        <f>Table2[[#This Row],[Tax Rate]]*Table2[[#This Row],[Sales Amount]]</f>
        <v>305.38900000000001</v>
      </c>
      <c r="I846" s="36">
        <v>6107.78</v>
      </c>
      <c r="J846" s="34">
        <v>43</v>
      </c>
      <c r="K846" s="34" t="s">
        <v>16</v>
      </c>
      <c r="L846" s="36">
        <v>4834.47</v>
      </c>
      <c r="M846" s="36">
        <v>4973.38</v>
      </c>
      <c r="N846" s="34" t="s">
        <v>17</v>
      </c>
      <c r="O846" s="37">
        <v>0.03</v>
      </c>
      <c r="P846" s="34" t="s">
        <v>27</v>
      </c>
      <c r="Q846" s="34" t="s">
        <v>19</v>
      </c>
      <c r="R846" s="34" t="str">
        <f>IF(Cleaned_Final!$I846&gt;=5000,"High","Low")</f>
        <v>High</v>
      </c>
    </row>
    <row r="847" spans="1:18" x14ac:dyDescent="0.35">
      <c r="A847" s="38">
        <v>1012</v>
      </c>
      <c r="B847" s="38" t="str">
        <f>_xlfn.XLOOKUP(Table2[[#This Row],[Product ID]],Sheet1!$A$32:$A$200,Sheet1!$B$32:$B$200,"Not Found")</f>
        <v>Cabinet</v>
      </c>
      <c r="C847" s="39">
        <v>45275</v>
      </c>
      <c r="D847" s="38" t="s">
        <v>14</v>
      </c>
      <c r="E847" s="38" t="str" cm="1">
        <f t="array" ref="E847">_xlfn.XLOOKUP(Table2[[#This Row],[Sales Rep]],Sheet1!$A$21:$A$25,Sheet1!$B$21:$B$25,Not Found)</f>
        <v>Michael Smith</v>
      </c>
      <c r="F847" s="38" t="s">
        <v>21</v>
      </c>
      <c r="G847" s="38">
        <f>_xlfn.XLOOKUP(Table2[[#This Row],[Region]],Sheet1!$A$12:$A$15,Sheet1!$B$12:$B$15,0)</f>
        <v>0.08</v>
      </c>
      <c r="H847" s="40">
        <f>Table2[[#This Row],[Tax Rate]]*Table2[[#This Row],[Sales Amount]]</f>
        <v>705.73039999999992</v>
      </c>
      <c r="I847" s="40">
        <v>8821.6299999999992</v>
      </c>
      <c r="J847" s="38">
        <v>13</v>
      </c>
      <c r="K847" s="38" t="s">
        <v>35</v>
      </c>
      <c r="L847" s="40">
        <v>2231.66</v>
      </c>
      <c r="M847" s="40">
        <v>2596.6099999999901</v>
      </c>
      <c r="N847" s="38" t="s">
        <v>17</v>
      </c>
      <c r="O847" s="41">
        <v>0.09</v>
      </c>
      <c r="P847" s="38" t="s">
        <v>27</v>
      </c>
      <c r="Q847" s="38" t="s">
        <v>22</v>
      </c>
      <c r="R847" s="38" t="str">
        <f>IF(Cleaned_Final!$I847&gt;=5000,"High","Low")</f>
        <v>High</v>
      </c>
    </row>
    <row r="848" spans="1:18" x14ac:dyDescent="0.35">
      <c r="A848" s="34">
        <v>1065</v>
      </c>
      <c r="B848" s="34" t="str">
        <f>_xlfn.XLOOKUP(Table2[[#This Row],[Product ID]],Sheet1!$A$32:$A$200,Sheet1!$B$32:$B$200,"Not Found")</f>
        <v>Potatoes</v>
      </c>
      <c r="C848" s="35">
        <v>45107</v>
      </c>
      <c r="D848" s="34" t="s">
        <v>38</v>
      </c>
      <c r="E848" s="34" t="str" cm="1">
        <f t="array" ref="E848">_xlfn.XLOOKUP(Table2[[#This Row],[Sales Rep]],Sheet1!$A$21:$A$25,Sheet1!$B$21:$B$25,Not Found)</f>
        <v>Tracy Moore</v>
      </c>
      <c r="F848" s="34" t="s">
        <v>25</v>
      </c>
      <c r="G848" s="34">
        <f>_xlfn.XLOOKUP(Table2[[#This Row],[Region]],Sheet1!$A$12:$A$15,Sheet1!$B$12:$B$15,0)</f>
        <v>0.05</v>
      </c>
      <c r="H848" s="36">
        <f>Table2[[#This Row],[Tax Rate]]*Table2[[#This Row],[Sales Amount]]</f>
        <v>442.04300000000006</v>
      </c>
      <c r="I848" s="36">
        <v>8840.86</v>
      </c>
      <c r="J848" s="34">
        <v>13</v>
      </c>
      <c r="K848" s="34" t="s">
        <v>16</v>
      </c>
      <c r="L848" s="36">
        <v>1339</v>
      </c>
      <c r="M848" s="36">
        <v>1441.88</v>
      </c>
      <c r="N848" s="34" t="s">
        <v>17</v>
      </c>
      <c r="O848" s="37">
        <v>0.23</v>
      </c>
      <c r="P848" s="34" t="s">
        <v>31</v>
      </c>
      <c r="Q848" s="34" t="s">
        <v>22</v>
      </c>
      <c r="R848" s="34" t="str">
        <f>IF(Cleaned_Final!$I848&gt;=5000,"High","Low")</f>
        <v>High</v>
      </c>
    </row>
    <row r="849" spans="1:18" x14ac:dyDescent="0.35">
      <c r="A849" s="38">
        <v>1054</v>
      </c>
      <c r="B849" s="38" t="str">
        <f>_xlfn.XLOOKUP(Table2[[#This Row],[Product ID]],Sheet1!$A$32:$A$200,Sheet1!$B$32:$B$200,"Not Found")</f>
        <v>Glider</v>
      </c>
      <c r="C849" s="39">
        <v>44950</v>
      </c>
      <c r="D849" s="38" t="s">
        <v>14</v>
      </c>
      <c r="E849" s="38" t="str" cm="1">
        <f t="array" ref="E849">_xlfn.XLOOKUP(Table2[[#This Row],[Sales Rep]],Sheet1!$A$21:$A$25,Sheet1!$B$21:$B$25,Not Found)</f>
        <v>Michael Smith</v>
      </c>
      <c r="F849" s="38" t="s">
        <v>34</v>
      </c>
      <c r="G849" s="38">
        <f>_xlfn.XLOOKUP(Table2[[#This Row],[Region]],Sheet1!$A$12:$A$15,Sheet1!$B$12:$B$15,0)</f>
        <v>0.06</v>
      </c>
      <c r="H849" s="40">
        <f>Table2[[#This Row],[Tax Rate]]*Table2[[#This Row],[Sales Amount]]</f>
        <v>397.47300000000001</v>
      </c>
      <c r="I849" s="40">
        <v>6624.55</v>
      </c>
      <c r="J849" s="38">
        <v>22</v>
      </c>
      <c r="K849" s="38" t="s">
        <v>35</v>
      </c>
      <c r="L849" s="40">
        <v>4200.08</v>
      </c>
      <c r="M849" s="40">
        <v>4647.28</v>
      </c>
      <c r="N849" s="38" t="s">
        <v>17</v>
      </c>
      <c r="O849" s="41">
        <v>0.11</v>
      </c>
      <c r="P849" s="38" t="s">
        <v>18</v>
      </c>
      <c r="Q849" s="38" t="s">
        <v>19</v>
      </c>
      <c r="R849" s="38" t="str">
        <f>IF(Cleaned_Final!$I849&gt;=5000,"High","Low")</f>
        <v>High</v>
      </c>
    </row>
    <row r="850" spans="1:18" x14ac:dyDescent="0.35">
      <c r="A850" s="34">
        <v>1005</v>
      </c>
      <c r="B850" s="34" t="str">
        <f>_xlfn.XLOOKUP(Table2[[#This Row],[Product ID]],Sheet1!$A$32:$A$200,Sheet1!$B$32:$B$200,"Not Found")</f>
        <v>Smart Phone</v>
      </c>
      <c r="C850" s="35">
        <v>45242</v>
      </c>
      <c r="D850" s="34" t="s">
        <v>38</v>
      </c>
      <c r="E850" s="34" t="str" cm="1">
        <f t="array" ref="E850">_xlfn.XLOOKUP(Table2[[#This Row],[Sales Rep]],Sheet1!$A$21:$A$25,Sheet1!$B$21:$B$25,Not Found)</f>
        <v>Tracy Moore</v>
      </c>
      <c r="F850" s="34" t="s">
        <v>34</v>
      </c>
      <c r="G850" s="34">
        <f>_xlfn.XLOOKUP(Table2[[#This Row],[Region]],Sheet1!$A$12:$A$15,Sheet1!$B$12:$B$15,0)</f>
        <v>0.06</v>
      </c>
      <c r="H850" s="36">
        <f>Table2[[#This Row],[Tax Rate]]*Table2[[#This Row],[Sales Amount]]</f>
        <v>131.47199999999998</v>
      </c>
      <c r="I850" s="36">
        <v>2191.1999999999998</v>
      </c>
      <c r="J850" s="34">
        <v>28</v>
      </c>
      <c r="K850" s="34" t="s">
        <v>29</v>
      </c>
      <c r="L850" s="36">
        <v>3592.32</v>
      </c>
      <c r="M850" s="36">
        <v>3813.48</v>
      </c>
      <c r="N850" s="34" t="s">
        <v>30</v>
      </c>
      <c r="O850" s="37">
        <v>7.0000000000000007E-2</v>
      </c>
      <c r="P850" s="34" t="s">
        <v>31</v>
      </c>
      <c r="Q850" s="34" t="s">
        <v>22</v>
      </c>
      <c r="R850" s="34" t="str">
        <f>IF(Cleaned_Final!$I850&gt;=5000,"High","Low")</f>
        <v>Low</v>
      </c>
    </row>
    <row r="851" spans="1:18" x14ac:dyDescent="0.35">
      <c r="A851" s="38">
        <v>1094</v>
      </c>
      <c r="B851" s="38" t="str">
        <f>_xlfn.XLOOKUP(Table2[[#This Row],[Product ID]],Sheet1!$A$32:$A$200,Sheet1!$B$32:$B$200,"Not Found")</f>
        <v>Microwave</v>
      </c>
      <c r="C851" s="39">
        <v>44972</v>
      </c>
      <c r="D851" s="38" t="s">
        <v>33</v>
      </c>
      <c r="E851" s="38" t="str" cm="1">
        <f t="array" ref="E851">_xlfn.XLOOKUP(Table2[[#This Row],[Sales Rep]],Sheet1!$A$21:$A$25,Sheet1!$B$21:$B$25,Not Found)</f>
        <v>Susan Jerkins</v>
      </c>
      <c r="F851" s="38" t="s">
        <v>25</v>
      </c>
      <c r="G851" s="38">
        <f>_xlfn.XLOOKUP(Table2[[#This Row],[Region]],Sheet1!$A$12:$A$15,Sheet1!$B$12:$B$15,0)</f>
        <v>0.05</v>
      </c>
      <c r="H851" s="40">
        <f>Table2[[#This Row],[Tax Rate]]*Table2[[#This Row],[Sales Amount]]</f>
        <v>432.18350000000004</v>
      </c>
      <c r="I851" s="40">
        <v>8643.67</v>
      </c>
      <c r="J851" s="38">
        <v>47</v>
      </c>
      <c r="K851" s="38" t="s">
        <v>26</v>
      </c>
      <c r="L851" s="40">
        <v>3450.36</v>
      </c>
      <c r="M851" s="40">
        <v>3557.38</v>
      </c>
      <c r="N851" s="38" t="s">
        <v>30</v>
      </c>
      <c r="O851" s="41">
        <v>0.2</v>
      </c>
      <c r="P851" s="38" t="s">
        <v>31</v>
      </c>
      <c r="Q851" s="38" t="s">
        <v>19</v>
      </c>
      <c r="R851" s="38" t="str">
        <f>IF(Cleaned_Final!$I851&gt;=5000,"High","Low")</f>
        <v>High</v>
      </c>
    </row>
    <row r="852" spans="1:18" x14ac:dyDescent="0.35">
      <c r="A852" s="34">
        <v>1094</v>
      </c>
      <c r="B852" s="34" t="str">
        <f>_xlfn.XLOOKUP(Table2[[#This Row],[Product ID]],Sheet1!$A$32:$A$200,Sheet1!$B$32:$B$200,"Not Found")</f>
        <v>Microwave</v>
      </c>
      <c r="C852" s="35">
        <v>44941</v>
      </c>
      <c r="D852" s="34" t="s">
        <v>14</v>
      </c>
      <c r="E852" s="34" t="str" cm="1">
        <f t="array" ref="E852">_xlfn.XLOOKUP(Table2[[#This Row],[Sales Rep]],Sheet1!$A$21:$A$25,Sheet1!$B$21:$B$25,Not Found)</f>
        <v>Michael Smith</v>
      </c>
      <c r="F852" s="34" t="s">
        <v>15</v>
      </c>
      <c r="G852" s="34">
        <f>_xlfn.XLOOKUP(Table2[[#This Row],[Region]],Sheet1!$A$12:$A$15,Sheet1!$B$12:$B$15,0)</f>
        <v>7.4999999999999997E-2</v>
      </c>
      <c r="H852" s="36">
        <f>Table2[[#This Row],[Tax Rate]]*Table2[[#This Row],[Sales Amount]]</f>
        <v>665.42475000000002</v>
      </c>
      <c r="I852" s="36">
        <v>8872.33</v>
      </c>
      <c r="J852" s="34">
        <v>45</v>
      </c>
      <c r="K852" s="34" t="s">
        <v>16</v>
      </c>
      <c r="L852" s="36">
        <v>4470.91</v>
      </c>
      <c r="M852" s="36">
        <v>4695.54</v>
      </c>
      <c r="N852" s="34" t="s">
        <v>17</v>
      </c>
      <c r="O852" s="37">
        <v>0.06</v>
      </c>
      <c r="P852" s="34" t="s">
        <v>18</v>
      </c>
      <c r="Q852" s="34" t="s">
        <v>22</v>
      </c>
      <c r="R852" s="34" t="str">
        <f>IF(Cleaned_Final!$I852&gt;=5000,"High","Low")</f>
        <v>High</v>
      </c>
    </row>
    <row r="853" spans="1:18" x14ac:dyDescent="0.35">
      <c r="A853" s="38">
        <v>1057</v>
      </c>
      <c r="B853" s="38" t="str">
        <f>_xlfn.XLOOKUP(Table2[[#This Row],[Product ID]],Sheet1!$A$32:$A$200,Sheet1!$B$32:$B$200,"Not Found")</f>
        <v>Avocadro Pear</v>
      </c>
      <c r="C853" s="39">
        <v>45079</v>
      </c>
      <c r="D853" s="38" t="s">
        <v>38</v>
      </c>
      <c r="E853" s="38" t="str" cm="1">
        <f t="array" ref="E853">_xlfn.XLOOKUP(Table2[[#This Row],[Sales Rep]],Sheet1!$A$21:$A$25,Sheet1!$B$21:$B$25,Not Found)</f>
        <v>Tracy Moore</v>
      </c>
      <c r="F853" s="38" t="s">
        <v>34</v>
      </c>
      <c r="G853" s="38">
        <f>_xlfn.XLOOKUP(Table2[[#This Row],[Region]],Sheet1!$A$12:$A$15,Sheet1!$B$12:$B$15,0)</f>
        <v>0.06</v>
      </c>
      <c r="H853" s="40">
        <f>Table2[[#This Row],[Tax Rate]]*Table2[[#This Row],[Sales Amount]]</f>
        <v>122.81219999999999</v>
      </c>
      <c r="I853" s="40">
        <v>2046.87</v>
      </c>
      <c r="J853" s="38">
        <v>22</v>
      </c>
      <c r="K853" s="38" t="s">
        <v>26</v>
      </c>
      <c r="L853" s="40">
        <v>3462.61</v>
      </c>
      <c r="M853" s="40">
        <v>3672.89</v>
      </c>
      <c r="N853" s="38" t="s">
        <v>17</v>
      </c>
      <c r="O853" s="41">
        <v>0.27</v>
      </c>
      <c r="P853" s="38" t="s">
        <v>31</v>
      </c>
      <c r="Q853" s="38" t="s">
        <v>19</v>
      </c>
      <c r="R853" s="38" t="str">
        <f>IF(Cleaned_Final!$I853&gt;=5000,"High","Low")</f>
        <v>Low</v>
      </c>
    </row>
    <row r="854" spans="1:18" x14ac:dyDescent="0.35">
      <c r="A854" s="34">
        <v>1017</v>
      </c>
      <c r="B854" s="34" t="str">
        <f>_xlfn.XLOOKUP(Table2[[#This Row],[Product ID]],Sheet1!$A$32:$A$200,Sheet1!$B$32:$B$200,"Not Found")</f>
        <v>Peaches</v>
      </c>
      <c r="C854" s="35">
        <v>45148</v>
      </c>
      <c r="D854" s="34" t="s">
        <v>42</v>
      </c>
      <c r="E854" s="34" t="str" cm="1">
        <f t="array" ref="E854">_xlfn.XLOOKUP(Table2[[#This Row],[Sales Rep]],Sheet1!$A$21:$A$25,Sheet1!$B$21:$B$25,Not Found)</f>
        <v>Scott Wayne</v>
      </c>
      <c r="F854" s="34" t="s">
        <v>15</v>
      </c>
      <c r="G854" s="34">
        <f>_xlfn.XLOOKUP(Table2[[#This Row],[Region]],Sheet1!$A$12:$A$15,Sheet1!$B$12:$B$15,0)</f>
        <v>7.4999999999999997E-2</v>
      </c>
      <c r="H854" s="36">
        <f>Table2[[#This Row],[Tax Rate]]*Table2[[#This Row],[Sales Amount]]</f>
        <v>555.03899999999999</v>
      </c>
      <c r="I854" s="36">
        <v>7400.52</v>
      </c>
      <c r="J854" s="34">
        <v>43</v>
      </c>
      <c r="K854" s="34" t="s">
        <v>16</v>
      </c>
      <c r="L854" s="36">
        <v>1454.8</v>
      </c>
      <c r="M854" s="36">
        <v>1674.97</v>
      </c>
      <c r="N854" s="34" t="s">
        <v>30</v>
      </c>
      <c r="O854" s="37">
        <v>0.03</v>
      </c>
      <c r="P854" s="34" t="s">
        <v>31</v>
      </c>
      <c r="Q854" s="34" t="s">
        <v>19</v>
      </c>
      <c r="R854" s="34" t="str">
        <f>IF(Cleaned_Final!$I854&gt;=5000,"High","Low")</f>
        <v>High</v>
      </c>
    </row>
    <row r="855" spans="1:18" x14ac:dyDescent="0.35">
      <c r="A855" s="38">
        <v>1047</v>
      </c>
      <c r="B855" s="38" t="str">
        <f>_xlfn.XLOOKUP(Table2[[#This Row],[Product ID]],Sheet1!$A$32:$A$200,Sheet1!$B$32:$B$200,"Not Found")</f>
        <v>Mouse</v>
      </c>
      <c r="C855" s="39">
        <v>45132</v>
      </c>
      <c r="D855" s="38" t="s">
        <v>33</v>
      </c>
      <c r="E855" s="38" t="str" cm="1">
        <f t="array" ref="E855">_xlfn.XLOOKUP(Table2[[#This Row],[Sales Rep]],Sheet1!$A$21:$A$25,Sheet1!$B$21:$B$25,Not Found)</f>
        <v>Susan Jerkins</v>
      </c>
      <c r="F855" s="38" t="s">
        <v>34</v>
      </c>
      <c r="G855" s="38">
        <f>_xlfn.XLOOKUP(Table2[[#This Row],[Region]],Sheet1!$A$12:$A$15,Sheet1!$B$12:$B$15,0)</f>
        <v>0.06</v>
      </c>
      <c r="H855" s="40">
        <f>Table2[[#This Row],[Tax Rate]]*Table2[[#This Row],[Sales Amount]]</f>
        <v>176.19239999999999</v>
      </c>
      <c r="I855" s="40">
        <v>2936.54</v>
      </c>
      <c r="J855" s="38">
        <v>19</v>
      </c>
      <c r="K855" s="38" t="s">
        <v>16</v>
      </c>
      <c r="L855" s="40">
        <v>3484.62</v>
      </c>
      <c r="M855" s="40">
        <v>3781.5499999999902</v>
      </c>
      <c r="N855" s="38" t="s">
        <v>17</v>
      </c>
      <c r="O855" s="41">
        <v>0.21</v>
      </c>
      <c r="P855" s="38" t="s">
        <v>31</v>
      </c>
      <c r="Q855" s="38" t="s">
        <v>22</v>
      </c>
      <c r="R855" s="38" t="str">
        <f>IF(Cleaned_Final!$I855&gt;=5000,"High","Low")</f>
        <v>Low</v>
      </c>
    </row>
    <row r="856" spans="1:18" x14ac:dyDescent="0.35">
      <c r="A856" s="34">
        <v>1023</v>
      </c>
      <c r="B856" s="34" t="str">
        <f>_xlfn.XLOOKUP(Table2[[#This Row],[Product ID]],Sheet1!$A$32:$A$200,Sheet1!$B$32:$B$200,"Not Found")</f>
        <v>Tights</v>
      </c>
      <c r="C856" s="35">
        <v>45199</v>
      </c>
      <c r="D856" s="34" t="s">
        <v>33</v>
      </c>
      <c r="E856" s="34" t="str" cm="1">
        <f t="array" ref="E856">_xlfn.XLOOKUP(Table2[[#This Row],[Sales Rep]],Sheet1!$A$21:$A$25,Sheet1!$B$21:$B$25,Not Found)</f>
        <v>Susan Jerkins</v>
      </c>
      <c r="F856" s="34" t="s">
        <v>15</v>
      </c>
      <c r="G856" s="34">
        <f>_xlfn.XLOOKUP(Table2[[#This Row],[Region]],Sheet1!$A$12:$A$15,Sheet1!$B$12:$B$15,0)</f>
        <v>7.4999999999999997E-2</v>
      </c>
      <c r="H856" s="36">
        <f>Table2[[#This Row],[Tax Rate]]*Table2[[#This Row],[Sales Amount]]</f>
        <v>603.46050000000002</v>
      </c>
      <c r="I856" s="36">
        <v>8046.14</v>
      </c>
      <c r="J856" s="34">
        <v>8</v>
      </c>
      <c r="K856" s="34" t="s">
        <v>16</v>
      </c>
      <c r="L856" s="36">
        <v>1563.78</v>
      </c>
      <c r="M856" s="36">
        <v>1829.1599999999901</v>
      </c>
      <c r="N856" s="34" t="s">
        <v>17</v>
      </c>
      <c r="O856" s="37">
        <v>0.15</v>
      </c>
      <c r="P856" s="34" t="s">
        <v>18</v>
      </c>
      <c r="Q856" s="34" t="s">
        <v>19</v>
      </c>
      <c r="R856" s="34" t="str">
        <f>IF(Cleaned_Final!$I856&gt;=5000,"High","Low")</f>
        <v>High</v>
      </c>
    </row>
    <row r="857" spans="1:18" x14ac:dyDescent="0.35">
      <c r="A857" s="38">
        <v>1079</v>
      </c>
      <c r="B857" s="38" t="str">
        <f>_xlfn.XLOOKUP(Table2[[#This Row],[Product ID]],Sheet1!$A$32:$A$200,Sheet1!$B$32:$B$200,"Not Found")</f>
        <v>Wardrobe</v>
      </c>
      <c r="C857" s="39">
        <v>45162</v>
      </c>
      <c r="D857" s="38" t="s">
        <v>42</v>
      </c>
      <c r="E857" s="38" t="str" cm="1">
        <f t="array" ref="E857">_xlfn.XLOOKUP(Table2[[#This Row],[Sales Rep]],Sheet1!$A$21:$A$25,Sheet1!$B$21:$B$25,Not Found)</f>
        <v>Scott Wayne</v>
      </c>
      <c r="F857" s="38" t="s">
        <v>15</v>
      </c>
      <c r="G857" s="38">
        <f>_xlfn.XLOOKUP(Table2[[#This Row],[Region]],Sheet1!$A$12:$A$15,Sheet1!$B$12:$B$15,0)</f>
        <v>7.4999999999999997E-2</v>
      </c>
      <c r="H857" s="40">
        <f>Table2[[#This Row],[Tax Rate]]*Table2[[#This Row],[Sales Amount]]</f>
        <v>747.94949999999994</v>
      </c>
      <c r="I857" s="40">
        <v>9972.66</v>
      </c>
      <c r="J857" s="38">
        <v>8</v>
      </c>
      <c r="K857" s="38" t="s">
        <v>29</v>
      </c>
      <c r="L857" s="40">
        <v>3808.23</v>
      </c>
      <c r="M857" s="40">
        <v>3891.62</v>
      </c>
      <c r="N857" s="38" t="s">
        <v>17</v>
      </c>
      <c r="O857" s="41">
        <v>0.26</v>
      </c>
      <c r="P857" s="38" t="s">
        <v>27</v>
      </c>
      <c r="Q857" s="38" t="s">
        <v>19</v>
      </c>
      <c r="R857" s="38" t="str">
        <f>IF(Cleaned_Final!$I857&gt;=5000,"High","Low")</f>
        <v>High</v>
      </c>
    </row>
    <row r="858" spans="1:18" x14ac:dyDescent="0.35">
      <c r="A858" s="34">
        <v>1085</v>
      </c>
      <c r="B858" s="34" t="str">
        <f>_xlfn.XLOOKUP(Table2[[#This Row],[Product ID]],Sheet1!$A$32:$A$200,Sheet1!$B$32:$B$200,"Not Found")</f>
        <v>Settee</v>
      </c>
      <c r="C858" s="35">
        <v>45266</v>
      </c>
      <c r="D858" s="34" t="s">
        <v>38</v>
      </c>
      <c r="E858" s="34" t="str" cm="1">
        <f t="array" ref="E858">_xlfn.XLOOKUP(Table2[[#This Row],[Sales Rep]],Sheet1!$A$21:$A$25,Sheet1!$B$21:$B$25,Not Found)</f>
        <v>Tracy Moore</v>
      </c>
      <c r="F858" s="34" t="s">
        <v>15</v>
      </c>
      <c r="G858" s="34">
        <f>_xlfn.XLOOKUP(Table2[[#This Row],[Region]],Sheet1!$A$12:$A$15,Sheet1!$B$12:$B$15,0)</f>
        <v>7.4999999999999997E-2</v>
      </c>
      <c r="H858" s="36">
        <f>Table2[[#This Row],[Tax Rate]]*Table2[[#This Row],[Sales Amount]]</f>
        <v>29.794499999999999</v>
      </c>
      <c r="I858" s="36">
        <v>397.26</v>
      </c>
      <c r="J858" s="34">
        <v>42</v>
      </c>
      <c r="K858" s="34" t="s">
        <v>35</v>
      </c>
      <c r="L858" s="36">
        <v>3117.75</v>
      </c>
      <c r="M858" s="36">
        <v>3159.88</v>
      </c>
      <c r="N858" s="34" t="s">
        <v>30</v>
      </c>
      <c r="O858" s="37">
        <v>0.04</v>
      </c>
      <c r="P858" s="34" t="s">
        <v>18</v>
      </c>
      <c r="Q858" s="34" t="s">
        <v>22</v>
      </c>
      <c r="R858" s="34" t="str">
        <f>IF(Cleaned_Final!$I858&gt;=5000,"High","Low")</f>
        <v>Low</v>
      </c>
    </row>
    <row r="859" spans="1:18" x14ac:dyDescent="0.35">
      <c r="A859" s="38">
        <v>1014</v>
      </c>
      <c r="B859" s="38" t="str">
        <f>_xlfn.XLOOKUP(Table2[[#This Row],[Product ID]],Sheet1!$A$32:$A$200,Sheet1!$B$32:$B$200,"Not Found")</f>
        <v>Cheese Block</v>
      </c>
      <c r="C859" s="39">
        <v>45154</v>
      </c>
      <c r="D859" s="38" t="s">
        <v>24</v>
      </c>
      <c r="E859" s="38" t="str" cm="1">
        <f t="array" ref="E859">_xlfn.XLOOKUP(Table2[[#This Row],[Sales Rep]],Sheet1!$A$21:$A$25,Sheet1!$B$21:$B$25,Not Found)</f>
        <v>Hogan Rock</v>
      </c>
      <c r="F859" s="38" t="s">
        <v>25</v>
      </c>
      <c r="G859" s="38">
        <f>_xlfn.XLOOKUP(Table2[[#This Row],[Region]],Sheet1!$A$12:$A$15,Sheet1!$B$12:$B$15,0)</f>
        <v>0.05</v>
      </c>
      <c r="H859" s="40">
        <f>Table2[[#This Row],[Tax Rate]]*Table2[[#This Row],[Sales Amount]]</f>
        <v>449.19600000000003</v>
      </c>
      <c r="I859" s="40">
        <v>8983.92</v>
      </c>
      <c r="J859" s="38">
        <v>26</v>
      </c>
      <c r="K859" s="38" t="s">
        <v>16</v>
      </c>
      <c r="L859" s="40">
        <v>433.19</v>
      </c>
      <c r="M859" s="40">
        <v>800.6</v>
      </c>
      <c r="N859" s="38" t="s">
        <v>17</v>
      </c>
      <c r="O859" s="41">
        <v>0.2</v>
      </c>
      <c r="P859" s="38" t="s">
        <v>18</v>
      </c>
      <c r="Q859" s="38" t="s">
        <v>19</v>
      </c>
      <c r="R859" s="38" t="str">
        <f>IF(Cleaned_Final!$I859&gt;=5000,"High","Low")</f>
        <v>High</v>
      </c>
    </row>
    <row r="860" spans="1:18" x14ac:dyDescent="0.35">
      <c r="A860" s="34">
        <v>1066</v>
      </c>
      <c r="B860" s="34" t="str">
        <f>_xlfn.XLOOKUP(Table2[[#This Row],[Product ID]],Sheet1!$A$32:$A$200,Sheet1!$B$32:$B$200,"Not Found")</f>
        <v>Armoire</v>
      </c>
      <c r="C860" s="35">
        <v>44935</v>
      </c>
      <c r="D860" s="34" t="s">
        <v>42</v>
      </c>
      <c r="E860" s="34" t="str" cm="1">
        <f t="array" ref="E860">_xlfn.XLOOKUP(Table2[[#This Row],[Sales Rep]],Sheet1!$A$21:$A$25,Sheet1!$B$21:$B$25,Not Found)</f>
        <v>Scott Wayne</v>
      </c>
      <c r="F860" s="34" t="s">
        <v>15</v>
      </c>
      <c r="G860" s="34">
        <f>_xlfn.XLOOKUP(Table2[[#This Row],[Region]],Sheet1!$A$12:$A$15,Sheet1!$B$12:$B$15,0)</f>
        <v>7.4999999999999997E-2</v>
      </c>
      <c r="H860" s="36">
        <f>Table2[[#This Row],[Tax Rate]]*Table2[[#This Row],[Sales Amount]]</f>
        <v>469.803</v>
      </c>
      <c r="I860" s="36">
        <v>6264.04</v>
      </c>
      <c r="J860" s="34">
        <v>48</v>
      </c>
      <c r="K860" s="34" t="s">
        <v>29</v>
      </c>
      <c r="L860" s="36">
        <v>2588.54</v>
      </c>
      <c r="M860" s="36">
        <v>2872.8</v>
      </c>
      <c r="N860" s="34" t="s">
        <v>30</v>
      </c>
      <c r="O860" s="37">
        <v>0.17</v>
      </c>
      <c r="P860" s="34" t="s">
        <v>18</v>
      </c>
      <c r="Q860" s="34" t="s">
        <v>19</v>
      </c>
      <c r="R860" s="34" t="str">
        <f>IF(Cleaned_Final!$I860&gt;=5000,"High","Low")</f>
        <v>High</v>
      </c>
    </row>
    <row r="861" spans="1:18" x14ac:dyDescent="0.35">
      <c r="A861" s="38">
        <v>1075</v>
      </c>
      <c r="B861" s="38" t="str">
        <f>_xlfn.XLOOKUP(Table2[[#This Row],[Product ID]],Sheet1!$A$32:$A$200,Sheet1!$B$32:$B$200,"Not Found")</f>
        <v>Bookshelf</v>
      </c>
      <c r="C861" s="39">
        <v>45092</v>
      </c>
      <c r="D861" s="38" t="s">
        <v>38</v>
      </c>
      <c r="E861" s="38" t="str" cm="1">
        <f t="array" ref="E861">_xlfn.XLOOKUP(Table2[[#This Row],[Sales Rep]],Sheet1!$A$21:$A$25,Sheet1!$B$21:$B$25,Not Found)</f>
        <v>Tracy Moore</v>
      </c>
      <c r="F861" s="38" t="s">
        <v>15</v>
      </c>
      <c r="G861" s="38">
        <f>_xlfn.XLOOKUP(Table2[[#This Row],[Region]],Sheet1!$A$12:$A$15,Sheet1!$B$12:$B$15,0)</f>
        <v>7.4999999999999997E-2</v>
      </c>
      <c r="H861" s="40">
        <f>Table2[[#This Row],[Tax Rate]]*Table2[[#This Row],[Sales Amount]]</f>
        <v>730.23674999999992</v>
      </c>
      <c r="I861" s="40">
        <v>9736.49</v>
      </c>
      <c r="J861" s="38">
        <v>26</v>
      </c>
      <c r="K861" s="38" t="s">
        <v>16</v>
      </c>
      <c r="L861" s="40">
        <v>1749.34</v>
      </c>
      <c r="M861" s="40">
        <v>1935.25</v>
      </c>
      <c r="N861" s="38" t="s">
        <v>30</v>
      </c>
      <c r="O861" s="41">
        <v>0.14000000000000001</v>
      </c>
      <c r="P861" s="38" t="s">
        <v>31</v>
      </c>
      <c r="Q861" s="38" t="s">
        <v>19</v>
      </c>
      <c r="R861" s="38" t="str">
        <f>IF(Cleaned_Final!$I861&gt;=5000,"High","Low")</f>
        <v>High</v>
      </c>
    </row>
    <row r="862" spans="1:18" x14ac:dyDescent="0.35">
      <c r="A862" s="34">
        <v>1051</v>
      </c>
      <c r="B862" s="34" t="str">
        <f>_xlfn.XLOOKUP(Table2[[#This Row],[Product ID]],Sheet1!$A$32:$A$200,Sheet1!$B$32:$B$200,"Not Found")</f>
        <v>Tablet</v>
      </c>
      <c r="C862" s="35">
        <v>45245</v>
      </c>
      <c r="D862" s="34" t="s">
        <v>42</v>
      </c>
      <c r="E862" s="34" t="str" cm="1">
        <f t="array" ref="E862">_xlfn.XLOOKUP(Table2[[#This Row],[Sales Rep]],Sheet1!$A$21:$A$25,Sheet1!$B$21:$B$25,Not Found)</f>
        <v>Scott Wayne</v>
      </c>
      <c r="F862" s="34" t="s">
        <v>15</v>
      </c>
      <c r="G862" s="34">
        <f>_xlfn.XLOOKUP(Table2[[#This Row],[Region]],Sheet1!$A$12:$A$15,Sheet1!$B$12:$B$15,0)</f>
        <v>7.4999999999999997E-2</v>
      </c>
      <c r="H862" s="36">
        <f>Table2[[#This Row],[Tax Rate]]*Table2[[#This Row],[Sales Amount]]</f>
        <v>352.76925</v>
      </c>
      <c r="I862" s="36">
        <v>4703.59</v>
      </c>
      <c r="J862" s="34">
        <v>23</v>
      </c>
      <c r="K862" s="34" t="s">
        <v>35</v>
      </c>
      <c r="L862" s="36">
        <v>1676.42</v>
      </c>
      <c r="M862" s="36">
        <v>2082.52</v>
      </c>
      <c r="N862" s="34" t="s">
        <v>30</v>
      </c>
      <c r="O862" s="37">
        <v>0.15</v>
      </c>
      <c r="P862" s="34" t="s">
        <v>27</v>
      </c>
      <c r="Q862" s="34" t="s">
        <v>22</v>
      </c>
      <c r="R862" s="34" t="str">
        <f>IF(Cleaned_Final!$I862&gt;=5000,"High","Low")</f>
        <v>Low</v>
      </c>
    </row>
    <row r="863" spans="1:18" x14ac:dyDescent="0.35">
      <c r="A863" s="38">
        <v>1038</v>
      </c>
      <c r="B863" s="38" t="str">
        <f>_xlfn.XLOOKUP(Table2[[#This Row],[Product ID]],Sheet1!$A$32:$A$200,Sheet1!$B$32:$B$200,"Not Found")</f>
        <v>Jean Pants</v>
      </c>
      <c r="C863" s="39">
        <v>45140</v>
      </c>
      <c r="D863" s="38" t="s">
        <v>42</v>
      </c>
      <c r="E863" s="38" t="str" cm="1">
        <f t="array" ref="E863">_xlfn.XLOOKUP(Table2[[#This Row],[Sales Rep]],Sheet1!$A$21:$A$25,Sheet1!$B$21:$B$25,Not Found)</f>
        <v>Scott Wayne</v>
      </c>
      <c r="F863" s="38" t="s">
        <v>34</v>
      </c>
      <c r="G863" s="38">
        <f>_xlfn.XLOOKUP(Table2[[#This Row],[Region]],Sheet1!$A$12:$A$15,Sheet1!$B$12:$B$15,0)</f>
        <v>0.06</v>
      </c>
      <c r="H863" s="40">
        <f>Table2[[#This Row],[Tax Rate]]*Table2[[#This Row],[Sales Amount]]</f>
        <v>509.34839999999997</v>
      </c>
      <c r="I863" s="40">
        <v>8489.14</v>
      </c>
      <c r="J863" s="38">
        <v>43</v>
      </c>
      <c r="K863" s="38" t="s">
        <v>16</v>
      </c>
      <c r="L863" s="40">
        <v>3031.17</v>
      </c>
      <c r="M863" s="40">
        <v>3231.32</v>
      </c>
      <c r="N863" s="38" t="s">
        <v>17</v>
      </c>
      <c r="O863" s="41">
        <v>0.22</v>
      </c>
      <c r="P863" s="38" t="s">
        <v>18</v>
      </c>
      <c r="Q863" s="38" t="s">
        <v>22</v>
      </c>
      <c r="R863" s="38" t="str">
        <f>IF(Cleaned_Final!$I863&gt;=5000,"High","Low")</f>
        <v>High</v>
      </c>
    </row>
    <row r="864" spans="1:18" x14ac:dyDescent="0.35">
      <c r="A864" s="34">
        <v>1064</v>
      </c>
      <c r="B864" s="34" t="str">
        <f>_xlfn.XLOOKUP(Table2[[#This Row],[Product ID]],Sheet1!$A$32:$A$200,Sheet1!$B$32:$B$200,"Not Found")</f>
        <v>Smartphone</v>
      </c>
      <c r="C864" s="35">
        <v>45043</v>
      </c>
      <c r="D864" s="34" t="s">
        <v>14</v>
      </c>
      <c r="E864" s="34" t="str" cm="1">
        <f t="array" ref="E864">_xlfn.XLOOKUP(Table2[[#This Row],[Sales Rep]],Sheet1!$A$21:$A$25,Sheet1!$B$21:$B$25,Not Found)</f>
        <v>Michael Smith</v>
      </c>
      <c r="F864" s="34" t="s">
        <v>15</v>
      </c>
      <c r="G864" s="34">
        <f>_xlfn.XLOOKUP(Table2[[#This Row],[Region]],Sheet1!$A$12:$A$15,Sheet1!$B$12:$B$15,0)</f>
        <v>7.4999999999999997E-2</v>
      </c>
      <c r="H864" s="36">
        <f>Table2[[#This Row],[Tax Rate]]*Table2[[#This Row],[Sales Amount]]</f>
        <v>53.827500000000001</v>
      </c>
      <c r="I864" s="36">
        <v>717.7</v>
      </c>
      <c r="J864" s="34">
        <v>13</v>
      </c>
      <c r="K864" s="34" t="s">
        <v>29</v>
      </c>
      <c r="L864" s="36">
        <v>1645.51</v>
      </c>
      <c r="M864" s="36">
        <v>2045.53</v>
      </c>
      <c r="N864" s="34" t="s">
        <v>17</v>
      </c>
      <c r="O864" s="37">
        <v>0.28000000000000003</v>
      </c>
      <c r="P864" s="34" t="s">
        <v>18</v>
      </c>
      <c r="Q864" s="34" t="s">
        <v>22</v>
      </c>
      <c r="R864" s="34" t="str">
        <f>IF(Cleaned_Final!$I864&gt;=5000,"High","Low")</f>
        <v>Low</v>
      </c>
    </row>
    <row r="865" spans="1:18" x14ac:dyDescent="0.35">
      <c r="A865" s="38">
        <v>1098</v>
      </c>
      <c r="B865" s="38" t="str">
        <f>_xlfn.XLOOKUP(Table2[[#This Row],[Product ID]],Sheet1!$A$32:$A$200,Sheet1!$B$32:$B$200,"Not Found")</f>
        <v>File Cabinet</v>
      </c>
      <c r="C865" s="39">
        <v>45270</v>
      </c>
      <c r="D865" s="38" t="s">
        <v>38</v>
      </c>
      <c r="E865" s="38" t="str" cm="1">
        <f t="array" ref="E865">_xlfn.XLOOKUP(Table2[[#This Row],[Sales Rep]],Sheet1!$A$21:$A$25,Sheet1!$B$21:$B$25,Not Found)</f>
        <v>Tracy Moore</v>
      </c>
      <c r="F865" s="38" t="s">
        <v>34</v>
      </c>
      <c r="G865" s="38">
        <f>_xlfn.XLOOKUP(Table2[[#This Row],[Region]],Sheet1!$A$12:$A$15,Sheet1!$B$12:$B$15,0)</f>
        <v>0.06</v>
      </c>
      <c r="H865" s="40">
        <f>Table2[[#This Row],[Tax Rate]]*Table2[[#This Row],[Sales Amount]]</f>
        <v>205.15559999999999</v>
      </c>
      <c r="I865" s="40">
        <v>3419.26</v>
      </c>
      <c r="J865" s="38">
        <v>28</v>
      </c>
      <c r="K865" s="38" t="s">
        <v>35</v>
      </c>
      <c r="L865" s="40">
        <v>3895.62</v>
      </c>
      <c r="M865" s="40">
        <v>4055.44</v>
      </c>
      <c r="N865" s="38" t="s">
        <v>30</v>
      </c>
      <c r="O865" s="41">
        <v>0.03</v>
      </c>
      <c r="P865" s="38" t="s">
        <v>27</v>
      </c>
      <c r="Q865" s="38" t="s">
        <v>22</v>
      </c>
      <c r="R865" s="38" t="str">
        <f>IF(Cleaned_Final!$I865&gt;=5000,"High","Low")</f>
        <v>Low</v>
      </c>
    </row>
    <row r="866" spans="1:18" x14ac:dyDescent="0.35">
      <c r="A866" s="34">
        <v>1038</v>
      </c>
      <c r="B866" s="34" t="str">
        <f>_xlfn.XLOOKUP(Table2[[#This Row],[Product ID]],Sheet1!$A$32:$A$200,Sheet1!$B$32:$B$200,"Not Found")</f>
        <v>Jean Pants</v>
      </c>
      <c r="C866" s="35">
        <v>44998</v>
      </c>
      <c r="D866" s="34" t="s">
        <v>24</v>
      </c>
      <c r="E866" s="34" t="str" cm="1">
        <f t="array" ref="E866">_xlfn.XLOOKUP(Table2[[#This Row],[Sales Rep]],Sheet1!$A$21:$A$25,Sheet1!$B$21:$B$25,Not Found)</f>
        <v>Hogan Rock</v>
      </c>
      <c r="F866" s="34" t="s">
        <v>15</v>
      </c>
      <c r="G866" s="34">
        <f>_xlfn.XLOOKUP(Table2[[#This Row],[Region]],Sheet1!$A$12:$A$15,Sheet1!$B$12:$B$15,0)</f>
        <v>7.4999999999999997E-2</v>
      </c>
      <c r="H866" s="36">
        <f>Table2[[#This Row],[Tax Rate]]*Table2[[#This Row],[Sales Amount]]</f>
        <v>57.259500000000003</v>
      </c>
      <c r="I866" s="36">
        <v>763.46</v>
      </c>
      <c r="J866" s="34">
        <v>9</v>
      </c>
      <c r="K866" s="34" t="s">
        <v>29</v>
      </c>
      <c r="L866" s="36">
        <v>400.42</v>
      </c>
      <c r="M866" s="36">
        <v>446.11</v>
      </c>
      <c r="N866" s="34" t="s">
        <v>30</v>
      </c>
      <c r="O866" s="37">
        <v>0.01</v>
      </c>
      <c r="P866" s="34" t="s">
        <v>27</v>
      </c>
      <c r="Q866" s="34" t="s">
        <v>22</v>
      </c>
      <c r="R866" s="34" t="str">
        <f>IF(Cleaned_Final!$I866&gt;=5000,"High","Low")</f>
        <v>Low</v>
      </c>
    </row>
    <row r="867" spans="1:18" x14ac:dyDescent="0.35">
      <c r="A867" s="38">
        <v>1050</v>
      </c>
      <c r="B867" s="38" t="str">
        <f>_xlfn.XLOOKUP(Table2[[#This Row],[Product ID]],Sheet1!$A$32:$A$200,Sheet1!$B$32:$B$200,"Not Found")</f>
        <v>Sneakers</v>
      </c>
      <c r="C867" s="39">
        <v>44990</v>
      </c>
      <c r="D867" s="38" t="s">
        <v>14</v>
      </c>
      <c r="E867" s="38" t="str" cm="1">
        <f t="array" ref="E867">_xlfn.XLOOKUP(Table2[[#This Row],[Sales Rep]],Sheet1!$A$21:$A$25,Sheet1!$B$21:$B$25,Not Found)</f>
        <v>Michael Smith</v>
      </c>
      <c r="F867" s="38" t="s">
        <v>15</v>
      </c>
      <c r="G867" s="38">
        <f>_xlfn.XLOOKUP(Table2[[#This Row],[Region]],Sheet1!$A$12:$A$15,Sheet1!$B$12:$B$15,0)</f>
        <v>7.4999999999999997E-2</v>
      </c>
      <c r="H867" s="40">
        <f>Table2[[#This Row],[Tax Rate]]*Table2[[#This Row],[Sales Amount]]</f>
        <v>731.6925</v>
      </c>
      <c r="I867" s="40">
        <v>9755.9</v>
      </c>
      <c r="J867" s="38">
        <v>20</v>
      </c>
      <c r="K867" s="38" t="s">
        <v>35</v>
      </c>
      <c r="L867" s="40">
        <v>3318.92</v>
      </c>
      <c r="M867" s="40">
        <v>3785.91</v>
      </c>
      <c r="N867" s="38" t="s">
        <v>30</v>
      </c>
      <c r="O867" s="41">
        <v>0.24</v>
      </c>
      <c r="P867" s="38" t="s">
        <v>27</v>
      </c>
      <c r="Q867" s="38" t="s">
        <v>19</v>
      </c>
      <c r="R867" s="38" t="str">
        <f>IF(Cleaned_Final!$I867&gt;=5000,"High","Low")</f>
        <v>High</v>
      </c>
    </row>
    <row r="868" spans="1:18" x14ac:dyDescent="0.35">
      <c r="A868" s="34">
        <v>1098</v>
      </c>
      <c r="B868" s="34" t="str">
        <f>_xlfn.XLOOKUP(Table2[[#This Row],[Product ID]],Sheet1!$A$32:$A$200,Sheet1!$B$32:$B$200,"Not Found")</f>
        <v>File Cabinet</v>
      </c>
      <c r="C868" s="35">
        <v>45131</v>
      </c>
      <c r="D868" s="34" t="s">
        <v>42</v>
      </c>
      <c r="E868" s="34" t="str" cm="1">
        <f t="array" ref="E868">_xlfn.XLOOKUP(Table2[[#This Row],[Sales Rep]],Sheet1!$A$21:$A$25,Sheet1!$B$21:$B$25,Not Found)</f>
        <v>Scott Wayne</v>
      </c>
      <c r="F868" s="34" t="s">
        <v>25</v>
      </c>
      <c r="G868" s="34">
        <f>_xlfn.XLOOKUP(Table2[[#This Row],[Region]],Sheet1!$A$12:$A$15,Sheet1!$B$12:$B$15,0)</f>
        <v>0.05</v>
      </c>
      <c r="H868" s="36">
        <f>Table2[[#This Row],[Tax Rate]]*Table2[[#This Row],[Sales Amount]]</f>
        <v>409.40200000000004</v>
      </c>
      <c r="I868" s="36">
        <v>8188.04</v>
      </c>
      <c r="J868" s="34">
        <v>19</v>
      </c>
      <c r="K868" s="34" t="s">
        <v>35</v>
      </c>
      <c r="L868" s="36">
        <v>4055.51</v>
      </c>
      <c r="M868" s="36">
        <v>4258.84</v>
      </c>
      <c r="N868" s="34" t="s">
        <v>17</v>
      </c>
      <c r="O868" s="37">
        <v>0.03</v>
      </c>
      <c r="P868" s="34" t="s">
        <v>31</v>
      </c>
      <c r="Q868" s="34" t="s">
        <v>19</v>
      </c>
      <c r="R868" s="34" t="str">
        <f>IF(Cleaned_Final!$I868&gt;=5000,"High","Low")</f>
        <v>High</v>
      </c>
    </row>
    <row r="869" spans="1:18" x14ac:dyDescent="0.35">
      <c r="A869" s="38">
        <v>1082</v>
      </c>
      <c r="B869" s="38" t="str">
        <f>_xlfn.XLOOKUP(Table2[[#This Row],[Product ID]],Sheet1!$A$32:$A$200,Sheet1!$B$32:$B$200,"Not Found")</f>
        <v>USB Drive</v>
      </c>
      <c r="C869" s="39">
        <v>45135</v>
      </c>
      <c r="D869" s="38" t="s">
        <v>42</v>
      </c>
      <c r="E869" s="38" t="str" cm="1">
        <f t="array" ref="E869">_xlfn.XLOOKUP(Table2[[#This Row],[Sales Rep]],Sheet1!$A$21:$A$25,Sheet1!$B$21:$B$25,Not Found)</f>
        <v>Scott Wayne</v>
      </c>
      <c r="F869" s="38" t="s">
        <v>34</v>
      </c>
      <c r="G869" s="38">
        <f>_xlfn.XLOOKUP(Table2[[#This Row],[Region]],Sheet1!$A$12:$A$15,Sheet1!$B$12:$B$15,0)</f>
        <v>0.06</v>
      </c>
      <c r="H869" s="40">
        <f>Table2[[#This Row],[Tax Rate]]*Table2[[#This Row],[Sales Amount]]</f>
        <v>512.41319999999996</v>
      </c>
      <c r="I869" s="40">
        <v>8540.2199999999993</v>
      </c>
      <c r="J869" s="38">
        <v>48</v>
      </c>
      <c r="K869" s="38" t="s">
        <v>26</v>
      </c>
      <c r="L869" s="40">
        <v>3380.52</v>
      </c>
      <c r="M869" s="40">
        <v>3778.94</v>
      </c>
      <c r="N869" s="38" t="s">
        <v>17</v>
      </c>
      <c r="O869" s="41">
        <v>0.3</v>
      </c>
      <c r="P869" s="38" t="s">
        <v>27</v>
      </c>
      <c r="Q869" s="38" t="s">
        <v>19</v>
      </c>
      <c r="R869" s="38" t="str">
        <f>IF(Cleaned_Final!$I869&gt;=5000,"High","Low")</f>
        <v>High</v>
      </c>
    </row>
    <row r="870" spans="1:18" x14ac:dyDescent="0.35">
      <c r="A870" s="34">
        <v>1030</v>
      </c>
      <c r="B870" s="34" t="str">
        <f>_xlfn.XLOOKUP(Table2[[#This Row],[Product ID]],Sheet1!$A$32:$A$200,Sheet1!$B$32:$B$200,"Not Found")</f>
        <v>Jeans</v>
      </c>
      <c r="C870" s="35">
        <v>44998</v>
      </c>
      <c r="D870" s="34" t="s">
        <v>42</v>
      </c>
      <c r="E870" s="34" t="str" cm="1">
        <f t="array" ref="E870">_xlfn.XLOOKUP(Table2[[#This Row],[Sales Rep]],Sheet1!$A$21:$A$25,Sheet1!$B$21:$B$25,Not Found)</f>
        <v>Scott Wayne</v>
      </c>
      <c r="F870" s="34" t="s">
        <v>15</v>
      </c>
      <c r="G870" s="34">
        <f>_xlfn.XLOOKUP(Table2[[#This Row],[Region]],Sheet1!$A$12:$A$15,Sheet1!$B$12:$B$15,0)</f>
        <v>7.4999999999999997E-2</v>
      </c>
      <c r="H870" s="36">
        <f>Table2[[#This Row],[Tax Rate]]*Table2[[#This Row],[Sales Amount]]</f>
        <v>703.93950000000007</v>
      </c>
      <c r="I870" s="36">
        <v>9385.86</v>
      </c>
      <c r="J870" s="34">
        <v>39</v>
      </c>
      <c r="K870" s="34" t="s">
        <v>26</v>
      </c>
      <c r="L870" s="36">
        <v>2511.2800000000002</v>
      </c>
      <c r="M870" s="36">
        <v>2658.06</v>
      </c>
      <c r="N870" s="34" t="s">
        <v>30</v>
      </c>
      <c r="O870" s="37">
        <v>0.19</v>
      </c>
      <c r="P870" s="34" t="s">
        <v>31</v>
      </c>
      <c r="Q870" s="34" t="s">
        <v>22</v>
      </c>
      <c r="R870" s="34" t="str">
        <f>IF(Cleaned_Final!$I870&gt;=5000,"High","Low")</f>
        <v>High</v>
      </c>
    </row>
    <row r="871" spans="1:18" x14ac:dyDescent="0.35">
      <c r="A871" s="38">
        <v>1079</v>
      </c>
      <c r="B871" s="38" t="str">
        <f>_xlfn.XLOOKUP(Table2[[#This Row],[Product ID]],Sheet1!$A$32:$A$200,Sheet1!$B$32:$B$200,"Not Found")</f>
        <v>Wardrobe</v>
      </c>
      <c r="C871" s="39">
        <v>45203</v>
      </c>
      <c r="D871" s="38" t="s">
        <v>38</v>
      </c>
      <c r="E871" s="38" t="str" cm="1">
        <f t="array" ref="E871">_xlfn.XLOOKUP(Table2[[#This Row],[Sales Rep]],Sheet1!$A$21:$A$25,Sheet1!$B$21:$B$25,Not Found)</f>
        <v>Tracy Moore</v>
      </c>
      <c r="F871" s="38" t="s">
        <v>34</v>
      </c>
      <c r="G871" s="38">
        <f>_xlfn.XLOOKUP(Table2[[#This Row],[Region]],Sheet1!$A$12:$A$15,Sheet1!$B$12:$B$15,0)</f>
        <v>0.06</v>
      </c>
      <c r="H871" s="40">
        <f>Table2[[#This Row],[Tax Rate]]*Table2[[#This Row],[Sales Amount]]</f>
        <v>56.551199999999994</v>
      </c>
      <c r="I871" s="40">
        <v>942.52</v>
      </c>
      <c r="J871" s="38">
        <v>12</v>
      </c>
      <c r="K871" s="38" t="s">
        <v>26</v>
      </c>
      <c r="L871" s="40">
        <v>4754.0200000000004</v>
      </c>
      <c r="M871" s="40">
        <v>5080.74</v>
      </c>
      <c r="N871" s="38" t="s">
        <v>30</v>
      </c>
      <c r="O871" s="41">
        <v>0.2</v>
      </c>
      <c r="P871" s="38" t="s">
        <v>18</v>
      </c>
      <c r="Q871" s="38" t="s">
        <v>19</v>
      </c>
      <c r="R871" s="38" t="str">
        <f>IF(Cleaned_Final!$I871&gt;=5000,"High","Low")</f>
        <v>Low</v>
      </c>
    </row>
    <row r="872" spans="1:18" x14ac:dyDescent="0.35">
      <c r="A872" s="34">
        <v>1091</v>
      </c>
      <c r="B872" s="34" t="str">
        <f>_xlfn.XLOOKUP(Table2[[#This Row],[Product ID]],Sheet1!$A$32:$A$200,Sheet1!$B$32:$B$200,"Not Found")</f>
        <v>Granola Bar</v>
      </c>
      <c r="C872" s="35">
        <v>45200</v>
      </c>
      <c r="D872" s="34" t="s">
        <v>38</v>
      </c>
      <c r="E872" s="34" t="str" cm="1">
        <f t="array" ref="E872">_xlfn.XLOOKUP(Table2[[#This Row],[Sales Rep]],Sheet1!$A$21:$A$25,Sheet1!$B$21:$B$25,Not Found)</f>
        <v>Tracy Moore</v>
      </c>
      <c r="F872" s="34" t="s">
        <v>34</v>
      </c>
      <c r="G872" s="34">
        <f>_xlfn.XLOOKUP(Table2[[#This Row],[Region]],Sheet1!$A$12:$A$15,Sheet1!$B$12:$B$15,0)</f>
        <v>0.06</v>
      </c>
      <c r="H872" s="36">
        <f>Table2[[#This Row],[Tax Rate]]*Table2[[#This Row],[Sales Amount]]</f>
        <v>235.04519999999999</v>
      </c>
      <c r="I872" s="36">
        <v>3917.42</v>
      </c>
      <c r="J872" s="34">
        <v>15</v>
      </c>
      <c r="K872" s="34" t="s">
        <v>35</v>
      </c>
      <c r="L872" s="36">
        <v>1534.7</v>
      </c>
      <c r="M872" s="36">
        <v>1972.62</v>
      </c>
      <c r="N872" s="34" t="s">
        <v>17</v>
      </c>
      <c r="O872" s="37">
        <v>0.06</v>
      </c>
      <c r="P872" s="34" t="s">
        <v>31</v>
      </c>
      <c r="Q872" s="34" t="s">
        <v>22</v>
      </c>
      <c r="R872" s="34" t="str">
        <f>IF(Cleaned_Final!$I872&gt;=5000,"High","Low")</f>
        <v>Low</v>
      </c>
    </row>
    <row r="873" spans="1:18" x14ac:dyDescent="0.35">
      <c r="A873" s="38">
        <v>1051</v>
      </c>
      <c r="B873" s="38" t="str">
        <f>_xlfn.XLOOKUP(Table2[[#This Row],[Product ID]],Sheet1!$A$32:$A$200,Sheet1!$B$32:$B$200,"Not Found")</f>
        <v>Tablet</v>
      </c>
      <c r="C873" s="39">
        <v>45246</v>
      </c>
      <c r="D873" s="38" t="s">
        <v>14</v>
      </c>
      <c r="E873" s="38" t="str" cm="1">
        <f t="array" ref="E873">_xlfn.XLOOKUP(Table2[[#This Row],[Sales Rep]],Sheet1!$A$21:$A$25,Sheet1!$B$21:$B$25,Not Found)</f>
        <v>Michael Smith</v>
      </c>
      <c r="F873" s="38" t="s">
        <v>21</v>
      </c>
      <c r="G873" s="38">
        <f>_xlfn.XLOOKUP(Table2[[#This Row],[Region]],Sheet1!$A$12:$A$15,Sheet1!$B$12:$B$15,0)</f>
        <v>0.08</v>
      </c>
      <c r="H873" s="40">
        <f>Table2[[#This Row],[Tax Rate]]*Table2[[#This Row],[Sales Amount]]</f>
        <v>64.260000000000005</v>
      </c>
      <c r="I873" s="40">
        <v>803.25</v>
      </c>
      <c r="J873" s="38">
        <v>31</v>
      </c>
      <c r="K873" s="38" t="s">
        <v>16</v>
      </c>
      <c r="L873" s="40">
        <v>144.88</v>
      </c>
      <c r="M873" s="40">
        <v>175.29</v>
      </c>
      <c r="N873" s="38" t="s">
        <v>30</v>
      </c>
      <c r="O873" s="41">
        <v>7.0000000000000007E-2</v>
      </c>
      <c r="P873" s="38" t="s">
        <v>27</v>
      </c>
      <c r="Q873" s="38" t="s">
        <v>19</v>
      </c>
      <c r="R873" s="38" t="str">
        <f>IF(Cleaned_Final!$I873&gt;=5000,"High","Low")</f>
        <v>Low</v>
      </c>
    </row>
    <row r="874" spans="1:18" x14ac:dyDescent="0.35">
      <c r="A874" s="34">
        <v>1063</v>
      </c>
      <c r="B874" s="34" t="str">
        <f>_xlfn.XLOOKUP(Table2[[#This Row],[Product ID]],Sheet1!$A$32:$A$200,Sheet1!$B$32:$B$200,"Not Found")</f>
        <v>Noodles</v>
      </c>
      <c r="C874" s="35">
        <v>45264</v>
      </c>
      <c r="D874" s="34" t="s">
        <v>24</v>
      </c>
      <c r="E874" s="34" t="str" cm="1">
        <f t="array" ref="E874">_xlfn.XLOOKUP(Table2[[#This Row],[Sales Rep]],Sheet1!$A$21:$A$25,Sheet1!$B$21:$B$25,Not Found)</f>
        <v>Hogan Rock</v>
      </c>
      <c r="F874" s="34" t="s">
        <v>25</v>
      </c>
      <c r="G874" s="34">
        <f>_xlfn.XLOOKUP(Table2[[#This Row],[Region]],Sheet1!$A$12:$A$15,Sheet1!$B$12:$B$15,0)</f>
        <v>0.05</v>
      </c>
      <c r="H874" s="36">
        <f>Table2[[#This Row],[Tax Rate]]*Table2[[#This Row],[Sales Amount]]</f>
        <v>109.3425</v>
      </c>
      <c r="I874" s="36">
        <v>2186.85</v>
      </c>
      <c r="J874" s="34">
        <v>14</v>
      </c>
      <c r="K874" s="34" t="s">
        <v>29</v>
      </c>
      <c r="L874" s="36">
        <v>2188.35</v>
      </c>
      <c r="M874" s="36">
        <v>2605.3599999999901</v>
      </c>
      <c r="N874" s="34" t="s">
        <v>17</v>
      </c>
      <c r="O874" s="37">
        <v>0.2</v>
      </c>
      <c r="P874" s="34" t="s">
        <v>31</v>
      </c>
      <c r="Q874" s="34" t="s">
        <v>22</v>
      </c>
      <c r="R874" s="34" t="str">
        <f>IF(Cleaned_Final!$I874&gt;=5000,"High","Low")</f>
        <v>Low</v>
      </c>
    </row>
    <row r="875" spans="1:18" x14ac:dyDescent="0.35">
      <c r="A875" s="38">
        <v>1098</v>
      </c>
      <c r="B875" s="38" t="str">
        <f>_xlfn.XLOOKUP(Table2[[#This Row],[Product ID]],Sheet1!$A$32:$A$200,Sheet1!$B$32:$B$200,"Not Found")</f>
        <v>File Cabinet</v>
      </c>
      <c r="C875" s="39">
        <v>45292</v>
      </c>
      <c r="D875" s="38" t="s">
        <v>14</v>
      </c>
      <c r="E875" s="38" t="str" cm="1">
        <f t="array" ref="E875">_xlfn.XLOOKUP(Table2[[#This Row],[Sales Rep]],Sheet1!$A$21:$A$25,Sheet1!$B$21:$B$25,Not Found)</f>
        <v>Michael Smith</v>
      </c>
      <c r="F875" s="38" t="s">
        <v>25</v>
      </c>
      <c r="G875" s="38">
        <f>_xlfn.XLOOKUP(Table2[[#This Row],[Region]],Sheet1!$A$12:$A$15,Sheet1!$B$12:$B$15,0)</f>
        <v>0.05</v>
      </c>
      <c r="H875" s="40">
        <f>Table2[[#This Row],[Tax Rate]]*Table2[[#This Row],[Sales Amount]]</f>
        <v>118.536</v>
      </c>
      <c r="I875" s="40">
        <v>2370.7199999999998</v>
      </c>
      <c r="J875" s="38">
        <v>11</v>
      </c>
      <c r="K875" s="38" t="s">
        <v>29</v>
      </c>
      <c r="L875" s="40">
        <v>213.41</v>
      </c>
      <c r="M875" s="40">
        <v>503.36</v>
      </c>
      <c r="N875" s="38" t="s">
        <v>17</v>
      </c>
      <c r="O875" s="41">
        <v>0.27</v>
      </c>
      <c r="P875" s="38" t="s">
        <v>27</v>
      </c>
      <c r="Q875" s="38" t="s">
        <v>19</v>
      </c>
      <c r="R875" s="38" t="str">
        <f>IF(Cleaned_Final!$I875&gt;=5000,"High","Low")</f>
        <v>Low</v>
      </c>
    </row>
    <row r="876" spans="1:18" x14ac:dyDescent="0.35">
      <c r="A876" s="34">
        <v>1052</v>
      </c>
      <c r="B876" s="34" t="str">
        <f>_xlfn.XLOOKUP(Table2[[#This Row],[Product ID]],Sheet1!$A$32:$A$200,Sheet1!$B$32:$B$200,"Not Found")</f>
        <v>Wooden Chair</v>
      </c>
      <c r="C876" s="35">
        <v>45021</v>
      </c>
      <c r="D876" s="34" t="s">
        <v>33</v>
      </c>
      <c r="E876" s="34" t="str" cm="1">
        <f t="array" ref="E876">_xlfn.XLOOKUP(Table2[[#This Row],[Sales Rep]],Sheet1!$A$21:$A$25,Sheet1!$B$21:$B$25,Not Found)</f>
        <v>Susan Jerkins</v>
      </c>
      <c r="F876" s="34" t="s">
        <v>25</v>
      </c>
      <c r="G876" s="34">
        <f>_xlfn.XLOOKUP(Table2[[#This Row],[Region]],Sheet1!$A$12:$A$15,Sheet1!$B$12:$B$15,0)</f>
        <v>0.05</v>
      </c>
      <c r="H876" s="36">
        <f>Table2[[#This Row],[Tax Rate]]*Table2[[#This Row],[Sales Amount]]</f>
        <v>237.208</v>
      </c>
      <c r="I876" s="36">
        <v>4744.16</v>
      </c>
      <c r="J876" s="34">
        <v>26</v>
      </c>
      <c r="K876" s="34" t="s">
        <v>29</v>
      </c>
      <c r="L876" s="36">
        <v>4771.99</v>
      </c>
      <c r="M876" s="36">
        <v>5079.6499999999996</v>
      </c>
      <c r="N876" s="34" t="s">
        <v>30</v>
      </c>
      <c r="O876" s="37">
        <v>0.28999999999999998</v>
      </c>
      <c r="P876" s="34" t="s">
        <v>31</v>
      </c>
      <c r="Q876" s="34" t="s">
        <v>19</v>
      </c>
      <c r="R876" s="34" t="str">
        <f>IF(Cleaned_Final!$I876&gt;=5000,"High","Low")</f>
        <v>Low</v>
      </c>
    </row>
    <row r="877" spans="1:18" x14ac:dyDescent="0.35">
      <c r="A877" s="38">
        <v>1038</v>
      </c>
      <c r="B877" s="38" t="str">
        <f>_xlfn.XLOOKUP(Table2[[#This Row],[Product ID]],Sheet1!$A$32:$A$200,Sheet1!$B$32:$B$200,"Not Found")</f>
        <v>Jean Pants</v>
      </c>
      <c r="C877" s="39">
        <v>45092</v>
      </c>
      <c r="D877" s="38" t="s">
        <v>42</v>
      </c>
      <c r="E877" s="38" t="str" cm="1">
        <f t="array" ref="E877">_xlfn.XLOOKUP(Table2[[#This Row],[Sales Rep]],Sheet1!$A$21:$A$25,Sheet1!$B$21:$B$25,Not Found)</f>
        <v>Scott Wayne</v>
      </c>
      <c r="F877" s="38" t="s">
        <v>21</v>
      </c>
      <c r="G877" s="38">
        <f>_xlfn.XLOOKUP(Table2[[#This Row],[Region]],Sheet1!$A$12:$A$15,Sheet1!$B$12:$B$15,0)</f>
        <v>0.08</v>
      </c>
      <c r="H877" s="40">
        <f>Table2[[#This Row],[Tax Rate]]*Table2[[#This Row],[Sales Amount]]</f>
        <v>220.70160000000001</v>
      </c>
      <c r="I877" s="40">
        <v>2758.77</v>
      </c>
      <c r="J877" s="38">
        <v>42</v>
      </c>
      <c r="K877" s="38" t="s">
        <v>26</v>
      </c>
      <c r="L877" s="40">
        <v>1089.0899999999999</v>
      </c>
      <c r="M877" s="40">
        <v>1355.44</v>
      </c>
      <c r="N877" s="38" t="s">
        <v>30</v>
      </c>
      <c r="O877" s="41">
        <v>0.06</v>
      </c>
      <c r="P877" s="38" t="s">
        <v>18</v>
      </c>
      <c r="Q877" s="38" t="s">
        <v>22</v>
      </c>
      <c r="R877" s="38" t="str">
        <f>IF(Cleaned_Final!$I877&gt;=5000,"High","Low")</f>
        <v>Low</v>
      </c>
    </row>
    <row r="878" spans="1:18" x14ac:dyDescent="0.35">
      <c r="A878" s="34">
        <v>1097</v>
      </c>
      <c r="B878" s="34" t="str">
        <f>_xlfn.XLOOKUP(Table2[[#This Row],[Product ID]],Sheet1!$A$32:$A$200,Sheet1!$B$32:$B$200,"Not Found")</f>
        <v>Freezer</v>
      </c>
      <c r="C878" s="35">
        <v>44958</v>
      </c>
      <c r="D878" s="34" t="s">
        <v>42</v>
      </c>
      <c r="E878" s="34" t="str" cm="1">
        <f t="array" ref="E878">_xlfn.XLOOKUP(Table2[[#This Row],[Sales Rep]],Sheet1!$A$21:$A$25,Sheet1!$B$21:$B$25,Not Found)</f>
        <v>Scott Wayne</v>
      </c>
      <c r="F878" s="34" t="s">
        <v>21</v>
      </c>
      <c r="G878" s="34">
        <f>_xlfn.XLOOKUP(Table2[[#This Row],[Region]],Sheet1!$A$12:$A$15,Sheet1!$B$12:$B$15,0)</f>
        <v>0.08</v>
      </c>
      <c r="H878" s="36">
        <f>Table2[[#This Row],[Tax Rate]]*Table2[[#This Row],[Sales Amount]]</f>
        <v>87.974400000000003</v>
      </c>
      <c r="I878" s="36">
        <v>1099.68</v>
      </c>
      <c r="J878" s="34">
        <v>27</v>
      </c>
      <c r="K878" s="34" t="s">
        <v>35</v>
      </c>
      <c r="L878" s="36">
        <v>3955.19</v>
      </c>
      <c r="M878" s="36">
        <v>4393.68</v>
      </c>
      <c r="N878" s="34" t="s">
        <v>17</v>
      </c>
      <c r="O878" s="37">
        <v>0.04</v>
      </c>
      <c r="P878" s="34" t="s">
        <v>31</v>
      </c>
      <c r="Q878" s="34" t="s">
        <v>19</v>
      </c>
      <c r="R878" s="34" t="str">
        <f>IF(Cleaned_Final!$I878&gt;=5000,"High","Low")</f>
        <v>Low</v>
      </c>
    </row>
    <row r="879" spans="1:18" x14ac:dyDescent="0.35">
      <c r="A879" s="38">
        <v>1088</v>
      </c>
      <c r="B879" s="38" t="str">
        <f>_xlfn.XLOOKUP(Table2[[#This Row],[Product ID]],Sheet1!$A$32:$A$200,Sheet1!$B$32:$B$200,"Not Found")</f>
        <v>Office Desk</v>
      </c>
      <c r="C879" s="39">
        <v>44937</v>
      </c>
      <c r="D879" s="38" t="s">
        <v>42</v>
      </c>
      <c r="E879" s="38" t="str" cm="1">
        <f t="array" ref="E879">_xlfn.XLOOKUP(Table2[[#This Row],[Sales Rep]],Sheet1!$A$21:$A$25,Sheet1!$B$21:$B$25,Not Found)</f>
        <v>Scott Wayne</v>
      </c>
      <c r="F879" s="38" t="s">
        <v>25</v>
      </c>
      <c r="G879" s="38">
        <f>_xlfn.XLOOKUP(Table2[[#This Row],[Region]],Sheet1!$A$12:$A$15,Sheet1!$B$12:$B$15,0)</f>
        <v>0.05</v>
      </c>
      <c r="H879" s="40">
        <f>Table2[[#This Row],[Tax Rate]]*Table2[[#This Row],[Sales Amount]]</f>
        <v>87.908000000000015</v>
      </c>
      <c r="I879" s="40">
        <v>1758.16</v>
      </c>
      <c r="J879" s="38">
        <v>11</v>
      </c>
      <c r="K879" s="38" t="s">
        <v>26</v>
      </c>
      <c r="L879" s="40">
        <v>3884.13</v>
      </c>
      <c r="M879" s="40">
        <v>3915.41</v>
      </c>
      <c r="N879" s="38" t="s">
        <v>17</v>
      </c>
      <c r="O879" s="41">
        <v>0.02</v>
      </c>
      <c r="P879" s="38" t="s">
        <v>18</v>
      </c>
      <c r="Q879" s="38" t="s">
        <v>19</v>
      </c>
      <c r="R879" s="38" t="str">
        <f>IF(Cleaned_Final!$I879&gt;=5000,"High","Low")</f>
        <v>Low</v>
      </c>
    </row>
    <row r="880" spans="1:18" x14ac:dyDescent="0.35">
      <c r="A880" s="34">
        <v>1079</v>
      </c>
      <c r="B880" s="34" t="str">
        <f>_xlfn.XLOOKUP(Table2[[#This Row],[Product ID]],Sheet1!$A$32:$A$200,Sheet1!$B$32:$B$200,"Not Found")</f>
        <v>Wardrobe</v>
      </c>
      <c r="C880" s="35">
        <v>45227</v>
      </c>
      <c r="D880" s="34" t="s">
        <v>14</v>
      </c>
      <c r="E880" s="34" t="str" cm="1">
        <f t="array" ref="E880">_xlfn.XLOOKUP(Table2[[#This Row],[Sales Rep]],Sheet1!$A$21:$A$25,Sheet1!$B$21:$B$25,Not Found)</f>
        <v>Michael Smith</v>
      </c>
      <c r="F880" s="34" t="s">
        <v>21</v>
      </c>
      <c r="G880" s="34">
        <f>_xlfn.XLOOKUP(Table2[[#This Row],[Region]],Sheet1!$A$12:$A$15,Sheet1!$B$12:$B$15,0)</f>
        <v>0.08</v>
      </c>
      <c r="H880" s="36">
        <f>Table2[[#This Row],[Tax Rate]]*Table2[[#This Row],[Sales Amount]]</f>
        <v>124.64239999999999</v>
      </c>
      <c r="I880" s="36">
        <v>1558.03</v>
      </c>
      <c r="J880" s="34">
        <v>38</v>
      </c>
      <c r="K880" s="34" t="s">
        <v>16</v>
      </c>
      <c r="L880" s="36">
        <v>1127.76</v>
      </c>
      <c r="M880" s="36">
        <v>1265.6600000000001</v>
      </c>
      <c r="N880" s="34" t="s">
        <v>17</v>
      </c>
      <c r="O880" s="37">
        <v>0.26</v>
      </c>
      <c r="P880" s="34" t="s">
        <v>27</v>
      </c>
      <c r="Q880" s="34" t="s">
        <v>22</v>
      </c>
      <c r="R880" s="34" t="str">
        <f>IF(Cleaned_Final!$I880&gt;=5000,"High","Low")</f>
        <v>Low</v>
      </c>
    </row>
    <row r="881" spans="1:18" x14ac:dyDescent="0.35">
      <c r="A881" s="38">
        <v>1030</v>
      </c>
      <c r="B881" s="38" t="str">
        <f>_xlfn.XLOOKUP(Table2[[#This Row],[Product ID]],Sheet1!$A$32:$A$200,Sheet1!$B$32:$B$200,"Not Found")</f>
        <v>Jeans</v>
      </c>
      <c r="C881" s="39">
        <v>45143</v>
      </c>
      <c r="D881" s="38" t="s">
        <v>14</v>
      </c>
      <c r="E881" s="38" t="str" cm="1">
        <f t="array" ref="E881">_xlfn.XLOOKUP(Table2[[#This Row],[Sales Rep]],Sheet1!$A$21:$A$25,Sheet1!$B$21:$B$25,Not Found)</f>
        <v>Michael Smith</v>
      </c>
      <c r="F881" s="38" t="s">
        <v>21</v>
      </c>
      <c r="G881" s="38">
        <f>_xlfn.XLOOKUP(Table2[[#This Row],[Region]],Sheet1!$A$12:$A$15,Sheet1!$B$12:$B$15,0)</f>
        <v>0.08</v>
      </c>
      <c r="H881" s="40">
        <f>Table2[[#This Row],[Tax Rate]]*Table2[[#This Row],[Sales Amount]]</f>
        <v>778.67679999999996</v>
      </c>
      <c r="I881" s="40">
        <v>9733.4599999999991</v>
      </c>
      <c r="J881" s="38">
        <v>34</v>
      </c>
      <c r="K881" s="38" t="s">
        <v>35</v>
      </c>
      <c r="L881" s="40">
        <v>3125.07</v>
      </c>
      <c r="M881" s="40">
        <v>3564.19</v>
      </c>
      <c r="N881" s="38" t="s">
        <v>17</v>
      </c>
      <c r="O881" s="41">
        <v>0.09</v>
      </c>
      <c r="P881" s="38" t="s">
        <v>18</v>
      </c>
      <c r="Q881" s="38" t="s">
        <v>19</v>
      </c>
      <c r="R881" s="38" t="str">
        <f>IF(Cleaned_Final!$I881&gt;=5000,"High","Low")</f>
        <v>High</v>
      </c>
    </row>
    <row r="882" spans="1:18" x14ac:dyDescent="0.35">
      <c r="A882" s="34">
        <v>1051</v>
      </c>
      <c r="B882" s="34" t="str">
        <f>_xlfn.XLOOKUP(Table2[[#This Row],[Product ID]],Sheet1!$A$32:$A$200,Sheet1!$B$32:$B$200,"Not Found")</f>
        <v>Tablet</v>
      </c>
      <c r="C882" s="35">
        <v>45215</v>
      </c>
      <c r="D882" s="34" t="s">
        <v>42</v>
      </c>
      <c r="E882" s="34" t="str" cm="1">
        <f t="array" ref="E882">_xlfn.XLOOKUP(Table2[[#This Row],[Sales Rep]],Sheet1!$A$21:$A$25,Sheet1!$B$21:$B$25,Not Found)</f>
        <v>Scott Wayne</v>
      </c>
      <c r="F882" s="34" t="s">
        <v>21</v>
      </c>
      <c r="G882" s="34">
        <f>_xlfn.XLOOKUP(Table2[[#This Row],[Region]],Sheet1!$A$12:$A$15,Sheet1!$B$12:$B$15,0)</f>
        <v>0.08</v>
      </c>
      <c r="H882" s="36">
        <f>Table2[[#This Row],[Tax Rate]]*Table2[[#This Row],[Sales Amount]]</f>
        <v>609.36</v>
      </c>
      <c r="I882" s="36">
        <v>7617</v>
      </c>
      <c r="J882" s="34">
        <v>43</v>
      </c>
      <c r="K882" s="34" t="s">
        <v>29</v>
      </c>
      <c r="L882" s="36">
        <v>287.99</v>
      </c>
      <c r="M882" s="36">
        <v>666.64</v>
      </c>
      <c r="N882" s="34" t="s">
        <v>17</v>
      </c>
      <c r="O882" s="37">
        <v>0</v>
      </c>
      <c r="P882" s="34" t="s">
        <v>27</v>
      </c>
      <c r="Q882" s="34" t="s">
        <v>19</v>
      </c>
      <c r="R882" s="34" t="str">
        <f>IF(Cleaned_Final!$I882&gt;=5000,"High","Low")</f>
        <v>High</v>
      </c>
    </row>
    <row r="883" spans="1:18" x14ac:dyDescent="0.35">
      <c r="A883" s="38">
        <v>1081</v>
      </c>
      <c r="B883" s="38" t="str">
        <f>_xlfn.XLOOKUP(Table2[[#This Row],[Product ID]],Sheet1!$A$32:$A$200,Sheet1!$B$32:$B$200,"Not Found")</f>
        <v>Rocking Chair</v>
      </c>
      <c r="C883" s="39">
        <v>45028</v>
      </c>
      <c r="D883" s="38" t="s">
        <v>14</v>
      </c>
      <c r="E883" s="38" t="str" cm="1">
        <f t="array" ref="E883">_xlfn.XLOOKUP(Table2[[#This Row],[Sales Rep]],Sheet1!$A$21:$A$25,Sheet1!$B$21:$B$25,Not Found)</f>
        <v>Michael Smith</v>
      </c>
      <c r="F883" s="38" t="s">
        <v>25</v>
      </c>
      <c r="G883" s="38">
        <f>_xlfn.XLOOKUP(Table2[[#This Row],[Region]],Sheet1!$A$12:$A$15,Sheet1!$B$12:$B$15,0)</f>
        <v>0.05</v>
      </c>
      <c r="H883" s="40">
        <f>Table2[[#This Row],[Tax Rate]]*Table2[[#This Row],[Sales Amount]]</f>
        <v>484.04200000000003</v>
      </c>
      <c r="I883" s="40">
        <v>9680.84</v>
      </c>
      <c r="J883" s="38">
        <v>19</v>
      </c>
      <c r="K883" s="38" t="s">
        <v>26</v>
      </c>
      <c r="L883" s="40">
        <v>2443.69</v>
      </c>
      <c r="M883" s="40">
        <v>2462.34</v>
      </c>
      <c r="N883" s="38" t="s">
        <v>30</v>
      </c>
      <c r="O883" s="41">
        <v>7.0000000000000007E-2</v>
      </c>
      <c r="P883" s="38" t="s">
        <v>27</v>
      </c>
      <c r="Q883" s="38" t="s">
        <v>22</v>
      </c>
      <c r="R883" s="38" t="str">
        <f>IF(Cleaned_Final!$I883&gt;=5000,"High","Low")</f>
        <v>High</v>
      </c>
    </row>
    <row r="884" spans="1:18" x14ac:dyDescent="0.35">
      <c r="A884" s="34">
        <v>1005</v>
      </c>
      <c r="B884" s="34" t="str">
        <f>_xlfn.XLOOKUP(Table2[[#This Row],[Product ID]],Sheet1!$A$32:$A$200,Sheet1!$B$32:$B$200,"Not Found")</f>
        <v>Smart Phone</v>
      </c>
      <c r="C884" s="35">
        <v>45193</v>
      </c>
      <c r="D884" s="34" t="s">
        <v>38</v>
      </c>
      <c r="E884" s="34" t="str" cm="1">
        <f t="array" ref="E884">_xlfn.XLOOKUP(Table2[[#This Row],[Sales Rep]],Sheet1!$A$21:$A$25,Sheet1!$B$21:$B$25,Not Found)</f>
        <v>Tracy Moore</v>
      </c>
      <c r="F884" s="34" t="s">
        <v>25</v>
      </c>
      <c r="G884" s="34">
        <f>_xlfn.XLOOKUP(Table2[[#This Row],[Region]],Sheet1!$A$12:$A$15,Sheet1!$B$12:$B$15,0)</f>
        <v>0.05</v>
      </c>
      <c r="H884" s="36">
        <f>Table2[[#This Row],[Tax Rate]]*Table2[[#This Row],[Sales Amount]]</f>
        <v>222.67150000000004</v>
      </c>
      <c r="I884" s="36">
        <v>4453.43</v>
      </c>
      <c r="J884" s="34">
        <v>6</v>
      </c>
      <c r="K884" s="34" t="s">
        <v>26</v>
      </c>
      <c r="L884" s="36">
        <v>122.5</v>
      </c>
      <c r="M884" s="36">
        <v>385.83</v>
      </c>
      <c r="N884" s="34" t="s">
        <v>17</v>
      </c>
      <c r="O884" s="37">
        <v>0.1</v>
      </c>
      <c r="P884" s="34" t="s">
        <v>18</v>
      </c>
      <c r="Q884" s="34" t="s">
        <v>22</v>
      </c>
      <c r="R884" s="34" t="str">
        <f>IF(Cleaned_Final!$I884&gt;=5000,"High","Low")</f>
        <v>Low</v>
      </c>
    </row>
    <row r="885" spans="1:18" x14ac:dyDescent="0.35">
      <c r="A885" s="38">
        <v>1029</v>
      </c>
      <c r="B885" s="38" t="str">
        <f>_xlfn.XLOOKUP(Table2[[#This Row],[Product ID]],Sheet1!$A$32:$A$200,Sheet1!$B$32:$B$200,"Not Found")</f>
        <v>Camisole</v>
      </c>
      <c r="C885" s="39">
        <v>45140</v>
      </c>
      <c r="D885" s="38" t="s">
        <v>38</v>
      </c>
      <c r="E885" s="38" t="str" cm="1">
        <f t="array" ref="E885">_xlfn.XLOOKUP(Table2[[#This Row],[Sales Rep]],Sheet1!$A$21:$A$25,Sheet1!$B$21:$B$25,Not Found)</f>
        <v>Tracy Moore</v>
      </c>
      <c r="F885" s="38" t="s">
        <v>25</v>
      </c>
      <c r="G885" s="38">
        <f>_xlfn.XLOOKUP(Table2[[#This Row],[Region]],Sheet1!$A$12:$A$15,Sheet1!$B$12:$B$15,0)</f>
        <v>0.05</v>
      </c>
      <c r="H885" s="40">
        <f>Table2[[#This Row],[Tax Rate]]*Table2[[#This Row],[Sales Amount]]</f>
        <v>142.79249999999999</v>
      </c>
      <c r="I885" s="40">
        <v>2855.85</v>
      </c>
      <c r="J885" s="38">
        <v>46</v>
      </c>
      <c r="K885" s="38" t="s">
        <v>16</v>
      </c>
      <c r="L885" s="40">
        <v>4609.66</v>
      </c>
      <c r="M885" s="40">
        <v>4879.1499999999996</v>
      </c>
      <c r="N885" s="38" t="s">
        <v>17</v>
      </c>
      <c r="O885" s="41">
        <v>0.3</v>
      </c>
      <c r="P885" s="38" t="s">
        <v>18</v>
      </c>
      <c r="Q885" s="38" t="s">
        <v>22</v>
      </c>
      <c r="R885" s="38" t="str">
        <f>IF(Cleaned_Final!$I885&gt;=5000,"High","Low")</f>
        <v>Low</v>
      </c>
    </row>
    <row r="886" spans="1:18" x14ac:dyDescent="0.35">
      <c r="A886" s="34">
        <v>1004</v>
      </c>
      <c r="B886" s="34" t="str">
        <f>_xlfn.XLOOKUP(Table2[[#This Row],[Product ID]],Sheet1!$A$32:$A$200,Sheet1!$B$32:$B$200,"Not Found")</f>
        <v>Smartwatch</v>
      </c>
      <c r="C886" s="35">
        <v>45105</v>
      </c>
      <c r="D886" s="34" t="s">
        <v>14</v>
      </c>
      <c r="E886" s="34" t="str" cm="1">
        <f t="array" ref="E886">_xlfn.XLOOKUP(Table2[[#This Row],[Sales Rep]],Sheet1!$A$21:$A$25,Sheet1!$B$21:$B$25,Not Found)</f>
        <v>Michael Smith</v>
      </c>
      <c r="F886" s="34" t="s">
        <v>21</v>
      </c>
      <c r="G886" s="34">
        <f>_xlfn.XLOOKUP(Table2[[#This Row],[Region]],Sheet1!$A$12:$A$15,Sheet1!$B$12:$B$15,0)</f>
        <v>0.08</v>
      </c>
      <c r="H886" s="36">
        <f>Table2[[#This Row],[Tax Rate]]*Table2[[#This Row],[Sales Amount]]</f>
        <v>640.24800000000005</v>
      </c>
      <c r="I886" s="36">
        <v>8003.1</v>
      </c>
      <c r="J886" s="34">
        <v>38</v>
      </c>
      <c r="K886" s="34" t="s">
        <v>16</v>
      </c>
      <c r="L886" s="36">
        <v>4881.63</v>
      </c>
      <c r="M886" s="36">
        <v>5088.0600000000004</v>
      </c>
      <c r="N886" s="34" t="s">
        <v>17</v>
      </c>
      <c r="O886" s="37">
        <v>0.16</v>
      </c>
      <c r="P886" s="34" t="s">
        <v>31</v>
      </c>
      <c r="Q886" s="34" t="s">
        <v>22</v>
      </c>
      <c r="R886" s="34" t="str">
        <f>IF(Cleaned_Final!$I886&gt;=5000,"High","Low")</f>
        <v>High</v>
      </c>
    </row>
    <row r="887" spans="1:18" x14ac:dyDescent="0.35">
      <c r="A887" s="38">
        <v>1010</v>
      </c>
      <c r="B887" s="38" t="str">
        <f>_xlfn.XLOOKUP(Table2[[#This Row],[Product ID]],Sheet1!$A$32:$A$200,Sheet1!$B$32:$B$200,"Not Found")</f>
        <v>Lawn Chair</v>
      </c>
      <c r="C887" s="39">
        <v>45014</v>
      </c>
      <c r="D887" s="38" t="s">
        <v>42</v>
      </c>
      <c r="E887" s="38" t="str" cm="1">
        <f t="array" ref="E887">_xlfn.XLOOKUP(Table2[[#This Row],[Sales Rep]],Sheet1!$A$21:$A$25,Sheet1!$B$21:$B$25,Not Found)</f>
        <v>Scott Wayne</v>
      </c>
      <c r="F887" s="38" t="s">
        <v>25</v>
      </c>
      <c r="G887" s="38">
        <f>_xlfn.XLOOKUP(Table2[[#This Row],[Region]],Sheet1!$A$12:$A$15,Sheet1!$B$12:$B$15,0)</f>
        <v>0.05</v>
      </c>
      <c r="H887" s="40">
        <f>Table2[[#This Row],[Tax Rate]]*Table2[[#This Row],[Sales Amount]]</f>
        <v>166.49549999999999</v>
      </c>
      <c r="I887" s="40">
        <v>3329.91</v>
      </c>
      <c r="J887" s="38">
        <v>49</v>
      </c>
      <c r="K887" s="38" t="s">
        <v>26</v>
      </c>
      <c r="L887" s="40">
        <v>1150.3</v>
      </c>
      <c r="M887" s="40">
        <v>1306.02</v>
      </c>
      <c r="N887" s="38" t="s">
        <v>30</v>
      </c>
      <c r="O887" s="41">
        <v>0.06</v>
      </c>
      <c r="P887" s="38" t="s">
        <v>31</v>
      </c>
      <c r="Q887" s="38" t="s">
        <v>22</v>
      </c>
      <c r="R887" s="38" t="str">
        <f>IF(Cleaned_Final!$I887&gt;=5000,"High","Low")</f>
        <v>Low</v>
      </c>
    </row>
    <row r="888" spans="1:18" x14ac:dyDescent="0.35">
      <c r="A888" s="34">
        <v>1056</v>
      </c>
      <c r="B888" s="34" t="str">
        <f>_xlfn.XLOOKUP(Table2[[#This Row],[Product ID]],Sheet1!$A$32:$A$200,Sheet1!$B$32:$B$200,"Not Found")</f>
        <v>Track Suits</v>
      </c>
      <c r="C888" s="35">
        <v>44967</v>
      </c>
      <c r="D888" s="34" t="s">
        <v>14</v>
      </c>
      <c r="E888" s="34" t="str" cm="1">
        <f t="array" ref="E888">_xlfn.XLOOKUP(Table2[[#This Row],[Sales Rep]],Sheet1!$A$21:$A$25,Sheet1!$B$21:$B$25,Not Found)</f>
        <v>Michael Smith</v>
      </c>
      <c r="F888" s="34" t="s">
        <v>21</v>
      </c>
      <c r="G888" s="34">
        <f>_xlfn.XLOOKUP(Table2[[#This Row],[Region]],Sheet1!$A$12:$A$15,Sheet1!$B$12:$B$15,0)</f>
        <v>0.08</v>
      </c>
      <c r="H888" s="36">
        <f>Table2[[#This Row],[Tax Rate]]*Table2[[#This Row],[Sales Amount]]</f>
        <v>245.11200000000002</v>
      </c>
      <c r="I888" s="36">
        <v>3063.9</v>
      </c>
      <c r="J888" s="34">
        <v>42</v>
      </c>
      <c r="K888" s="34" t="s">
        <v>16</v>
      </c>
      <c r="L888" s="36">
        <v>1080.1199999999999</v>
      </c>
      <c r="M888" s="36">
        <v>1424.1699999999901</v>
      </c>
      <c r="N888" s="34" t="s">
        <v>30</v>
      </c>
      <c r="O888" s="37">
        <v>0.1</v>
      </c>
      <c r="P888" s="34" t="s">
        <v>18</v>
      </c>
      <c r="Q888" s="34" t="s">
        <v>19</v>
      </c>
      <c r="R888" s="34" t="str">
        <f>IF(Cleaned_Final!$I888&gt;=5000,"High","Low")</f>
        <v>Low</v>
      </c>
    </row>
    <row r="889" spans="1:18" x14ac:dyDescent="0.35">
      <c r="A889" s="38">
        <v>1017</v>
      </c>
      <c r="B889" s="38" t="str">
        <f>_xlfn.XLOOKUP(Table2[[#This Row],[Product ID]],Sheet1!$A$32:$A$200,Sheet1!$B$32:$B$200,"Not Found")</f>
        <v>Peaches</v>
      </c>
      <c r="C889" s="39">
        <v>45002</v>
      </c>
      <c r="D889" s="38" t="s">
        <v>14</v>
      </c>
      <c r="E889" s="38" t="str" cm="1">
        <f t="array" ref="E889">_xlfn.XLOOKUP(Table2[[#This Row],[Sales Rep]],Sheet1!$A$21:$A$25,Sheet1!$B$21:$B$25,Not Found)</f>
        <v>Michael Smith</v>
      </c>
      <c r="F889" s="38" t="s">
        <v>15</v>
      </c>
      <c r="G889" s="38">
        <f>_xlfn.XLOOKUP(Table2[[#This Row],[Region]],Sheet1!$A$12:$A$15,Sheet1!$B$12:$B$15,0)</f>
        <v>7.4999999999999997E-2</v>
      </c>
      <c r="H889" s="40">
        <f>Table2[[#This Row],[Tax Rate]]*Table2[[#This Row],[Sales Amount]]</f>
        <v>180.13575</v>
      </c>
      <c r="I889" s="40">
        <v>2401.81</v>
      </c>
      <c r="J889" s="38">
        <v>28</v>
      </c>
      <c r="K889" s="38" t="s">
        <v>29</v>
      </c>
      <c r="L889" s="40">
        <v>3780.91</v>
      </c>
      <c r="M889" s="40">
        <v>3892.73</v>
      </c>
      <c r="N889" s="38" t="s">
        <v>17</v>
      </c>
      <c r="O889" s="41">
        <v>0.1</v>
      </c>
      <c r="P889" s="38" t="s">
        <v>18</v>
      </c>
      <c r="Q889" s="38" t="s">
        <v>22</v>
      </c>
      <c r="R889" s="38" t="str">
        <f>IF(Cleaned_Final!$I889&gt;=5000,"High","Low")</f>
        <v>Low</v>
      </c>
    </row>
    <row r="890" spans="1:18" x14ac:dyDescent="0.35">
      <c r="A890" s="34">
        <v>1074</v>
      </c>
      <c r="B890" s="34" t="str">
        <f>_xlfn.XLOOKUP(Table2[[#This Row],[Product ID]],Sheet1!$A$32:$A$200,Sheet1!$B$32:$B$200,"Not Found")</f>
        <v>French Fries</v>
      </c>
      <c r="C890" s="35">
        <v>44972</v>
      </c>
      <c r="D890" s="34" t="s">
        <v>14</v>
      </c>
      <c r="E890" s="34" t="str" cm="1">
        <f t="array" ref="E890">_xlfn.XLOOKUP(Table2[[#This Row],[Sales Rep]],Sheet1!$A$21:$A$25,Sheet1!$B$21:$B$25,Not Found)</f>
        <v>Michael Smith</v>
      </c>
      <c r="F890" s="34" t="s">
        <v>21</v>
      </c>
      <c r="G890" s="34">
        <f>_xlfn.XLOOKUP(Table2[[#This Row],[Region]],Sheet1!$A$12:$A$15,Sheet1!$B$12:$B$15,0)</f>
        <v>0.08</v>
      </c>
      <c r="H890" s="36">
        <f>Table2[[#This Row],[Tax Rate]]*Table2[[#This Row],[Sales Amount]]</f>
        <v>110.7056</v>
      </c>
      <c r="I890" s="36">
        <v>1383.82</v>
      </c>
      <c r="J890" s="34">
        <v>1</v>
      </c>
      <c r="K890" s="34" t="s">
        <v>16</v>
      </c>
      <c r="L890" s="36">
        <v>1304.23</v>
      </c>
      <c r="M890" s="36">
        <v>1705.71</v>
      </c>
      <c r="N890" s="34" t="s">
        <v>17</v>
      </c>
      <c r="O890" s="37">
        <v>0.01</v>
      </c>
      <c r="P890" s="34" t="s">
        <v>18</v>
      </c>
      <c r="Q890" s="34" t="s">
        <v>22</v>
      </c>
      <c r="R890" s="34" t="str">
        <f>IF(Cleaned_Final!$I890&gt;=5000,"High","Low")</f>
        <v>Low</v>
      </c>
    </row>
    <row r="891" spans="1:18" x14ac:dyDescent="0.35">
      <c r="A891" s="38">
        <v>1017</v>
      </c>
      <c r="B891" s="38" t="str">
        <f>_xlfn.XLOOKUP(Table2[[#This Row],[Product ID]],Sheet1!$A$32:$A$200,Sheet1!$B$32:$B$200,"Not Found")</f>
        <v>Peaches</v>
      </c>
      <c r="C891" s="39">
        <v>45086</v>
      </c>
      <c r="D891" s="38" t="s">
        <v>33</v>
      </c>
      <c r="E891" s="38" t="str" cm="1">
        <f t="array" ref="E891">_xlfn.XLOOKUP(Table2[[#This Row],[Sales Rep]],Sheet1!$A$21:$A$25,Sheet1!$B$21:$B$25,Not Found)</f>
        <v>Susan Jerkins</v>
      </c>
      <c r="F891" s="38" t="s">
        <v>34</v>
      </c>
      <c r="G891" s="38">
        <f>_xlfn.XLOOKUP(Table2[[#This Row],[Region]],Sheet1!$A$12:$A$15,Sheet1!$B$12:$B$15,0)</f>
        <v>0.06</v>
      </c>
      <c r="H891" s="40">
        <f>Table2[[#This Row],[Tax Rate]]*Table2[[#This Row],[Sales Amount]]</f>
        <v>158.33879999999999</v>
      </c>
      <c r="I891" s="40">
        <v>2638.98</v>
      </c>
      <c r="J891" s="38">
        <v>35</v>
      </c>
      <c r="K891" s="38" t="s">
        <v>16</v>
      </c>
      <c r="L891" s="40">
        <v>4480.63</v>
      </c>
      <c r="M891" s="40">
        <v>4884.12</v>
      </c>
      <c r="N891" s="38" t="s">
        <v>30</v>
      </c>
      <c r="O891" s="41">
        <v>0.04</v>
      </c>
      <c r="P891" s="38" t="s">
        <v>18</v>
      </c>
      <c r="Q891" s="38" t="s">
        <v>19</v>
      </c>
      <c r="R891" s="38" t="str">
        <f>IF(Cleaned_Final!$I891&gt;=5000,"High","Low")</f>
        <v>Low</v>
      </c>
    </row>
    <row r="892" spans="1:18" x14ac:dyDescent="0.35">
      <c r="A892" s="34">
        <v>1084</v>
      </c>
      <c r="B892" s="34" t="str">
        <f>_xlfn.XLOOKUP(Table2[[#This Row],[Product ID]],Sheet1!$A$32:$A$200,Sheet1!$B$32:$B$200,"Not Found")</f>
        <v>Card Table</v>
      </c>
      <c r="C892" s="35">
        <v>45006</v>
      </c>
      <c r="D892" s="34" t="s">
        <v>38</v>
      </c>
      <c r="E892" s="34" t="str" cm="1">
        <f t="array" ref="E892">_xlfn.XLOOKUP(Table2[[#This Row],[Sales Rep]],Sheet1!$A$21:$A$25,Sheet1!$B$21:$B$25,Not Found)</f>
        <v>Tracy Moore</v>
      </c>
      <c r="F892" s="34" t="s">
        <v>25</v>
      </c>
      <c r="G892" s="34">
        <f>_xlfn.XLOOKUP(Table2[[#This Row],[Region]],Sheet1!$A$12:$A$15,Sheet1!$B$12:$B$15,0)</f>
        <v>0.05</v>
      </c>
      <c r="H892" s="36">
        <f>Table2[[#This Row],[Tax Rate]]*Table2[[#This Row],[Sales Amount]]</f>
        <v>180.88350000000003</v>
      </c>
      <c r="I892" s="36">
        <v>3617.67</v>
      </c>
      <c r="J892" s="34">
        <v>40</v>
      </c>
      <c r="K892" s="34" t="s">
        <v>26</v>
      </c>
      <c r="L892" s="36">
        <v>2890.95</v>
      </c>
      <c r="M892" s="36">
        <v>3104.43</v>
      </c>
      <c r="N892" s="34" t="s">
        <v>30</v>
      </c>
      <c r="O892" s="37">
        <v>0.21</v>
      </c>
      <c r="P892" s="34" t="s">
        <v>27</v>
      </c>
      <c r="Q892" s="34" t="s">
        <v>19</v>
      </c>
      <c r="R892" s="34" t="str">
        <f>IF(Cleaned_Final!$I892&gt;=5000,"High","Low")</f>
        <v>Low</v>
      </c>
    </row>
    <row r="893" spans="1:18" x14ac:dyDescent="0.35">
      <c r="A893" s="38">
        <v>1088</v>
      </c>
      <c r="B893" s="38" t="str">
        <f>_xlfn.XLOOKUP(Table2[[#This Row],[Product ID]],Sheet1!$A$32:$A$200,Sheet1!$B$32:$B$200,"Not Found")</f>
        <v>Office Desk</v>
      </c>
      <c r="C893" s="39">
        <v>45236</v>
      </c>
      <c r="D893" s="38" t="s">
        <v>24</v>
      </c>
      <c r="E893" s="38" t="str" cm="1">
        <f t="array" ref="E893">_xlfn.XLOOKUP(Table2[[#This Row],[Sales Rep]],Sheet1!$A$21:$A$25,Sheet1!$B$21:$B$25,Not Found)</f>
        <v>Hogan Rock</v>
      </c>
      <c r="F893" s="38" t="s">
        <v>25</v>
      </c>
      <c r="G893" s="38">
        <f>_xlfn.XLOOKUP(Table2[[#This Row],[Region]],Sheet1!$A$12:$A$15,Sheet1!$B$12:$B$15,0)</f>
        <v>0.05</v>
      </c>
      <c r="H893" s="40">
        <f>Table2[[#This Row],[Tax Rate]]*Table2[[#This Row],[Sales Amount]]</f>
        <v>338.62700000000001</v>
      </c>
      <c r="I893" s="40">
        <v>6772.54</v>
      </c>
      <c r="J893" s="38">
        <v>8</v>
      </c>
      <c r="K893" s="38" t="s">
        <v>26</v>
      </c>
      <c r="L893" s="40">
        <v>1786.35</v>
      </c>
      <c r="M893" s="40">
        <v>1935.29</v>
      </c>
      <c r="N893" s="38" t="s">
        <v>30</v>
      </c>
      <c r="O893" s="41">
        <v>0.04</v>
      </c>
      <c r="P893" s="38" t="s">
        <v>18</v>
      </c>
      <c r="Q893" s="38" t="s">
        <v>19</v>
      </c>
      <c r="R893" s="38" t="str">
        <f>IF(Cleaned_Final!$I893&gt;=5000,"High","Low")</f>
        <v>High</v>
      </c>
    </row>
    <row r="894" spans="1:18" x14ac:dyDescent="0.35">
      <c r="A894" s="34">
        <v>1069</v>
      </c>
      <c r="B894" s="34" t="str">
        <f>_xlfn.XLOOKUP(Table2[[#This Row],[Product ID]],Sheet1!$A$32:$A$200,Sheet1!$B$32:$B$200,"Not Found")</f>
        <v>Suit</v>
      </c>
      <c r="C894" s="35">
        <v>45012</v>
      </c>
      <c r="D894" s="34" t="s">
        <v>24</v>
      </c>
      <c r="E894" s="34" t="str" cm="1">
        <f t="array" ref="E894">_xlfn.XLOOKUP(Table2[[#This Row],[Sales Rep]],Sheet1!$A$21:$A$25,Sheet1!$B$21:$B$25,Not Found)</f>
        <v>Hogan Rock</v>
      </c>
      <c r="F894" s="34" t="s">
        <v>34</v>
      </c>
      <c r="G894" s="34">
        <f>_xlfn.XLOOKUP(Table2[[#This Row],[Region]],Sheet1!$A$12:$A$15,Sheet1!$B$12:$B$15,0)</f>
        <v>0.06</v>
      </c>
      <c r="H894" s="36">
        <f>Table2[[#This Row],[Tax Rate]]*Table2[[#This Row],[Sales Amount]]</f>
        <v>43.163399999999996</v>
      </c>
      <c r="I894" s="36">
        <v>719.39</v>
      </c>
      <c r="J894" s="34">
        <v>47</v>
      </c>
      <c r="K894" s="34" t="s">
        <v>35</v>
      </c>
      <c r="L894" s="36">
        <v>4171.83</v>
      </c>
      <c r="M894" s="36">
        <v>4320.93</v>
      </c>
      <c r="N894" s="34" t="s">
        <v>30</v>
      </c>
      <c r="O894" s="37">
        <v>7.0000000000000007E-2</v>
      </c>
      <c r="P894" s="34" t="s">
        <v>18</v>
      </c>
      <c r="Q894" s="34" t="s">
        <v>19</v>
      </c>
      <c r="R894" s="34" t="str">
        <f>IF(Cleaned_Final!$I894&gt;=5000,"High","Low")</f>
        <v>Low</v>
      </c>
    </row>
    <row r="895" spans="1:18" x14ac:dyDescent="0.35">
      <c r="A895" s="38">
        <v>1034</v>
      </c>
      <c r="B895" s="38" t="str">
        <f>_xlfn.XLOOKUP(Table2[[#This Row],[Product ID]],Sheet1!$A$32:$A$200,Sheet1!$B$32:$B$200,"Not Found")</f>
        <v>Socks Pack</v>
      </c>
      <c r="C895" s="39">
        <v>45018</v>
      </c>
      <c r="D895" s="38" t="s">
        <v>33</v>
      </c>
      <c r="E895" s="38" t="str" cm="1">
        <f t="array" ref="E895">_xlfn.XLOOKUP(Table2[[#This Row],[Sales Rep]],Sheet1!$A$21:$A$25,Sheet1!$B$21:$B$25,Not Found)</f>
        <v>Susan Jerkins</v>
      </c>
      <c r="F895" s="38" t="s">
        <v>21</v>
      </c>
      <c r="G895" s="38">
        <f>_xlfn.XLOOKUP(Table2[[#This Row],[Region]],Sheet1!$A$12:$A$15,Sheet1!$B$12:$B$15,0)</f>
        <v>0.08</v>
      </c>
      <c r="H895" s="40">
        <f>Table2[[#This Row],[Tax Rate]]*Table2[[#This Row],[Sales Amount]]</f>
        <v>174.7216</v>
      </c>
      <c r="I895" s="40">
        <v>2184.02</v>
      </c>
      <c r="J895" s="38">
        <v>7</v>
      </c>
      <c r="K895" s="38" t="s">
        <v>35</v>
      </c>
      <c r="L895" s="40">
        <v>2492.36</v>
      </c>
      <c r="M895" s="40">
        <v>2738.68</v>
      </c>
      <c r="N895" s="38" t="s">
        <v>17</v>
      </c>
      <c r="O895" s="41">
        <v>0.11</v>
      </c>
      <c r="P895" s="38" t="s">
        <v>18</v>
      </c>
      <c r="Q895" s="38" t="s">
        <v>19</v>
      </c>
      <c r="R895" s="38" t="str">
        <f>IF(Cleaned_Final!$I895&gt;=5000,"High","Low")</f>
        <v>Low</v>
      </c>
    </row>
    <row r="896" spans="1:18" x14ac:dyDescent="0.35">
      <c r="A896" s="34">
        <v>1006</v>
      </c>
      <c r="B896" s="34" t="str">
        <f>_xlfn.XLOOKUP(Table2[[#This Row],[Product ID]],Sheet1!$A$32:$A$200,Sheet1!$B$32:$B$200,"Not Found")</f>
        <v>Monitor</v>
      </c>
      <c r="C896" s="35">
        <v>45074</v>
      </c>
      <c r="D896" s="34" t="s">
        <v>14</v>
      </c>
      <c r="E896" s="34" t="str" cm="1">
        <f t="array" ref="E896">_xlfn.XLOOKUP(Table2[[#This Row],[Sales Rep]],Sheet1!$A$21:$A$25,Sheet1!$B$21:$B$25,Not Found)</f>
        <v>Michael Smith</v>
      </c>
      <c r="F896" s="34" t="s">
        <v>15</v>
      </c>
      <c r="G896" s="34">
        <f>_xlfn.XLOOKUP(Table2[[#This Row],[Region]],Sheet1!$A$12:$A$15,Sheet1!$B$12:$B$15,0)</f>
        <v>7.4999999999999997E-2</v>
      </c>
      <c r="H896" s="36">
        <f>Table2[[#This Row],[Tax Rate]]*Table2[[#This Row],[Sales Amount]]</f>
        <v>608.19974999999999</v>
      </c>
      <c r="I896" s="36">
        <v>8109.33</v>
      </c>
      <c r="J896" s="34">
        <v>11</v>
      </c>
      <c r="K896" s="34" t="s">
        <v>26</v>
      </c>
      <c r="L896" s="36">
        <v>4562.58</v>
      </c>
      <c r="M896" s="36">
        <v>4925.17</v>
      </c>
      <c r="N896" s="34" t="s">
        <v>30</v>
      </c>
      <c r="O896" s="37">
        <v>0.23</v>
      </c>
      <c r="P896" s="34" t="s">
        <v>18</v>
      </c>
      <c r="Q896" s="34" t="s">
        <v>22</v>
      </c>
      <c r="R896" s="34" t="str">
        <f>IF(Cleaned_Final!$I896&gt;=5000,"High","Low")</f>
        <v>High</v>
      </c>
    </row>
    <row r="897" spans="1:18" x14ac:dyDescent="0.35">
      <c r="A897" s="38">
        <v>1053</v>
      </c>
      <c r="B897" s="38" t="str">
        <f>_xlfn.XLOOKUP(Table2[[#This Row],[Product ID]],Sheet1!$A$32:$A$200,Sheet1!$B$32:$B$200,"Not Found")</f>
        <v>Bed</v>
      </c>
      <c r="C897" s="39">
        <v>45087</v>
      </c>
      <c r="D897" s="38" t="s">
        <v>33</v>
      </c>
      <c r="E897" s="38" t="str" cm="1">
        <f t="array" ref="E897">_xlfn.XLOOKUP(Table2[[#This Row],[Sales Rep]],Sheet1!$A$21:$A$25,Sheet1!$B$21:$B$25,Not Found)</f>
        <v>Susan Jerkins</v>
      </c>
      <c r="F897" s="38" t="s">
        <v>34</v>
      </c>
      <c r="G897" s="38">
        <f>_xlfn.XLOOKUP(Table2[[#This Row],[Region]],Sheet1!$A$12:$A$15,Sheet1!$B$12:$B$15,0)</f>
        <v>0.06</v>
      </c>
      <c r="H897" s="40">
        <f>Table2[[#This Row],[Tax Rate]]*Table2[[#This Row],[Sales Amount]]</f>
        <v>93.271799999999999</v>
      </c>
      <c r="I897" s="40">
        <v>1554.53</v>
      </c>
      <c r="J897" s="38">
        <v>39</v>
      </c>
      <c r="K897" s="38" t="s">
        <v>16</v>
      </c>
      <c r="L897" s="40">
        <v>4643.67</v>
      </c>
      <c r="M897" s="40">
        <v>4829.5200000000004</v>
      </c>
      <c r="N897" s="38" t="s">
        <v>17</v>
      </c>
      <c r="O897" s="41">
        <v>0.17</v>
      </c>
      <c r="P897" s="38" t="s">
        <v>27</v>
      </c>
      <c r="Q897" s="38" t="s">
        <v>19</v>
      </c>
      <c r="R897" s="38" t="str">
        <f>IF(Cleaned_Final!$I897&gt;=5000,"High","Low")</f>
        <v>Low</v>
      </c>
    </row>
    <row r="898" spans="1:18" x14ac:dyDescent="0.35">
      <c r="A898" s="34">
        <v>1066</v>
      </c>
      <c r="B898" s="34" t="str">
        <f>_xlfn.XLOOKUP(Table2[[#This Row],[Product ID]],Sheet1!$A$32:$A$200,Sheet1!$B$32:$B$200,"Not Found")</f>
        <v>Armoire</v>
      </c>
      <c r="C898" s="35">
        <v>45128</v>
      </c>
      <c r="D898" s="34" t="s">
        <v>33</v>
      </c>
      <c r="E898" s="34" t="str" cm="1">
        <f t="array" ref="E898">_xlfn.XLOOKUP(Table2[[#This Row],[Sales Rep]],Sheet1!$A$21:$A$25,Sheet1!$B$21:$B$25,Not Found)</f>
        <v>Susan Jerkins</v>
      </c>
      <c r="F898" s="34" t="s">
        <v>34</v>
      </c>
      <c r="G898" s="34">
        <f>_xlfn.XLOOKUP(Table2[[#This Row],[Region]],Sheet1!$A$12:$A$15,Sheet1!$B$12:$B$15,0)</f>
        <v>0.06</v>
      </c>
      <c r="H898" s="36">
        <f>Table2[[#This Row],[Tax Rate]]*Table2[[#This Row],[Sales Amount]]</f>
        <v>209.53139999999999</v>
      </c>
      <c r="I898" s="36">
        <v>3492.19</v>
      </c>
      <c r="J898" s="34">
        <v>4</v>
      </c>
      <c r="K898" s="34" t="s">
        <v>16</v>
      </c>
      <c r="L898" s="36">
        <v>868.83</v>
      </c>
      <c r="M898" s="36">
        <v>1177.75</v>
      </c>
      <c r="N898" s="34" t="s">
        <v>17</v>
      </c>
      <c r="O898" s="37">
        <v>0.21</v>
      </c>
      <c r="P898" s="34" t="s">
        <v>31</v>
      </c>
      <c r="Q898" s="34" t="s">
        <v>22</v>
      </c>
      <c r="R898" s="34" t="str">
        <f>IF(Cleaned_Final!$I898&gt;=5000,"High","Low")</f>
        <v>Low</v>
      </c>
    </row>
    <row r="899" spans="1:18" x14ac:dyDescent="0.35">
      <c r="A899" s="38">
        <v>1077</v>
      </c>
      <c r="B899" s="38" t="str">
        <f>_xlfn.XLOOKUP(Table2[[#This Row],[Product ID]],Sheet1!$A$32:$A$200,Sheet1!$B$32:$B$200,"Not Found")</f>
        <v>Skirt</v>
      </c>
      <c r="C899" s="39">
        <v>45168</v>
      </c>
      <c r="D899" s="38" t="s">
        <v>42</v>
      </c>
      <c r="E899" s="38" t="str" cm="1">
        <f t="array" ref="E899">_xlfn.XLOOKUP(Table2[[#This Row],[Sales Rep]],Sheet1!$A$21:$A$25,Sheet1!$B$21:$B$25,Not Found)</f>
        <v>Scott Wayne</v>
      </c>
      <c r="F899" s="38" t="s">
        <v>21</v>
      </c>
      <c r="G899" s="38">
        <f>_xlfn.XLOOKUP(Table2[[#This Row],[Region]],Sheet1!$A$12:$A$15,Sheet1!$B$12:$B$15,0)</f>
        <v>0.08</v>
      </c>
      <c r="H899" s="40">
        <f>Table2[[#This Row],[Tax Rate]]*Table2[[#This Row],[Sales Amount]]</f>
        <v>692.80960000000005</v>
      </c>
      <c r="I899" s="40">
        <v>8660.1200000000008</v>
      </c>
      <c r="J899" s="38">
        <v>25</v>
      </c>
      <c r="K899" s="38" t="s">
        <v>35</v>
      </c>
      <c r="L899" s="40">
        <v>61.5</v>
      </c>
      <c r="M899" s="40">
        <v>258.91999999999899</v>
      </c>
      <c r="N899" s="38" t="s">
        <v>30</v>
      </c>
      <c r="O899" s="41">
        <v>0.17</v>
      </c>
      <c r="P899" s="38" t="s">
        <v>31</v>
      </c>
      <c r="Q899" s="38" t="s">
        <v>19</v>
      </c>
      <c r="R899" s="38" t="str">
        <f>IF(Cleaned_Final!$I899&gt;=5000,"High","Low")</f>
        <v>High</v>
      </c>
    </row>
    <row r="900" spans="1:18" x14ac:dyDescent="0.35">
      <c r="A900" s="34">
        <v>1043</v>
      </c>
      <c r="B900" s="34" t="str">
        <f>_xlfn.XLOOKUP(Table2[[#This Row],[Product ID]],Sheet1!$A$32:$A$200,Sheet1!$B$32:$B$200,"Not Found")</f>
        <v>Oven</v>
      </c>
      <c r="C900" s="35">
        <v>45279</v>
      </c>
      <c r="D900" s="34" t="s">
        <v>38</v>
      </c>
      <c r="E900" s="34" t="str" cm="1">
        <f t="array" ref="E900">_xlfn.XLOOKUP(Table2[[#This Row],[Sales Rep]],Sheet1!$A$21:$A$25,Sheet1!$B$21:$B$25,Not Found)</f>
        <v>Tracy Moore</v>
      </c>
      <c r="F900" s="34" t="s">
        <v>25</v>
      </c>
      <c r="G900" s="34">
        <f>_xlfn.XLOOKUP(Table2[[#This Row],[Region]],Sheet1!$A$12:$A$15,Sheet1!$B$12:$B$15,0)</f>
        <v>0.05</v>
      </c>
      <c r="H900" s="36">
        <f>Table2[[#This Row],[Tax Rate]]*Table2[[#This Row],[Sales Amount]]</f>
        <v>81.688000000000002</v>
      </c>
      <c r="I900" s="36">
        <v>1633.76</v>
      </c>
      <c r="J900" s="34">
        <v>12</v>
      </c>
      <c r="K900" s="34" t="s">
        <v>35</v>
      </c>
      <c r="L900" s="36">
        <v>4920.46</v>
      </c>
      <c r="M900" s="36">
        <v>5079.68</v>
      </c>
      <c r="N900" s="34" t="s">
        <v>30</v>
      </c>
      <c r="O900" s="37">
        <v>0.21</v>
      </c>
      <c r="P900" s="34" t="s">
        <v>31</v>
      </c>
      <c r="Q900" s="34" t="s">
        <v>22</v>
      </c>
      <c r="R900" s="34" t="str">
        <f>IF(Cleaned_Final!$I900&gt;=5000,"High","Low")</f>
        <v>Low</v>
      </c>
    </row>
    <row r="901" spans="1:18" x14ac:dyDescent="0.35">
      <c r="A901" s="38">
        <v>1075</v>
      </c>
      <c r="B901" s="38" t="str">
        <f>_xlfn.XLOOKUP(Table2[[#This Row],[Product ID]],Sheet1!$A$32:$A$200,Sheet1!$B$32:$B$200,"Not Found")</f>
        <v>Bookshelf</v>
      </c>
      <c r="C901" s="39">
        <v>44928</v>
      </c>
      <c r="D901" s="38" t="s">
        <v>24</v>
      </c>
      <c r="E901" s="38" t="str" cm="1">
        <f t="array" ref="E901">_xlfn.XLOOKUP(Table2[[#This Row],[Sales Rep]],Sheet1!$A$21:$A$25,Sheet1!$B$21:$B$25,Not Found)</f>
        <v>Hogan Rock</v>
      </c>
      <c r="F901" s="38" t="s">
        <v>21</v>
      </c>
      <c r="G901" s="38">
        <f>_xlfn.XLOOKUP(Table2[[#This Row],[Region]],Sheet1!$A$12:$A$15,Sheet1!$B$12:$B$15,0)</f>
        <v>0.08</v>
      </c>
      <c r="H901" s="40">
        <f>Table2[[#This Row],[Tax Rate]]*Table2[[#This Row],[Sales Amount]]</f>
        <v>73.527200000000008</v>
      </c>
      <c r="I901" s="40">
        <v>919.09</v>
      </c>
      <c r="J901" s="38">
        <v>26</v>
      </c>
      <c r="K901" s="38" t="s">
        <v>35</v>
      </c>
      <c r="L901" s="40">
        <v>4535.38</v>
      </c>
      <c r="M901" s="40">
        <v>4557.5600000000004</v>
      </c>
      <c r="N901" s="38" t="s">
        <v>30</v>
      </c>
      <c r="O901" s="41">
        <v>0</v>
      </c>
      <c r="P901" s="38" t="s">
        <v>31</v>
      </c>
      <c r="Q901" s="38" t="s">
        <v>19</v>
      </c>
      <c r="R901" s="38" t="str">
        <f>IF(Cleaned_Final!$I901&gt;=5000,"High","Low")</f>
        <v>Low</v>
      </c>
    </row>
    <row r="902" spans="1:18" x14ac:dyDescent="0.35">
      <c r="A902" s="34">
        <v>1023</v>
      </c>
      <c r="B902" s="34" t="str">
        <f>_xlfn.XLOOKUP(Table2[[#This Row],[Product ID]],Sheet1!$A$32:$A$200,Sheet1!$B$32:$B$200,"Not Found")</f>
        <v>Tights</v>
      </c>
      <c r="C902" s="35">
        <v>45151</v>
      </c>
      <c r="D902" s="34" t="s">
        <v>14</v>
      </c>
      <c r="E902" s="34" t="str" cm="1">
        <f t="array" ref="E902">_xlfn.XLOOKUP(Table2[[#This Row],[Sales Rep]],Sheet1!$A$21:$A$25,Sheet1!$B$21:$B$25,Not Found)</f>
        <v>Michael Smith</v>
      </c>
      <c r="F902" s="34" t="s">
        <v>34</v>
      </c>
      <c r="G902" s="34">
        <f>_xlfn.XLOOKUP(Table2[[#This Row],[Region]],Sheet1!$A$12:$A$15,Sheet1!$B$12:$B$15,0)</f>
        <v>0.06</v>
      </c>
      <c r="H902" s="36">
        <f>Table2[[#This Row],[Tax Rate]]*Table2[[#This Row],[Sales Amount]]</f>
        <v>293.81580000000002</v>
      </c>
      <c r="I902" s="36">
        <v>4896.93</v>
      </c>
      <c r="J902" s="34">
        <v>38</v>
      </c>
      <c r="K902" s="34" t="s">
        <v>29</v>
      </c>
      <c r="L902" s="36">
        <v>324.45</v>
      </c>
      <c r="M902" s="36">
        <v>336.37</v>
      </c>
      <c r="N902" s="34" t="s">
        <v>30</v>
      </c>
      <c r="O902" s="37">
        <v>0.28000000000000003</v>
      </c>
      <c r="P902" s="34" t="s">
        <v>31</v>
      </c>
      <c r="Q902" s="34" t="s">
        <v>22</v>
      </c>
      <c r="R902" s="34" t="str">
        <f>IF(Cleaned_Final!$I902&gt;=5000,"High","Low")</f>
        <v>Low</v>
      </c>
    </row>
    <row r="903" spans="1:18" x14ac:dyDescent="0.35">
      <c r="A903" s="38">
        <v>1055</v>
      </c>
      <c r="B903" s="38" t="str">
        <f>_xlfn.XLOOKUP(Table2[[#This Row],[Product ID]],Sheet1!$A$32:$A$200,Sheet1!$B$32:$B$200,"Not Found")</f>
        <v>Cupboard</v>
      </c>
      <c r="C903" s="39">
        <v>45215</v>
      </c>
      <c r="D903" s="38" t="s">
        <v>24</v>
      </c>
      <c r="E903" s="38" t="str" cm="1">
        <f t="array" ref="E903">_xlfn.XLOOKUP(Table2[[#This Row],[Sales Rep]],Sheet1!$A$21:$A$25,Sheet1!$B$21:$B$25,Not Found)</f>
        <v>Hogan Rock</v>
      </c>
      <c r="F903" s="38" t="s">
        <v>34</v>
      </c>
      <c r="G903" s="38">
        <f>_xlfn.XLOOKUP(Table2[[#This Row],[Region]],Sheet1!$A$12:$A$15,Sheet1!$B$12:$B$15,0)</f>
        <v>0.06</v>
      </c>
      <c r="H903" s="40">
        <f>Table2[[#This Row],[Tax Rate]]*Table2[[#This Row],[Sales Amount]]</f>
        <v>185.63699999999997</v>
      </c>
      <c r="I903" s="40">
        <v>3093.95</v>
      </c>
      <c r="J903" s="38">
        <v>46</v>
      </c>
      <c r="K903" s="38" t="s">
        <v>29</v>
      </c>
      <c r="L903" s="40">
        <v>4173.5200000000004</v>
      </c>
      <c r="M903" s="40">
        <v>4294.8500000000004</v>
      </c>
      <c r="N903" s="38" t="s">
        <v>17</v>
      </c>
      <c r="O903" s="41">
        <v>0.03</v>
      </c>
      <c r="P903" s="38" t="s">
        <v>27</v>
      </c>
      <c r="Q903" s="38" t="s">
        <v>22</v>
      </c>
      <c r="R903" s="38" t="str">
        <f>IF(Cleaned_Final!$I903&gt;=5000,"High","Low")</f>
        <v>Low</v>
      </c>
    </row>
    <row r="904" spans="1:18" x14ac:dyDescent="0.35">
      <c r="A904" s="34">
        <v>1080</v>
      </c>
      <c r="B904" s="34" t="str">
        <f>_xlfn.XLOOKUP(Table2[[#This Row],[Product ID]],Sheet1!$A$32:$A$200,Sheet1!$B$32:$B$200,"Not Found")</f>
        <v>Headphones</v>
      </c>
      <c r="C904" s="35">
        <v>45159</v>
      </c>
      <c r="D904" s="34" t="s">
        <v>24</v>
      </c>
      <c r="E904" s="34" t="str" cm="1">
        <f t="array" ref="E904">_xlfn.XLOOKUP(Table2[[#This Row],[Sales Rep]],Sheet1!$A$21:$A$25,Sheet1!$B$21:$B$25,Not Found)</f>
        <v>Hogan Rock</v>
      </c>
      <c r="F904" s="34" t="s">
        <v>25</v>
      </c>
      <c r="G904" s="34">
        <f>_xlfn.XLOOKUP(Table2[[#This Row],[Region]],Sheet1!$A$12:$A$15,Sheet1!$B$12:$B$15,0)</f>
        <v>0.05</v>
      </c>
      <c r="H904" s="36">
        <f>Table2[[#This Row],[Tax Rate]]*Table2[[#This Row],[Sales Amount]]</f>
        <v>283.887</v>
      </c>
      <c r="I904" s="36">
        <v>5677.74</v>
      </c>
      <c r="J904" s="34">
        <v>12</v>
      </c>
      <c r="K904" s="34" t="s">
        <v>35</v>
      </c>
      <c r="L904" s="36">
        <v>2316.13</v>
      </c>
      <c r="M904" s="36">
        <v>2525.27</v>
      </c>
      <c r="N904" s="34" t="s">
        <v>17</v>
      </c>
      <c r="O904" s="37">
        <v>0.12</v>
      </c>
      <c r="P904" s="34" t="s">
        <v>31</v>
      </c>
      <c r="Q904" s="34" t="s">
        <v>22</v>
      </c>
      <c r="R904" s="34" t="str">
        <f>IF(Cleaned_Final!$I904&gt;=5000,"High","Low")</f>
        <v>High</v>
      </c>
    </row>
    <row r="905" spans="1:18" x14ac:dyDescent="0.35">
      <c r="A905" s="38">
        <v>1095</v>
      </c>
      <c r="B905" s="38" t="str">
        <f>_xlfn.XLOOKUP(Table2[[#This Row],[Product ID]],Sheet1!$A$32:$A$200,Sheet1!$B$32:$B$200,"Not Found")</f>
        <v>Bluetooth Speaker</v>
      </c>
      <c r="C905" s="39">
        <v>45003</v>
      </c>
      <c r="D905" s="38" t="s">
        <v>38</v>
      </c>
      <c r="E905" s="38" t="str" cm="1">
        <f t="array" ref="E905">_xlfn.XLOOKUP(Table2[[#This Row],[Sales Rep]],Sheet1!$A$21:$A$25,Sheet1!$B$21:$B$25,Not Found)</f>
        <v>Tracy Moore</v>
      </c>
      <c r="F905" s="38" t="s">
        <v>25</v>
      </c>
      <c r="G905" s="38">
        <f>_xlfn.XLOOKUP(Table2[[#This Row],[Region]],Sheet1!$A$12:$A$15,Sheet1!$B$12:$B$15,0)</f>
        <v>0.05</v>
      </c>
      <c r="H905" s="40">
        <f>Table2[[#This Row],[Tax Rate]]*Table2[[#This Row],[Sales Amount]]</f>
        <v>402.88350000000003</v>
      </c>
      <c r="I905" s="40">
        <v>8057.67</v>
      </c>
      <c r="J905" s="38">
        <v>43</v>
      </c>
      <c r="K905" s="38" t="s">
        <v>16</v>
      </c>
      <c r="L905" s="40">
        <v>1331.86</v>
      </c>
      <c r="M905" s="40">
        <v>1758.98</v>
      </c>
      <c r="N905" s="38" t="s">
        <v>17</v>
      </c>
      <c r="O905" s="41">
        <v>0.23</v>
      </c>
      <c r="P905" s="38" t="s">
        <v>27</v>
      </c>
      <c r="Q905" s="38" t="s">
        <v>22</v>
      </c>
      <c r="R905" s="38" t="str">
        <f>IF(Cleaned_Final!$I905&gt;=5000,"High","Low")</f>
        <v>High</v>
      </c>
    </row>
    <row r="906" spans="1:18" x14ac:dyDescent="0.35">
      <c r="A906" s="34">
        <v>1075</v>
      </c>
      <c r="B906" s="34" t="str">
        <f>_xlfn.XLOOKUP(Table2[[#This Row],[Product ID]],Sheet1!$A$32:$A$200,Sheet1!$B$32:$B$200,"Not Found")</f>
        <v>Bookshelf</v>
      </c>
      <c r="C906" s="35">
        <v>45042</v>
      </c>
      <c r="D906" s="34" t="s">
        <v>24</v>
      </c>
      <c r="E906" s="34" t="str" cm="1">
        <f t="array" ref="E906">_xlfn.XLOOKUP(Table2[[#This Row],[Sales Rep]],Sheet1!$A$21:$A$25,Sheet1!$B$21:$B$25,Not Found)</f>
        <v>Hogan Rock</v>
      </c>
      <c r="F906" s="34" t="s">
        <v>25</v>
      </c>
      <c r="G906" s="34">
        <f>_xlfn.XLOOKUP(Table2[[#This Row],[Region]],Sheet1!$A$12:$A$15,Sheet1!$B$12:$B$15,0)</f>
        <v>0.05</v>
      </c>
      <c r="H906" s="36">
        <f>Table2[[#This Row],[Tax Rate]]*Table2[[#This Row],[Sales Amount]]</f>
        <v>72.888500000000008</v>
      </c>
      <c r="I906" s="36">
        <v>1457.77</v>
      </c>
      <c r="J906" s="34">
        <v>37</v>
      </c>
      <c r="K906" s="34" t="s">
        <v>35</v>
      </c>
      <c r="L906" s="36">
        <v>4399.8</v>
      </c>
      <c r="M906" s="36">
        <v>4801.0600000000004</v>
      </c>
      <c r="N906" s="34" t="s">
        <v>30</v>
      </c>
      <c r="O906" s="37">
        <v>0.13</v>
      </c>
      <c r="P906" s="34" t="s">
        <v>27</v>
      </c>
      <c r="Q906" s="34" t="s">
        <v>22</v>
      </c>
      <c r="R906" s="34" t="str">
        <f>IF(Cleaned_Final!$I906&gt;=5000,"High","Low")</f>
        <v>Low</v>
      </c>
    </row>
    <row r="907" spans="1:18" x14ac:dyDescent="0.35">
      <c r="A907" s="38">
        <v>1016</v>
      </c>
      <c r="B907" s="38" t="str">
        <f>_xlfn.XLOOKUP(Table2[[#This Row],[Product ID]],Sheet1!$A$32:$A$200,Sheet1!$B$32:$B$200,"Not Found")</f>
        <v>Washing Machine</v>
      </c>
      <c r="C907" s="39">
        <v>45080</v>
      </c>
      <c r="D907" s="38" t="s">
        <v>24</v>
      </c>
      <c r="E907" s="38" t="str" cm="1">
        <f t="array" ref="E907">_xlfn.XLOOKUP(Table2[[#This Row],[Sales Rep]],Sheet1!$A$21:$A$25,Sheet1!$B$21:$B$25,Not Found)</f>
        <v>Hogan Rock</v>
      </c>
      <c r="F907" s="38" t="s">
        <v>21</v>
      </c>
      <c r="G907" s="38">
        <f>_xlfn.XLOOKUP(Table2[[#This Row],[Region]],Sheet1!$A$12:$A$15,Sheet1!$B$12:$B$15,0)</f>
        <v>0.08</v>
      </c>
      <c r="H907" s="40">
        <f>Table2[[#This Row],[Tax Rate]]*Table2[[#This Row],[Sales Amount]]</f>
        <v>467.91360000000003</v>
      </c>
      <c r="I907" s="40">
        <v>5848.92</v>
      </c>
      <c r="J907" s="38">
        <v>46</v>
      </c>
      <c r="K907" s="38" t="s">
        <v>29</v>
      </c>
      <c r="L907" s="40">
        <v>1023.5</v>
      </c>
      <c r="M907" s="40">
        <v>1164.4100000000001</v>
      </c>
      <c r="N907" s="38" t="s">
        <v>17</v>
      </c>
      <c r="O907" s="41">
        <v>0.28000000000000003</v>
      </c>
      <c r="P907" s="38" t="s">
        <v>31</v>
      </c>
      <c r="Q907" s="38" t="s">
        <v>22</v>
      </c>
      <c r="R907" s="38" t="str">
        <f>IF(Cleaned_Final!$I907&gt;=5000,"High","Low")</f>
        <v>High</v>
      </c>
    </row>
    <row r="908" spans="1:18" x14ac:dyDescent="0.35">
      <c r="A908" s="34">
        <v>1008</v>
      </c>
      <c r="B908" s="34" t="str">
        <f>_xlfn.XLOOKUP(Table2[[#This Row],[Product ID]],Sheet1!$A$32:$A$200,Sheet1!$B$32:$B$200,"Not Found")</f>
        <v>Skirt</v>
      </c>
      <c r="C908" s="35">
        <v>45029</v>
      </c>
      <c r="D908" s="34" t="s">
        <v>33</v>
      </c>
      <c r="E908" s="34" t="str" cm="1">
        <f t="array" ref="E908">_xlfn.XLOOKUP(Table2[[#This Row],[Sales Rep]],Sheet1!$A$21:$A$25,Sheet1!$B$21:$B$25,Not Found)</f>
        <v>Susan Jerkins</v>
      </c>
      <c r="F908" s="34" t="s">
        <v>25</v>
      </c>
      <c r="G908" s="34">
        <f>_xlfn.XLOOKUP(Table2[[#This Row],[Region]],Sheet1!$A$12:$A$15,Sheet1!$B$12:$B$15,0)</f>
        <v>0.05</v>
      </c>
      <c r="H908" s="36">
        <f>Table2[[#This Row],[Tax Rate]]*Table2[[#This Row],[Sales Amount]]</f>
        <v>255.227</v>
      </c>
      <c r="I908" s="36">
        <v>5104.54</v>
      </c>
      <c r="J908" s="34">
        <v>24</v>
      </c>
      <c r="K908" s="34" t="s">
        <v>16</v>
      </c>
      <c r="L908" s="36">
        <v>4739.13</v>
      </c>
      <c r="M908" s="36">
        <v>4868.95</v>
      </c>
      <c r="N908" s="34" t="s">
        <v>30</v>
      </c>
      <c r="O908" s="37">
        <v>0.14000000000000001</v>
      </c>
      <c r="P908" s="34" t="s">
        <v>31</v>
      </c>
      <c r="Q908" s="34" t="s">
        <v>22</v>
      </c>
      <c r="R908" s="34" t="str">
        <f>IF(Cleaned_Final!$I908&gt;=5000,"High","Low")</f>
        <v>High</v>
      </c>
    </row>
    <row r="909" spans="1:18" x14ac:dyDescent="0.35">
      <c r="A909" s="38">
        <v>1004</v>
      </c>
      <c r="B909" s="38" t="str">
        <f>_xlfn.XLOOKUP(Table2[[#This Row],[Product ID]],Sheet1!$A$32:$A$200,Sheet1!$B$32:$B$200,"Not Found")</f>
        <v>Smartwatch</v>
      </c>
      <c r="C909" s="39">
        <v>45120</v>
      </c>
      <c r="D909" s="38" t="s">
        <v>38</v>
      </c>
      <c r="E909" s="38" t="str" cm="1">
        <f t="array" ref="E909">_xlfn.XLOOKUP(Table2[[#This Row],[Sales Rep]],Sheet1!$A$21:$A$25,Sheet1!$B$21:$B$25,Not Found)</f>
        <v>Tracy Moore</v>
      </c>
      <c r="F909" s="38" t="s">
        <v>34</v>
      </c>
      <c r="G909" s="38">
        <f>_xlfn.XLOOKUP(Table2[[#This Row],[Region]],Sheet1!$A$12:$A$15,Sheet1!$B$12:$B$15,0)</f>
        <v>0.06</v>
      </c>
      <c r="H909" s="40">
        <f>Table2[[#This Row],[Tax Rate]]*Table2[[#This Row],[Sales Amount]]</f>
        <v>91.582800000000006</v>
      </c>
      <c r="I909" s="40">
        <v>1526.38</v>
      </c>
      <c r="J909" s="38">
        <v>16</v>
      </c>
      <c r="K909" s="38" t="s">
        <v>29</v>
      </c>
      <c r="L909" s="40">
        <v>1067.83</v>
      </c>
      <c r="M909" s="40">
        <v>1189.22</v>
      </c>
      <c r="N909" s="38" t="s">
        <v>17</v>
      </c>
      <c r="O909" s="41">
        <v>0.26</v>
      </c>
      <c r="P909" s="38" t="s">
        <v>31</v>
      </c>
      <c r="Q909" s="38" t="s">
        <v>22</v>
      </c>
      <c r="R909" s="38" t="str">
        <f>IF(Cleaned_Final!$I909&gt;=5000,"High","Low")</f>
        <v>Low</v>
      </c>
    </row>
    <row r="910" spans="1:18" x14ac:dyDescent="0.35">
      <c r="A910" s="34">
        <v>1004</v>
      </c>
      <c r="B910" s="34" t="str">
        <f>_xlfn.XLOOKUP(Table2[[#This Row],[Product ID]],Sheet1!$A$32:$A$200,Sheet1!$B$32:$B$200,"Not Found")</f>
        <v>Smartwatch</v>
      </c>
      <c r="C910" s="35">
        <v>45092</v>
      </c>
      <c r="D910" s="34" t="s">
        <v>42</v>
      </c>
      <c r="E910" s="34" t="str" cm="1">
        <f t="array" ref="E910">_xlfn.XLOOKUP(Table2[[#This Row],[Sales Rep]],Sheet1!$A$21:$A$25,Sheet1!$B$21:$B$25,Not Found)</f>
        <v>Scott Wayne</v>
      </c>
      <c r="F910" s="34" t="s">
        <v>34</v>
      </c>
      <c r="G910" s="34">
        <f>_xlfn.XLOOKUP(Table2[[#This Row],[Region]],Sheet1!$A$12:$A$15,Sheet1!$B$12:$B$15,0)</f>
        <v>0.06</v>
      </c>
      <c r="H910" s="36">
        <f>Table2[[#This Row],[Tax Rate]]*Table2[[#This Row],[Sales Amount]]</f>
        <v>376.65539999999999</v>
      </c>
      <c r="I910" s="36">
        <v>6277.59</v>
      </c>
      <c r="J910" s="34">
        <v>13</v>
      </c>
      <c r="K910" s="34" t="s">
        <v>16</v>
      </c>
      <c r="L910" s="36">
        <v>3087.73</v>
      </c>
      <c r="M910" s="36">
        <v>3263.96</v>
      </c>
      <c r="N910" s="34" t="s">
        <v>30</v>
      </c>
      <c r="O910" s="37">
        <v>0.24</v>
      </c>
      <c r="P910" s="34" t="s">
        <v>18</v>
      </c>
      <c r="Q910" s="34" t="s">
        <v>22</v>
      </c>
      <c r="R910" s="34" t="str">
        <f>IF(Cleaned_Final!$I910&gt;=5000,"High","Low")</f>
        <v>High</v>
      </c>
    </row>
    <row r="911" spans="1:18" x14ac:dyDescent="0.35">
      <c r="A911" s="38">
        <v>1056</v>
      </c>
      <c r="B911" s="38" t="str">
        <f>_xlfn.XLOOKUP(Table2[[#This Row],[Product ID]],Sheet1!$A$32:$A$200,Sheet1!$B$32:$B$200,"Not Found")</f>
        <v>Track Suits</v>
      </c>
      <c r="C911" s="39">
        <v>45285</v>
      </c>
      <c r="D911" s="38" t="s">
        <v>14</v>
      </c>
      <c r="E911" s="38" t="str" cm="1">
        <f t="array" ref="E911">_xlfn.XLOOKUP(Table2[[#This Row],[Sales Rep]],Sheet1!$A$21:$A$25,Sheet1!$B$21:$B$25,Not Found)</f>
        <v>Michael Smith</v>
      </c>
      <c r="F911" s="38" t="s">
        <v>15</v>
      </c>
      <c r="G911" s="38">
        <f>_xlfn.XLOOKUP(Table2[[#This Row],[Region]],Sheet1!$A$12:$A$15,Sheet1!$B$12:$B$15,0)</f>
        <v>7.4999999999999997E-2</v>
      </c>
      <c r="H911" s="40">
        <f>Table2[[#This Row],[Tax Rate]]*Table2[[#This Row],[Sales Amount]]</f>
        <v>210.678</v>
      </c>
      <c r="I911" s="40">
        <v>2809.04</v>
      </c>
      <c r="J911" s="38">
        <v>25</v>
      </c>
      <c r="K911" s="38" t="s">
        <v>29</v>
      </c>
      <c r="L911" s="40">
        <v>1154.28</v>
      </c>
      <c r="M911" s="40">
        <v>1408.4</v>
      </c>
      <c r="N911" s="38" t="s">
        <v>17</v>
      </c>
      <c r="O911" s="41">
        <v>0.28999999999999998</v>
      </c>
      <c r="P911" s="38" t="s">
        <v>27</v>
      </c>
      <c r="Q911" s="38" t="s">
        <v>22</v>
      </c>
      <c r="R911" s="38" t="str">
        <f>IF(Cleaned_Final!$I911&gt;=5000,"High","Low")</f>
        <v>Low</v>
      </c>
    </row>
    <row r="912" spans="1:18" x14ac:dyDescent="0.35">
      <c r="A912" s="34">
        <v>1025</v>
      </c>
      <c r="B912" s="34" t="str">
        <f>_xlfn.XLOOKUP(Table2[[#This Row],[Product ID]],Sheet1!$A$32:$A$200,Sheet1!$B$32:$B$200,"Not Found")</f>
        <v>Mayonnaise</v>
      </c>
      <c r="C912" s="35">
        <v>45016</v>
      </c>
      <c r="D912" s="34" t="s">
        <v>24</v>
      </c>
      <c r="E912" s="34" t="str" cm="1">
        <f t="array" ref="E912">_xlfn.XLOOKUP(Table2[[#This Row],[Sales Rep]],Sheet1!$A$21:$A$25,Sheet1!$B$21:$B$25,Not Found)</f>
        <v>Hogan Rock</v>
      </c>
      <c r="F912" s="34" t="s">
        <v>21</v>
      </c>
      <c r="G912" s="34">
        <f>_xlfn.XLOOKUP(Table2[[#This Row],[Region]],Sheet1!$A$12:$A$15,Sheet1!$B$12:$B$15,0)</f>
        <v>0.08</v>
      </c>
      <c r="H912" s="36">
        <f>Table2[[#This Row],[Tax Rate]]*Table2[[#This Row],[Sales Amount]]</f>
        <v>394.36480000000006</v>
      </c>
      <c r="I912" s="36">
        <v>4929.5600000000004</v>
      </c>
      <c r="J912" s="34">
        <v>4</v>
      </c>
      <c r="K912" s="34" t="s">
        <v>16</v>
      </c>
      <c r="L912" s="36">
        <v>2751.06</v>
      </c>
      <c r="M912" s="36">
        <v>2976.0099999999902</v>
      </c>
      <c r="N912" s="34" t="s">
        <v>17</v>
      </c>
      <c r="O912" s="37">
        <v>0.28000000000000003</v>
      </c>
      <c r="P912" s="34" t="s">
        <v>31</v>
      </c>
      <c r="Q912" s="34" t="s">
        <v>19</v>
      </c>
      <c r="R912" s="34" t="str">
        <f>IF(Cleaned_Final!$I912&gt;=5000,"High","Low")</f>
        <v>Low</v>
      </c>
    </row>
    <row r="913" spans="1:18" x14ac:dyDescent="0.35">
      <c r="A913" s="38">
        <v>1067</v>
      </c>
      <c r="B913" s="38" t="str">
        <f>_xlfn.XLOOKUP(Table2[[#This Row],[Product ID]],Sheet1!$A$32:$A$200,Sheet1!$B$32:$B$200,"Not Found")</f>
        <v>Grapes</v>
      </c>
      <c r="C913" s="39">
        <v>45100</v>
      </c>
      <c r="D913" s="38" t="s">
        <v>14</v>
      </c>
      <c r="E913" s="38" t="str" cm="1">
        <f t="array" ref="E913">_xlfn.XLOOKUP(Table2[[#This Row],[Sales Rep]],Sheet1!$A$21:$A$25,Sheet1!$B$21:$B$25,Not Found)</f>
        <v>Michael Smith</v>
      </c>
      <c r="F913" s="38" t="s">
        <v>15</v>
      </c>
      <c r="G913" s="38">
        <f>_xlfn.XLOOKUP(Table2[[#This Row],[Region]],Sheet1!$A$12:$A$15,Sheet1!$B$12:$B$15,0)</f>
        <v>7.4999999999999997E-2</v>
      </c>
      <c r="H913" s="40">
        <f>Table2[[#This Row],[Tax Rate]]*Table2[[#This Row],[Sales Amount]]</f>
        <v>68.587499999999991</v>
      </c>
      <c r="I913" s="40">
        <v>914.5</v>
      </c>
      <c r="J913" s="38">
        <v>11</v>
      </c>
      <c r="K913" s="38" t="s">
        <v>16</v>
      </c>
      <c r="L913" s="40">
        <v>3435.68</v>
      </c>
      <c r="M913" s="40">
        <v>3552.6299999999901</v>
      </c>
      <c r="N913" s="38" t="s">
        <v>30</v>
      </c>
      <c r="O913" s="41">
        <v>0.27</v>
      </c>
      <c r="P913" s="38" t="s">
        <v>18</v>
      </c>
      <c r="Q913" s="38" t="s">
        <v>22</v>
      </c>
      <c r="R913" s="38" t="str">
        <f>IF(Cleaned_Final!$I913&gt;=5000,"High","Low")</f>
        <v>Low</v>
      </c>
    </row>
    <row r="914" spans="1:18" x14ac:dyDescent="0.35">
      <c r="A914" s="34">
        <v>1096</v>
      </c>
      <c r="B914" s="34" t="str">
        <f>_xlfn.XLOOKUP(Table2[[#This Row],[Product ID]],Sheet1!$A$32:$A$200,Sheet1!$B$32:$B$200,"Not Found")</f>
        <v>Radio</v>
      </c>
      <c r="C914" s="35">
        <v>45048</v>
      </c>
      <c r="D914" s="34" t="s">
        <v>42</v>
      </c>
      <c r="E914" s="34" t="str" cm="1">
        <f t="array" ref="E914">_xlfn.XLOOKUP(Table2[[#This Row],[Sales Rep]],Sheet1!$A$21:$A$25,Sheet1!$B$21:$B$25,Not Found)</f>
        <v>Scott Wayne</v>
      </c>
      <c r="F914" s="34" t="s">
        <v>34</v>
      </c>
      <c r="G914" s="34">
        <f>_xlfn.XLOOKUP(Table2[[#This Row],[Region]],Sheet1!$A$12:$A$15,Sheet1!$B$12:$B$15,0)</f>
        <v>0.06</v>
      </c>
      <c r="H914" s="36">
        <f>Table2[[#This Row],[Tax Rate]]*Table2[[#This Row],[Sales Amount]]</f>
        <v>278.99279999999999</v>
      </c>
      <c r="I914" s="36">
        <v>4649.88</v>
      </c>
      <c r="J914" s="34">
        <v>32</v>
      </c>
      <c r="K914" s="34" t="s">
        <v>16</v>
      </c>
      <c r="L914" s="36">
        <v>991.63</v>
      </c>
      <c r="M914" s="36">
        <v>1065.55</v>
      </c>
      <c r="N914" s="34" t="s">
        <v>17</v>
      </c>
      <c r="O914" s="37">
        <v>0.22</v>
      </c>
      <c r="P914" s="34" t="s">
        <v>27</v>
      </c>
      <c r="Q914" s="34" t="s">
        <v>22</v>
      </c>
      <c r="R914" s="34" t="str">
        <f>IF(Cleaned_Final!$I914&gt;=5000,"High","Low")</f>
        <v>Low</v>
      </c>
    </row>
    <row r="915" spans="1:18" x14ac:dyDescent="0.35">
      <c r="A915" s="38">
        <v>1067</v>
      </c>
      <c r="B915" s="38" t="str">
        <f>_xlfn.XLOOKUP(Table2[[#This Row],[Product ID]],Sheet1!$A$32:$A$200,Sheet1!$B$32:$B$200,"Not Found")</f>
        <v>Grapes</v>
      </c>
      <c r="C915" s="39">
        <v>45069</v>
      </c>
      <c r="D915" s="38" t="s">
        <v>14</v>
      </c>
      <c r="E915" s="38" t="str" cm="1">
        <f t="array" ref="E915">_xlfn.XLOOKUP(Table2[[#This Row],[Sales Rep]],Sheet1!$A$21:$A$25,Sheet1!$B$21:$B$25,Not Found)</f>
        <v>Michael Smith</v>
      </c>
      <c r="F915" s="38" t="s">
        <v>15</v>
      </c>
      <c r="G915" s="38">
        <f>_xlfn.XLOOKUP(Table2[[#This Row],[Region]],Sheet1!$A$12:$A$15,Sheet1!$B$12:$B$15,0)</f>
        <v>7.4999999999999997E-2</v>
      </c>
      <c r="H915" s="40">
        <f>Table2[[#This Row],[Tax Rate]]*Table2[[#This Row],[Sales Amount]]</f>
        <v>235.04924999999997</v>
      </c>
      <c r="I915" s="40">
        <v>3133.99</v>
      </c>
      <c r="J915" s="38">
        <v>49</v>
      </c>
      <c r="K915" s="38" t="s">
        <v>16</v>
      </c>
      <c r="L915" s="40">
        <v>2628.38</v>
      </c>
      <c r="M915" s="40">
        <v>2644.54</v>
      </c>
      <c r="N915" s="38" t="s">
        <v>17</v>
      </c>
      <c r="O915" s="41">
        <v>0.11</v>
      </c>
      <c r="P915" s="38" t="s">
        <v>18</v>
      </c>
      <c r="Q915" s="38" t="s">
        <v>19</v>
      </c>
      <c r="R915" s="38" t="str">
        <f>IF(Cleaned_Final!$I915&gt;=5000,"High","Low")</f>
        <v>Low</v>
      </c>
    </row>
    <row r="916" spans="1:18" x14ac:dyDescent="0.35">
      <c r="A916" s="34">
        <v>1027</v>
      </c>
      <c r="B916" s="34" t="str">
        <f>_xlfn.XLOOKUP(Table2[[#This Row],[Product ID]],Sheet1!$A$32:$A$200,Sheet1!$B$32:$B$200,"Not Found")</f>
        <v>Cookies</v>
      </c>
      <c r="C916" s="35">
        <v>45032</v>
      </c>
      <c r="D916" s="34" t="s">
        <v>42</v>
      </c>
      <c r="E916" s="34" t="str" cm="1">
        <f t="array" ref="E916">_xlfn.XLOOKUP(Table2[[#This Row],[Sales Rep]],Sheet1!$A$21:$A$25,Sheet1!$B$21:$B$25,Not Found)</f>
        <v>Scott Wayne</v>
      </c>
      <c r="F916" s="34" t="s">
        <v>34</v>
      </c>
      <c r="G916" s="34">
        <f>_xlfn.XLOOKUP(Table2[[#This Row],[Region]],Sheet1!$A$12:$A$15,Sheet1!$B$12:$B$15,0)</f>
        <v>0.06</v>
      </c>
      <c r="H916" s="36">
        <f>Table2[[#This Row],[Tax Rate]]*Table2[[#This Row],[Sales Amount]]</f>
        <v>494.49419999999998</v>
      </c>
      <c r="I916" s="36">
        <v>8241.57</v>
      </c>
      <c r="J916" s="34">
        <v>7</v>
      </c>
      <c r="K916" s="34" t="s">
        <v>26</v>
      </c>
      <c r="L916" s="36">
        <v>2371.85</v>
      </c>
      <c r="M916" s="36">
        <v>2457.29</v>
      </c>
      <c r="N916" s="34" t="s">
        <v>30</v>
      </c>
      <c r="O916" s="37">
        <v>0.03</v>
      </c>
      <c r="P916" s="34" t="s">
        <v>18</v>
      </c>
      <c r="Q916" s="34" t="s">
        <v>22</v>
      </c>
      <c r="R916" s="34" t="str">
        <f>IF(Cleaned_Final!$I916&gt;=5000,"High","Low")</f>
        <v>High</v>
      </c>
    </row>
    <row r="917" spans="1:18" x14ac:dyDescent="0.35">
      <c r="A917" s="38">
        <v>1093</v>
      </c>
      <c r="B917" s="38" t="str">
        <f>_xlfn.XLOOKUP(Table2[[#This Row],[Product ID]],Sheet1!$A$32:$A$200,Sheet1!$B$32:$B$200,"Not Found")</f>
        <v>Dining Table</v>
      </c>
      <c r="C917" s="39">
        <v>45231</v>
      </c>
      <c r="D917" s="38" t="s">
        <v>33</v>
      </c>
      <c r="E917" s="38" t="str" cm="1">
        <f t="array" ref="E917">_xlfn.XLOOKUP(Table2[[#This Row],[Sales Rep]],Sheet1!$A$21:$A$25,Sheet1!$B$21:$B$25,Not Found)</f>
        <v>Susan Jerkins</v>
      </c>
      <c r="F917" s="38" t="s">
        <v>15</v>
      </c>
      <c r="G917" s="38">
        <f>_xlfn.XLOOKUP(Table2[[#This Row],[Region]],Sheet1!$A$12:$A$15,Sheet1!$B$12:$B$15,0)</f>
        <v>7.4999999999999997E-2</v>
      </c>
      <c r="H917" s="40">
        <f>Table2[[#This Row],[Tax Rate]]*Table2[[#This Row],[Sales Amount]]</f>
        <v>49.806750000000001</v>
      </c>
      <c r="I917" s="40">
        <v>664.09</v>
      </c>
      <c r="J917" s="38">
        <v>46</v>
      </c>
      <c r="K917" s="38" t="s">
        <v>29</v>
      </c>
      <c r="L917" s="40">
        <v>401.64</v>
      </c>
      <c r="M917" s="40">
        <v>757.26</v>
      </c>
      <c r="N917" s="38" t="s">
        <v>30</v>
      </c>
      <c r="O917" s="41">
        <v>0.21</v>
      </c>
      <c r="P917" s="38" t="s">
        <v>31</v>
      </c>
      <c r="Q917" s="38" t="s">
        <v>22</v>
      </c>
      <c r="R917" s="38" t="str">
        <f>IF(Cleaned_Final!$I917&gt;=5000,"High","Low")</f>
        <v>Low</v>
      </c>
    </row>
    <row r="918" spans="1:18" x14ac:dyDescent="0.35">
      <c r="A918" s="34">
        <v>1032</v>
      </c>
      <c r="B918" s="34" t="str">
        <f>_xlfn.XLOOKUP(Table2[[#This Row],[Product ID]],Sheet1!$A$32:$A$200,Sheet1!$B$32:$B$200,"Not Found")</f>
        <v>Refridgerator</v>
      </c>
      <c r="C918" s="35">
        <v>45286</v>
      </c>
      <c r="D918" s="34" t="s">
        <v>24</v>
      </c>
      <c r="E918" s="34" t="str" cm="1">
        <f t="array" ref="E918">_xlfn.XLOOKUP(Table2[[#This Row],[Sales Rep]],Sheet1!$A$21:$A$25,Sheet1!$B$21:$B$25,Not Found)</f>
        <v>Hogan Rock</v>
      </c>
      <c r="F918" s="34" t="s">
        <v>25</v>
      </c>
      <c r="G918" s="34">
        <f>_xlfn.XLOOKUP(Table2[[#This Row],[Region]],Sheet1!$A$12:$A$15,Sheet1!$B$12:$B$15,0)</f>
        <v>0.05</v>
      </c>
      <c r="H918" s="36">
        <f>Table2[[#This Row],[Tax Rate]]*Table2[[#This Row],[Sales Amount]]</f>
        <v>212.21050000000002</v>
      </c>
      <c r="I918" s="36">
        <v>4244.21</v>
      </c>
      <c r="J918" s="34">
        <v>11</v>
      </c>
      <c r="K918" s="34" t="s">
        <v>29</v>
      </c>
      <c r="L918" s="36">
        <v>4100.62</v>
      </c>
      <c r="M918" s="36">
        <v>4230</v>
      </c>
      <c r="N918" s="34" t="s">
        <v>30</v>
      </c>
      <c r="O918" s="37">
        <v>0.28999999999999998</v>
      </c>
      <c r="P918" s="34" t="s">
        <v>27</v>
      </c>
      <c r="Q918" s="34" t="s">
        <v>19</v>
      </c>
      <c r="R918" s="34" t="str">
        <f>IF(Cleaned_Final!$I918&gt;=5000,"High","Low")</f>
        <v>Low</v>
      </c>
    </row>
    <row r="919" spans="1:18" x14ac:dyDescent="0.35">
      <c r="A919" s="38">
        <v>1050</v>
      </c>
      <c r="B919" s="38" t="str">
        <f>_xlfn.XLOOKUP(Table2[[#This Row],[Product ID]],Sheet1!$A$32:$A$200,Sheet1!$B$32:$B$200,"Not Found")</f>
        <v>Sneakers</v>
      </c>
      <c r="C919" s="39">
        <v>45243</v>
      </c>
      <c r="D919" s="38" t="s">
        <v>42</v>
      </c>
      <c r="E919" s="38" t="str" cm="1">
        <f t="array" ref="E919">_xlfn.XLOOKUP(Table2[[#This Row],[Sales Rep]],Sheet1!$A$21:$A$25,Sheet1!$B$21:$B$25,Not Found)</f>
        <v>Scott Wayne</v>
      </c>
      <c r="F919" s="38" t="s">
        <v>15</v>
      </c>
      <c r="G919" s="38">
        <f>_xlfn.XLOOKUP(Table2[[#This Row],[Region]],Sheet1!$A$12:$A$15,Sheet1!$B$12:$B$15,0)</f>
        <v>7.4999999999999997E-2</v>
      </c>
      <c r="H919" s="40">
        <f>Table2[[#This Row],[Tax Rate]]*Table2[[#This Row],[Sales Amount]]</f>
        <v>347.88524999999998</v>
      </c>
      <c r="I919" s="40">
        <v>4638.47</v>
      </c>
      <c r="J919" s="38">
        <v>28</v>
      </c>
      <c r="K919" s="38" t="s">
        <v>26</v>
      </c>
      <c r="L919" s="40">
        <v>1711.63</v>
      </c>
      <c r="M919" s="40">
        <v>1951.24</v>
      </c>
      <c r="N919" s="38" t="s">
        <v>30</v>
      </c>
      <c r="O919" s="41">
        <v>0.22</v>
      </c>
      <c r="P919" s="38" t="s">
        <v>18</v>
      </c>
      <c r="Q919" s="38" t="s">
        <v>19</v>
      </c>
      <c r="R919" s="38" t="str">
        <f>IF(Cleaned_Final!$I919&gt;=5000,"High","Low")</f>
        <v>Low</v>
      </c>
    </row>
    <row r="920" spans="1:18" x14ac:dyDescent="0.35">
      <c r="A920" s="34">
        <v>1061</v>
      </c>
      <c r="B920" s="34" t="str">
        <f>_xlfn.XLOOKUP(Table2[[#This Row],[Product ID]],Sheet1!$A$32:$A$200,Sheet1!$B$32:$B$200,"Not Found")</f>
        <v>Laptop</v>
      </c>
      <c r="C920" s="35">
        <v>45049</v>
      </c>
      <c r="D920" s="34" t="s">
        <v>14</v>
      </c>
      <c r="E920" s="34" t="str" cm="1">
        <f t="array" ref="E920">_xlfn.XLOOKUP(Table2[[#This Row],[Sales Rep]],Sheet1!$A$21:$A$25,Sheet1!$B$21:$B$25,Not Found)</f>
        <v>Michael Smith</v>
      </c>
      <c r="F920" s="34" t="s">
        <v>25</v>
      </c>
      <c r="G920" s="34">
        <f>_xlfn.XLOOKUP(Table2[[#This Row],[Region]],Sheet1!$A$12:$A$15,Sheet1!$B$12:$B$15,0)</f>
        <v>0.05</v>
      </c>
      <c r="H920" s="36">
        <f>Table2[[#This Row],[Tax Rate]]*Table2[[#This Row],[Sales Amount]]</f>
        <v>363.87800000000004</v>
      </c>
      <c r="I920" s="36">
        <v>7277.56</v>
      </c>
      <c r="J920" s="34">
        <v>41</v>
      </c>
      <c r="K920" s="34" t="s">
        <v>16</v>
      </c>
      <c r="L920" s="36">
        <v>2894.18</v>
      </c>
      <c r="M920" s="36">
        <v>3193.92</v>
      </c>
      <c r="N920" s="34" t="s">
        <v>30</v>
      </c>
      <c r="O920" s="37">
        <v>0.28000000000000003</v>
      </c>
      <c r="P920" s="34" t="s">
        <v>27</v>
      </c>
      <c r="Q920" s="34" t="s">
        <v>22</v>
      </c>
      <c r="R920" s="34" t="str">
        <f>IF(Cleaned_Final!$I920&gt;=5000,"High","Low")</f>
        <v>High</v>
      </c>
    </row>
    <row r="921" spans="1:18" x14ac:dyDescent="0.35">
      <c r="A921" s="38">
        <v>1051</v>
      </c>
      <c r="B921" s="38" t="str">
        <f>_xlfn.XLOOKUP(Table2[[#This Row],[Product ID]],Sheet1!$A$32:$A$200,Sheet1!$B$32:$B$200,"Not Found")</f>
        <v>Tablet</v>
      </c>
      <c r="C921" s="39">
        <v>44935</v>
      </c>
      <c r="D921" s="38" t="s">
        <v>24</v>
      </c>
      <c r="E921" s="38" t="str" cm="1">
        <f t="array" ref="E921">_xlfn.XLOOKUP(Table2[[#This Row],[Sales Rep]],Sheet1!$A$21:$A$25,Sheet1!$B$21:$B$25,Not Found)</f>
        <v>Hogan Rock</v>
      </c>
      <c r="F921" s="38" t="s">
        <v>25</v>
      </c>
      <c r="G921" s="38">
        <f>_xlfn.XLOOKUP(Table2[[#This Row],[Region]],Sheet1!$A$12:$A$15,Sheet1!$B$12:$B$15,0)</f>
        <v>0.05</v>
      </c>
      <c r="H921" s="40">
        <f>Table2[[#This Row],[Tax Rate]]*Table2[[#This Row],[Sales Amount]]</f>
        <v>289.27249999999998</v>
      </c>
      <c r="I921" s="40">
        <v>5785.45</v>
      </c>
      <c r="J921" s="38">
        <v>23</v>
      </c>
      <c r="K921" s="38" t="s">
        <v>16</v>
      </c>
      <c r="L921" s="40">
        <v>2598.1799999999998</v>
      </c>
      <c r="M921" s="40">
        <v>3042.73</v>
      </c>
      <c r="N921" s="38" t="s">
        <v>17</v>
      </c>
      <c r="O921" s="41">
        <v>0.24</v>
      </c>
      <c r="P921" s="38" t="s">
        <v>31</v>
      </c>
      <c r="Q921" s="38" t="s">
        <v>19</v>
      </c>
      <c r="R921" s="38" t="str">
        <f>IF(Cleaned_Final!$I921&gt;=5000,"High","Low")</f>
        <v>High</v>
      </c>
    </row>
    <row r="922" spans="1:18" x14ac:dyDescent="0.35">
      <c r="A922" s="34">
        <v>1019</v>
      </c>
      <c r="B922" s="34" t="str">
        <f>_xlfn.XLOOKUP(Table2[[#This Row],[Product ID]],Sheet1!$A$32:$A$200,Sheet1!$B$32:$B$200,"Not Found")</f>
        <v>Apple</v>
      </c>
      <c r="C922" s="35">
        <v>45188</v>
      </c>
      <c r="D922" s="34" t="s">
        <v>33</v>
      </c>
      <c r="E922" s="34" t="str" cm="1">
        <f t="array" ref="E922">_xlfn.XLOOKUP(Table2[[#This Row],[Sales Rep]],Sheet1!$A$21:$A$25,Sheet1!$B$21:$B$25,Not Found)</f>
        <v>Susan Jerkins</v>
      </c>
      <c r="F922" s="34" t="s">
        <v>21</v>
      </c>
      <c r="G922" s="34">
        <f>_xlfn.XLOOKUP(Table2[[#This Row],[Region]],Sheet1!$A$12:$A$15,Sheet1!$B$12:$B$15,0)</f>
        <v>0.08</v>
      </c>
      <c r="H922" s="36">
        <f>Table2[[#This Row],[Tax Rate]]*Table2[[#This Row],[Sales Amount]]</f>
        <v>536.43200000000002</v>
      </c>
      <c r="I922" s="36">
        <v>6705.4</v>
      </c>
      <c r="J922" s="34">
        <v>45</v>
      </c>
      <c r="K922" s="34" t="s">
        <v>29</v>
      </c>
      <c r="L922" s="36">
        <v>2590.64</v>
      </c>
      <c r="M922" s="36">
        <v>3036.18</v>
      </c>
      <c r="N922" s="34" t="s">
        <v>30</v>
      </c>
      <c r="O922" s="37">
        <v>0.05</v>
      </c>
      <c r="P922" s="34" t="s">
        <v>27</v>
      </c>
      <c r="Q922" s="34" t="s">
        <v>22</v>
      </c>
      <c r="R922" s="34" t="str">
        <f>IF(Cleaned_Final!$I922&gt;=5000,"High","Low")</f>
        <v>High</v>
      </c>
    </row>
    <row r="923" spans="1:18" x14ac:dyDescent="0.35">
      <c r="A923" s="38">
        <v>1021</v>
      </c>
      <c r="B923" s="38" t="str">
        <f>_xlfn.XLOOKUP(Table2[[#This Row],[Product ID]],Sheet1!$A$32:$A$200,Sheet1!$B$32:$B$200,"Not Found")</f>
        <v>Almond Milk</v>
      </c>
      <c r="C923" s="39">
        <v>44999</v>
      </c>
      <c r="D923" s="38" t="s">
        <v>24</v>
      </c>
      <c r="E923" s="38" t="str" cm="1">
        <f t="array" ref="E923">_xlfn.XLOOKUP(Table2[[#This Row],[Sales Rep]],Sheet1!$A$21:$A$25,Sheet1!$B$21:$B$25,Not Found)</f>
        <v>Hogan Rock</v>
      </c>
      <c r="F923" s="38" t="s">
        <v>25</v>
      </c>
      <c r="G923" s="38">
        <f>_xlfn.XLOOKUP(Table2[[#This Row],[Region]],Sheet1!$A$12:$A$15,Sheet1!$B$12:$B$15,0)</f>
        <v>0.05</v>
      </c>
      <c r="H923" s="40">
        <f>Table2[[#This Row],[Tax Rate]]*Table2[[#This Row],[Sales Amount]]</f>
        <v>389.6395</v>
      </c>
      <c r="I923" s="40">
        <v>7792.79</v>
      </c>
      <c r="J923" s="38">
        <v>23</v>
      </c>
      <c r="K923" s="38" t="s">
        <v>26</v>
      </c>
      <c r="L923" s="40">
        <v>580.75</v>
      </c>
      <c r="M923" s="40">
        <v>956.16</v>
      </c>
      <c r="N923" s="38" t="s">
        <v>17</v>
      </c>
      <c r="O923" s="41">
        <v>7.0000000000000007E-2</v>
      </c>
      <c r="P923" s="38" t="s">
        <v>18</v>
      </c>
      <c r="Q923" s="38" t="s">
        <v>22</v>
      </c>
      <c r="R923" s="38" t="str">
        <f>IF(Cleaned_Final!$I923&gt;=5000,"High","Low")</f>
        <v>High</v>
      </c>
    </row>
    <row r="924" spans="1:18" x14ac:dyDescent="0.35">
      <c r="A924" s="34">
        <v>1005</v>
      </c>
      <c r="B924" s="34" t="str">
        <f>_xlfn.XLOOKUP(Table2[[#This Row],[Product ID]],Sheet1!$A$32:$A$200,Sheet1!$B$32:$B$200,"Not Found")</f>
        <v>Smart Phone</v>
      </c>
      <c r="C924" s="35">
        <v>45285</v>
      </c>
      <c r="D924" s="34" t="s">
        <v>42</v>
      </c>
      <c r="E924" s="34" t="str" cm="1">
        <f t="array" ref="E924">_xlfn.XLOOKUP(Table2[[#This Row],[Sales Rep]],Sheet1!$A$21:$A$25,Sheet1!$B$21:$B$25,Not Found)</f>
        <v>Scott Wayne</v>
      </c>
      <c r="F924" s="34" t="s">
        <v>25</v>
      </c>
      <c r="G924" s="34">
        <f>_xlfn.XLOOKUP(Table2[[#This Row],[Region]],Sheet1!$A$12:$A$15,Sheet1!$B$12:$B$15,0)</f>
        <v>0.05</v>
      </c>
      <c r="H924" s="36">
        <f>Table2[[#This Row],[Tax Rate]]*Table2[[#This Row],[Sales Amount]]</f>
        <v>431.79050000000001</v>
      </c>
      <c r="I924" s="36">
        <v>8635.81</v>
      </c>
      <c r="J924" s="34">
        <v>28</v>
      </c>
      <c r="K924" s="34" t="s">
        <v>16</v>
      </c>
      <c r="L924" s="36">
        <v>2146.2399999999998</v>
      </c>
      <c r="M924" s="36">
        <v>2173.4699999999998</v>
      </c>
      <c r="N924" s="34" t="s">
        <v>17</v>
      </c>
      <c r="O924" s="37">
        <v>0.1</v>
      </c>
      <c r="P924" s="34" t="s">
        <v>18</v>
      </c>
      <c r="Q924" s="34" t="s">
        <v>22</v>
      </c>
      <c r="R924" s="34" t="str">
        <f>IF(Cleaned_Final!$I924&gt;=5000,"High","Low")</f>
        <v>High</v>
      </c>
    </row>
    <row r="925" spans="1:18" x14ac:dyDescent="0.35">
      <c r="A925" s="38">
        <v>1082</v>
      </c>
      <c r="B925" s="38" t="str">
        <f>_xlfn.XLOOKUP(Table2[[#This Row],[Product ID]],Sheet1!$A$32:$A$200,Sheet1!$B$32:$B$200,"Not Found")</f>
        <v>USB Drive</v>
      </c>
      <c r="C925" s="39">
        <v>45149</v>
      </c>
      <c r="D925" s="38" t="s">
        <v>33</v>
      </c>
      <c r="E925" s="38" t="str" cm="1">
        <f t="array" ref="E925">_xlfn.XLOOKUP(Table2[[#This Row],[Sales Rep]],Sheet1!$A$21:$A$25,Sheet1!$B$21:$B$25,Not Found)</f>
        <v>Susan Jerkins</v>
      </c>
      <c r="F925" s="38" t="s">
        <v>15</v>
      </c>
      <c r="G925" s="38">
        <f>_xlfn.XLOOKUP(Table2[[#This Row],[Region]],Sheet1!$A$12:$A$15,Sheet1!$B$12:$B$15,0)</f>
        <v>7.4999999999999997E-2</v>
      </c>
      <c r="H925" s="40">
        <f>Table2[[#This Row],[Tax Rate]]*Table2[[#This Row],[Sales Amount]]</f>
        <v>240.55274999999997</v>
      </c>
      <c r="I925" s="40">
        <v>3207.37</v>
      </c>
      <c r="J925" s="38">
        <v>43</v>
      </c>
      <c r="K925" s="38" t="s">
        <v>16</v>
      </c>
      <c r="L925" s="40">
        <v>2289.2199999999998</v>
      </c>
      <c r="M925" s="40">
        <v>2581</v>
      </c>
      <c r="N925" s="38" t="s">
        <v>30</v>
      </c>
      <c r="O925" s="41">
        <v>0.05</v>
      </c>
      <c r="P925" s="38" t="s">
        <v>27</v>
      </c>
      <c r="Q925" s="38" t="s">
        <v>19</v>
      </c>
      <c r="R925" s="38" t="str">
        <f>IF(Cleaned_Final!$I925&gt;=5000,"High","Low")</f>
        <v>Low</v>
      </c>
    </row>
    <row r="926" spans="1:18" x14ac:dyDescent="0.35">
      <c r="A926" s="34">
        <v>1092</v>
      </c>
      <c r="B926" s="34" t="str">
        <f>_xlfn.XLOOKUP(Table2[[#This Row],[Product ID]],Sheet1!$A$32:$A$200,Sheet1!$B$32:$B$200,"Not Found")</f>
        <v>Recliner</v>
      </c>
      <c r="C926" s="35">
        <v>44967</v>
      </c>
      <c r="D926" s="34" t="s">
        <v>14</v>
      </c>
      <c r="E926" s="34" t="str" cm="1">
        <f t="array" ref="E926">_xlfn.XLOOKUP(Table2[[#This Row],[Sales Rep]],Sheet1!$A$21:$A$25,Sheet1!$B$21:$B$25,Not Found)</f>
        <v>Michael Smith</v>
      </c>
      <c r="F926" s="34" t="s">
        <v>34</v>
      </c>
      <c r="G926" s="34">
        <f>_xlfn.XLOOKUP(Table2[[#This Row],[Region]],Sheet1!$A$12:$A$15,Sheet1!$B$12:$B$15,0)</f>
        <v>0.06</v>
      </c>
      <c r="H926" s="36">
        <f>Table2[[#This Row],[Tax Rate]]*Table2[[#This Row],[Sales Amount]]</f>
        <v>325.58519999999999</v>
      </c>
      <c r="I926" s="36">
        <v>5426.42</v>
      </c>
      <c r="J926" s="34">
        <v>47</v>
      </c>
      <c r="K926" s="34" t="s">
        <v>16</v>
      </c>
      <c r="L926" s="36">
        <v>3681.53</v>
      </c>
      <c r="M926" s="36">
        <v>4076.96</v>
      </c>
      <c r="N926" s="34" t="s">
        <v>17</v>
      </c>
      <c r="O926" s="37">
        <v>0.17</v>
      </c>
      <c r="P926" s="34" t="s">
        <v>18</v>
      </c>
      <c r="Q926" s="34" t="s">
        <v>22</v>
      </c>
      <c r="R926" s="34" t="str">
        <f>IF(Cleaned_Final!$I926&gt;=5000,"High","Low")</f>
        <v>High</v>
      </c>
    </row>
    <row r="927" spans="1:18" x14ac:dyDescent="0.35">
      <c r="A927" s="38">
        <v>1042</v>
      </c>
      <c r="B927" s="38" t="str">
        <f>_xlfn.XLOOKUP(Table2[[#This Row],[Product ID]],Sheet1!$A$32:$A$200,Sheet1!$B$32:$B$200,"Not Found")</f>
        <v>Frozen Pizza</v>
      </c>
      <c r="C927" s="39">
        <v>45130</v>
      </c>
      <c r="D927" s="38" t="s">
        <v>33</v>
      </c>
      <c r="E927" s="38" t="str" cm="1">
        <f t="array" ref="E927">_xlfn.XLOOKUP(Table2[[#This Row],[Sales Rep]],Sheet1!$A$21:$A$25,Sheet1!$B$21:$B$25,Not Found)</f>
        <v>Susan Jerkins</v>
      </c>
      <c r="F927" s="38" t="s">
        <v>21</v>
      </c>
      <c r="G927" s="38">
        <f>_xlfn.XLOOKUP(Table2[[#This Row],[Region]],Sheet1!$A$12:$A$15,Sheet1!$B$12:$B$15,0)</f>
        <v>0.08</v>
      </c>
      <c r="H927" s="40">
        <f>Table2[[#This Row],[Tax Rate]]*Table2[[#This Row],[Sales Amount]]</f>
        <v>673.36559999999997</v>
      </c>
      <c r="I927" s="40">
        <v>8417.07</v>
      </c>
      <c r="J927" s="38">
        <v>26</v>
      </c>
      <c r="K927" s="38" t="s">
        <v>35</v>
      </c>
      <c r="L927" s="40">
        <v>4208.09</v>
      </c>
      <c r="M927" s="40">
        <v>4226.5600000000004</v>
      </c>
      <c r="N927" s="38" t="s">
        <v>17</v>
      </c>
      <c r="O927" s="41">
        <v>0.28999999999999998</v>
      </c>
      <c r="P927" s="38" t="s">
        <v>18</v>
      </c>
      <c r="Q927" s="38" t="s">
        <v>22</v>
      </c>
      <c r="R927" s="38" t="str">
        <f>IF(Cleaned_Final!$I927&gt;=5000,"High","Low")</f>
        <v>High</v>
      </c>
    </row>
    <row r="928" spans="1:18" x14ac:dyDescent="0.35">
      <c r="A928" s="34">
        <v>1061</v>
      </c>
      <c r="B928" s="34" t="str">
        <f>_xlfn.XLOOKUP(Table2[[#This Row],[Product ID]],Sheet1!$A$32:$A$200,Sheet1!$B$32:$B$200,"Not Found")</f>
        <v>Laptop</v>
      </c>
      <c r="C928" s="35">
        <v>45190</v>
      </c>
      <c r="D928" s="34" t="s">
        <v>33</v>
      </c>
      <c r="E928" s="34" t="str" cm="1">
        <f t="array" ref="E928">_xlfn.XLOOKUP(Table2[[#This Row],[Sales Rep]],Sheet1!$A$21:$A$25,Sheet1!$B$21:$B$25,Not Found)</f>
        <v>Susan Jerkins</v>
      </c>
      <c r="F928" s="34" t="s">
        <v>25</v>
      </c>
      <c r="G928" s="34">
        <f>_xlfn.XLOOKUP(Table2[[#This Row],[Region]],Sheet1!$A$12:$A$15,Sheet1!$B$12:$B$15,0)</f>
        <v>0.05</v>
      </c>
      <c r="H928" s="36">
        <f>Table2[[#This Row],[Tax Rate]]*Table2[[#This Row],[Sales Amount]]</f>
        <v>494.77850000000001</v>
      </c>
      <c r="I928" s="36">
        <v>9895.57</v>
      </c>
      <c r="J928" s="34">
        <v>25</v>
      </c>
      <c r="K928" s="34" t="s">
        <v>26</v>
      </c>
      <c r="L928" s="36">
        <v>2747.66</v>
      </c>
      <c r="M928" s="36">
        <v>3027.0099999999902</v>
      </c>
      <c r="N928" s="34" t="s">
        <v>30</v>
      </c>
      <c r="O928" s="37">
        <v>0.23</v>
      </c>
      <c r="P928" s="34" t="s">
        <v>18</v>
      </c>
      <c r="Q928" s="34" t="s">
        <v>19</v>
      </c>
      <c r="R928" s="34" t="str">
        <f>IF(Cleaned_Final!$I928&gt;=5000,"High","Low")</f>
        <v>High</v>
      </c>
    </row>
    <row r="929" spans="1:18" x14ac:dyDescent="0.35">
      <c r="A929" s="38">
        <v>1022</v>
      </c>
      <c r="B929" s="38" t="str">
        <f>_xlfn.XLOOKUP(Table2[[#This Row],[Product ID]],Sheet1!$A$32:$A$200,Sheet1!$B$32:$B$200,"Not Found")</f>
        <v>Organic Honey</v>
      </c>
      <c r="C929" s="39">
        <v>45254</v>
      </c>
      <c r="D929" s="38" t="s">
        <v>38</v>
      </c>
      <c r="E929" s="38" t="str" cm="1">
        <f t="array" ref="E929">_xlfn.XLOOKUP(Table2[[#This Row],[Sales Rep]],Sheet1!$A$21:$A$25,Sheet1!$B$21:$B$25,Not Found)</f>
        <v>Tracy Moore</v>
      </c>
      <c r="F929" s="38" t="s">
        <v>21</v>
      </c>
      <c r="G929" s="38">
        <f>_xlfn.XLOOKUP(Table2[[#This Row],[Region]],Sheet1!$A$12:$A$15,Sheet1!$B$12:$B$15,0)</f>
        <v>0.08</v>
      </c>
      <c r="H929" s="40">
        <f>Table2[[#This Row],[Tax Rate]]*Table2[[#This Row],[Sales Amount]]</f>
        <v>712.49919999999997</v>
      </c>
      <c r="I929" s="40">
        <v>8906.24</v>
      </c>
      <c r="J929" s="38">
        <v>29</v>
      </c>
      <c r="K929" s="38" t="s">
        <v>16</v>
      </c>
      <c r="L929" s="40">
        <v>479.58</v>
      </c>
      <c r="M929" s="40">
        <v>909.88</v>
      </c>
      <c r="N929" s="38" t="s">
        <v>17</v>
      </c>
      <c r="O929" s="41">
        <v>0.13</v>
      </c>
      <c r="P929" s="38" t="s">
        <v>31</v>
      </c>
      <c r="Q929" s="38" t="s">
        <v>22</v>
      </c>
      <c r="R929" s="38" t="str">
        <f>IF(Cleaned_Final!$I929&gt;=5000,"High","Low")</f>
        <v>High</v>
      </c>
    </row>
    <row r="930" spans="1:18" x14ac:dyDescent="0.35">
      <c r="A930" s="34">
        <v>1021</v>
      </c>
      <c r="B930" s="34" t="str">
        <f>_xlfn.XLOOKUP(Table2[[#This Row],[Product ID]],Sheet1!$A$32:$A$200,Sheet1!$B$32:$B$200,"Not Found")</f>
        <v>Almond Milk</v>
      </c>
      <c r="C930" s="35">
        <v>45104</v>
      </c>
      <c r="D930" s="34" t="s">
        <v>33</v>
      </c>
      <c r="E930" s="34" t="str" cm="1">
        <f t="array" ref="E930">_xlfn.XLOOKUP(Table2[[#This Row],[Sales Rep]],Sheet1!$A$21:$A$25,Sheet1!$B$21:$B$25,Not Found)</f>
        <v>Susan Jerkins</v>
      </c>
      <c r="F930" s="34" t="s">
        <v>15</v>
      </c>
      <c r="G930" s="34">
        <f>_xlfn.XLOOKUP(Table2[[#This Row],[Region]],Sheet1!$A$12:$A$15,Sheet1!$B$12:$B$15,0)</f>
        <v>7.4999999999999997E-2</v>
      </c>
      <c r="H930" s="36">
        <f>Table2[[#This Row],[Tax Rate]]*Table2[[#This Row],[Sales Amount]]</f>
        <v>283.31475</v>
      </c>
      <c r="I930" s="36">
        <v>3777.53</v>
      </c>
      <c r="J930" s="34">
        <v>19</v>
      </c>
      <c r="K930" s="34" t="s">
        <v>35</v>
      </c>
      <c r="L930" s="36">
        <v>1222.4000000000001</v>
      </c>
      <c r="M930" s="36">
        <v>1464.71</v>
      </c>
      <c r="N930" s="34" t="s">
        <v>30</v>
      </c>
      <c r="O930" s="37">
        <v>0</v>
      </c>
      <c r="P930" s="34" t="s">
        <v>31</v>
      </c>
      <c r="Q930" s="34" t="s">
        <v>22</v>
      </c>
      <c r="R930" s="34" t="str">
        <f>IF(Cleaned_Final!$I930&gt;=5000,"High","Low")</f>
        <v>Low</v>
      </c>
    </row>
    <row r="931" spans="1:18" x14ac:dyDescent="0.35">
      <c r="A931" s="38">
        <v>1070</v>
      </c>
      <c r="B931" s="38" t="str">
        <f>_xlfn.XLOOKUP(Table2[[#This Row],[Product ID]],Sheet1!$A$32:$A$200,Sheet1!$B$32:$B$200,"Not Found")</f>
        <v>Hutch</v>
      </c>
      <c r="C931" s="39">
        <v>45274</v>
      </c>
      <c r="D931" s="38" t="s">
        <v>33</v>
      </c>
      <c r="E931" s="38" t="str" cm="1">
        <f t="array" ref="E931">_xlfn.XLOOKUP(Table2[[#This Row],[Sales Rep]],Sheet1!$A$21:$A$25,Sheet1!$B$21:$B$25,Not Found)</f>
        <v>Susan Jerkins</v>
      </c>
      <c r="F931" s="38" t="s">
        <v>25</v>
      </c>
      <c r="G931" s="38">
        <f>_xlfn.XLOOKUP(Table2[[#This Row],[Region]],Sheet1!$A$12:$A$15,Sheet1!$B$12:$B$15,0)</f>
        <v>0.05</v>
      </c>
      <c r="H931" s="40">
        <f>Table2[[#This Row],[Tax Rate]]*Table2[[#This Row],[Sales Amount]]</f>
        <v>101.60750000000002</v>
      </c>
      <c r="I931" s="40">
        <v>2032.15</v>
      </c>
      <c r="J931" s="38">
        <v>33</v>
      </c>
      <c r="K931" s="38" t="s">
        <v>26</v>
      </c>
      <c r="L931" s="40">
        <v>866.42</v>
      </c>
      <c r="M931" s="40">
        <v>878.43</v>
      </c>
      <c r="N931" s="38" t="s">
        <v>30</v>
      </c>
      <c r="O931" s="41">
        <v>0.09</v>
      </c>
      <c r="P931" s="38" t="s">
        <v>18</v>
      </c>
      <c r="Q931" s="38" t="s">
        <v>22</v>
      </c>
      <c r="R931" s="38" t="str">
        <f>IF(Cleaned_Final!$I931&gt;=5000,"High","Low")</f>
        <v>Low</v>
      </c>
    </row>
    <row r="932" spans="1:18" x14ac:dyDescent="0.35">
      <c r="A932" s="34">
        <v>1001</v>
      </c>
      <c r="B932" s="34" t="str">
        <f>_xlfn.XLOOKUP(Table2[[#This Row],[Product ID]],Sheet1!$A$32:$A$200,Sheet1!$B$32:$B$200,"Not Found")</f>
        <v>Camera</v>
      </c>
      <c r="C932" s="35">
        <v>45244</v>
      </c>
      <c r="D932" s="34" t="s">
        <v>24</v>
      </c>
      <c r="E932" s="34" t="str" cm="1">
        <f t="array" ref="E932">_xlfn.XLOOKUP(Table2[[#This Row],[Sales Rep]],Sheet1!$A$21:$A$25,Sheet1!$B$21:$B$25,Not Found)</f>
        <v>Hogan Rock</v>
      </c>
      <c r="F932" s="34" t="s">
        <v>15</v>
      </c>
      <c r="G932" s="34">
        <f>_xlfn.XLOOKUP(Table2[[#This Row],[Region]],Sheet1!$A$12:$A$15,Sheet1!$B$12:$B$15,0)</f>
        <v>7.4999999999999997E-2</v>
      </c>
      <c r="H932" s="36">
        <f>Table2[[#This Row],[Tax Rate]]*Table2[[#This Row],[Sales Amount]]</f>
        <v>370.87424999999996</v>
      </c>
      <c r="I932" s="36">
        <v>4944.99</v>
      </c>
      <c r="J932" s="34">
        <v>36</v>
      </c>
      <c r="K932" s="34" t="s">
        <v>16</v>
      </c>
      <c r="L932" s="36">
        <v>666.84</v>
      </c>
      <c r="M932" s="36">
        <v>682.24</v>
      </c>
      <c r="N932" s="34" t="s">
        <v>30</v>
      </c>
      <c r="O932" s="37">
        <v>0.16</v>
      </c>
      <c r="P932" s="34" t="s">
        <v>27</v>
      </c>
      <c r="Q932" s="34" t="s">
        <v>22</v>
      </c>
      <c r="R932" s="34" t="str">
        <f>IF(Cleaned_Final!$I932&gt;=5000,"High","Low")</f>
        <v>Low</v>
      </c>
    </row>
    <row r="933" spans="1:18" x14ac:dyDescent="0.35">
      <c r="A933" s="38">
        <v>1005</v>
      </c>
      <c r="B933" s="38" t="str">
        <f>_xlfn.XLOOKUP(Table2[[#This Row],[Product ID]],Sheet1!$A$32:$A$200,Sheet1!$B$32:$B$200,"Not Found")</f>
        <v>Smart Phone</v>
      </c>
      <c r="C933" s="39">
        <v>45010</v>
      </c>
      <c r="D933" s="38" t="s">
        <v>14</v>
      </c>
      <c r="E933" s="38" t="str" cm="1">
        <f t="array" ref="E933">_xlfn.XLOOKUP(Table2[[#This Row],[Sales Rep]],Sheet1!$A$21:$A$25,Sheet1!$B$21:$B$25,Not Found)</f>
        <v>Michael Smith</v>
      </c>
      <c r="F933" s="38" t="s">
        <v>21</v>
      </c>
      <c r="G933" s="38">
        <f>_xlfn.XLOOKUP(Table2[[#This Row],[Region]],Sheet1!$A$12:$A$15,Sheet1!$B$12:$B$15,0)</f>
        <v>0.08</v>
      </c>
      <c r="H933" s="40">
        <f>Table2[[#This Row],[Tax Rate]]*Table2[[#This Row],[Sales Amount]]</f>
        <v>595.38</v>
      </c>
      <c r="I933" s="40">
        <v>7442.25</v>
      </c>
      <c r="J933" s="38">
        <v>14</v>
      </c>
      <c r="K933" s="38" t="s">
        <v>29</v>
      </c>
      <c r="L933" s="40">
        <v>1861.2</v>
      </c>
      <c r="M933" s="40">
        <v>2075.35</v>
      </c>
      <c r="N933" s="38" t="s">
        <v>17</v>
      </c>
      <c r="O933" s="41">
        <v>0.1</v>
      </c>
      <c r="P933" s="38" t="s">
        <v>31</v>
      </c>
      <c r="Q933" s="38" t="s">
        <v>22</v>
      </c>
      <c r="R933" s="38" t="str">
        <f>IF(Cleaned_Final!$I933&gt;=5000,"High","Low")</f>
        <v>High</v>
      </c>
    </row>
    <row r="934" spans="1:18" x14ac:dyDescent="0.35">
      <c r="A934" s="34">
        <v>1012</v>
      </c>
      <c r="B934" s="34" t="str">
        <f>_xlfn.XLOOKUP(Table2[[#This Row],[Product ID]],Sheet1!$A$32:$A$200,Sheet1!$B$32:$B$200,"Not Found")</f>
        <v>Cabinet</v>
      </c>
      <c r="C934" s="35">
        <v>45244</v>
      </c>
      <c r="D934" s="34" t="s">
        <v>24</v>
      </c>
      <c r="E934" s="34" t="str" cm="1">
        <f t="array" ref="E934">_xlfn.XLOOKUP(Table2[[#This Row],[Sales Rep]],Sheet1!$A$21:$A$25,Sheet1!$B$21:$B$25,Not Found)</f>
        <v>Hogan Rock</v>
      </c>
      <c r="F934" s="34" t="s">
        <v>15</v>
      </c>
      <c r="G934" s="34">
        <f>_xlfn.XLOOKUP(Table2[[#This Row],[Region]],Sheet1!$A$12:$A$15,Sheet1!$B$12:$B$15,0)</f>
        <v>7.4999999999999997E-2</v>
      </c>
      <c r="H934" s="36">
        <f>Table2[[#This Row],[Tax Rate]]*Table2[[#This Row],[Sales Amount]]</f>
        <v>373.23225000000002</v>
      </c>
      <c r="I934" s="36">
        <v>4976.43</v>
      </c>
      <c r="J934" s="34">
        <v>14</v>
      </c>
      <c r="K934" s="34" t="s">
        <v>35</v>
      </c>
      <c r="L934" s="36">
        <v>1185.5</v>
      </c>
      <c r="M934" s="36">
        <v>1271.45</v>
      </c>
      <c r="N934" s="34" t="s">
        <v>17</v>
      </c>
      <c r="O934" s="37">
        <v>0.03</v>
      </c>
      <c r="P934" s="34" t="s">
        <v>27</v>
      </c>
      <c r="Q934" s="34" t="s">
        <v>22</v>
      </c>
      <c r="R934" s="34" t="str">
        <f>IF(Cleaned_Final!$I934&gt;=5000,"High","Low")</f>
        <v>Low</v>
      </c>
    </row>
    <row r="935" spans="1:18" x14ac:dyDescent="0.35">
      <c r="A935" s="38">
        <v>1090</v>
      </c>
      <c r="B935" s="38" t="str">
        <f>_xlfn.XLOOKUP(Table2[[#This Row],[Product ID]],Sheet1!$A$32:$A$200,Sheet1!$B$32:$B$200,"Not Found")</f>
        <v>Keyboard</v>
      </c>
      <c r="C935" s="39">
        <v>45037</v>
      </c>
      <c r="D935" s="38" t="s">
        <v>24</v>
      </c>
      <c r="E935" s="38" t="str" cm="1">
        <f t="array" ref="E935">_xlfn.XLOOKUP(Table2[[#This Row],[Sales Rep]],Sheet1!$A$21:$A$25,Sheet1!$B$21:$B$25,Not Found)</f>
        <v>Hogan Rock</v>
      </c>
      <c r="F935" s="38" t="s">
        <v>21</v>
      </c>
      <c r="G935" s="38">
        <f>_xlfn.XLOOKUP(Table2[[#This Row],[Region]],Sheet1!$A$12:$A$15,Sheet1!$B$12:$B$15,0)</f>
        <v>0.08</v>
      </c>
      <c r="H935" s="40">
        <f>Table2[[#This Row],[Tax Rate]]*Table2[[#This Row],[Sales Amount]]</f>
        <v>390.67919999999998</v>
      </c>
      <c r="I935" s="40">
        <v>4883.49</v>
      </c>
      <c r="J935" s="38">
        <v>35</v>
      </c>
      <c r="K935" s="38" t="s">
        <v>35</v>
      </c>
      <c r="L935" s="40">
        <v>1130.5999999999999</v>
      </c>
      <c r="M935" s="40">
        <v>1466.1799999999901</v>
      </c>
      <c r="N935" s="38" t="s">
        <v>17</v>
      </c>
      <c r="O935" s="41">
        <v>0.13</v>
      </c>
      <c r="P935" s="38" t="s">
        <v>18</v>
      </c>
      <c r="Q935" s="38" t="s">
        <v>19</v>
      </c>
      <c r="R935" s="38" t="str">
        <f>IF(Cleaned_Final!$I935&gt;=5000,"High","Low")</f>
        <v>Low</v>
      </c>
    </row>
    <row r="936" spans="1:18" x14ac:dyDescent="0.35">
      <c r="A936" s="34">
        <v>1046</v>
      </c>
      <c r="B936" s="34" t="str">
        <f>_xlfn.XLOOKUP(Table2[[#This Row],[Product ID]],Sheet1!$A$32:$A$200,Sheet1!$B$32:$B$200,"Not Found")</f>
        <v>Sweat Shirts</v>
      </c>
      <c r="C936" s="35">
        <v>45177</v>
      </c>
      <c r="D936" s="34" t="s">
        <v>42</v>
      </c>
      <c r="E936" s="34" t="str" cm="1">
        <f t="array" ref="E936">_xlfn.XLOOKUP(Table2[[#This Row],[Sales Rep]],Sheet1!$A$21:$A$25,Sheet1!$B$21:$B$25,Not Found)</f>
        <v>Scott Wayne</v>
      </c>
      <c r="F936" s="34" t="s">
        <v>15</v>
      </c>
      <c r="G936" s="34">
        <f>_xlfn.XLOOKUP(Table2[[#This Row],[Region]],Sheet1!$A$12:$A$15,Sheet1!$B$12:$B$15,0)</f>
        <v>7.4999999999999997E-2</v>
      </c>
      <c r="H936" s="36">
        <f>Table2[[#This Row],[Tax Rate]]*Table2[[#This Row],[Sales Amount]]</f>
        <v>629.88599999999997</v>
      </c>
      <c r="I936" s="36">
        <v>8398.48</v>
      </c>
      <c r="J936" s="34">
        <v>30</v>
      </c>
      <c r="K936" s="34" t="s">
        <v>16</v>
      </c>
      <c r="L936" s="36">
        <v>320.73</v>
      </c>
      <c r="M936" s="36">
        <v>678.04</v>
      </c>
      <c r="N936" s="34" t="s">
        <v>17</v>
      </c>
      <c r="O936" s="37">
        <v>0.08</v>
      </c>
      <c r="P936" s="34" t="s">
        <v>18</v>
      </c>
      <c r="Q936" s="34" t="s">
        <v>22</v>
      </c>
      <c r="R936" s="34" t="str">
        <f>IF(Cleaned_Final!$I936&gt;=5000,"High","Low")</f>
        <v>High</v>
      </c>
    </row>
    <row r="937" spans="1:18" x14ac:dyDescent="0.35">
      <c r="A937" s="38">
        <v>1034</v>
      </c>
      <c r="B937" s="38" t="str">
        <f>_xlfn.XLOOKUP(Table2[[#This Row],[Product ID]],Sheet1!$A$32:$A$200,Sheet1!$B$32:$B$200,"Not Found")</f>
        <v>Socks Pack</v>
      </c>
      <c r="C937" s="39">
        <v>44933</v>
      </c>
      <c r="D937" s="38" t="s">
        <v>24</v>
      </c>
      <c r="E937" s="38" t="str" cm="1">
        <f t="array" ref="E937">_xlfn.XLOOKUP(Table2[[#This Row],[Sales Rep]],Sheet1!$A$21:$A$25,Sheet1!$B$21:$B$25,Not Found)</f>
        <v>Hogan Rock</v>
      </c>
      <c r="F937" s="38" t="s">
        <v>21</v>
      </c>
      <c r="G937" s="38">
        <f>_xlfn.XLOOKUP(Table2[[#This Row],[Region]],Sheet1!$A$12:$A$15,Sheet1!$B$12:$B$15,0)</f>
        <v>0.08</v>
      </c>
      <c r="H937" s="40">
        <f>Table2[[#This Row],[Tax Rate]]*Table2[[#This Row],[Sales Amount]]</f>
        <v>294.23200000000003</v>
      </c>
      <c r="I937" s="40">
        <v>3677.9</v>
      </c>
      <c r="J937" s="38">
        <v>28</v>
      </c>
      <c r="K937" s="38" t="s">
        <v>16</v>
      </c>
      <c r="L937" s="40">
        <v>137.47</v>
      </c>
      <c r="M937" s="40">
        <v>234.63</v>
      </c>
      <c r="N937" s="38" t="s">
        <v>30</v>
      </c>
      <c r="O937" s="41">
        <v>0.27</v>
      </c>
      <c r="P937" s="38" t="s">
        <v>27</v>
      </c>
      <c r="Q937" s="38" t="s">
        <v>22</v>
      </c>
      <c r="R937" s="38" t="str">
        <f>IF(Cleaned_Final!$I937&gt;=5000,"High","Low")</f>
        <v>Low</v>
      </c>
    </row>
    <row r="938" spans="1:18" x14ac:dyDescent="0.35">
      <c r="A938" s="34">
        <v>1049</v>
      </c>
      <c r="B938" s="34" t="str">
        <f>_xlfn.XLOOKUP(Table2[[#This Row],[Product ID]],Sheet1!$A$32:$A$200,Sheet1!$B$32:$B$200,"Not Found")</f>
        <v>Coffee Table</v>
      </c>
      <c r="C938" s="35">
        <v>45010</v>
      </c>
      <c r="D938" s="34" t="s">
        <v>38</v>
      </c>
      <c r="E938" s="34" t="str" cm="1">
        <f t="array" ref="E938">_xlfn.XLOOKUP(Table2[[#This Row],[Sales Rep]],Sheet1!$A$21:$A$25,Sheet1!$B$21:$B$25,Not Found)</f>
        <v>Tracy Moore</v>
      </c>
      <c r="F938" s="34" t="s">
        <v>34</v>
      </c>
      <c r="G938" s="34">
        <f>_xlfn.XLOOKUP(Table2[[#This Row],[Region]],Sheet1!$A$12:$A$15,Sheet1!$B$12:$B$15,0)</f>
        <v>0.06</v>
      </c>
      <c r="H938" s="36">
        <f>Table2[[#This Row],[Tax Rate]]*Table2[[#This Row],[Sales Amount]]</f>
        <v>516.71819999999991</v>
      </c>
      <c r="I938" s="36">
        <v>8611.9699999999993</v>
      </c>
      <c r="J938" s="34">
        <v>17</v>
      </c>
      <c r="K938" s="34" t="s">
        <v>35</v>
      </c>
      <c r="L938" s="36">
        <v>558.70000000000005</v>
      </c>
      <c r="M938" s="36">
        <v>1004.08</v>
      </c>
      <c r="N938" s="34" t="s">
        <v>17</v>
      </c>
      <c r="O938" s="37">
        <v>0.03</v>
      </c>
      <c r="P938" s="34" t="s">
        <v>31</v>
      </c>
      <c r="Q938" s="34" t="s">
        <v>19</v>
      </c>
      <c r="R938" s="34" t="str">
        <f>IF(Cleaned_Final!$I938&gt;=5000,"High","Low")</f>
        <v>High</v>
      </c>
    </row>
    <row r="939" spans="1:18" x14ac:dyDescent="0.35">
      <c r="A939" s="38">
        <v>1078</v>
      </c>
      <c r="B939" s="38" t="str">
        <f>_xlfn.XLOOKUP(Table2[[#This Row],[Product ID]],Sheet1!$A$32:$A$200,Sheet1!$B$32:$B$200,"Not Found")</f>
        <v>Kitchen Island</v>
      </c>
      <c r="C939" s="39">
        <v>45134</v>
      </c>
      <c r="D939" s="38" t="s">
        <v>38</v>
      </c>
      <c r="E939" s="38" t="str" cm="1">
        <f t="array" ref="E939">_xlfn.XLOOKUP(Table2[[#This Row],[Sales Rep]],Sheet1!$A$21:$A$25,Sheet1!$B$21:$B$25,Not Found)</f>
        <v>Tracy Moore</v>
      </c>
      <c r="F939" s="38" t="s">
        <v>15</v>
      </c>
      <c r="G939" s="38">
        <f>_xlfn.XLOOKUP(Table2[[#This Row],[Region]],Sheet1!$A$12:$A$15,Sheet1!$B$12:$B$15,0)</f>
        <v>7.4999999999999997E-2</v>
      </c>
      <c r="H939" s="40">
        <f>Table2[[#This Row],[Tax Rate]]*Table2[[#This Row],[Sales Amount]]</f>
        <v>309.55275</v>
      </c>
      <c r="I939" s="40">
        <v>4127.37</v>
      </c>
      <c r="J939" s="38">
        <v>3</v>
      </c>
      <c r="K939" s="38" t="s">
        <v>29</v>
      </c>
      <c r="L939" s="40">
        <v>902.38</v>
      </c>
      <c r="M939" s="40">
        <v>1128.9100000000001</v>
      </c>
      <c r="N939" s="38" t="s">
        <v>30</v>
      </c>
      <c r="O939" s="41">
        <v>0.01</v>
      </c>
      <c r="P939" s="38" t="s">
        <v>27</v>
      </c>
      <c r="Q939" s="38" t="s">
        <v>22</v>
      </c>
      <c r="R939" s="38" t="str">
        <f>IF(Cleaned_Final!$I939&gt;=5000,"High","Low")</f>
        <v>Low</v>
      </c>
    </row>
    <row r="940" spans="1:18" x14ac:dyDescent="0.35">
      <c r="A940" s="34">
        <v>1090</v>
      </c>
      <c r="B940" s="34" t="str">
        <f>_xlfn.XLOOKUP(Table2[[#This Row],[Product ID]],Sheet1!$A$32:$A$200,Sheet1!$B$32:$B$200,"Not Found")</f>
        <v>Keyboard</v>
      </c>
      <c r="C940" s="35">
        <v>45240</v>
      </c>
      <c r="D940" s="34" t="s">
        <v>42</v>
      </c>
      <c r="E940" s="34" t="str" cm="1">
        <f t="array" ref="E940">_xlfn.XLOOKUP(Table2[[#This Row],[Sales Rep]],Sheet1!$A$21:$A$25,Sheet1!$B$21:$B$25,Not Found)</f>
        <v>Scott Wayne</v>
      </c>
      <c r="F940" s="34" t="s">
        <v>15</v>
      </c>
      <c r="G940" s="34">
        <f>_xlfn.XLOOKUP(Table2[[#This Row],[Region]],Sheet1!$A$12:$A$15,Sheet1!$B$12:$B$15,0)</f>
        <v>7.4999999999999997E-2</v>
      </c>
      <c r="H940" s="36">
        <f>Table2[[#This Row],[Tax Rate]]*Table2[[#This Row],[Sales Amount]]</f>
        <v>251.21325000000002</v>
      </c>
      <c r="I940" s="36">
        <v>3349.51</v>
      </c>
      <c r="J940" s="34">
        <v>16</v>
      </c>
      <c r="K940" s="34" t="s">
        <v>29</v>
      </c>
      <c r="L940" s="36">
        <v>2183.37</v>
      </c>
      <c r="M940" s="36">
        <v>2263.3599999999901</v>
      </c>
      <c r="N940" s="34" t="s">
        <v>17</v>
      </c>
      <c r="O940" s="37">
        <v>0</v>
      </c>
      <c r="P940" s="34" t="s">
        <v>27</v>
      </c>
      <c r="Q940" s="34" t="s">
        <v>22</v>
      </c>
      <c r="R940" s="34" t="str">
        <f>IF(Cleaned_Final!$I940&gt;=5000,"High","Low")</f>
        <v>Low</v>
      </c>
    </row>
    <row r="941" spans="1:18" x14ac:dyDescent="0.35">
      <c r="A941" s="38">
        <v>1045</v>
      </c>
      <c r="B941" s="38" t="str">
        <f>_xlfn.XLOOKUP(Table2[[#This Row],[Product ID]],Sheet1!$A$32:$A$200,Sheet1!$B$32:$B$200,"Not Found")</f>
        <v>Bikers Shorts</v>
      </c>
      <c r="C941" s="39">
        <v>44948</v>
      </c>
      <c r="D941" s="38" t="s">
        <v>14</v>
      </c>
      <c r="E941" s="38" t="str" cm="1">
        <f t="array" ref="E941">_xlfn.XLOOKUP(Table2[[#This Row],[Sales Rep]],Sheet1!$A$21:$A$25,Sheet1!$B$21:$B$25,Not Found)</f>
        <v>Michael Smith</v>
      </c>
      <c r="F941" s="38" t="s">
        <v>34</v>
      </c>
      <c r="G941" s="38">
        <f>_xlfn.XLOOKUP(Table2[[#This Row],[Region]],Sheet1!$A$12:$A$15,Sheet1!$B$12:$B$15,0)</f>
        <v>0.06</v>
      </c>
      <c r="H941" s="40">
        <f>Table2[[#This Row],[Tax Rate]]*Table2[[#This Row],[Sales Amount]]</f>
        <v>275.67</v>
      </c>
      <c r="I941" s="40">
        <v>4594.5</v>
      </c>
      <c r="J941" s="38">
        <v>46</v>
      </c>
      <c r="K941" s="38" t="s">
        <v>26</v>
      </c>
      <c r="L941" s="40">
        <v>2577.08</v>
      </c>
      <c r="M941" s="40">
        <v>2961.56</v>
      </c>
      <c r="N941" s="38" t="s">
        <v>17</v>
      </c>
      <c r="O941" s="41">
        <v>0.1</v>
      </c>
      <c r="P941" s="38" t="s">
        <v>18</v>
      </c>
      <c r="Q941" s="38" t="s">
        <v>19</v>
      </c>
      <c r="R941" s="38" t="str">
        <f>IF(Cleaned_Final!$I941&gt;=5000,"High","Low")</f>
        <v>Low</v>
      </c>
    </row>
    <row r="942" spans="1:18" x14ac:dyDescent="0.35">
      <c r="A942" s="34">
        <v>1027</v>
      </c>
      <c r="B942" s="34" t="str">
        <f>_xlfn.XLOOKUP(Table2[[#This Row],[Product ID]],Sheet1!$A$32:$A$200,Sheet1!$B$32:$B$200,"Not Found")</f>
        <v>Cookies</v>
      </c>
      <c r="C942" s="35">
        <v>44929</v>
      </c>
      <c r="D942" s="34" t="s">
        <v>14</v>
      </c>
      <c r="E942" s="34" t="str" cm="1">
        <f t="array" ref="E942">_xlfn.XLOOKUP(Table2[[#This Row],[Sales Rep]],Sheet1!$A$21:$A$25,Sheet1!$B$21:$B$25,Not Found)</f>
        <v>Michael Smith</v>
      </c>
      <c r="F942" s="34" t="s">
        <v>34</v>
      </c>
      <c r="G942" s="34">
        <f>_xlfn.XLOOKUP(Table2[[#This Row],[Region]],Sheet1!$A$12:$A$15,Sheet1!$B$12:$B$15,0)</f>
        <v>0.06</v>
      </c>
      <c r="H942" s="36">
        <f>Table2[[#This Row],[Tax Rate]]*Table2[[#This Row],[Sales Amount]]</f>
        <v>458.89319999999998</v>
      </c>
      <c r="I942" s="36">
        <v>7648.22</v>
      </c>
      <c r="J942" s="34">
        <v>30</v>
      </c>
      <c r="K942" s="34" t="s">
        <v>16</v>
      </c>
      <c r="L942" s="36">
        <v>745.93</v>
      </c>
      <c r="M942" s="36">
        <v>1143.02</v>
      </c>
      <c r="N942" s="34" t="s">
        <v>17</v>
      </c>
      <c r="O942" s="37">
        <v>0.2</v>
      </c>
      <c r="P942" s="34" t="s">
        <v>31</v>
      </c>
      <c r="Q942" s="34" t="s">
        <v>19</v>
      </c>
      <c r="R942" s="34" t="str">
        <f>IF(Cleaned_Final!$I942&gt;=5000,"High","Low")</f>
        <v>High</v>
      </c>
    </row>
    <row r="943" spans="1:18" x14ac:dyDescent="0.35">
      <c r="A943" s="38">
        <v>1073</v>
      </c>
      <c r="B943" s="38" t="str">
        <f>_xlfn.XLOOKUP(Table2[[#This Row],[Product ID]],Sheet1!$A$32:$A$200,Sheet1!$B$32:$B$200,"Not Found")</f>
        <v>Console Table</v>
      </c>
      <c r="C943" s="39">
        <v>45053</v>
      </c>
      <c r="D943" s="38" t="s">
        <v>24</v>
      </c>
      <c r="E943" s="38" t="str" cm="1">
        <f t="array" ref="E943">_xlfn.XLOOKUP(Table2[[#This Row],[Sales Rep]],Sheet1!$A$21:$A$25,Sheet1!$B$21:$B$25,Not Found)</f>
        <v>Hogan Rock</v>
      </c>
      <c r="F943" s="38" t="s">
        <v>15</v>
      </c>
      <c r="G943" s="38">
        <f>_xlfn.XLOOKUP(Table2[[#This Row],[Region]],Sheet1!$A$12:$A$15,Sheet1!$B$12:$B$15,0)</f>
        <v>7.4999999999999997E-2</v>
      </c>
      <c r="H943" s="40">
        <f>Table2[[#This Row],[Tax Rate]]*Table2[[#This Row],[Sales Amount]]</f>
        <v>101.0565</v>
      </c>
      <c r="I943" s="40">
        <v>1347.42</v>
      </c>
      <c r="J943" s="38">
        <v>29</v>
      </c>
      <c r="K943" s="38" t="s">
        <v>29</v>
      </c>
      <c r="L943" s="40">
        <v>2152.6799999999998</v>
      </c>
      <c r="M943" s="40">
        <v>2475.9299999999998</v>
      </c>
      <c r="N943" s="38" t="s">
        <v>17</v>
      </c>
      <c r="O943" s="41">
        <v>0.22</v>
      </c>
      <c r="P943" s="38" t="s">
        <v>27</v>
      </c>
      <c r="Q943" s="38" t="s">
        <v>19</v>
      </c>
      <c r="R943" s="38" t="str">
        <f>IF(Cleaned_Final!$I943&gt;=5000,"High","Low")</f>
        <v>Low</v>
      </c>
    </row>
    <row r="944" spans="1:18" x14ac:dyDescent="0.35">
      <c r="A944" s="34">
        <v>1026</v>
      </c>
      <c r="B944" s="34" t="str">
        <f>_xlfn.XLOOKUP(Table2[[#This Row],[Product ID]],Sheet1!$A$32:$A$200,Sheet1!$B$32:$B$200,"Not Found")</f>
        <v>Television</v>
      </c>
      <c r="C944" s="35">
        <v>45223</v>
      </c>
      <c r="D944" s="34" t="s">
        <v>24</v>
      </c>
      <c r="E944" s="34" t="str" cm="1">
        <f t="array" ref="E944">_xlfn.XLOOKUP(Table2[[#This Row],[Sales Rep]],Sheet1!$A$21:$A$25,Sheet1!$B$21:$B$25,Not Found)</f>
        <v>Hogan Rock</v>
      </c>
      <c r="F944" s="34" t="s">
        <v>34</v>
      </c>
      <c r="G944" s="34">
        <f>_xlfn.XLOOKUP(Table2[[#This Row],[Region]],Sheet1!$A$12:$A$15,Sheet1!$B$12:$B$15,0)</f>
        <v>0.06</v>
      </c>
      <c r="H944" s="36">
        <f>Table2[[#This Row],[Tax Rate]]*Table2[[#This Row],[Sales Amount]]</f>
        <v>122.67299999999999</v>
      </c>
      <c r="I944" s="36">
        <v>2044.55</v>
      </c>
      <c r="J944" s="34">
        <v>45</v>
      </c>
      <c r="K944" s="34" t="s">
        <v>26</v>
      </c>
      <c r="L944" s="36">
        <v>1741.66</v>
      </c>
      <c r="M944" s="36">
        <v>2169.86</v>
      </c>
      <c r="N944" s="34" t="s">
        <v>17</v>
      </c>
      <c r="O944" s="37">
        <v>0.14000000000000001</v>
      </c>
      <c r="P944" s="34" t="s">
        <v>31</v>
      </c>
      <c r="Q944" s="34" t="s">
        <v>19</v>
      </c>
      <c r="R944" s="34" t="str">
        <f>IF(Cleaned_Final!$I944&gt;=5000,"High","Low")</f>
        <v>Low</v>
      </c>
    </row>
    <row r="945" spans="1:18" x14ac:dyDescent="0.35">
      <c r="A945" s="38">
        <v>1047</v>
      </c>
      <c r="B945" s="38" t="str">
        <f>_xlfn.XLOOKUP(Table2[[#This Row],[Product ID]],Sheet1!$A$32:$A$200,Sheet1!$B$32:$B$200,"Not Found")</f>
        <v>Mouse</v>
      </c>
      <c r="C945" s="39">
        <v>45114</v>
      </c>
      <c r="D945" s="38" t="s">
        <v>24</v>
      </c>
      <c r="E945" s="38" t="str" cm="1">
        <f t="array" ref="E945">_xlfn.XLOOKUP(Table2[[#This Row],[Sales Rep]],Sheet1!$A$21:$A$25,Sheet1!$B$21:$B$25,Not Found)</f>
        <v>Hogan Rock</v>
      </c>
      <c r="F945" s="38" t="s">
        <v>25</v>
      </c>
      <c r="G945" s="38">
        <f>_xlfn.XLOOKUP(Table2[[#This Row],[Region]],Sheet1!$A$12:$A$15,Sheet1!$B$12:$B$15,0)</f>
        <v>0.05</v>
      </c>
      <c r="H945" s="40">
        <f>Table2[[#This Row],[Tax Rate]]*Table2[[#This Row],[Sales Amount]]</f>
        <v>475.96499999999997</v>
      </c>
      <c r="I945" s="40">
        <v>9519.2999999999993</v>
      </c>
      <c r="J945" s="38">
        <v>15</v>
      </c>
      <c r="K945" s="38" t="s">
        <v>29</v>
      </c>
      <c r="L945" s="40">
        <v>957.95</v>
      </c>
      <c r="M945" s="40">
        <v>1329.26</v>
      </c>
      <c r="N945" s="38" t="s">
        <v>30</v>
      </c>
      <c r="O945" s="41">
        <v>0.21</v>
      </c>
      <c r="P945" s="38" t="s">
        <v>18</v>
      </c>
      <c r="Q945" s="38" t="s">
        <v>19</v>
      </c>
      <c r="R945" s="38" t="str">
        <f>IF(Cleaned_Final!$I945&gt;=5000,"High","Low")</f>
        <v>High</v>
      </c>
    </row>
    <row r="946" spans="1:18" x14ac:dyDescent="0.35">
      <c r="A946" s="34">
        <v>1086</v>
      </c>
      <c r="B946" s="34" t="str">
        <f>_xlfn.XLOOKUP(Table2[[#This Row],[Product ID]],Sheet1!$A$32:$A$200,Sheet1!$B$32:$B$200,"Not Found")</f>
        <v>Gaming Console</v>
      </c>
      <c r="C946" s="35">
        <v>45288</v>
      </c>
      <c r="D946" s="34" t="s">
        <v>14</v>
      </c>
      <c r="E946" s="34" t="str" cm="1">
        <f t="array" ref="E946">_xlfn.XLOOKUP(Table2[[#This Row],[Sales Rep]],Sheet1!$A$21:$A$25,Sheet1!$B$21:$B$25,Not Found)</f>
        <v>Michael Smith</v>
      </c>
      <c r="F946" s="34" t="s">
        <v>21</v>
      </c>
      <c r="G946" s="34">
        <f>_xlfn.XLOOKUP(Table2[[#This Row],[Region]],Sheet1!$A$12:$A$15,Sheet1!$B$12:$B$15,0)</f>
        <v>0.08</v>
      </c>
      <c r="H946" s="36">
        <f>Table2[[#This Row],[Tax Rate]]*Table2[[#This Row],[Sales Amount]]</f>
        <v>146.9896</v>
      </c>
      <c r="I946" s="36">
        <v>1837.37</v>
      </c>
      <c r="J946" s="34">
        <v>46</v>
      </c>
      <c r="K946" s="34" t="s">
        <v>16</v>
      </c>
      <c r="L946" s="36">
        <v>83.86</v>
      </c>
      <c r="M946" s="36">
        <v>526.14</v>
      </c>
      <c r="N946" s="34" t="s">
        <v>17</v>
      </c>
      <c r="O946" s="37">
        <v>0.11</v>
      </c>
      <c r="P946" s="34" t="s">
        <v>31</v>
      </c>
      <c r="Q946" s="34" t="s">
        <v>19</v>
      </c>
      <c r="R946" s="34" t="str">
        <f>IF(Cleaned_Final!$I946&gt;=5000,"High","Low")</f>
        <v>Low</v>
      </c>
    </row>
    <row r="947" spans="1:18" x14ac:dyDescent="0.35">
      <c r="A947" s="38">
        <v>1056</v>
      </c>
      <c r="B947" s="38" t="str">
        <f>_xlfn.XLOOKUP(Table2[[#This Row],[Product ID]],Sheet1!$A$32:$A$200,Sheet1!$B$32:$B$200,"Not Found")</f>
        <v>Track Suits</v>
      </c>
      <c r="C947" s="39">
        <v>44940</v>
      </c>
      <c r="D947" s="38" t="s">
        <v>33</v>
      </c>
      <c r="E947" s="38" t="str" cm="1">
        <f t="array" ref="E947">_xlfn.XLOOKUP(Table2[[#This Row],[Sales Rep]],Sheet1!$A$21:$A$25,Sheet1!$B$21:$B$25,Not Found)</f>
        <v>Susan Jerkins</v>
      </c>
      <c r="F947" s="38" t="s">
        <v>21</v>
      </c>
      <c r="G947" s="38">
        <f>_xlfn.XLOOKUP(Table2[[#This Row],[Region]],Sheet1!$A$12:$A$15,Sheet1!$B$12:$B$15,0)</f>
        <v>0.08</v>
      </c>
      <c r="H947" s="40">
        <f>Table2[[#This Row],[Tax Rate]]*Table2[[#This Row],[Sales Amount]]</f>
        <v>457.64</v>
      </c>
      <c r="I947" s="40">
        <v>5720.5</v>
      </c>
      <c r="J947" s="38">
        <v>25</v>
      </c>
      <c r="K947" s="38" t="s">
        <v>26</v>
      </c>
      <c r="L947" s="40">
        <v>2361.7399999999998</v>
      </c>
      <c r="M947" s="40">
        <v>2584.35</v>
      </c>
      <c r="N947" s="38" t="s">
        <v>17</v>
      </c>
      <c r="O947" s="41">
        <v>0.2</v>
      </c>
      <c r="P947" s="38" t="s">
        <v>18</v>
      </c>
      <c r="Q947" s="38" t="s">
        <v>19</v>
      </c>
      <c r="R947" s="38" t="str">
        <f>IF(Cleaned_Final!$I947&gt;=5000,"High","Low")</f>
        <v>High</v>
      </c>
    </row>
    <row r="948" spans="1:18" x14ac:dyDescent="0.35">
      <c r="A948" s="34">
        <v>1094</v>
      </c>
      <c r="B948" s="34" t="str">
        <f>_xlfn.XLOOKUP(Table2[[#This Row],[Product ID]],Sheet1!$A$32:$A$200,Sheet1!$B$32:$B$200,"Not Found")</f>
        <v>Microwave</v>
      </c>
      <c r="C948" s="35">
        <v>44938</v>
      </c>
      <c r="D948" s="34" t="s">
        <v>38</v>
      </c>
      <c r="E948" s="34" t="str" cm="1">
        <f t="array" ref="E948">_xlfn.XLOOKUP(Table2[[#This Row],[Sales Rep]],Sheet1!$A$21:$A$25,Sheet1!$B$21:$B$25,Not Found)</f>
        <v>Tracy Moore</v>
      </c>
      <c r="F948" s="34" t="s">
        <v>21</v>
      </c>
      <c r="G948" s="34">
        <f>_xlfn.XLOOKUP(Table2[[#This Row],[Region]],Sheet1!$A$12:$A$15,Sheet1!$B$12:$B$15,0)</f>
        <v>0.08</v>
      </c>
      <c r="H948" s="36">
        <f>Table2[[#This Row],[Tax Rate]]*Table2[[#This Row],[Sales Amount]]</f>
        <v>466.8168</v>
      </c>
      <c r="I948" s="36">
        <v>5835.21</v>
      </c>
      <c r="J948" s="34">
        <v>38</v>
      </c>
      <c r="K948" s="34" t="s">
        <v>26</v>
      </c>
      <c r="L948" s="36">
        <v>3443.98</v>
      </c>
      <c r="M948" s="36">
        <v>3820.3</v>
      </c>
      <c r="N948" s="34" t="s">
        <v>17</v>
      </c>
      <c r="O948" s="37">
        <v>0.01</v>
      </c>
      <c r="P948" s="34" t="s">
        <v>31</v>
      </c>
      <c r="Q948" s="34" t="s">
        <v>22</v>
      </c>
      <c r="R948" s="34" t="str">
        <f>IF(Cleaned_Final!$I948&gt;=5000,"High","Low")</f>
        <v>High</v>
      </c>
    </row>
    <row r="949" spans="1:18" x14ac:dyDescent="0.35">
      <c r="A949" s="38">
        <v>1063</v>
      </c>
      <c r="B949" s="38" t="str">
        <f>_xlfn.XLOOKUP(Table2[[#This Row],[Product ID]],Sheet1!$A$32:$A$200,Sheet1!$B$32:$B$200,"Not Found")</f>
        <v>Noodles</v>
      </c>
      <c r="C949" s="39">
        <v>45013</v>
      </c>
      <c r="D949" s="38" t="s">
        <v>33</v>
      </c>
      <c r="E949" s="38" t="str" cm="1">
        <f t="array" ref="E949">_xlfn.XLOOKUP(Table2[[#This Row],[Sales Rep]],Sheet1!$A$21:$A$25,Sheet1!$B$21:$B$25,Not Found)</f>
        <v>Susan Jerkins</v>
      </c>
      <c r="F949" s="38" t="s">
        <v>25</v>
      </c>
      <c r="G949" s="38">
        <f>_xlfn.XLOOKUP(Table2[[#This Row],[Region]],Sheet1!$A$12:$A$15,Sheet1!$B$12:$B$15,0)</f>
        <v>0.05</v>
      </c>
      <c r="H949" s="40">
        <f>Table2[[#This Row],[Tax Rate]]*Table2[[#This Row],[Sales Amount]]</f>
        <v>247.364</v>
      </c>
      <c r="I949" s="40">
        <v>4947.28</v>
      </c>
      <c r="J949" s="38">
        <v>42</v>
      </c>
      <c r="K949" s="38" t="s">
        <v>26</v>
      </c>
      <c r="L949" s="40">
        <v>1170.07</v>
      </c>
      <c r="M949" s="40">
        <v>1669.94999999999</v>
      </c>
      <c r="N949" s="38" t="s">
        <v>17</v>
      </c>
      <c r="O949" s="41">
        <v>0.12</v>
      </c>
      <c r="P949" s="38" t="s">
        <v>27</v>
      </c>
      <c r="Q949" s="38" t="s">
        <v>22</v>
      </c>
      <c r="R949" s="38" t="str">
        <f>IF(Cleaned_Final!$I949&gt;=5000,"High","Low")</f>
        <v>Low</v>
      </c>
    </row>
    <row r="950" spans="1:18" x14ac:dyDescent="0.35">
      <c r="A950" s="34">
        <v>1048</v>
      </c>
      <c r="B950" s="34" t="str">
        <f>_xlfn.XLOOKUP(Table2[[#This Row],[Product ID]],Sheet1!$A$32:$A$200,Sheet1!$B$32:$B$200,"Not Found")</f>
        <v>Chaise Lounge</v>
      </c>
      <c r="C950" s="35">
        <v>44938</v>
      </c>
      <c r="D950" s="34" t="s">
        <v>33</v>
      </c>
      <c r="E950" s="34" t="str" cm="1">
        <f t="array" ref="E950">_xlfn.XLOOKUP(Table2[[#This Row],[Sales Rep]],Sheet1!$A$21:$A$25,Sheet1!$B$21:$B$25,Not Found)</f>
        <v>Susan Jerkins</v>
      </c>
      <c r="F950" s="34" t="s">
        <v>34</v>
      </c>
      <c r="G950" s="34">
        <f>_xlfn.XLOOKUP(Table2[[#This Row],[Region]],Sheet1!$A$12:$A$15,Sheet1!$B$12:$B$15,0)</f>
        <v>0.06</v>
      </c>
      <c r="H950" s="36">
        <f>Table2[[#This Row],[Tax Rate]]*Table2[[#This Row],[Sales Amount]]</f>
        <v>388.97879999999998</v>
      </c>
      <c r="I950" s="36">
        <v>6482.98</v>
      </c>
      <c r="J950" s="34">
        <v>47</v>
      </c>
      <c r="K950" s="34" t="s">
        <v>29</v>
      </c>
      <c r="L950" s="36">
        <v>702.44</v>
      </c>
      <c r="M950" s="36">
        <v>1067.6600000000001</v>
      </c>
      <c r="N950" s="34" t="s">
        <v>30</v>
      </c>
      <c r="O950" s="37">
        <v>0.24</v>
      </c>
      <c r="P950" s="34" t="s">
        <v>18</v>
      </c>
      <c r="Q950" s="34" t="s">
        <v>22</v>
      </c>
      <c r="R950" s="34" t="str">
        <f>IF(Cleaned_Final!$I950&gt;=5000,"High","Low")</f>
        <v>High</v>
      </c>
    </row>
    <row r="951" spans="1:18" x14ac:dyDescent="0.35">
      <c r="A951" s="38">
        <v>1061</v>
      </c>
      <c r="B951" s="38" t="str">
        <f>_xlfn.XLOOKUP(Table2[[#This Row],[Product ID]],Sheet1!$A$32:$A$200,Sheet1!$B$32:$B$200,"Not Found")</f>
        <v>Laptop</v>
      </c>
      <c r="C951" s="39">
        <v>44951</v>
      </c>
      <c r="D951" s="38" t="s">
        <v>14</v>
      </c>
      <c r="E951" s="38" t="str" cm="1">
        <f t="array" ref="E951">_xlfn.XLOOKUP(Table2[[#This Row],[Sales Rep]],Sheet1!$A$21:$A$25,Sheet1!$B$21:$B$25,Not Found)</f>
        <v>Michael Smith</v>
      </c>
      <c r="F951" s="38" t="s">
        <v>34</v>
      </c>
      <c r="G951" s="38">
        <f>_xlfn.XLOOKUP(Table2[[#This Row],[Region]],Sheet1!$A$12:$A$15,Sheet1!$B$12:$B$15,0)</f>
        <v>0.06</v>
      </c>
      <c r="H951" s="40">
        <f>Table2[[#This Row],[Tax Rate]]*Table2[[#This Row],[Sales Amount]]</f>
        <v>142.51680000000002</v>
      </c>
      <c r="I951" s="40">
        <v>2375.2800000000002</v>
      </c>
      <c r="J951" s="38">
        <v>38</v>
      </c>
      <c r="K951" s="38" t="s">
        <v>16</v>
      </c>
      <c r="L951" s="40">
        <v>4440.8599999999997</v>
      </c>
      <c r="M951" s="40">
        <v>4506.8099999999904</v>
      </c>
      <c r="N951" s="38" t="s">
        <v>17</v>
      </c>
      <c r="O951" s="41">
        <v>0.24</v>
      </c>
      <c r="P951" s="38" t="s">
        <v>27</v>
      </c>
      <c r="Q951" s="38" t="s">
        <v>19</v>
      </c>
      <c r="R951" s="38" t="str">
        <f>IF(Cleaned_Final!$I951&gt;=5000,"High","Low")</f>
        <v>Low</v>
      </c>
    </row>
    <row r="952" spans="1:18" x14ac:dyDescent="0.35">
      <c r="A952" s="34">
        <v>1081</v>
      </c>
      <c r="B952" s="34" t="str">
        <f>_xlfn.XLOOKUP(Table2[[#This Row],[Product ID]],Sheet1!$A$32:$A$200,Sheet1!$B$32:$B$200,"Not Found")</f>
        <v>Rocking Chair</v>
      </c>
      <c r="C952" s="35">
        <v>45227</v>
      </c>
      <c r="D952" s="34" t="s">
        <v>33</v>
      </c>
      <c r="E952" s="34" t="str" cm="1">
        <f t="array" ref="E952">_xlfn.XLOOKUP(Table2[[#This Row],[Sales Rep]],Sheet1!$A$21:$A$25,Sheet1!$B$21:$B$25,Not Found)</f>
        <v>Susan Jerkins</v>
      </c>
      <c r="F952" s="34" t="s">
        <v>15</v>
      </c>
      <c r="G952" s="34">
        <f>_xlfn.XLOOKUP(Table2[[#This Row],[Region]],Sheet1!$A$12:$A$15,Sheet1!$B$12:$B$15,0)</f>
        <v>7.4999999999999997E-2</v>
      </c>
      <c r="H952" s="36">
        <f>Table2[[#This Row],[Tax Rate]]*Table2[[#This Row],[Sales Amount]]</f>
        <v>417.85199999999998</v>
      </c>
      <c r="I952" s="36">
        <v>5571.36</v>
      </c>
      <c r="J952" s="34">
        <v>23</v>
      </c>
      <c r="K952" s="34" t="s">
        <v>26</v>
      </c>
      <c r="L952" s="36">
        <v>1411.37</v>
      </c>
      <c r="M952" s="36">
        <v>1675.35</v>
      </c>
      <c r="N952" s="34" t="s">
        <v>30</v>
      </c>
      <c r="O952" s="37">
        <v>0.21</v>
      </c>
      <c r="P952" s="34" t="s">
        <v>18</v>
      </c>
      <c r="Q952" s="34" t="s">
        <v>22</v>
      </c>
      <c r="R952" s="34" t="str">
        <f>IF(Cleaned_Final!$I952&gt;=5000,"High","Low")</f>
        <v>High</v>
      </c>
    </row>
    <row r="953" spans="1:18" x14ac:dyDescent="0.35">
      <c r="A953" s="38">
        <v>1026</v>
      </c>
      <c r="B953" s="38" t="str">
        <f>_xlfn.XLOOKUP(Table2[[#This Row],[Product ID]],Sheet1!$A$32:$A$200,Sheet1!$B$32:$B$200,"Not Found")</f>
        <v>Television</v>
      </c>
      <c r="C953" s="39">
        <v>45169</v>
      </c>
      <c r="D953" s="38" t="s">
        <v>42</v>
      </c>
      <c r="E953" s="38" t="str" cm="1">
        <f t="array" ref="E953">_xlfn.XLOOKUP(Table2[[#This Row],[Sales Rep]],Sheet1!$A$21:$A$25,Sheet1!$B$21:$B$25,Not Found)</f>
        <v>Scott Wayne</v>
      </c>
      <c r="F953" s="38" t="s">
        <v>34</v>
      </c>
      <c r="G953" s="38">
        <f>_xlfn.XLOOKUP(Table2[[#This Row],[Region]],Sheet1!$A$12:$A$15,Sheet1!$B$12:$B$15,0)</f>
        <v>0.06</v>
      </c>
      <c r="H953" s="40">
        <f>Table2[[#This Row],[Tax Rate]]*Table2[[#This Row],[Sales Amount]]</f>
        <v>227.0712</v>
      </c>
      <c r="I953" s="40">
        <v>3784.52</v>
      </c>
      <c r="J953" s="38">
        <v>25</v>
      </c>
      <c r="K953" s="38" t="s">
        <v>35</v>
      </c>
      <c r="L953" s="40">
        <v>1156.8800000000001</v>
      </c>
      <c r="M953" s="40">
        <v>1454.68</v>
      </c>
      <c r="N953" s="38" t="s">
        <v>17</v>
      </c>
      <c r="O953" s="41">
        <v>0.06</v>
      </c>
      <c r="P953" s="38" t="s">
        <v>31</v>
      </c>
      <c r="Q953" s="38" t="s">
        <v>19</v>
      </c>
      <c r="R953" s="38" t="str">
        <f>IF(Cleaned_Final!$I953&gt;=5000,"High","Low")</f>
        <v>Low</v>
      </c>
    </row>
    <row r="954" spans="1:18" x14ac:dyDescent="0.35">
      <c r="A954" s="34">
        <v>1036</v>
      </c>
      <c r="B954" s="34" t="str">
        <f>_xlfn.XLOOKUP(Table2[[#This Row],[Product ID]],Sheet1!$A$32:$A$200,Sheet1!$B$32:$B$200,"Not Found")</f>
        <v>Shorts</v>
      </c>
      <c r="C954" s="35">
        <v>45048</v>
      </c>
      <c r="D954" s="34" t="s">
        <v>24</v>
      </c>
      <c r="E954" s="34" t="str" cm="1">
        <f t="array" ref="E954">_xlfn.XLOOKUP(Table2[[#This Row],[Sales Rep]],Sheet1!$A$21:$A$25,Sheet1!$B$21:$B$25,Not Found)</f>
        <v>Hogan Rock</v>
      </c>
      <c r="F954" s="34" t="s">
        <v>15</v>
      </c>
      <c r="G954" s="34">
        <f>_xlfn.XLOOKUP(Table2[[#This Row],[Region]],Sheet1!$A$12:$A$15,Sheet1!$B$12:$B$15,0)</f>
        <v>7.4999999999999997E-2</v>
      </c>
      <c r="H954" s="36">
        <f>Table2[[#This Row],[Tax Rate]]*Table2[[#This Row],[Sales Amount]]</f>
        <v>498.78825000000001</v>
      </c>
      <c r="I954" s="36">
        <v>6650.51</v>
      </c>
      <c r="J954" s="34">
        <v>42</v>
      </c>
      <c r="K954" s="34" t="s">
        <v>16</v>
      </c>
      <c r="L954" s="36">
        <v>4292.63</v>
      </c>
      <c r="M954" s="36">
        <v>4387.99</v>
      </c>
      <c r="N954" s="34" t="s">
        <v>30</v>
      </c>
      <c r="O954" s="37">
        <v>7.0000000000000007E-2</v>
      </c>
      <c r="P954" s="34" t="s">
        <v>31</v>
      </c>
      <c r="Q954" s="34" t="s">
        <v>22</v>
      </c>
      <c r="R954" s="34" t="str">
        <f>IF(Cleaned_Final!$I954&gt;=5000,"High","Low")</f>
        <v>High</v>
      </c>
    </row>
    <row r="955" spans="1:18" x14ac:dyDescent="0.35">
      <c r="A955" s="38">
        <v>1001</v>
      </c>
      <c r="B955" s="38" t="str">
        <f>_xlfn.XLOOKUP(Table2[[#This Row],[Product ID]],Sheet1!$A$32:$A$200,Sheet1!$B$32:$B$200,"Not Found")</f>
        <v>Camera</v>
      </c>
      <c r="C955" s="39">
        <v>45073</v>
      </c>
      <c r="D955" s="38" t="s">
        <v>42</v>
      </c>
      <c r="E955" s="38" t="str" cm="1">
        <f t="array" ref="E955">_xlfn.XLOOKUP(Table2[[#This Row],[Sales Rep]],Sheet1!$A$21:$A$25,Sheet1!$B$21:$B$25,Not Found)</f>
        <v>Scott Wayne</v>
      </c>
      <c r="F955" s="38" t="s">
        <v>25</v>
      </c>
      <c r="G955" s="38">
        <f>_xlfn.XLOOKUP(Table2[[#This Row],[Region]],Sheet1!$A$12:$A$15,Sheet1!$B$12:$B$15,0)</f>
        <v>0.05</v>
      </c>
      <c r="H955" s="40">
        <f>Table2[[#This Row],[Tax Rate]]*Table2[[#This Row],[Sales Amount]]</f>
        <v>74.905500000000004</v>
      </c>
      <c r="I955" s="40">
        <v>1498.11</v>
      </c>
      <c r="J955" s="38">
        <v>7</v>
      </c>
      <c r="K955" s="38" t="s">
        <v>35</v>
      </c>
      <c r="L955" s="40">
        <v>4094.68</v>
      </c>
      <c r="M955" s="40">
        <v>4576.5</v>
      </c>
      <c r="N955" s="38" t="s">
        <v>30</v>
      </c>
      <c r="O955" s="41">
        <v>0.3</v>
      </c>
      <c r="P955" s="38" t="s">
        <v>18</v>
      </c>
      <c r="Q955" s="38" t="s">
        <v>22</v>
      </c>
      <c r="R955" s="38" t="str">
        <f>IF(Cleaned_Final!$I955&gt;=5000,"High","Low")</f>
        <v>Low</v>
      </c>
    </row>
    <row r="956" spans="1:18" x14ac:dyDescent="0.35">
      <c r="A956" s="34">
        <v>1008</v>
      </c>
      <c r="B956" s="34" t="str">
        <f>_xlfn.XLOOKUP(Table2[[#This Row],[Product ID]],Sheet1!$A$32:$A$200,Sheet1!$B$32:$B$200,"Not Found")</f>
        <v>Skirt</v>
      </c>
      <c r="C956" s="35">
        <v>44981</v>
      </c>
      <c r="D956" s="34" t="s">
        <v>38</v>
      </c>
      <c r="E956" s="34" t="str" cm="1">
        <f t="array" ref="E956">_xlfn.XLOOKUP(Table2[[#This Row],[Sales Rep]],Sheet1!$A$21:$A$25,Sheet1!$B$21:$B$25,Not Found)</f>
        <v>Tracy Moore</v>
      </c>
      <c r="F956" s="34" t="s">
        <v>21</v>
      </c>
      <c r="G956" s="34">
        <f>_xlfn.XLOOKUP(Table2[[#This Row],[Region]],Sheet1!$A$12:$A$15,Sheet1!$B$12:$B$15,0)</f>
        <v>0.08</v>
      </c>
      <c r="H956" s="36">
        <f>Table2[[#This Row],[Tax Rate]]*Table2[[#This Row],[Sales Amount]]</f>
        <v>460.1352</v>
      </c>
      <c r="I956" s="36">
        <v>5751.69</v>
      </c>
      <c r="J956" s="34">
        <v>22</v>
      </c>
      <c r="K956" s="34" t="s">
        <v>35</v>
      </c>
      <c r="L956" s="36">
        <v>2269.3200000000002</v>
      </c>
      <c r="M956" s="36">
        <v>2365.35</v>
      </c>
      <c r="N956" s="34" t="s">
        <v>30</v>
      </c>
      <c r="O956" s="37">
        <v>0.03</v>
      </c>
      <c r="P956" s="34" t="s">
        <v>18</v>
      </c>
      <c r="Q956" s="34" t="s">
        <v>22</v>
      </c>
      <c r="R956" s="34" t="str">
        <f>IF(Cleaned_Final!$I956&gt;=5000,"High","Low")</f>
        <v>High</v>
      </c>
    </row>
    <row r="957" spans="1:18" x14ac:dyDescent="0.35">
      <c r="A957" s="38">
        <v>1099</v>
      </c>
      <c r="B957" s="38" t="str">
        <f>_xlfn.XLOOKUP(Table2[[#This Row],[Product ID]],Sheet1!$A$32:$A$200,Sheet1!$B$32:$B$200,"Not Found")</f>
        <v>Chest</v>
      </c>
      <c r="C957" s="39">
        <v>45164</v>
      </c>
      <c r="D957" s="38" t="s">
        <v>24</v>
      </c>
      <c r="E957" s="38" t="str" cm="1">
        <f t="array" ref="E957">_xlfn.XLOOKUP(Table2[[#This Row],[Sales Rep]],Sheet1!$A$21:$A$25,Sheet1!$B$21:$B$25,Not Found)</f>
        <v>Hogan Rock</v>
      </c>
      <c r="F957" s="38" t="s">
        <v>21</v>
      </c>
      <c r="G957" s="38">
        <f>_xlfn.XLOOKUP(Table2[[#This Row],[Region]],Sheet1!$A$12:$A$15,Sheet1!$B$12:$B$15,0)</f>
        <v>0.08</v>
      </c>
      <c r="H957" s="40">
        <f>Table2[[#This Row],[Tax Rate]]*Table2[[#This Row],[Sales Amount]]</f>
        <v>154.73440000000002</v>
      </c>
      <c r="I957" s="40">
        <v>1934.18</v>
      </c>
      <c r="J957" s="38">
        <v>17</v>
      </c>
      <c r="K957" s="38" t="s">
        <v>26</v>
      </c>
      <c r="L957" s="40">
        <v>2471.73</v>
      </c>
      <c r="M957" s="40">
        <v>2568.73</v>
      </c>
      <c r="N957" s="38" t="s">
        <v>30</v>
      </c>
      <c r="O957" s="41">
        <v>0.05</v>
      </c>
      <c r="P957" s="38" t="s">
        <v>18</v>
      </c>
      <c r="Q957" s="38" t="s">
        <v>22</v>
      </c>
      <c r="R957" s="38" t="str">
        <f>IF(Cleaned_Final!$I957&gt;=5000,"High","Low")</f>
        <v>Low</v>
      </c>
    </row>
    <row r="958" spans="1:18" x14ac:dyDescent="0.35">
      <c r="A958" s="34">
        <v>1052</v>
      </c>
      <c r="B958" s="34" t="str">
        <f>_xlfn.XLOOKUP(Table2[[#This Row],[Product ID]],Sheet1!$A$32:$A$200,Sheet1!$B$32:$B$200,"Not Found")</f>
        <v>Wooden Chair</v>
      </c>
      <c r="C958" s="35">
        <v>45282</v>
      </c>
      <c r="D958" s="34" t="s">
        <v>33</v>
      </c>
      <c r="E958" s="34" t="str" cm="1">
        <f t="array" ref="E958">_xlfn.XLOOKUP(Table2[[#This Row],[Sales Rep]],Sheet1!$A$21:$A$25,Sheet1!$B$21:$B$25,Not Found)</f>
        <v>Susan Jerkins</v>
      </c>
      <c r="F958" s="34" t="s">
        <v>21</v>
      </c>
      <c r="G958" s="34">
        <f>_xlfn.XLOOKUP(Table2[[#This Row],[Region]],Sheet1!$A$12:$A$15,Sheet1!$B$12:$B$15,0)</f>
        <v>0.08</v>
      </c>
      <c r="H958" s="36">
        <f>Table2[[#This Row],[Tax Rate]]*Table2[[#This Row],[Sales Amount]]</f>
        <v>228.68560000000002</v>
      </c>
      <c r="I958" s="36">
        <v>2858.57</v>
      </c>
      <c r="J958" s="34">
        <v>18</v>
      </c>
      <c r="K958" s="34" t="s">
        <v>26</v>
      </c>
      <c r="L958" s="36">
        <v>1127.8599999999999</v>
      </c>
      <c r="M958" s="36">
        <v>1586.29</v>
      </c>
      <c r="N958" s="34" t="s">
        <v>30</v>
      </c>
      <c r="O958" s="37">
        <v>0.04</v>
      </c>
      <c r="P958" s="34" t="s">
        <v>31</v>
      </c>
      <c r="Q958" s="34" t="s">
        <v>19</v>
      </c>
      <c r="R958" s="34" t="str">
        <f>IF(Cleaned_Final!$I958&gt;=5000,"High","Low")</f>
        <v>Low</v>
      </c>
    </row>
    <row r="959" spans="1:18" x14ac:dyDescent="0.35">
      <c r="A959" s="38">
        <v>1079</v>
      </c>
      <c r="B959" s="38" t="str">
        <f>_xlfn.XLOOKUP(Table2[[#This Row],[Product ID]],Sheet1!$A$32:$A$200,Sheet1!$B$32:$B$200,"Not Found")</f>
        <v>Wardrobe</v>
      </c>
      <c r="C959" s="39">
        <v>45099</v>
      </c>
      <c r="D959" s="38" t="s">
        <v>38</v>
      </c>
      <c r="E959" s="38" t="str" cm="1">
        <f t="array" ref="E959">_xlfn.XLOOKUP(Table2[[#This Row],[Sales Rep]],Sheet1!$A$21:$A$25,Sheet1!$B$21:$B$25,Not Found)</f>
        <v>Tracy Moore</v>
      </c>
      <c r="F959" s="38" t="s">
        <v>34</v>
      </c>
      <c r="G959" s="38">
        <f>_xlfn.XLOOKUP(Table2[[#This Row],[Region]],Sheet1!$A$12:$A$15,Sheet1!$B$12:$B$15,0)</f>
        <v>0.06</v>
      </c>
      <c r="H959" s="40">
        <f>Table2[[#This Row],[Tax Rate]]*Table2[[#This Row],[Sales Amount]]</f>
        <v>135.91380000000001</v>
      </c>
      <c r="I959" s="40">
        <v>2265.23</v>
      </c>
      <c r="J959" s="38">
        <v>49</v>
      </c>
      <c r="K959" s="38" t="s">
        <v>29</v>
      </c>
      <c r="L959" s="40">
        <v>437.59</v>
      </c>
      <c r="M959" s="40">
        <v>675.54</v>
      </c>
      <c r="N959" s="38" t="s">
        <v>17</v>
      </c>
      <c r="O959" s="41">
        <v>0.1</v>
      </c>
      <c r="P959" s="38" t="s">
        <v>18</v>
      </c>
      <c r="Q959" s="38" t="s">
        <v>19</v>
      </c>
      <c r="R959" s="38" t="str">
        <f>IF(Cleaned_Final!$I959&gt;=5000,"High","Low")</f>
        <v>Low</v>
      </c>
    </row>
    <row r="960" spans="1:18" x14ac:dyDescent="0.35">
      <c r="A960" s="34">
        <v>1047</v>
      </c>
      <c r="B960" s="34" t="str">
        <f>_xlfn.XLOOKUP(Table2[[#This Row],[Product ID]],Sheet1!$A$32:$A$200,Sheet1!$B$32:$B$200,"Not Found")</f>
        <v>Mouse</v>
      </c>
      <c r="C960" s="35">
        <v>45147</v>
      </c>
      <c r="D960" s="34" t="s">
        <v>24</v>
      </c>
      <c r="E960" s="34" t="str" cm="1">
        <f t="array" ref="E960">_xlfn.XLOOKUP(Table2[[#This Row],[Sales Rep]],Sheet1!$A$21:$A$25,Sheet1!$B$21:$B$25,Not Found)</f>
        <v>Hogan Rock</v>
      </c>
      <c r="F960" s="34" t="s">
        <v>15</v>
      </c>
      <c r="G960" s="34">
        <f>_xlfn.XLOOKUP(Table2[[#This Row],[Region]],Sheet1!$A$12:$A$15,Sheet1!$B$12:$B$15,0)</f>
        <v>7.4999999999999997E-2</v>
      </c>
      <c r="H960" s="36">
        <f>Table2[[#This Row],[Tax Rate]]*Table2[[#This Row],[Sales Amount]]</f>
        <v>143.25674999999998</v>
      </c>
      <c r="I960" s="36">
        <v>1910.09</v>
      </c>
      <c r="J960" s="34">
        <v>41</v>
      </c>
      <c r="K960" s="34" t="s">
        <v>29</v>
      </c>
      <c r="L960" s="36">
        <v>2888.49</v>
      </c>
      <c r="M960" s="36">
        <v>2929.45</v>
      </c>
      <c r="N960" s="34" t="s">
        <v>30</v>
      </c>
      <c r="O960" s="37">
        <v>0.06</v>
      </c>
      <c r="P960" s="34" t="s">
        <v>18</v>
      </c>
      <c r="Q960" s="34" t="s">
        <v>22</v>
      </c>
      <c r="R960" s="34" t="str">
        <f>IF(Cleaned_Final!$I960&gt;=5000,"High","Low")</f>
        <v>Low</v>
      </c>
    </row>
    <row r="961" spans="1:18" x14ac:dyDescent="0.35">
      <c r="A961" s="38">
        <v>1056</v>
      </c>
      <c r="B961" s="38" t="str">
        <f>_xlfn.XLOOKUP(Table2[[#This Row],[Product ID]],Sheet1!$A$32:$A$200,Sheet1!$B$32:$B$200,"Not Found")</f>
        <v>Track Suits</v>
      </c>
      <c r="C961" s="39">
        <v>45045</v>
      </c>
      <c r="D961" s="38" t="s">
        <v>33</v>
      </c>
      <c r="E961" s="38" t="str" cm="1">
        <f t="array" ref="E961">_xlfn.XLOOKUP(Table2[[#This Row],[Sales Rep]],Sheet1!$A$21:$A$25,Sheet1!$B$21:$B$25,Not Found)</f>
        <v>Susan Jerkins</v>
      </c>
      <c r="F961" s="38" t="s">
        <v>15</v>
      </c>
      <c r="G961" s="38">
        <f>_xlfn.XLOOKUP(Table2[[#This Row],[Region]],Sheet1!$A$12:$A$15,Sheet1!$B$12:$B$15,0)</f>
        <v>7.4999999999999997E-2</v>
      </c>
      <c r="H961" s="40">
        <f>Table2[[#This Row],[Tax Rate]]*Table2[[#This Row],[Sales Amount]]</f>
        <v>620.59050000000002</v>
      </c>
      <c r="I961" s="40">
        <v>8274.5400000000009</v>
      </c>
      <c r="J961" s="38">
        <v>10</v>
      </c>
      <c r="K961" s="38" t="s">
        <v>29</v>
      </c>
      <c r="L961" s="40">
        <v>536.80999999999995</v>
      </c>
      <c r="M961" s="40">
        <v>839.92</v>
      </c>
      <c r="N961" s="38" t="s">
        <v>17</v>
      </c>
      <c r="O961" s="41">
        <v>0.15</v>
      </c>
      <c r="P961" s="38" t="s">
        <v>27</v>
      </c>
      <c r="Q961" s="38" t="s">
        <v>19</v>
      </c>
      <c r="R961" s="38" t="str">
        <f>IF(Cleaned_Final!$I961&gt;=5000,"High","Low")</f>
        <v>High</v>
      </c>
    </row>
    <row r="962" spans="1:18" x14ac:dyDescent="0.35">
      <c r="A962" s="34">
        <v>1086</v>
      </c>
      <c r="B962" s="34" t="str">
        <f>_xlfn.XLOOKUP(Table2[[#This Row],[Product ID]],Sheet1!$A$32:$A$200,Sheet1!$B$32:$B$200,"Not Found")</f>
        <v>Gaming Console</v>
      </c>
      <c r="C962" s="35">
        <v>45235</v>
      </c>
      <c r="D962" s="34" t="s">
        <v>42</v>
      </c>
      <c r="E962" s="34" t="str" cm="1">
        <f t="array" ref="E962">_xlfn.XLOOKUP(Table2[[#This Row],[Sales Rep]],Sheet1!$A$21:$A$25,Sheet1!$B$21:$B$25,Not Found)</f>
        <v>Scott Wayne</v>
      </c>
      <c r="F962" s="34" t="s">
        <v>25</v>
      </c>
      <c r="G962" s="34">
        <f>_xlfn.XLOOKUP(Table2[[#This Row],[Region]],Sheet1!$A$12:$A$15,Sheet1!$B$12:$B$15,0)</f>
        <v>0.05</v>
      </c>
      <c r="H962" s="36">
        <f>Table2[[#This Row],[Tax Rate]]*Table2[[#This Row],[Sales Amount]]</f>
        <v>146.42500000000001</v>
      </c>
      <c r="I962" s="36">
        <v>2928.5</v>
      </c>
      <c r="J962" s="34">
        <v>10</v>
      </c>
      <c r="K962" s="34" t="s">
        <v>16</v>
      </c>
      <c r="L962" s="36">
        <v>2273.91</v>
      </c>
      <c r="M962" s="36">
        <v>2578.7999999999902</v>
      </c>
      <c r="N962" s="34" t="s">
        <v>30</v>
      </c>
      <c r="O962" s="37">
        <v>0.14000000000000001</v>
      </c>
      <c r="P962" s="34" t="s">
        <v>18</v>
      </c>
      <c r="Q962" s="34" t="s">
        <v>19</v>
      </c>
      <c r="R962" s="34" t="str">
        <f>IF(Cleaned_Final!$I962&gt;=5000,"High","Low")</f>
        <v>Low</v>
      </c>
    </row>
    <row r="963" spans="1:18" x14ac:dyDescent="0.35">
      <c r="A963" s="38">
        <v>1014</v>
      </c>
      <c r="B963" s="38" t="str">
        <f>_xlfn.XLOOKUP(Table2[[#This Row],[Product ID]],Sheet1!$A$32:$A$200,Sheet1!$B$32:$B$200,"Not Found")</f>
        <v>Cheese Block</v>
      </c>
      <c r="C963" s="39">
        <v>45109</v>
      </c>
      <c r="D963" s="38" t="s">
        <v>24</v>
      </c>
      <c r="E963" s="38" t="str" cm="1">
        <f t="array" ref="E963">_xlfn.XLOOKUP(Table2[[#This Row],[Sales Rep]],Sheet1!$A$21:$A$25,Sheet1!$B$21:$B$25,Not Found)</f>
        <v>Hogan Rock</v>
      </c>
      <c r="F963" s="38" t="s">
        <v>34</v>
      </c>
      <c r="G963" s="38">
        <f>_xlfn.XLOOKUP(Table2[[#This Row],[Region]],Sheet1!$A$12:$A$15,Sheet1!$B$12:$B$15,0)</f>
        <v>0.06</v>
      </c>
      <c r="H963" s="40">
        <f>Table2[[#This Row],[Tax Rate]]*Table2[[#This Row],[Sales Amount]]</f>
        <v>556.71180000000004</v>
      </c>
      <c r="I963" s="40">
        <v>9278.5300000000007</v>
      </c>
      <c r="J963" s="38">
        <v>7</v>
      </c>
      <c r="K963" s="38" t="s">
        <v>29</v>
      </c>
      <c r="L963" s="40">
        <v>4705.46</v>
      </c>
      <c r="M963" s="40">
        <v>4747.07</v>
      </c>
      <c r="N963" s="38" t="s">
        <v>30</v>
      </c>
      <c r="O963" s="41">
        <v>0.27</v>
      </c>
      <c r="P963" s="38" t="s">
        <v>27</v>
      </c>
      <c r="Q963" s="38" t="s">
        <v>22</v>
      </c>
      <c r="R963" s="38" t="str">
        <f>IF(Cleaned_Final!$I963&gt;=5000,"High","Low")</f>
        <v>High</v>
      </c>
    </row>
    <row r="964" spans="1:18" x14ac:dyDescent="0.35">
      <c r="A964" s="34">
        <v>1090</v>
      </c>
      <c r="B964" s="34" t="str">
        <f>_xlfn.XLOOKUP(Table2[[#This Row],[Product ID]],Sheet1!$A$32:$A$200,Sheet1!$B$32:$B$200,"Not Found")</f>
        <v>Keyboard</v>
      </c>
      <c r="C964" s="35">
        <v>45214</v>
      </c>
      <c r="D964" s="34" t="s">
        <v>33</v>
      </c>
      <c r="E964" s="34" t="str" cm="1">
        <f t="array" ref="E964">_xlfn.XLOOKUP(Table2[[#This Row],[Sales Rep]],Sheet1!$A$21:$A$25,Sheet1!$B$21:$B$25,Not Found)</f>
        <v>Susan Jerkins</v>
      </c>
      <c r="F964" s="34" t="s">
        <v>25</v>
      </c>
      <c r="G964" s="34">
        <f>_xlfn.XLOOKUP(Table2[[#This Row],[Region]],Sheet1!$A$12:$A$15,Sheet1!$B$12:$B$15,0)</f>
        <v>0.05</v>
      </c>
      <c r="H964" s="36">
        <f>Table2[[#This Row],[Tax Rate]]*Table2[[#This Row],[Sales Amount]]</f>
        <v>485.11350000000004</v>
      </c>
      <c r="I964" s="36">
        <v>9702.27</v>
      </c>
      <c r="J964" s="34">
        <v>48</v>
      </c>
      <c r="K964" s="34" t="s">
        <v>35</v>
      </c>
      <c r="L964" s="36">
        <v>4766.53</v>
      </c>
      <c r="M964" s="36">
        <v>5253.07</v>
      </c>
      <c r="N964" s="34" t="s">
        <v>17</v>
      </c>
      <c r="O964" s="37">
        <v>0.01</v>
      </c>
      <c r="P964" s="34" t="s">
        <v>27</v>
      </c>
      <c r="Q964" s="34" t="s">
        <v>19</v>
      </c>
      <c r="R964" s="34" t="str">
        <f>IF(Cleaned_Final!$I964&gt;=5000,"High","Low")</f>
        <v>High</v>
      </c>
    </row>
    <row r="965" spans="1:18" x14ac:dyDescent="0.35">
      <c r="A965" s="38">
        <v>1028</v>
      </c>
      <c r="B965" s="38" t="str">
        <f>_xlfn.XLOOKUP(Table2[[#This Row],[Product ID]],Sheet1!$A$32:$A$200,Sheet1!$B$32:$B$200,"Not Found")</f>
        <v>Pyjamas</v>
      </c>
      <c r="C965" s="39">
        <v>45233</v>
      </c>
      <c r="D965" s="38" t="s">
        <v>42</v>
      </c>
      <c r="E965" s="38" t="str" cm="1">
        <f t="array" ref="E965">_xlfn.XLOOKUP(Table2[[#This Row],[Sales Rep]],Sheet1!$A$21:$A$25,Sheet1!$B$21:$B$25,Not Found)</f>
        <v>Scott Wayne</v>
      </c>
      <c r="F965" s="38" t="s">
        <v>15</v>
      </c>
      <c r="G965" s="38">
        <f>_xlfn.XLOOKUP(Table2[[#This Row],[Region]],Sheet1!$A$12:$A$15,Sheet1!$B$12:$B$15,0)</f>
        <v>7.4999999999999997E-2</v>
      </c>
      <c r="H965" s="40">
        <f>Table2[[#This Row],[Tax Rate]]*Table2[[#This Row],[Sales Amount]]</f>
        <v>431.66099999999994</v>
      </c>
      <c r="I965" s="40">
        <v>5755.48</v>
      </c>
      <c r="J965" s="38">
        <v>38</v>
      </c>
      <c r="K965" s="38" t="s">
        <v>29</v>
      </c>
      <c r="L965" s="40">
        <v>1234.69</v>
      </c>
      <c r="M965" s="40">
        <v>1511.26</v>
      </c>
      <c r="N965" s="38" t="s">
        <v>30</v>
      </c>
      <c r="O965" s="41">
        <v>0.1</v>
      </c>
      <c r="P965" s="38" t="s">
        <v>27</v>
      </c>
      <c r="Q965" s="38" t="s">
        <v>19</v>
      </c>
      <c r="R965" s="38" t="str">
        <f>IF(Cleaned_Final!$I965&gt;=5000,"High","Low")</f>
        <v>High</v>
      </c>
    </row>
    <row r="966" spans="1:18" x14ac:dyDescent="0.35">
      <c r="A966" s="34">
        <v>1087</v>
      </c>
      <c r="B966" s="34" t="str">
        <f>_xlfn.XLOOKUP(Table2[[#This Row],[Product ID]],Sheet1!$A$32:$A$200,Sheet1!$B$32:$B$200,"Not Found")</f>
        <v>Sofa Set</v>
      </c>
      <c r="C966" s="35">
        <v>45226</v>
      </c>
      <c r="D966" s="34" t="s">
        <v>38</v>
      </c>
      <c r="E966" s="34" t="str" cm="1">
        <f t="array" ref="E966">_xlfn.XLOOKUP(Table2[[#This Row],[Sales Rep]],Sheet1!$A$21:$A$25,Sheet1!$B$21:$B$25,Not Found)</f>
        <v>Tracy Moore</v>
      </c>
      <c r="F966" s="34" t="s">
        <v>15</v>
      </c>
      <c r="G966" s="34">
        <f>_xlfn.XLOOKUP(Table2[[#This Row],[Region]],Sheet1!$A$12:$A$15,Sheet1!$B$12:$B$15,0)</f>
        <v>7.4999999999999997E-2</v>
      </c>
      <c r="H966" s="36">
        <f>Table2[[#This Row],[Tax Rate]]*Table2[[#This Row],[Sales Amount]]</f>
        <v>113.67825000000001</v>
      </c>
      <c r="I966" s="36">
        <v>1515.71</v>
      </c>
      <c r="J966" s="34">
        <v>27</v>
      </c>
      <c r="K966" s="34" t="s">
        <v>26</v>
      </c>
      <c r="L966" s="36">
        <v>3139.36</v>
      </c>
      <c r="M966" s="36">
        <v>3423.66</v>
      </c>
      <c r="N966" s="34" t="s">
        <v>30</v>
      </c>
      <c r="O966" s="37">
        <v>0.18</v>
      </c>
      <c r="P966" s="34" t="s">
        <v>31</v>
      </c>
      <c r="Q966" s="34" t="s">
        <v>19</v>
      </c>
      <c r="R966" s="34" t="str">
        <f>IF(Cleaned_Final!$I966&gt;=5000,"High","Low")</f>
        <v>Low</v>
      </c>
    </row>
    <row r="967" spans="1:18" x14ac:dyDescent="0.35">
      <c r="A967" s="38">
        <v>1078</v>
      </c>
      <c r="B967" s="38" t="str">
        <f>_xlfn.XLOOKUP(Table2[[#This Row],[Product ID]],Sheet1!$A$32:$A$200,Sheet1!$B$32:$B$200,"Not Found")</f>
        <v>Kitchen Island</v>
      </c>
      <c r="C967" s="39">
        <v>45008</v>
      </c>
      <c r="D967" s="38" t="s">
        <v>38</v>
      </c>
      <c r="E967" s="38" t="str" cm="1">
        <f t="array" ref="E967">_xlfn.XLOOKUP(Table2[[#This Row],[Sales Rep]],Sheet1!$A$21:$A$25,Sheet1!$B$21:$B$25,Not Found)</f>
        <v>Tracy Moore</v>
      </c>
      <c r="F967" s="38" t="s">
        <v>21</v>
      </c>
      <c r="G967" s="38">
        <f>_xlfn.XLOOKUP(Table2[[#This Row],[Region]],Sheet1!$A$12:$A$15,Sheet1!$B$12:$B$15,0)</f>
        <v>0.08</v>
      </c>
      <c r="H967" s="40">
        <f>Table2[[#This Row],[Tax Rate]]*Table2[[#This Row],[Sales Amount]]</f>
        <v>304.64240000000001</v>
      </c>
      <c r="I967" s="40">
        <v>3808.03</v>
      </c>
      <c r="J967" s="38">
        <v>33</v>
      </c>
      <c r="K967" s="38" t="s">
        <v>29</v>
      </c>
      <c r="L967" s="40">
        <v>2396.6799999999998</v>
      </c>
      <c r="M967" s="40">
        <v>2661.54</v>
      </c>
      <c r="N967" s="38" t="s">
        <v>30</v>
      </c>
      <c r="O967" s="41">
        <v>0.18</v>
      </c>
      <c r="P967" s="38" t="s">
        <v>27</v>
      </c>
      <c r="Q967" s="38" t="s">
        <v>19</v>
      </c>
      <c r="R967" s="38" t="str">
        <f>IF(Cleaned_Final!$I967&gt;=5000,"High","Low")</f>
        <v>Low</v>
      </c>
    </row>
    <row r="968" spans="1:18" x14ac:dyDescent="0.35">
      <c r="A968" s="34">
        <v>1088</v>
      </c>
      <c r="B968" s="34" t="str">
        <f>_xlfn.XLOOKUP(Table2[[#This Row],[Product ID]],Sheet1!$A$32:$A$200,Sheet1!$B$32:$B$200,"Not Found")</f>
        <v>Office Desk</v>
      </c>
      <c r="C968" s="35">
        <v>45137</v>
      </c>
      <c r="D968" s="34" t="s">
        <v>38</v>
      </c>
      <c r="E968" s="34" t="str" cm="1">
        <f t="array" ref="E968">_xlfn.XLOOKUP(Table2[[#This Row],[Sales Rep]],Sheet1!$A$21:$A$25,Sheet1!$B$21:$B$25,Not Found)</f>
        <v>Tracy Moore</v>
      </c>
      <c r="F968" s="34" t="s">
        <v>34</v>
      </c>
      <c r="G968" s="34">
        <f>_xlfn.XLOOKUP(Table2[[#This Row],[Region]],Sheet1!$A$12:$A$15,Sheet1!$B$12:$B$15,0)</f>
        <v>0.06</v>
      </c>
      <c r="H968" s="36">
        <f>Table2[[#This Row],[Tax Rate]]*Table2[[#This Row],[Sales Amount]]</f>
        <v>479.85300000000001</v>
      </c>
      <c r="I968" s="36">
        <v>7997.55</v>
      </c>
      <c r="J968" s="34">
        <v>1</v>
      </c>
      <c r="K968" s="34" t="s">
        <v>16</v>
      </c>
      <c r="L968" s="36">
        <v>4384.6400000000003</v>
      </c>
      <c r="M968" s="36">
        <v>4693.8999999999996</v>
      </c>
      <c r="N968" s="34" t="s">
        <v>30</v>
      </c>
      <c r="O968" s="37">
        <v>0.14000000000000001</v>
      </c>
      <c r="P968" s="34" t="s">
        <v>18</v>
      </c>
      <c r="Q968" s="34" t="s">
        <v>22</v>
      </c>
      <c r="R968" s="34" t="str">
        <f>IF(Cleaned_Final!$I968&gt;=5000,"High","Low")</f>
        <v>High</v>
      </c>
    </row>
    <row r="969" spans="1:18" x14ac:dyDescent="0.35">
      <c r="A969" s="38">
        <v>1002</v>
      </c>
      <c r="B969" s="38" t="str">
        <f>_xlfn.XLOOKUP(Table2[[#This Row],[Product ID]],Sheet1!$A$32:$A$200,Sheet1!$B$32:$B$200,"Not Found")</f>
        <v>Bench</v>
      </c>
      <c r="C969" s="39">
        <v>45076</v>
      </c>
      <c r="D969" s="38" t="s">
        <v>38</v>
      </c>
      <c r="E969" s="38" t="str" cm="1">
        <f t="array" ref="E969">_xlfn.XLOOKUP(Table2[[#This Row],[Sales Rep]],Sheet1!$A$21:$A$25,Sheet1!$B$21:$B$25,Not Found)</f>
        <v>Tracy Moore</v>
      </c>
      <c r="F969" s="38" t="s">
        <v>15</v>
      </c>
      <c r="G969" s="38">
        <f>_xlfn.XLOOKUP(Table2[[#This Row],[Region]],Sheet1!$A$12:$A$15,Sheet1!$B$12:$B$15,0)</f>
        <v>7.4999999999999997E-2</v>
      </c>
      <c r="H969" s="40">
        <f>Table2[[#This Row],[Tax Rate]]*Table2[[#This Row],[Sales Amount]]</f>
        <v>280.28775000000002</v>
      </c>
      <c r="I969" s="40">
        <v>3737.17</v>
      </c>
      <c r="J969" s="38">
        <v>44</v>
      </c>
      <c r="K969" s="38" t="s">
        <v>16</v>
      </c>
      <c r="L969" s="40">
        <v>1393.58</v>
      </c>
      <c r="M969" s="40">
        <v>1533.09</v>
      </c>
      <c r="N969" s="38" t="s">
        <v>17</v>
      </c>
      <c r="O969" s="41">
        <v>0.24</v>
      </c>
      <c r="P969" s="38" t="s">
        <v>31</v>
      </c>
      <c r="Q969" s="38" t="s">
        <v>22</v>
      </c>
      <c r="R969" s="38" t="str">
        <f>IF(Cleaned_Final!$I969&gt;=5000,"High","Low")</f>
        <v>Low</v>
      </c>
    </row>
    <row r="970" spans="1:18" x14ac:dyDescent="0.35">
      <c r="A970" s="34">
        <v>1026</v>
      </c>
      <c r="B970" s="34" t="str">
        <f>_xlfn.XLOOKUP(Table2[[#This Row],[Product ID]],Sheet1!$A$32:$A$200,Sheet1!$B$32:$B$200,"Not Found")</f>
        <v>Television</v>
      </c>
      <c r="C970" s="35">
        <v>44963</v>
      </c>
      <c r="D970" s="34" t="s">
        <v>14</v>
      </c>
      <c r="E970" s="34" t="str" cm="1">
        <f t="array" ref="E970">_xlfn.XLOOKUP(Table2[[#This Row],[Sales Rep]],Sheet1!$A$21:$A$25,Sheet1!$B$21:$B$25,Not Found)</f>
        <v>Michael Smith</v>
      </c>
      <c r="F970" s="34" t="s">
        <v>21</v>
      </c>
      <c r="G970" s="34">
        <f>_xlfn.XLOOKUP(Table2[[#This Row],[Region]],Sheet1!$A$12:$A$15,Sheet1!$B$12:$B$15,0)</f>
        <v>0.08</v>
      </c>
      <c r="H970" s="36">
        <f>Table2[[#This Row],[Tax Rate]]*Table2[[#This Row],[Sales Amount]]</f>
        <v>76.917600000000007</v>
      </c>
      <c r="I970" s="36">
        <v>961.47</v>
      </c>
      <c r="J970" s="34">
        <v>34</v>
      </c>
      <c r="K970" s="34" t="s">
        <v>35</v>
      </c>
      <c r="L970" s="36">
        <v>68.33</v>
      </c>
      <c r="M970" s="36">
        <v>219.07999999999899</v>
      </c>
      <c r="N970" s="34" t="s">
        <v>30</v>
      </c>
      <c r="O970" s="37">
        <v>0.02</v>
      </c>
      <c r="P970" s="34" t="s">
        <v>31</v>
      </c>
      <c r="Q970" s="34" t="s">
        <v>19</v>
      </c>
      <c r="R970" s="34" t="str">
        <f>IF(Cleaned_Final!$I970&gt;=5000,"High","Low")</f>
        <v>Low</v>
      </c>
    </row>
    <row r="971" spans="1:18" x14ac:dyDescent="0.35">
      <c r="A971" s="38">
        <v>1014</v>
      </c>
      <c r="B971" s="38" t="str">
        <f>_xlfn.XLOOKUP(Table2[[#This Row],[Product ID]],Sheet1!$A$32:$A$200,Sheet1!$B$32:$B$200,"Not Found")</f>
        <v>Cheese Block</v>
      </c>
      <c r="C971" s="39">
        <v>45278</v>
      </c>
      <c r="D971" s="38" t="s">
        <v>24</v>
      </c>
      <c r="E971" s="38" t="str" cm="1">
        <f t="array" ref="E971">_xlfn.XLOOKUP(Table2[[#This Row],[Sales Rep]],Sheet1!$A$21:$A$25,Sheet1!$B$21:$B$25,Not Found)</f>
        <v>Hogan Rock</v>
      </c>
      <c r="F971" s="38" t="s">
        <v>34</v>
      </c>
      <c r="G971" s="38">
        <f>_xlfn.XLOOKUP(Table2[[#This Row],[Region]],Sheet1!$A$12:$A$15,Sheet1!$B$12:$B$15,0)</f>
        <v>0.06</v>
      </c>
      <c r="H971" s="40">
        <f>Table2[[#This Row],[Tax Rate]]*Table2[[#This Row],[Sales Amount]]</f>
        <v>336.73019999999997</v>
      </c>
      <c r="I971" s="40">
        <v>5612.17</v>
      </c>
      <c r="J971" s="38">
        <v>4</v>
      </c>
      <c r="K971" s="38" t="s">
        <v>16</v>
      </c>
      <c r="L971" s="40">
        <v>854.68</v>
      </c>
      <c r="M971" s="40">
        <v>1115.24</v>
      </c>
      <c r="N971" s="38" t="s">
        <v>30</v>
      </c>
      <c r="O971" s="41">
        <v>0.24</v>
      </c>
      <c r="P971" s="38" t="s">
        <v>31</v>
      </c>
      <c r="Q971" s="38" t="s">
        <v>22</v>
      </c>
      <c r="R971" s="38" t="str">
        <f>IF(Cleaned_Final!$I971&gt;=5000,"High","Low")</f>
        <v>High</v>
      </c>
    </row>
    <row r="972" spans="1:18" x14ac:dyDescent="0.35">
      <c r="A972" s="34">
        <v>1059</v>
      </c>
      <c r="B972" s="34" t="str">
        <f>_xlfn.XLOOKUP(Table2[[#This Row],[Product ID]],Sheet1!$A$32:$A$200,Sheet1!$B$32:$B$200,"Not Found")</f>
        <v>Coffee Beans</v>
      </c>
      <c r="C972" s="35">
        <v>45238</v>
      </c>
      <c r="D972" s="34" t="s">
        <v>24</v>
      </c>
      <c r="E972" s="34" t="str" cm="1">
        <f t="array" ref="E972">_xlfn.XLOOKUP(Table2[[#This Row],[Sales Rep]],Sheet1!$A$21:$A$25,Sheet1!$B$21:$B$25,Not Found)</f>
        <v>Hogan Rock</v>
      </c>
      <c r="F972" s="34" t="s">
        <v>25</v>
      </c>
      <c r="G972" s="34">
        <f>_xlfn.XLOOKUP(Table2[[#This Row],[Region]],Sheet1!$A$12:$A$15,Sheet1!$B$12:$B$15,0)</f>
        <v>0.05</v>
      </c>
      <c r="H972" s="36">
        <f>Table2[[#This Row],[Tax Rate]]*Table2[[#This Row],[Sales Amount]]</f>
        <v>423.33500000000004</v>
      </c>
      <c r="I972" s="36">
        <v>8466.7000000000007</v>
      </c>
      <c r="J972" s="34">
        <v>17</v>
      </c>
      <c r="K972" s="34" t="s">
        <v>29</v>
      </c>
      <c r="L972" s="36">
        <v>1780.14</v>
      </c>
      <c r="M972" s="36">
        <v>2185.42</v>
      </c>
      <c r="N972" s="34" t="s">
        <v>17</v>
      </c>
      <c r="O972" s="37">
        <v>0.15</v>
      </c>
      <c r="P972" s="34" t="s">
        <v>31</v>
      </c>
      <c r="Q972" s="34" t="s">
        <v>22</v>
      </c>
      <c r="R972" s="34" t="str">
        <f>IF(Cleaned_Final!$I972&gt;=5000,"High","Low")</f>
        <v>High</v>
      </c>
    </row>
    <row r="973" spans="1:18" x14ac:dyDescent="0.35">
      <c r="A973" s="38">
        <v>1056</v>
      </c>
      <c r="B973" s="38" t="str">
        <f>_xlfn.XLOOKUP(Table2[[#This Row],[Product ID]],Sheet1!$A$32:$A$200,Sheet1!$B$32:$B$200,"Not Found")</f>
        <v>Track Suits</v>
      </c>
      <c r="C973" s="39">
        <v>45287</v>
      </c>
      <c r="D973" s="38" t="s">
        <v>14</v>
      </c>
      <c r="E973" s="38" t="str" cm="1">
        <f t="array" ref="E973">_xlfn.XLOOKUP(Table2[[#This Row],[Sales Rep]],Sheet1!$A$21:$A$25,Sheet1!$B$21:$B$25,Not Found)</f>
        <v>Michael Smith</v>
      </c>
      <c r="F973" s="38" t="s">
        <v>34</v>
      </c>
      <c r="G973" s="38">
        <f>_xlfn.XLOOKUP(Table2[[#This Row],[Region]],Sheet1!$A$12:$A$15,Sheet1!$B$12:$B$15,0)</f>
        <v>0.06</v>
      </c>
      <c r="H973" s="40">
        <f>Table2[[#This Row],[Tax Rate]]*Table2[[#This Row],[Sales Amount]]</f>
        <v>478.78019999999998</v>
      </c>
      <c r="I973" s="40">
        <v>7979.67</v>
      </c>
      <c r="J973" s="38">
        <v>4</v>
      </c>
      <c r="K973" s="38" t="s">
        <v>26</v>
      </c>
      <c r="L973" s="40">
        <v>1612.82</v>
      </c>
      <c r="M973" s="40">
        <v>1647.25</v>
      </c>
      <c r="N973" s="38" t="s">
        <v>17</v>
      </c>
      <c r="O973" s="41">
        <v>0.04</v>
      </c>
      <c r="P973" s="38" t="s">
        <v>31</v>
      </c>
      <c r="Q973" s="38" t="s">
        <v>22</v>
      </c>
      <c r="R973" s="38" t="str">
        <f>IF(Cleaned_Final!$I973&gt;=5000,"High","Low")</f>
        <v>High</v>
      </c>
    </row>
    <row r="974" spans="1:18" x14ac:dyDescent="0.35">
      <c r="A974" s="34">
        <v>1007</v>
      </c>
      <c r="B974" s="34" t="str">
        <f>_xlfn.XLOOKUP(Table2[[#This Row],[Product ID]],Sheet1!$A$32:$A$200,Sheet1!$B$32:$B$200,"Not Found")</f>
        <v>Fruit Jam</v>
      </c>
      <c r="C974" s="35">
        <v>44985</v>
      </c>
      <c r="D974" s="34" t="s">
        <v>33</v>
      </c>
      <c r="E974" s="34" t="str" cm="1">
        <f t="array" ref="E974">_xlfn.XLOOKUP(Table2[[#This Row],[Sales Rep]],Sheet1!$A$21:$A$25,Sheet1!$B$21:$B$25,Not Found)</f>
        <v>Susan Jerkins</v>
      </c>
      <c r="F974" s="34" t="s">
        <v>34</v>
      </c>
      <c r="G974" s="34">
        <f>_xlfn.XLOOKUP(Table2[[#This Row],[Region]],Sheet1!$A$12:$A$15,Sheet1!$B$12:$B$15,0)</f>
        <v>0.06</v>
      </c>
      <c r="H974" s="36">
        <f>Table2[[#This Row],[Tax Rate]]*Table2[[#This Row],[Sales Amount]]</f>
        <v>110.0232</v>
      </c>
      <c r="I974" s="36">
        <v>1833.72</v>
      </c>
      <c r="J974" s="34">
        <v>43</v>
      </c>
      <c r="K974" s="34" t="s">
        <v>16</v>
      </c>
      <c r="L974" s="36">
        <v>3967.25</v>
      </c>
      <c r="M974" s="36">
        <v>4272.92</v>
      </c>
      <c r="N974" s="34" t="s">
        <v>30</v>
      </c>
      <c r="O974" s="37">
        <v>0.27</v>
      </c>
      <c r="P974" s="34" t="s">
        <v>31</v>
      </c>
      <c r="Q974" s="34" t="s">
        <v>19</v>
      </c>
      <c r="R974" s="34" t="str">
        <f>IF(Cleaned_Final!$I974&gt;=5000,"High","Low")</f>
        <v>Low</v>
      </c>
    </row>
    <row r="975" spans="1:18" x14ac:dyDescent="0.35">
      <c r="A975" s="38">
        <v>1003</v>
      </c>
      <c r="B975" s="38" t="str">
        <f>_xlfn.XLOOKUP(Table2[[#This Row],[Product ID]],Sheet1!$A$32:$A$200,Sheet1!$B$32:$B$200,"Not Found")</f>
        <v>Stool</v>
      </c>
      <c r="C975" s="39">
        <v>45057</v>
      </c>
      <c r="D975" s="38" t="s">
        <v>33</v>
      </c>
      <c r="E975" s="38" t="str" cm="1">
        <f t="array" ref="E975">_xlfn.XLOOKUP(Table2[[#This Row],[Sales Rep]],Sheet1!$A$21:$A$25,Sheet1!$B$21:$B$25,Not Found)</f>
        <v>Susan Jerkins</v>
      </c>
      <c r="F975" s="38" t="s">
        <v>15</v>
      </c>
      <c r="G975" s="38">
        <f>_xlfn.XLOOKUP(Table2[[#This Row],[Region]],Sheet1!$A$12:$A$15,Sheet1!$B$12:$B$15,0)</f>
        <v>7.4999999999999997E-2</v>
      </c>
      <c r="H975" s="40">
        <f>Table2[[#This Row],[Tax Rate]]*Table2[[#This Row],[Sales Amount]]</f>
        <v>507.02774999999997</v>
      </c>
      <c r="I975" s="40">
        <v>6760.37</v>
      </c>
      <c r="J975" s="38">
        <v>26</v>
      </c>
      <c r="K975" s="38" t="s">
        <v>35</v>
      </c>
      <c r="L975" s="40">
        <v>3418.78</v>
      </c>
      <c r="M975" s="40">
        <v>3824.1</v>
      </c>
      <c r="N975" s="38" t="s">
        <v>30</v>
      </c>
      <c r="O975" s="41">
        <v>0.19</v>
      </c>
      <c r="P975" s="38" t="s">
        <v>31</v>
      </c>
      <c r="Q975" s="38" t="s">
        <v>19</v>
      </c>
      <c r="R975" s="38" t="str">
        <f>IF(Cleaned_Final!$I975&gt;=5000,"High","Low")</f>
        <v>High</v>
      </c>
    </row>
    <row r="976" spans="1:18" x14ac:dyDescent="0.35">
      <c r="A976" s="34">
        <v>1023</v>
      </c>
      <c r="B976" s="34" t="str">
        <f>_xlfn.XLOOKUP(Table2[[#This Row],[Product ID]],Sheet1!$A$32:$A$200,Sheet1!$B$32:$B$200,"Not Found")</f>
        <v>Tights</v>
      </c>
      <c r="C976" s="35">
        <v>45128</v>
      </c>
      <c r="D976" s="34" t="s">
        <v>38</v>
      </c>
      <c r="E976" s="34" t="str" cm="1">
        <f t="array" ref="E976">_xlfn.XLOOKUP(Table2[[#This Row],[Sales Rep]],Sheet1!$A$21:$A$25,Sheet1!$B$21:$B$25,Not Found)</f>
        <v>Tracy Moore</v>
      </c>
      <c r="F976" s="34" t="s">
        <v>15</v>
      </c>
      <c r="G976" s="34">
        <f>_xlfn.XLOOKUP(Table2[[#This Row],[Region]],Sheet1!$A$12:$A$15,Sheet1!$B$12:$B$15,0)</f>
        <v>7.4999999999999997E-2</v>
      </c>
      <c r="H976" s="36">
        <f>Table2[[#This Row],[Tax Rate]]*Table2[[#This Row],[Sales Amount]]</f>
        <v>171.22424999999998</v>
      </c>
      <c r="I976" s="36">
        <v>2282.9899999999998</v>
      </c>
      <c r="J976" s="34">
        <v>4</v>
      </c>
      <c r="K976" s="34" t="s">
        <v>29</v>
      </c>
      <c r="L976" s="36">
        <v>1532.8</v>
      </c>
      <c r="M976" s="36">
        <v>1619.69</v>
      </c>
      <c r="N976" s="34" t="s">
        <v>17</v>
      </c>
      <c r="O976" s="37">
        <v>0.05</v>
      </c>
      <c r="P976" s="34" t="s">
        <v>27</v>
      </c>
      <c r="Q976" s="34" t="s">
        <v>22</v>
      </c>
      <c r="R976" s="34" t="str">
        <f>IF(Cleaned_Final!$I976&gt;=5000,"High","Low")</f>
        <v>Low</v>
      </c>
    </row>
    <row r="977" spans="1:18" x14ac:dyDescent="0.35">
      <c r="A977" s="38">
        <v>1018</v>
      </c>
      <c r="B977" s="38" t="str">
        <f>_xlfn.XLOOKUP(Table2[[#This Row],[Product ID]],Sheet1!$A$32:$A$200,Sheet1!$B$32:$B$200,"Not Found")</f>
        <v>Dress Shirt</v>
      </c>
      <c r="C977" s="39">
        <v>45169</v>
      </c>
      <c r="D977" s="38" t="s">
        <v>42</v>
      </c>
      <c r="E977" s="38" t="str" cm="1">
        <f t="array" ref="E977">_xlfn.XLOOKUP(Table2[[#This Row],[Sales Rep]],Sheet1!$A$21:$A$25,Sheet1!$B$21:$B$25,Not Found)</f>
        <v>Scott Wayne</v>
      </c>
      <c r="F977" s="38" t="s">
        <v>34</v>
      </c>
      <c r="G977" s="38">
        <f>_xlfn.XLOOKUP(Table2[[#This Row],[Region]],Sheet1!$A$12:$A$15,Sheet1!$B$12:$B$15,0)</f>
        <v>0.06</v>
      </c>
      <c r="H977" s="40">
        <f>Table2[[#This Row],[Tax Rate]]*Table2[[#This Row],[Sales Amount]]</f>
        <v>135.61500000000001</v>
      </c>
      <c r="I977" s="40">
        <v>2260.25</v>
      </c>
      <c r="J977" s="38">
        <v>1</v>
      </c>
      <c r="K977" s="38" t="s">
        <v>35</v>
      </c>
      <c r="L977" s="40">
        <v>2315.83</v>
      </c>
      <c r="M977" s="40">
        <v>2333.19</v>
      </c>
      <c r="N977" s="38" t="s">
        <v>30</v>
      </c>
      <c r="O977" s="41">
        <v>0.01</v>
      </c>
      <c r="P977" s="38" t="s">
        <v>18</v>
      </c>
      <c r="Q977" s="38" t="s">
        <v>22</v>
      </c>
      <c r="R977" s="38" t="str">
        <f>IF(Cleaned_Final!$I977&gt;=5000,"High","Low")</f>
        <v>Low</v>
      </c>
    </row>
    <row r="978" spans="1:18" x14ac:dyDescent="0.35">
      <c r="A978" s="34">
        <v>1038</v>
      </c>
      <c r="B978" s="34" t="str">
        <f>_xlfn.XLOOKUP(Table2[[#This Row],[Product ID]],Sheet1!$A$32:$A$200,Sheet1!$B$32:$B$200,"Not Found")</f>
        <v>Jean Pants</v>
      </c>
      <c r="C978" s="35">
        <v>44961</v>
      </c>
      <c r="D978" s="34" t="s">
        <v>33</v>
      </c>
      <c r="E978" s="34" t="str" cm="1">
        <f t="array" ref="E978">_xlfn.XLOOKUP(Table2[[#This Row],[Sales Rep]],Sheet1!$A$21:$A$25,Sheet1!$B$21:$B$25,Not Found)</f>
        <v>Susan Jerkins</v>
      </c>
      <c r="F978" s="34" t="s">
        <v>15</v>
      </c>
      <c r="G978" s="34">
        <f>_xlfn.XLOOKUP(Table2[[#This Row],[Region]],Sheet1!$A$12:$A$15,Sheet1!$B$12:$B$15,0)</f>
        <v>7.4999999999999997E-2</v>
      </c>
      <c r="H978" s="36">
        <f>Table2[[#This Row],[Tax Rate]]*Table2[[#This Row],[Sales Amount]]</f>
        <v>656.49824999999998</v>
      </c>
      <c r="I978" s="36">
        <v>8753.31</v>
      </c>
      <c r="J978" s="34">
        <v>7</v>
      </c>
      <c r="K978" s="34" t="s">
        <v>16</v>
      </c>
      <c r="L978" s="36">
        <v>523.02</v>
      </c>
      <c r="M978" s="36">
        <v>686.25</v>
      </c>
      <c r="N978" s="34" t="s">
        <v>17</v>
      </c>
      <c r="O978" s="37">
        <v>0.04</v>
      </c>
      <c r="P978" s="34" t="s">
        <v>18</v>
      </c>
      <c r="Q978" s="34" t="s">
        <v>19</v>
      </c>
      <c r="R978" s="34" t="str">
        <f>IF(Cleaned_Final!$I978&gt;=5000,"High","Low")</f>
        <v>High</v>
      </c>
    </row>
    <row r="979" spans="1:18" x14ac:dyDescent="0.35">
      <c r="A979" s="38">
        <v>1099</v>
      </c>
      <c r="B979" s="38" t="str">
        <f>_xlfn.XLOOKUP(Table2[[#This Row],[Product ID]],Sheet1!$A$32:$A$200,Sheet1!$B$32:$B$200,"Not Found")</f>
        <v>Chest</v>
      </c>
      <c r="C979" s="39">
        <v>45019</v>
      </c>
      <c r="D979" s="38" t="s">
        <v>42</v>
      </c>
      <c r="E979" s="38" t="str" cm="1">
        <f t="array" ref="E979">_xlfn.XLOOKUP(Table2[[#This Row],[Sales Rep]],Sheet1!$A$21:$A$25,Sheet1!$B$21:$B$25,Not Found)</f>
        <v>Scott Wayne</v>
      </c>
      <c r="F979" s="38" t="s">
        <v>15</v>
      </c>
      <c r="G979" s="38">
        <f>_xlfn.XLOOKUP(Table2[[#This Row],[Region]],Sheet1!$A$12:$A$15,Sheet1!$B$12:$B$15,0)</f>
        <v>7.4999999999999997E-2</v>
      </c>
      <c r="H979" s="40">
        <f>Table2[[#This Row],[Tax Rate]]*Table2[[#This Row],[Sales Amount]]</f>
        <v>192.87899999999999</v>
      </c>
      <c r="I979" s="40">
        <v>2571.7199999999998</v>
      </c>
      <c r="J979" s="38">
        <v>30</v>
      </c>
      <c r="K979" s="38" t="s">
        <v>16</v>
      </c>
      <c r="L979" s="40">
        <v>4495.82</v>
      </c>
      <c r="M979" s="40">
        <v>4794.0099999999902</v>
      </c>
      <c r="N979" s="38" t="s">
        <v>30</v>
      </c>
      <c r="O979" s="41">
        <v>0.18</v>
      </c>
      <c r="P979" s="38" t="s">
        <v>27</v>
      </c>
      <c r="Q979" s="38" t="s">
        <v>22</v>
      </c>
      <c r="R979" s="38" t="str">
        <f>IF(Cleaned_Final!$I979&gt;=5000,"High","Low")</f>
        <v>Low</v>
      </c>
    </row>
    <row r="980" spans="1:18" x14ac:dyDescent="0.35">
      <c r="A980" s="34">
        <v>1015</v>
      </c>
      <c r="B980" s="34" t="str">
        <f>_xlfn.XLOOKUP(Table2[[#This Row],[Product ID]],Sheet1!$A$32:$A$200,Sheet1!$B$32:$B$200,"Not Found")</f>
        <v>Chocolate Bar</v>
      </c>
      <c r="C980" s="35">
        <v>45133</v>
      </c>
      <c r="D980" s="34" t="s">
        <v>24</v>
      </c>
      <c r="E980" s="34" t="str" cm="1">
        <f t="array" ref="E980">_xlfn.XLOOKUP(Table2[[#This Row],[Sales Rep]],Sheet1!$A$21:$A$25,Sheet1!$B$21:$B$25,Not Found)</f>
        <v>Hogan Rock</v>
      </c>
      <c r="F980" s="34" t="s">
        <v>15</v>
      </c>
      <c r="G980" s="34">
        <f>_xlfn.XLOOKUP(Table2[[#This Row],[Region]],Sheet1!$A$12:$A$15,Sheet1!$B$12:$B$15,0)</f>
        <v>7.4999999999999997E-2</v>
      </c>
      <c r="H980" s="36">
        <f>Table2[[#This Row],[Tax Rate]]*Table2[[#This Row],[Sales Amount]]</f>
        <v>202.96125000000001</v>
      </c>
      <c r="I980" s="36">
        <v>2706.15</v>
      </c>
      <c r="J980" s="34">
        <v>9</v>
      </c>
      <c r="K980" s="34" t="s">
        <v>35</v>
      </c>
      <c r="L980" s="36">
        <v>4680.3500000000004</v>
      </c>
      <c r="M980" s="36">
        <v>4758.1099999999997</v>
      </c>
      <c r="N980" s="34" t="s">
        <v>17</v>
      </c>
      <c r="O980" s="37">
        <v>0.05</v>
      </c>
      <c r="P980" s="34" t="s">
        <v>27</v>
      </c>
      <c r="Q980" s="34" t="s">
        <v>19</v>
      </c>
      <c r="R980" s="34" t="str">
        <f>IF(Cleaned_Final!$I980&gt;=5000,"High","Low")</f>
        <v>Low</v>
      </c>
    </row>
    <row r="981" spans="1:18" x14ac:dyDescent="0.35">
      <c r="A981" s="38">
        <v>1064</v>
      </c>
      <c r="B981" s="38" t="str">
        <f>_xlfn.XLOOKUP(Table2[[#This Row],[Product ID]],Sheet1!$A$32:$A$200,Sheet1!$B$32:$B$200,"Not Found")</f>
        <v>Smartphone</v>
      </c>
      <c r="C981" s="39">
        <v>45279</v>
      </c>
      <c r="D981" s="38" t="s">
        <v>42</v>
      </c>
      <c r="E981" s="38" t="str" cm="1">
        <f t="array" ref="E981">_xlfn.XLOOKUP(Table2[[#This Row],[Sales Rep]],Sheet1!$A$21:$A$25,Sheet1!$B$21:$B$25,Not Found)</f>
        <v>Scott Wayne</v>
      </c>
      <c r="F981" s="38" t="s">
        <v>21</v>
      </c>
      <c r="G981" s="38">
        <f>_xlfn.XLOOKUP(Table2[[#This Row],[Region]],Sheet1!$A$12:$A$15,Sheet1!$B$12:$B$15,0)</f>
        <v>0.08</v>
      </c>
      <c r="H981" s="40">
        <f>Table2[[#This Row],[Tax Rate]]*Table2[[#This Row],[Sales Amount]]</f>
        <v>8.5175999999999998</v>
      </c>
      <c r="I981" s="40">
        <v>106.47</v>
      </c>
      <c r="J981" s="38">
        <v>35</v>
      </c>
      <c r="K981" s="38" t="s">
        <v>29</v>
      </c>
      <c r="L981" s="40">
        <v>4900.03</v>
      </c>
      <c r="M981" s="40">
        <v>5118.83</v>
      </c>
      <c r="N981" s="38" t="s">
        <v>17</v>
      </c>
      <c r="O981" s="41">
        <v>7.0000000000000007E-2</v>
      </c>
      <c r="P981" s="38" t="s">
        <v>31</v>
      </c>
      <c r="Q981" s="38" t="s">
        <v>22</v>
      </c>
      <c r="R981" s="38" t="str">
        <f>IF(Cleaned_Final!$I981&gt;=5000,"High","Low")</f>
        <v>Low</v>
      </c>
    </row>
    <row r="982" spans="1:18" x14ac:dyDescent="0.35">
      <c r="A982" s="34">
        <v>1089</v>
      </c>
      <c r="B982" s="34" t="str">
        <f>_xlfn.XLOOKUP(Table2[[#This Row],[Product ID]],Sheet1!$A$32:$A$200,Sheet1!$B$32:$B$200,"Not Found")</f>
        <v>Recliner</v>
      </c>
      <c r="C982" s="35">
        <v>45258</v>
      </c>
      <c r="D982" s="34" t="s">
        <v>24</v>
      </c>
      <c r="E982" s="34" t="str" cm="1">
        <f t="array" ref="E982">_xlfn.XLOOKUP(Table2[[#This Row],[Sales Rep]],Sheet1!$A$21:$A$25,Sheet1!$B$21:$B$25,Not Found)</f>
        <v>Hogan Rock</v>
      </c>
      <c r="F982" s="34" t="s">
        <v>21</v>
      </c>
      <c r="G982" s="34">
        <f>_xlfn.XLOOKUP(Table2[[#This Row],[Region]],Sheet1!$A$12:$A$15,Sheet1!$B$12:$B$15,0)</f>
        <v>0.08</v>
      </c>
      <c r="H982" s="36">
        <f>Table2[[#This Row],[Tax Rate]]*Table2[[#This Row],[Sales Amount]]</f>
        <v>697.56960000000004</v>
      </c>
      <c r="I982" s="36">
        <v>8719.6200000000008</v>
      </c>
      <c r="J982" s="34">
        <v>8</v>
      </c>
      <c r="K982" s="34" t="s">
        <v>16</v>
      </c>
      <c r="L982" s="36">
        <v>4349.34</v>
      </c>
      <c r="M982" s="36">
        <v>4629.9799999999996</v>
      </c>
      <c r="N982" s="34" t="s">
        <v>17</v>
      </c>
      <c r="O982" s="37">
        <v>0.01</v>
      </c>
      <c r="P982" s="34" t="s">
        <v>31</v>
      </c>
      <c r="Q982" s="34" t="s">
        <v>19</v>
      </c>
      <c r="R982" s="34" t="str">
        <f>IF(Cleaned_Final!$I982&gt;=5000,"High","Low")</f>
        <v>High</v>
      </c>
    </row>
    <row r="983" spans="1:18" x14ac:dyDescent="0.35">
      <c r="A983" s="38">
        <v>1028</v>
      </c>
      <c r="B983" s="38" t="str">
        <f>_xlfn.XLOOKUP(Table2[[#This Row],[Product ID]],Sheet1!$A$32:$A$200,Sheet1!$B$32:$B$200,"Not Found")</f>
        <v>Pyjamas</v>
      </c>
      <c r="C983" s="39">
        <v>45231</v>
      </c>
      <c r="D983" s="38" t="s">
        <v>14</v>
      </c>
      <c r="E983" s="38" t="str" cm="1">
        <f t="array" ref="E983">_xlfn.XLOOKUP(Table2[[#This Row],[Sales Rep]],Sheet1!$A$21:$A$25,Sheet1!$B$21:$B$25,Not Found)</f>
        <v>Michael Smith</v>
      </c>
      <c r="F983" s="38" t="s">
        <v>34</v>
      </c>
      <c r="G983" s="38">
        <f>_xlfn.XLOOKUP(Table2[[#This Row],[Region]],Sheet1!$A$12:$A$15,Sheet1!$B$12:$B$15,0)</f>
        <v>0.06</v>
      </c>
      <c r="H983" s="40">
        <f>Table2[[#This Row],[Tax Rate]]*Table2[[#This Row],[Sales Amount]]</f>
        <v>476.80139999999994</v>
      </c>
      <c r="I983" s="40">
        <v>7946.69</v>
      </c>
      <c r="J983" s="38">
        <v>24</v>
      </c>
      <c r="K983" s="38" t="s">
        <v>26</v>
      </c>
      <c r="L983" s="40">
        <v>911.11</v>
      </c>
      <c r="M983" s="40">
        <v>1214.56</v>
      </c>
      <c r="N983" s="38" t="s">
        <v>30</v>
      </c>
      <c r="O983" s="41">
        <v>0.22</v>
      </c>
      <c r="P983" s="38" t="s">
        <v>27</v>
      </c>
      <c r="Q983" s="38" t="s">
        <v>19</v>
      </c>
      <c r="R983" s="38" t="str">
        <f>IF(Cleaned_Final!$I983&gt;=5000,"High","Low")</f>
        <v>High</v>
      </c>
    </row>
    <row r="984" spans="1:18" x14ac:dyDescent="0.35">
      <c r="A984" s="34">
        <v>1074</v>
      </c>
      <c r="B984" s="34" t="str">
        <f>_xlfn.XLOOKUP(Table2[[#This Row],[Product ID]],Sheet1!$A$32:$A$200,Sheet1!$B$32:$B$200,"Not Found")</f>
        <v>French Fries</v>
      </c>
      <c r="C984" s="35">
        <v>45276</v>
      </c>
      <c r="D984" s="34" t="s">
        <v>14</v>
      </c>
      <c r="E984" s="34" t="str" cm="1">
        <f t="array" ref="E984">_xlfn.XLOOKUP(Table2[[#This Row],[Sales Rep]],Sheet1!$A$21:$A$25,Sheet1!$B$21:$B$25,Not Found)</f>
        <v>Michael Smith</v>
      </c>
      <c r="F984" s="34" t="s">
        <v>15</v>
      </c>
      <c r="G984" s="34">
        <f>_xlfn.XLOOKUP(Table2[[#This Row],[Region]],Sheet1!$A$12:$A$15,Sheet1!$B$12:$B$15,0)</f>
        <v>7.4999999999999997E-2</v>
      </c>
      <c r="H984" s="36">
        <f>Table2[[#This Row],[Tax Rate]]*Table2[[#This Row],[Sales Amount]]</f>
        <v>473.29200000000003</v>
      </c>
      <c r="I984" s="36">
        <v>6310.56</v>
      </c>
      <c r="J984" s="34">
        <v>19</v>
      </c>
      <c r="K984" s="34" t="s">
        <v>16</v>
      </c>
      <c r="L984" s="36">
        <v>278.67</v>
      </c>
      <c r="M984" s="36">
        <v>423.13</v>
      </c>
      <c r="N984" s="34" t="s">
        <v>30</v>
      </c>
      <c r="O984" s="37">
        <v>0.24</v>
      </c>
      <c r="P984" s="34" t="s">
        <v>31</v>
      </c>
      <c r="Q984" s="34" t="s">
        <v>19</v>
      </c>
      <c r="R984" s="34" t="str">
        <f>IF(Cleaned_Final!$I984&gt;=5000,"High","Low")</f>
        <v>High</v>
      </c>
    </row>
    <row r="985" spans="1:18" x14ac:dyDescent="0.35">
      <c r="A985" s="38">
        <v>1039</v>
      </c>
      <c r="B985" s="38" t="str">
        <f>_xlfn.XLOOKUP(Table2[[#This Row],[Product ID]],Sheet1!$A$32:$A$200,Sheet1!$B$32:$B$200,"Not Found")</f>
        <v>Hoodie</v>
      </c>
      <c r="C985" s="39">
        <v>45139</v>
      </c>
      <c r="D985" s="38" t="s">
        <v>38</v>
      </c>
      <c r="E985" s="38" t="str" cm="1">
        <f t="array" ref="E985">_xlfn.XLOOKUP(Table2[[#This Row],[Sales Rep]],Sheet1!$A$21:$A$25,Sheet1!$B$21:$B$25,Not Found)</f>
        <v>Tracy Moore</v>
      </c>
      <c r="F985" s="38" t="s">
        <v>21</v>
      </c>
      <c r="G985" s="38">
        <f>_xlfn.XLOOKUP(Table2[[#This Row],[Region]],Sheet1!$A$12:$A$15,Sheet1!$B$12:$B$15,0)</f>
        <v>0.08</v>
      </c>
      <c r="H985" s="40">
        <f>Table2[[#This Row],[Tax Rate]]*Table2[[#This Row],[Sales Amount]]</f>
        <v>602.21040000000005</v>
      </c>
      <c r="I985" s="40">
        <v>7527.63</v>
      </c>
      <c r="J985" s="38">
        <v>36</v>
      </c>
      <c r="K985" s="38" t="s">
        <v>29</v>
      </c>
      <c r="L985" s="40">
        <v>2919</v>
      </c>
      <c r="M985" s="40">
        <v>3125.01</v>
      </c>
      <c r="N985" s="38" t="s">
        <v>30</v>
      </c>
      <c r="O985" s="41">
        <v>0.24</v>
      </c>
      <c r="P985" s="38" t="s">
        <v>18</v>
      </c>
      <c r="Q985" s="38" t="s">
        <v>19</v>
      </c>
      <c r="R985" s="38" t="str">
        <f>IF(Cleaned_Final!$I985&gt;=5000,"High","Low")</f>
        <v>High</v>
      </c>
    </row>
    <row r="986" spans="1:18" x14ac:dyDescent="0.35">
      <c r="A986" s="34">
        <v>1057</v>
      </c>
      <c r="B986" s="34" t="str">
        <f>_xlfn.XLOOKUP(Table2[[#This Row],[Product ID]],Sheet1!$A$32:$A$200,Sheet1!$B$32:$B$200,"Not Found")</f>
        <v>Avocadro Pear</v>
      </c>
      <c r="C986" s="35">
        <v>45085</v>
      </c>
      <c r="D986" s="34" t="s">
        <v>33</v>
      </c>
      <c r="E986" s="34" t="str" cm="1">
        <f t="array" ref="E986">_xlfn.XLOOKUP(Table2[[#This Row],[Sales Rep]],Sheet1!$A$21:$A$25,Sheet1!$B$21:$B$25,Not Found)</f>
        <v>Susan Jerkins</v>
      </c>
      <c r="F986" s="34" t="s">
        <v>34</v>
      </c>
      <c r="G986" s="34">
        <f>_xlfn.XLOOKUP(Table2[[#This Row],[Region]],Sheet1!$A$12:$A$15,Sheet1!$B$12:$B$15,0)</f>
        <v>0.06</v>
      </c>
      <c r="H986" s="36">
        <f>Table2[[#This Row],[Tax Rate]]*Table2[[#This Row],[Sales Amount]]</f>
        <v>96.316800000000001</v>
      </c>
      <c r="I986" s="36">
        <v>1605.28</v>
      </c>
      <c r="J986" s="34">
        <v>43</v>
      </c>
      <c r="K986" s="34" t="s">
        <v>16</v>
      </c>
      <c r="L986" s="36">
        <v>4567.3900000000003</v>
      </c>
      <c r="M986" s="36">
        <v>4958.78</v>
      </c>
      <c r="N986" s="34" t="s">
        <v>30</v>
      </c>
      <c r="O986" s="37">
        <v>0.04</v>
      </c>
      <c r="P986" s="34" t="s">
        <v>18</v>
      </c>
      <c r="Q986" s="34" t="s">
        <v>22</v>
      </c>
      <c r="R986" s="34" t="str">
        <f>IF(Cleaned_Final!$I986&gt;=5000,"High","Low")</f>
        <v>Low</v>
      </c>
    </row>
    <row r="987" spans="1:18" x14ac:dyDescent="0.35">
      <c r="A987" s="38">
        <v>1017</v>
      </c>
      <c r="B987" s="38" t="str">
        <f>_xlfn.XLOOKUP(Table2[[#This Row],[Product ID]],Sheet1!$A$32:$A$200,Sheet1!$B$32:$B$200,"Not Found")</f>
        <v>Peaches</v>
      </c>
      <c r="C987" s="39">
        <v>44950</v>
      </c>
      <c r="D987" s="38" t="s">
        <v>38</v>
      </c>
      <c r="E987" s="38" t="str" cm="1">
        <f t="array" ref="E987">_xlfn.XLOOKUP(Table2[[#This Row],[Sales Rep]],Sheet1!$A$21:$A$25,Sheet1!$B$21:$B$25,Not Found)</f>
        <v>Tracy Moore</v>
      </c>
      <c r="F987" s="38" t="s">
        <v>15</v>
      </c>
      <c r="G987" s="38">
        <f>_xlfn.XLOOKUP(Table2[[#This Row],[Region]],Sheet1!$A$12:$A$15,Sheet1!$B$12:$B$15,0)</f>
        <v>7.4999999999999997E-2</v>
      </c>
      <c r="H987" s="40">
        <f>Table2[[#This Row],[Tax Rate]]*Table2[[#This Row],[Sales Amount]]</f>
        <v>347.80499999999995</v>
      </c>
      <c r="I987" s="40">
        <v>4637.3999999999996</v>
      </c>
      <c r="J987" s="38">
        <v>27</v>
      </c>
      <c r="K987" s="38" t="s">
        <v>35</v>
      </c>
      <c r="L987" s="40">
        <v>927.89</v>
      </c>
      <c r="M987" s="40">
        <v>1399.09</v>
      </c>
      <c r="N987" s="38" t="s">
        <v>17</v>
      </c>
      <c r="O987" s="41">
        <v>0.27</v>
      </c>
      <c r="P987" s="38" t="s">
        <v>31</v>
      </c>
      <c r="Q987" s="38" t="s">
        <v>19</v>
      </c>
      <c r="R987" s="38" t="str">
        <f>IF(Cleaned_Final!$I987&gt;=5000,"High","Low")</f>
        <v>Low</v>
      </c>
    </row>
    <row r="988" spans="1:18" x14ac:dyDescent="0.35">
      <c r="A988" s="34">
        <v>1086</v>
      </c>
      <c r="B988" s="34" t="str">
        <f>_xlfn.XLOOKUP(Table2[[#This Row],[Product ID]],Sheet1!$A$32:$A$200,Sheet1!$B$32:$B$200,"Not Found")</f>
        <v>Gaming Console</v>
      </c>
      <c r="C988" s="35">
        <v>45219</v>
      </c>
      <c r="D988" s="34" t="s">
        <v>24</v>
      </c>
      <c r="E988" s="34" t="str" cm="1">
        <f t="array" ref="E988">_xlfn.XLOOKUP(Table2[[#This Row],[Sales Rep]],Sheet1!$A$21:$A$25,Sheet1!$B$21:$B$25,Not Found)</f>
        <v>Hogan Rock</v>
      </c>
      <c r="F988" s="34" t="s">
        <v>25</v>
      </c>
      <c r="G988" s="34">
        <f>_xlfn.XLOOKUP(Table2[[#This Row],[Region]],Sheet1!$A$12:$A$15,Sheet1!$B$12:$B$15,0)</f>
        <v>0.05</v>
      </c>
      <c r="H988" s="36">
        <f>Table2[[#This Row],[Tax Rate]]*Table2[[#This Row],[Sales Amount]]</f>
        <v>178.85350000000003</v>
      </c>
      <c r="I988" s="36">
        <v>3577.07</v>
      </c>
      <c r="J988" s="34">
        <v>32</v>
      </c>
      <c r="K988" s="34" t="s">
        <v>16</v>
      </c>
      <c r="L988" s="36">
        <v>84.86</v>
      </c>
      <c r="M988" s="36">
        <v>517.17999999999995</v>
      </c>
      <c r="N988" s="34" t="s">
        <v>17</v>
      </c>
      <c r="O988" s="37">
        <v>0.2</v>
      </c>
      <c r="P988" s="34" t="s">
        <v>31</v>
      </c>
      <c r="Q988" s="34" t="s">
        <v>22</v>
      </c>
      <c r="R988" s="34" t="str">
        <f>IF(Cleaned_Final!$I988&gt;=5000,"High","Low")</f>
        <v>Low</v>
      </c>
    </row>
    <row r="989" spans="1:18" x14ac:dyDescent="0.35">
      <c r="A989" s="38">
        <v>1090</v>
      </c>
      <c r="B989" s="38" t="str">
        <f>_xlfn.XLOOKUP(Table2[[#This Row],[Product ID]],Sheet1!$A$32:$A$200,Sheet1!$B$32:$B$200,"Not Found")</f>
        <v>Keyboard</v>
      </c>
      <c r="C989" s="39">
        <v>44930</v>
      </c>
      <c r="D989" s="38" t="s">
        <v>38</v>
      </c>
      <c r="E989" s="38" t="str" cm="1">
        <f t="array" ref="E989">_xlfn.XLOOKUP(Table2[[#This Row],[Sales Rep]],Sheet1!$A$21:$A$25,Sheet1!$B$21:$B$25,Not Found)</f>
        <v>Tracy Moore</v>
      </c>
      <c r="F989" s="38" t="s">
        <v>15</v>
      </c>
      <c r="G989" s="38">
        <f>_xlfn.XLOOKUP(Table2[[#This Row],[Region]],Sheet1!$A$12:$A$15,Sheet1!$B$12:$B$15,0)</f>
        <v>7.4999999999999997E-2</v>
      </c>
      <c r="H989" s="40">
        <f>Table2[[#This Row],[Tax Rate]]*Table2[[#This Row],[Sales Amount]]</f>
        <v>77.129249999999999</v>
      </c>
      <c r="I989" s="40">
        <v>1028.3900000000001</v>
      </c>
      <c r="J989" s="38">
        <v>14</v>
      </c>
      <c r="K989" s="38" t="s">
        <v>16</v>
      </c>
      <c r="L989" s="40">
        <v>4037.21</v>
      </c>
      <c r="M989" s="40">
        <v>4323.71</v>
      </c>
      <c r="N989" s="38" t="s">
        <v>17</v>
      </c>
      <c r="O989" s="41">
        <v>0.27</v>
      </c>
      <c r="P989" s="38" t="s">
        <v>31</v>
      </c>
      <c r="Q989" s="38" t="s">
        <v>19</v>
      </c>
      <c r="R989" s="38" t="str">
        <f>IF(Cleaned_Final!$I989&gt;=5000,"High","Low")</f>
        <v>Low</v>
      </c>
    </row>
    <row r="990" spans="1:18" x14ac:dyDescent="0.35">
      <c r="A990" s="34">
        <v>1044</v>
      </c>
      <c r="B990" s="34" t="str">
        <f>_xlfn.XLOOKUP(Table2[[#This Row],[Product ID]],Sheet1!$A$32:$A$200,Sheet1!$B$32:$B$200,"Not Found")</f>
        <v>Burger</v>
      </c>
      <c r="C990" s="35">
        <v>45146</v>
      </c>
      <c r="D990" s="34" t="s">
        <v>42</v>
      </c>
      <c r="E990" s="34" t="str" cm="1">
        <f t="array" ref="E990">_xlfn.XLOOKUP(Table2[[#This Row],[Sales Rep]],Sheet1!$A$21:$A$25,Sheet1!$B$21:$B$25,Not Found)</f>
        <v>Scott Wayne</v>
      </c>
      <c r="F990" s="34" t="s">
        <v>15</v>
      </c>
      <c r="G990" s="34">
        <f>_xlfn.XLOOKUP(Table2[[#This Row],[Region]],Sheet1!$A$12:$A$15,Sheet1!$B$12:$B$15,0)</f>
        <v>7.4999999999999997E-2</v>
      </c>
      <c r="H990" s="36">
        <f>Table2[[#This Row],[Tax Rate]]*Table2[[#This Row],[Sales Amount]]</f>
        <v>368.45174999999995</v>
      </c>
      <c r="I990" s="36">
        <v>4912.6899999999996</v>
      </c>
      <c r="J990" s="34">
        <v>18</v>
      </c>
      <c r="K990" s="34" t="s">
        <v>29</v>
      </c>
      <c r="L990" s="36">
        <v>430.14</v>
      </c>
      <c r="M990" s="36">
        <v>641.17999999999995</v>
      </c>
      <c r="N990" s="34" t="s">
        <v>30</v>
      </c>
      <c r="O990" s="37">
        <v>0.13</v>
      </c>
      <c r="P990" s="34" t="s">
        <v>18</v>
      </c>
      <c r="Q990" s="34" t="s">
        <v>19</v>
      </c>
      <c r="R990" s="34" t="str">
        <f>IF(Cleaned_Final!$I990&gt;=5000,"High","Low")</f>
        <v>Low</v>
      </c>
    </row>
    <row r="991" spans="1:18" x14ac:dyDescent="0.35">
      <c r="A991" s="38">
        <v>1025</v>
      </c>
      <c r="B991" s="38" t="str">
        <f>_xlfn.XLOOKUP(Table2[[#This Row],[Product ID]],Sheet1!$A$32:$A$200,Sheet1!$B$32:$B$200,"Not Found")</f>
        <v>Mayonnaise</v>
      </c>
      <c r="C991" s="39">
        <v>45290</v>
      </c>
      <c r="D991" s="38" t="s">
        <v>24</v>
      </c>
      <c r="E991" s="38" t="str" cm="1">
        <f t="array" ref="E991">_xlfn.XLOOKUP(Table2[[#This Row],[Sales Rep]],Sheet1!$A$21:$A$25,Sheet1!$B$21:$B$25,Not Found)</f>
        <v>Hogan Rock</v>
      </c>
      <c r="F991" s="38" t="s">
        <v>21</v>
      </c>
      <c r="G991" s="38">
        <f>_xlfn.XLOOKUP(Table2[[#This Row],[Region]],Sheet1!$A$12:$A$15,Sheet1!$B$12:$B$15,0)</f>
        <v>0.08</v>
      </c>
      <c r="H991" s="40">
        <f>Table2[[#This Row],[Tax Rate]]*Table2[[#This Row],[Sales Amount]]</f>
        <v>737.22559999999999</v>
      </c>
      <c r="I991" s="40">
        <v>9215.32</v>
      </c>
      <c r="J991" s="38">
        <v>28</v>
      </c>
      <c r="K991" s="38" t="s">
        <v>35</v>
      </c>
      <c r="L991" s="40">
        <v>2097.84</v>
      </c>
      <c r="M991" s="40">
        <v>2270.9899999999998</v>
      </c>
      <c r="N991" s="38" t="s">
        <v>30</v>
      </c>
      <c r="O991" s="41">
        <v>0.13</v>
      </c>
      <c r="P991" s="38" t="s">
        <v>31</v>
      </c>
      <c r="Q991" s="38" t="s">
        <v>22</v>
      </c>
      <c r="R991" s="38" t="str">
        <f>IF(Cleaned_Final!$I991&gt;=5000,"High","Low")</f>
        <v>High</v>
      </c>
    </row>
    <row r="992" spans="1:18" x14ac:dyDescent="0.35">
      <c r="A992" s="34">
        <v>1017</v>
      </c>
      <c r="B992" s="34" t="str">
        <f>_xlfn.XLOOKUP(Table2[[#This Row],[Product ID]],Sheet1!$A$32:$A$200,Sheet1!$B$32:$B$200,"Not Found")</f>
        <v>Peaches</v>
      </c>
      <c r="C992" s="35">
        <v>44946</v>
      </c>
      <c r="D992" s="34" t="s">
        <v>14</v>
      </c>
      <c r="E992" s="34" t="str" cm="1">
        <f t="array" ref="E992">_xlfn.XLOOKUP(Table2[[#This Row],[Sales Rep]],Sheet1!$A$21:$A$25,Sheet1!$B$21:$B$25,Not Found)</f>
        <v>Michael Smith</v>
      </c>
      <c r="F992" s="34" t="s">
        <v>34</v>
      </c>
      <c r="G992" s="34">
        <f>_xlfn.XLOOKUP(Table2[[#This Row],[Region]],Sheet1!$A$12:$A$15,Sheet1!$B$12:$B$15,0)</f>
        <v>0.06</v>
      </c>
      <c r="H992" s="36">
        <f>Table2[[#This Row],[Tax Rate]]*Table2[[#This Row],[Sales Amount]]</f>
        <v>29.795399999999997</v>
      </c>
      <c r="I992" s="36">
        <v>496.59</v>
      </c>
      <c r="J992" s="34">
        <v>29</v>
      </c>
      <c r="K992" s="34" t="s">
        <v>29</v>
      </c>
      <c r="L992" s="36">
        <v>3410.49</v>
      </c>
      <c r="M992" s="36">
        <v>3481.72</v>
      </c>
      <c r="N992" s="34" t="s">
        <v>30</v>
      </c>
      <c r="O992" s="37">
        <v>0.24</v>
      </c>
      <c r="P992" s="34" t="s">
        <v>27</v>
      </c>
      <c r="Q992" s="34" t="s">
        <v>22</v>
      </c>
      <c r="R992" s="34" t="str">
        <f>IF(Cleaned_Final!$I992&gt;=5000,"High","Low")</f>
        <v>Low</v>
      </c>
    </row>
    <row r="993" spans="1:18" x14ac:dyDescent="0.35">
      <c r="A993" s="38">
        <v>1013</v>
      </c>
      <c r="B993" s="38" t="str">
        <f>_xlfn.XLOOKUP(Table2[[#This Row],[Product ID]],Sheet1!$A$32:$A$200,Sheet1!$B$32:$B$200,"Not Found")</f>
        <v>Gas Cooker</v>
      </c>
      <c r="C993" s="39">
        <v>45078</v>
      </c>
      <c r="D993" s="38" t="s">
        <v>33</v>
      </c>
      <c r="E993" s="38" t="str" cm="1">
        <f t="array" ref="E993">_xlfn.XLOOKUP(Table2[[#This Row],[Sales Rep]],Sheet1!$A$21:$A$25,Sheet1!$B$21:$B$25,Not Found)</f>
        <v>Susan Jerkins</v>
      </c>
      <c r="F993" s="38" t="s">
        <v>34</v>
      </c>
      <c r="G993" s="38">
        <f>_xlfn.XLOOKUP(Table2[[#This Row],[Region]],Sheet1!$A$12:$A$15,Sheet1!$B$12:$B$15,0)</f>
        <v>0.06</v>
      </c>
      <c r="H993" s="40">
        <f>Table2[[#This Row],[Tax Rate]]*Table2[[#This Row],[Sales Amount]]</f>
        <v>179.1276</v>
      </c>
      <c r="I993" s="40">
        <v>2985.46</v>
      </c>
      <c r="J993" s="38">
        <v>16</v>
      </c>
      <c r="K993" s="38" t="s">
        <v>16</v>
      </c>
      <c r="L993" s="40">
        <v>1222.1500000000001</v>
      </c>
      <c r="M993" s="40">
        <v>1284.3599999999999</v>
      </c>
      <c r="N993" s="38" t="s">
        <v>17</v>
      </c>
      <c r="O993" s="41">
        <v>0.03</v>
      </c>
      <c r="P993" s="38" t="s">
        <v>31</v>
      </c>
      <c r="Q993" s="38" t="s">
        <v>22</v>
      </c>
      <c r="R993" s="38" t="str">
        <f>IF(Cleaned_Final!$I993&gt;=5000,"High","Low")</f>
        <v>Low</v>
      </c>
    </row>
    <row r="994" spans="1:18" x14ac:dyDescent="0.35">
      <c r="A994" s="34">
        <v>1084</v>
      </c>
      <c r="B994" s="34" t="str">
        <f>_xlfn.XLOOKUP(Table2[[#This Row],[Product ID]],Sheet1!$A$32:$A$200,Sheet1!$B$32:$B$200,"Not Found")</f>
        <v>Card Table</v>
      </c>
      <c r="C994" s="35">
        <v>44976</v>
      </c>
      <c r="D994" s="34" t="s">
        <v>24</v>
      </c>
      <c r="E994" s="34" t="str" cm="1">
        <f t="array" ref="E994">_xlfn.XLOOKUP(Table2[[#This Row],[Sales Rep]],Sheet1!$A$21:$A$25,Sheet1!$B$21:$B$25,Not Found)</f>
        <v>Hogan Rock</v>
      </c>
      <c r="F994" s="34" t="s">
        <v>21</v>
      </c>
      <c r="G994" s="34">
        <f>_xlfn.XLOOKUP(Table2[[#This Row],[Region]],Sheet1!$A$12:$A$15,Sheet1!$B$12:$B$15,0)</f>
        <v>0.08</v>
      </c>
      <c r="H994" s="36">
        <f>Table2[[#This Row],[Tax Rate]]*Table2[[#This Row],[Sales Amount]]</f>
        <v>172.37279999999998</v>
      </c>
      <c r="I994" s="36">
        <v>2154.66</v>
      </c>
      <c r="J994" s="34">
        <v>35</v>
      </c>
      <c r="K994" s="34" t="s">
        <v>26</v>
      </c>
      <c r="L994" s="36">
        <v>465.61</v>
      </c>
      <c r="M994" s="36">
        <v>812.91</v>
      </c>
      <c r="N994" s="34" t="s">
        <v>30</v>
      </c>
      <c r="O994" s="37">
        <v>0.16</v>
      </c>
      <c r="P994" s="34" t="s">
        <v>27</v>
      </c>
      <c r="Q994" s="34" t="s">
        <v>19</v>
      </c>
      <c r="R994" s="34" t="str">
        <f>IF(Cleaned_Final!$I994&gt;=5000,"High","Low")</f>
        <v>Low</v>
      </c>
    </row>
    <row r="995" spans="1:18" x14ac:dyDescent="0.35">
      <c r="A995" s="38">
        <v>1025</v>
      </c>
      <c r="B995" s="38" t="str">
        <f>_xlfn.XLOOKUP(Table2[[#This Row],[Product ID]],Sheet1!$A$32:$A$200,Sheet1!$B$32:$B$200,"Not Found")</f>
        <v>Mayonnaise</v>
      </c>
      <c r="C995" s="39">
        <v>45103</v>
      </c>
      <c r="D995" s="38" t="s">
        <v>24</v>
      </c>
      <c r="E995" s="38" t="str" cm="1">
        <f t="array" ref="E995">_xlfn.XLOOKUP(Table2[[#This Row],[Sales Rep]],Sheet1!$A$21:$A$25,Sheet1!$B$21:$B$25,Not Found)</f>
        <v>Hogan Rock</v>
      </c>
      <c r="F995" s="38" t="s">
        <v>15</v>
      </c>
      <c r="G995" s="38">
        <f>_xlfn.XLOOKUP(Table2[[#This Row],[Region]],Sheet1!$A$12:$A$15,Sheet1!$B$12:$B$15,0)</f>
        <v>7.4999999999999997E-2</v>
      </c>
      <c r="H995" s="40">
        <f>Table2[[#This Row],[Tax Rate]]*Table2[[#This Row],[Sales Amount]]</f>
        <v>184.32374999999999</v>
      </c>
      <c r="I995" s="40">
        <v>2457.65</v>
      </c>
      <c r="J995" s="38">
        <v>47</v>
      </c>
      <c r="K995" s="38" t="s">
        <v>16</v>
      </c>
      <c r="L995" s="40">
        <v>3861.61</v>
      </c>
      <c r="M995" s="40">
        <v>3998.91</v>
      </c>
      <c r="N995" s="38" t="s">
        <v>30</v>
      </c>
      <c r="O995" s="41">
        <v>0.25</v>
      </c>
      <c r="P995" s="38" t="s">
        <v>31</v>
      </c>
      <c r="Q995" s="38" t="s">
        <v>19</v>
      </c>
      <c r="R995" s="38" t="str">
        <f>IF(Cleaned_Final!$I995&gt;=5000,"High","Low")</f>
        <v>Low</v>
      </c>
    </row>
    <row r="996" spans="1:18" x14ac:dyDescent="0.35">
      <c r="A996" s="34">
        <v>1068</v>
      </c>
      <c r="B996" s="34" t="str">
        <f>_xlfn.XLOOKUP(Table2[[#This Row],[Product ID]],Sheet1!$A$32:$A$200,Sheet1!$B$32:$B$200,"Not Found")</f>
        <v>Leggings</v>
      </c>
      <c r="C996" s="35">
        <v>45022</v>
      </c>
      <c r="D996" s="34" t="s">
        <v>42</v>
      </c>
      <c r="E996" s="34" t="str" cm="1">
        <f t="array" ref="E996">_xlfn.XLOOKUP(Table2[[#This Row],[Sales Rep]],Sheet1!$A$21:$A$25,Sheet1!$B$21:$B$25,Not Found)</f>
        <v>Scott Wayne</v>
      </c>
      <c r="F996" s="34" t="s">
        <v>25</v>
      </c>
      <c r="G996" s="34">
        <f>_xlfn.XLOOKUP(Table2[[#This Row],[Region]],Sheet1!$A$12:$A$15,Sheet1!$B$12:$B$15,0)</f>
        <v>0.05</v>
      </c>
      <c r="H996" s="36">
        <f>Table2[[#This Row],[Tax Rate]]*Table2[[#This Row],[Sales Amount]]</f>
        <v>454.67500000000001</v>
      </c>
      <c r="I996" s="36">
        <v>9093.5</v>
      </c>
      <c r="J996" s="34">
        <v>31</v>
      </c>
      <c r="K996" s="34" t="s">
        <v>29</v>
      </c>
      <c r="L996" s="36">
        <v>3169.37</v>
      </c>
      <c r="M996" s="36">
        <v>3304.15</v>
      </c>
      <c r="N996" s="34" t="s">
        <v>17</v>
      </c>
      <c r="O996" s="37">
        <v>0.25</v>
      </c>
      <c r="P996" s="34" t="s">
        <v>31</v>
      </c>
      <c r="Q996" s="34" t="s">
        <v>22</v>
      </c>
      <c r="R996" s="34" t="str">
        <f>IF(Cleaned_Final!$I996&gt;=5000,"High","Low")</f>
        <v>High</v>
      </c>
    </row>
    <row r="997" spans="1:18" x14ac:dyDescent="0.35">
      <c r="A997" s="38">
        <v>1010</v>
      </c>
      <c r="B997" s="38" t="str">
        <f>_xlfn.XLOOKUP(Table2[[#This Row],[Product ID]],Sheet1!$A$32:$A$200,Sheet1!$B$32:$B$200,"Not Found")</f>
        <v>Lawn Chair</v>
      </c>
      <c r="C997" s="39">
        <v>45031</v>
      </c>
      <c r="D997" s="38" t="s">
        <v>33</v>
      </c>
      <c r="E997" s="38" t="str" cm="1">
        <f t="array" ref="E997">_xlfn.XLOOKUP(Table2[[#This Row],[Sales Rep]],Sheet1!$A$21:$A$25,Sheet1!$B$21:$B$25,Not Found)</f>
        <v>Susan Jerkins</v>
      </c>
      <c r="F997" s="38" t="s">
        <v>15</v>
      </c>
      <c r="G997" s="38">
        <f>_xlfn.XLOOKUP(Table2[[#This Row],[Region]],Sheet1!$A$12:$A$15,Sheet1!$B$12:$B$15,0)</f>
        <v>7.4999999999999997E-2</v>
      </c>
      <c r="H997" s="40">
        <f>Table2[[#This Row],[Tax Rate]]*Table2[[#This Row],[Sales Amount]]</f>
        <v>355.041</v>
      </c>
      <c r="I997" s="40">
        <v>4733.88</v>
      </c>
      <c r="J997" s="38">
        <v>4</v>
      </c>
      <c r="K997" s="38" t="s">
        <v>26</v>
      </c>
      <c r="L997" s="40">
        <v>4943.03</v>
      </c>
      <c r="M997" s="40">
        <v>5442.15</v>
      </c>
      <c r="N997" s="38" t="s">
        <v>17</v>
      </c>
      <c r="O997" s="41">
        <v>0.28999999999999998</v>
      </c>
      <c r="P997" s="38" t="s">
        <v>18</v>
      </c>
      <c r="Q997" s="38" t="s">
        <v>19</v>
      </c>
      <c r="R997" s="38" t="str">
        <f>IF(Cleaned_Final!$I997&gt;=5000,"High","Low")</f>
        <v>Low</v>
      </c>
    </row>
    <row r="998" spans="1:18" x14ac:dyDescent="0.35">
      <c r="A998" s="34">
        <v>1067</v>
      </c>
      <c r="B998" s="34" t="str">
        <f>_xlfn.XLOOKUP(Table2[[#This Row],[Product ID]],Sheet1!$A$32:$A$200,Sheet1!$B$32:$B$200,"Not Found")</f>
        <v>Grapes</v>
      </c>
      <c r="C998" s="35">
        <v>45176</v>
      </c>
      <c r="D998" s="34" t="s">
        <v>14</v>
      </c>
      <c r="E998" s="34" t="str" cm="1">
        <f t="array" ref="E998">_xlfn.XLOOKUP(Table2[[#This Row],[Sales Rep]],Sheet1!$A$21:$A$25,Sheet1!$B$21:$B$25,Not Found)</f>
        <v>Michael Smith</v>
      </c>
      <c r="F998" s="34" t="s">
        <v>15</v>
      </c>
      <c r="G998" s="34">
        <f>_xlfn.XLOOKUP(Table2[[#This Row],[Region]],Sheet1!$A$12:$A$15,Sheet1!$B$12:$B$15,0)</f>
        <v>7.4999999999999997E-2</v>
      </c>
      <c r="H998" s="36">
        <f>Table2[[#This Row],[Tax Rate]]*Table2[[#This Row],[Sales Amount]]</f>
        <v>353.72699999999998</v>
      </c>
      <c r="I998" s="36">
        <v>4716.3599999999997</v>
      </c>
      <c r="J998" s="34">
        <v>37</v>
      </c>
      <c r="K998" s="34" t="s">
        <v>29</v>
      </c>
      <c r="L998" s="36">
        <v>1754.32</v>
      </c>
      <c r="M998" s="36">
        <v>1856.3999999999901</v>
      </c>
      <c r="N998" s="34" t="s">
        <v>30</v>
      </c>
      <c r="O998" s="37">
        <v>0.21</v>
      </c>
      <c r="P998" s="34" t="s">
        <v>27</v>
      </c>
      <c r="Q998" s="34" t="s">
        <v>22</v>
      </c>
      <c r="R998" s="34" t="str">
        <f>IF(Cleaned_Final!$I998&gt;=5000,"High","Low")</f>
        <v>Low</v>
      </c>
    </row>
    <row r="999" spans="1:18" x14ac:dyDescent="0.35">
      <c r="A999" s="38">
        <v>1018</v>
      </c>
      <c r="B999" s="38" t="str">
        <f>_xlfn.XLOOKUP(Table2[[#This Row],[Product ID]],Sheet1!$A$32:$A$200,Sheet1!$B$32:$B$200,"Not Found")</f>
        <v>Dress Shirt</v>
      </c>
      <c r="C999" s="39">
        <v>45043</v>
      </c>
      <c r="D999" s="38" t="s">
        <v>24</v>
      </c>
      <c r="E999" s="38" t="str" cm="1">
        <f t="array" ref="E999">_xlfn.XLOOKUP(Table2[[#This Row],[Sales Rep]],Sheet1!$A$21:$A$25,Sheet1!$B$21:$B$25,Not Found)</f>
        <v>Hogan Rock</v>
      </c>
      <c r="F999" s="38" t="s">
        <v>25</v>
      </c>
      <c r="G999" s="38">
        <f>_xlfn.XLOOKUP(Table2[[#This Row],[Region]],Sheet1!$A$12:$A$15,Sheet1!$B$12:$B$15,0)</f>
        <v>0.05</v>
      </c>
      <c r="H999" s="40">
        <f>Table2[[#This Row],[Tax Rate]]*Table2[[#This Row],[Sales Amount]]</f>
        <v>381.48500000000001</v>
      </c>
      <c r="I999" s="40">
        <v>7629.7</v>
      </c>
      <c r="J999" s="38">
        <v>17</v>
      </c>
      <c r="K999" s="38" t="s">
        <v>29</v>
      </c>
      <c r="L999" s="40">
        <v>355.72</v>
      </c>
      <c r="M999" s="40">
        <v>438.27</v>
      </c>
      <c r="N999" s="38" t="s">
        <v>17</v>
      </c>
      <c r="O999" s="41">
        <v>0.06</v>
      </c>
      <c r="P999" s="38" t="s">
        <v>27</v>
      </c>
      <c r="Q999" s="38" t="s">
        <v>19</v>
      </c>
      <c r="R999" s="38" t="str">
        <f>IF(Cleaned_Final!$I999&gt;=5000,"High","Low")</f>
        <v>High</v>
      </c>
    </row>
    <row r="1000" spans="1:18" x14ac:dyDescent="0.35">
      <c r="A1000" s="34">
        <v>1100</v>
      </c>
      <c r="B1000" s="34" t="str">
        <f>_xlfn.XLOOKUP(Table2[[#This Row],[Product ID]],Sheet1!$A$32:$A$200,Sheet1!$B$32:$B$200,"Not Found")</f>
        <v>Protein Cookies</v>
      </c>
      <c r="C1000" s="35">
        <v>45280</v>
      </c>
      <c r="D1000" s="34" t="s">
        <v>24</v>
      </c>
      <c r="E1000" s="34" t="str" cm="1">
        <f t="array" ref="E1000">_xlfn.XLOOKUP(Table2[[#This Row],[Sales Rep]],Sheet1!$A$21:$A$25,Sheet1!$B$21:$B$25,Not Found)</f>
        <v>Hogan Rock</v>
      </c>
      <c r="F1000" s="34" t="s">
        <v>21</v>
      </c>
      <c r="G1000" s="34">
        <f>_xlfn.XLOOKUP(Table2[[#This Row],[Region]],Sheet1!$A$12:$A$15,Sheet1!$B$12:$B$15,0)</f>
        <v>0.08</v>
      </c>
      <c r="H1000" s="36">
        <f>Table2[[#This Row],[Tax Rate]]*Table2[[#This Row],[Sales Amount]]</f>
        <v>130.35759999999999</v>
      </c>
      <c r="I1000" s="36">
        <v>1629.47</v>
      </c>
      <c r="J1000" s="34">
        <v>39</v>
      </c>
      <c r="K1000" s="34" t="s">
        <v>35</v>
      </c>
      <c r="L1000" s="36">
        <v>3685.03</v>
      </c>
      <c r="M1000" s="36">
        <v>3743.39</v>
      </c>
      <c r="N1000" s="34" t="s">
        <v>30</v>
      </c>
      <c r="O1000" s="37">
        <v>0.01</v>
      </c>
      <c r="P1000" s="34" t="s">
        <v>27</v>
      </c>
      <c r="Q1000" s="34" t="s">
        <v>19</v>
      </c>
      <c r="R1000" s="34" t="str">
        <f>IF(Cleaned_Final!$I1000&gt;=5000,"High","Low")</f>
        <v>Low</v>
      </c>
    </row>
    <row r="1001" spans="1:18" x14ac:dyDescent="0.35">
      <c r="A1001" s="38">
        <v>1086</v>
      </c>
      <c r="B1001" s="38" t="str">
        <f>_xlfn.XLOOKUP(Table2[[#This Row],[Product ID]],Sheet1!$A$32:$A$200,Sheet1!$B$32:$B$200,"Not Found")</f>
        <v>Gaming Console</v>
      </c>
      <c r="C1001" s="39">
        <v>45154</v>
      </c>
      <c r="D1001" s="38" t="s">
        <v>42</v>
      </c>
      <c r="E1001" s="38" t="str" cm="1">
        <f t="array" ref="E1001">_xlfn.XLOOKUP(Table2[[#This Row],[Sales Rep]],Sheet1!$A$21:$A$25,Sheet1!$B$21:$B$25,Not Found)</f>
        <v>Scott Wayne</v>
      </c>
      <c r="F1001" s="38" t="s">
        <v>34</v>
      </c>
      <c r="G1001" s="38">
        <f>_xlfn.XLOOKUP(Table2[[#This Row],[Region]],Sheet1!$A$12:$A$15,Sheet1!$B$12:$B$15,0)</f>
        <v>0.06</v>
      </c>
      <c r="H1001" s="40">
        <f>Table2[[#This Row],[Tax Rate]]*Table2[[#This Row],[Sales Amount]]</f>
        <v>295.43580000000003</v>
      </c>
      <c r="I1001" s="40">
        <v>4923.93</v>
      </c>
      <c r="J1001" s="38">
        <v>48</v>
      </c>
      <c r="K1001" s="38" t="s">
        <v>26</v>
      </c>
      <c r="L1001" s="40">
        <v>2632.58</v>
      </c>
      <c r="M1001" s="40">
        <v>2926.68</v>
      </c>
      <c r="N1001" s="38" t="s">
        <v>17</v>
      </c>
      <c r="O1001" s="41">
        <v>0.14000000000000001</v>
      </c>
      <c r="P1001" s="38" t="s">
        <v>18</v>
      </c>
      <c r="Q1001" s="38" t="s">
        <v>19</v>
      </c>
      <c r="R1001" s="38" t="str">
        <f>IF(Cleaned_Final!$I1001&gt;=5000,"High","Low")</f>
        <v>Low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CDA63-7F59-45DF-8201-E4C6EF711CC4}">
  <dimension ref="A1:I2000"/>
  <sheetViews>
    <sheetView topLeftCell="A118" zoomScaleNormal="100" workbookViewId="0">
      <selection activeCell="D35" sqref="D35"/>
    </sheetView>
  </sheetViews>
  <sheetFormatPr defaultRowHeight="14.5" x14ac:dyDescent="0.35"/>
  <cols>
    <col min="1" max="1" width="13.36328125" customWidth="1"/>
    <col min="2" max="2" width="22" bestFit="1" customWidth="1"/>
    <col min="3" max="3" width="15.453125" bestFit="1" customWidth="1"/>
    <col min="4" max="4" width="15.81640625" bestFit="1" customWidth="1"/>
    <col min="5" max="5" width="21.7265625" bestFit="1" customWidth="1"/>
    <col min="6" max="6" width="30" bestFit="1" customWidth="1"/>
    <col min="7" max="7" width="35.81640625" bestFit="1" customWidth="1"/>
    <col min="8" max="8" width="10.81640625" bestFit="1" customWidth="1"/>
  </cols>
  <sheetData>
    <row r="1" spans="1:9" x14ac:dyDescent="0.35">
      <c r="A1" s="6" t="s">
        <v>126</v>
      </c>
      <c r="B1" s="6" t="s">
        <v>127</v>
      </c>
      <c r="C1" s="3" t="s">
        <v>121</v>
      </c>
      <c r="D1" s="3" t="s">
        <v>129</v>
      </c>
      <c r="E1" s="3" t="s">
        <v>130</v>
      </c>
      <c r="F1" s="3" t="s">
        <v>139</v>
      </c>
      <c r="G1" s="3" t="s">
        <v>140</v>
      </c>
    </row>
    <row r="2" spans="1:9" x14ac:dyDescent="0.35">
      <c r="A2" s="3" t="s">
        <v>34</v>
      </c>
      <c r="B2">
        <f>SUMIFS(Cleaned_Final!$I:$I,Cleaned_Final!$E:$E,Sheet1!A2)</f>
        <v>0</v>
      </c>
      <c r="C2">
        <f>COUNTIF(Cleaned_Final!E:E,Sheet1!A2)</f>
        <v>0</v>
      </c>
      <c r="D2">
        <f>COUNTIFS(Cleaned_Final!$E:$E,Sheet1!A2,Cleaned_Final!$N:$N,"New")</f>
        <v>0</v>
      </c>
      <c r="E2">
        <f>COUNTIFS(Cleaned_Final!$E:$E,Sheet1!A2,Cleaned_Final!$N:$N,"Returning")</f>
        <v>0</v>
      </c>
      <c r="F2">
        <f>SUMIFS(Cleaned_Final!$I:$I,Cleaned_Final!$E:$E,Sheet1!A2,Cleaned_Final!$N:$N,"New")</f>
        <v>0</v>
      </c>
      <c r="G2">
        <f>SUMIFS(Cleaned_Final!$I:$I,Cleaned_Final!$E:$E,Sheet1!A2,Cleaned_Final!$N:$N,"Returning")</f>
        <v>0</v>
      </c>
      <c r="H2">
        <f>SUMIFS(Cleaned_Final!$I:$I,Cleaned_Final!$E:$E,Sheet1!A2,Cleaned_Final!$N:$N,"Returning")+SUMIFS(Cleaned_Final!$I:$I,Cleaned_Final!$E:$E,Sheet1!A2,Cleaned_Final!$N:$N,"New")</f>
        <v>0</v>
      </c>
      <c r="I2">
        <f>SUMIFS(Cleaned_Final!I:I,Cleaned_Final!E:E,Sheet1!A2,Cleaned_Final!N:N,"New")</f>
        <v>0</v>
      </c>
    </row>
    <row r="3" spans="1:9" x14ac:dyDescent="0.35">
      <c r="A3" s="3" t="s">
        <v>15</v>
      </c>
      <c r="B3">
        <f>SUMIFS(Cleaned_Final!$I:$I,Cleaned_Final!$E:$E,Sheet1!A3)</f>
        <v>0</v>
      </c>
      <c r="C3">
        <f>COUNTIF(Cleaned_Final!E:E,Sheet1!A3)</f>
        <v>0</v>
      </c>
      <c r="D3">
        <f>COUNTIFS(Cleaned_Final!$E:$E,Sheet1!A3,Cleaned_Final!$N:$N,"New")</f>
        <v>0</v>
      </c>
      <c r="E3">
        <f>COUNTIFS(Cleaned_Final!$E:$E,Sheet1!A3,Cleaned_Final!$N:$N,"Returning")</f>
        <v>0</v>
      </c>
      <c r="F3">
        <f>SUMIFS(Cleaned_Final!$I:$I,Cleaned_Final!$E:$E,Sheet1!A3,Cleaned_Final!$N:$N,"New")</f>
        <v>0</v>
      </c>
      <c r="G3">
        <f>SUMIFS(Cleaned_Final!$I:$I,Cleaned_Final!$E:$E,Sheet1!A3,Cleaned_Final!$N:$N,"Returning")</f>
        <v>0</v>
      </c>
      <c r="H3">
        <f>SUMIFS(Cleaned_Final!$I:$I,Cleaned_Final!$E:$E,Sheet1!A3,Cleaned_Final!$N:$N,"Returning")+SUMIFS(Cleaned_Final!$I:$I,Cleaned_Final!$E:$E,Sheet1!A3,Cleaned_Final!$N:$N,"New")</f>
        <v>0</v>
      </c>
      <c r="I3">
        <f>SUMIFS(Cleaned_Final!I:I,Cleaned_Final!E:E,Sheet1!A3,Cleaned_Final!N:N,"New")</f>
        <v>0</v>
      </c>
    </row>
    <row r="4" spans="1:9" x14ac:dyDescent="0.35">
      <c r="A4" s="3" t="s">
        <v>25</v>
      </c>
      <c r="B4">
        <f>SUMIFS(Cleaned_Final!$I:$I,Cleaned_Final!$E:$E,Sheet1!A4)</f>
        <v>0</v>
      </c>
      <c r="C4">
        <f>COUNTIF(Cleaned_Final!E:E,Sheet1!A4)</f>
        <v>0</v>
      </c>
      <c r="D4">
        <f>COUNTIFS(Cleaned_Final!$E:$E,Sheet1!A4,Cleaned_Final!$N:$N,"New")</f>
        <v>0</v>
      </c>
      <c r="E4">
        <f>COUNTIFS(Cleaned_Final!$E:$E,Sheet1!A4,Cleaned_Final!$N:$N,"Returning")</f>
        <v>0</v>
      </c>
      <c r="F4">
        <f>SUMIFS(Cleaned_Final!$I:$I,Cleaned_Final!$E:$E,Sheet1!A4,Cleaned_Final!$N:$N,"New")</f>
        <v>0</v>
      </c>
      <c r="G4">
        <f>SUMIFS(Cleaned_Final!$I:$I,Cleaned_Final!$E:$E,Sheet1!A4,Cleaned_Final!$N:$N,"Returning")</f>
        <v>0</v>
      </c>
      <c r="H4">
        <f>SUMIFS(Cleaned_Final!$I:$I,Cleaned_Final!$E:$E,Sheet1!A4,Cleaned_Final!$N:$N,"Returning")+SUMIFS(Cleaned_Final!$I:$I,Cleaned_Final!$E:$E,Sheet1!A4,Cleaned_Final!$N:$N,"New")</f>
        <v>0</v>
      </c>
      <c r="I4">
        <f>SUMIFS(Cleaned_Final!I:I,Cleaned_Final!E:E,Sheet1!A4,Cleaned_Final!N:N,"New")</f>
        <v>0</v>
      </c>
    </row>
    <row r="5" spans="1:9" x14ac:dyDescent="0.35">
      <c r="A5" s="3" t="s">
        <v>21</v>
      </c>
      <c r="B5">
        <f>SUMIFS(Cleaned_Final!$I:$I,Cleaned_Final!$E:$E,Sheet1!A5)</f>
        <v>0</v>
      </c>
      <c r="C5">
        <f>COUNTIF(Cleaned_Final!E:E,Sheet1!A5)</f>
        <v>0</v>
      </c>
      <c r="D5">
        <f>COUNTIFS(Cleaned_Final!$E:$E,Sheet1!A5,Cleaned_Final!$N:$N,"New")</f>
        <v>0</v>
      </c>
      <c r="E5">
        <f>COUNTIFS(Cleaned_Final!$E:$E,Sheet1!A5,Cleaned_Final!$N:$N,"Returning")</f>
        <v>0</v>
      </c>
      <c r="F5">
        <f>SUMIFS(Cleaned_Final!$I:$I,Cleaned_Final!$E:$E,Sheet1!A5,Cleaned_Final!$N:$N,"New")</f>
        <v>0</v>
      </c>
      <c r="G5">
        <f>SUMIFS(Cleaned_Final!$I:$I,Cleaned_Final!$E:$E,Sheet1!A5,Cleaned_Final!$N:$N,"Returning")</f>
        <v>0</v>
      </c>
      <c r="H5">
        <f>SUMIFS(Cleaned_Final!$I:$I,Cleaned_Final!$E:$E,Sheet1!A5,Cleaned_Final!$N:$N,"Returning")+SUMIFS(Cleaned_Final!$I:$I,Cleaned_Final!$E:$E,Sheet1!A5,Cleaned_Final!$N:$N,"New")</f>
        <v>0</v>
      </c>
      <c r="I5">
        <f>SUMIFS(Cleaned_Final!I:I,Cleaned_Final!E:E,Sheet1!A5,Cleaned_Final!N:N,"New")</f>
        <v>0</v>
      </c>
    </row>
    <row r="10" spans="1:9" ht="15.5" x14ac:dyDescent="0.35">
      <c r="A10" s="13" t="s">
        <v>159</v>
      </c>
      <c r="B10" s="13"/>
    </row>
    <row r="11" spans="1:9" x14ac:dyDescent="0.35">
      <c r="A11" s="3" t="s">
        <v>126</v>
      </c>
      <c r="B11" s="23" t="s">
        <v>158</v>
      </c>
    </row>
    <row r="12" spans="1:9" x14ac:dyDescent="0.35">
      <c r="A12" t="s">
        <v>15</v>
      </c>
      <c r="B12" s="28">
        <v>7.4999999999999997E-2</v>
      </c>
    </row>
    <row r="13" spans="1:9" x14ac:dyDescent="0.35">
      <c r="A13" t="s">
        <v>25</v>
      </c>
      <c r="B13" s="27">
        <v>0.05</v>
      </c>
    </row>
    <row r="14" spans="1:9" x14ac:dyDescent="0.35">
      <c r="A14" t="s">
        <v>34</v>
      </c>
      <c r="B14" s="27">
        <v>0.06</v>
      </c>
    </row>
    <row r="15" spans="1:9" x14ac:dyDescent="0.35">
      <c r="A15" t="s">
        <v>21</v>
      </c>
      <c r="B15" s="27">
        <v>0.08</v>
      </c>
    </row>
    <row r="19" spans="1:6" x14ac:dyDescent="0.35">
      <c r="A19" s="10" t="s">
        <v>165</v>
      </c>
      <c r="B19" s="11"/>
    </row>
    <row r="20" spans="1:6" x14ac:dyDescent="0.35">
      <c r="A20" s="3" t="s">
        <v>166</v>
      </c>
      <c r="B20" s="23" t="s">
        <v>167</v>
      </c>
    </row>
    <row r="21" spans="1:6" x14ac:dyDescent="0.35">
      <c r="A21" t="s">
        <v>14</v>
      </c>
      <c r="B21" s="26" t="s">
        <v>168</v>
      </c>
    </row>
    <row r="22" spans="1:6" x14ac:dyDescent="0.35">
      <c r="A22" t="s">
        <v>24</v>
      </c>
      <c r="B22" s="26" t="s">
        <v>169</v>
      </c>
    </row>
    <row r="23" spans="1:6" x14ac:dyDescent="0.35">
      <c r="A23" t="s">
        <v>33</v>
      </c>
      <c r="B23" s="26" t="s">
        <v>170</v>
      </c>
    </row>
    <row r="24" spans="1:6" x14ac:dyDescent="0.35">
      <c r="A24" t="s">
        <v>38</v>
      </c>
      <c r="B24" s="26" t="s">
        <v>171</v>
      </c>
    </row>
    <row r="25" spans="1:6" x14ac:dyDescent="0.35">
      <c r="A25" t="s">
        <v>42</v>
      </c>
      <c r="B25" s="26" t="s">
        <v>172</v>
      </c>
    </row>
    <row r="30" spans="1:6" ht="15.5" x14ac:dyDescent="0.35">
      <c r="A30" s="13" t="s">
        <v>173</v>
      </c>
      <c r="B30" s="13"/>
      <c r="C30" s="13"/>
    </row>
    <row r="31" spans="1:6" x14ac:dyDescent="0.35">
      <c r="A31" t="s">
        <v>174</v>
      </c>
      <c r="B31" s="26" t="s">
        <v>175</v>
      </c>
      <c r="C31" s="26" t="s">
        <v>176</v>
      </c>
      <c r="F31" s="32"/>
    </row>
    <row r="32" spans="1:6" x14ac:dyDescent="0.35">
      <c r="A32">
        <v>1052</v>
      </c>
      <c r="B32" s="33" t="s">
        <v>177</v>
      </c>
      <c r="C32" s="26" t="s">
        <v>16</v>
      </c>
    </row>
    <row r="33" spans="1:6" x14ac:dyDescent="0.35">
      <c r="A33">
        <v>1093</v>
      </c>
      <c r="B33" s="33" t="s">
        <v>179</v>
      </c>
      <c r="C33" s="26" t="s">
        <v>16</v>
      </c>
      <c r="F33" s="32"/>
    </row>
    <row r="34" spans="1:6" x14ac:dyDescent="0.35">
      <c r="A34">
        <v>1015</v>
      </c>
      <c r="B34" s="33" t="s">
        <v>205</v>
      </c>
      <c r="C34" s="26" t="s">
        <v>26</v>
      </c>
    </row>
    <row r="35" spans="1:6" x14ac:dyDescent="0.35">
      <c r="A35">
        <v>1072</v>
      </c>
      <c r="B35" s="33" t="s">
        <v>228</v>
      </c>
      <c r="C35" s="26" t="s">
        <v>29</v>
      </c>
      <c r="F35" s="32"/>
    </row>
    <row r="36" spans="1:6" x14ac:dyDescent="0.35">
      <c r="A36">
        <v>1061</v>
      </c>
      <c r="B36" s="33" t="s">
        <v>252</v>
      </c>
      <c r="C36" s="26" t="s">
        <v>35</v>
      </c>
    </row>
    <row r="37" spans="1:6" x14ac:dyDescent="0.35">
      <c r="A37">
        <v>1021</v>
      </c>
      <c r="B37" s="33" t="s">
        <v>206</v>
      </c>
      <c r="C37" s="26" t="s">
        <v>26</v>
      </c>
      <c r="F37" s="32"/>
    </row>
    <row r="38" spans="1:6" x14ac:dyDescent="0.35">
      <c r="A38">
        <v>1083</v>
      </c>
      <c r="B38" s="33" t="s">
        <v>182</v>
      </c>
      <c r="C38" s="26" t="s">
        <v>16</v>
      </c>
    </row>
    <row r="39" spans="1:6" x14ac:dyDescent="0.35">
      <c r="A39">
        <v>1087</v>
      </c>
      <c r="B39" s="33" t="s">
        <v>181</v>
      </c>
      <c r="C39" s="26" t="s">
        <v>16</v>
      </c>
      <c r="F39" s="32"/>
    </row>
    <row r="40" spans="1:6" x14ac:dyDescent="0.35">
      <c r="A40">
        <v>1075</v>
      </c>
      <c r="B40" s="33" t="s">
        <v>180</v>
      </c>
      <c r="C40" s="26" t="s">
        <v>16</v>
      </c>
    </row>
    <row r="41" spans="1:6" x14ac:dyDescent="0.35">
      <c r="A41">
        <v>1088</v>
      </c>
      <c r="B41" s="33" t="s">
        <v>178</v>
      </c>
      <c r="C41" s="26" t="s">
        <v>16</v>
      </c>
      <c r="F41" s="32"/>
    </row>
    <row r="42" spans="1:6" x14ac:dyDescent="0.35">
      <c r="A42">
        <v>1100</v>
      </c>
      <c r="B42" s="33" t="s">
        <v>207</v>
      </c>
      <c r="C42" s="26" t="s">
        <v>26</v>
      </c>
    </row>
    <row r="43" spans="1:6" x14ac:dyDescent="0.35">
      <c r="A43">
        <v>1024</v>
      </c>
      <c r="B43" s="33" t="s">
        <v>208</v>
      </c>
      <c r="C43" s="26" t="s">
        <v>26</v>
      </c>
      <c r="F43" s="32"/>
    </row>
    <row r="44" spans="1:6" x14ac:dyDescent="0.35">
      <c r="A44">
        <v>1003</v>
      </c>
      <c r="B44" s="33" t="s">
        <v>187</v>
      </c>
      <c r="C44" s="26" t="s">
        <v>16</v>
      </c>
    </row>
    <row r="45" spans="1:6" x14ac:dyDescent="0.35">
      <c r="A45">
        <v>1022</v>
      </c>
      <c r="B45" s="33" t="s">
        <v>209</v>
      </c>
      <c r="C45" s="26" t="s">
        <v>26</v>
      </c>
      <c r="F45" s="32"/>
    </row>
    <row r="46" spans="1:6" ht="15" customHeight="1" x14ac:dyDescent="0.35">
      <c r="A46">
        <v>1053</v>
      </c>
      <c r="B46" s="33" t="s">
        <v>188</v>
      </c>
      <c r="C46" s="26" t="s">
        <v>16</v>
      </c>
    </row>
    <row r="47" spans="1:6" ht="15" customHeight="1" x14ac:dyDescent="0.35">
      <c r="A47">
        <v>1002</v>
      </c>
      <c r="B47" s="33" t="s">
        <v>189</v>
      </c>
      <c r="C47" s="26" t="s">
        <v>16</v>
      </c>
      <c r="F47" s="32"/>
    </row>
    <row r="48" spans="1:6" x14ac:dyDescent="0.35">
      <c r="A48">
        <v>1030</v>
      </c>
      <c r="B48" s="33" t="s">
        <v>229</v>
      </c>
      <c r="C48" s="26" t="s">
        <v>29</v>
      </c>
    </row>
    <row r="49" spans="1:6" x14ac:dyDescent="0.35">
      <c r="A49">
        <v>1038</v>
      </c>
      <c r="B49" s="33" t="s">
        <v>248</v>
      </c>
      <c r="C49" s="26" t="s">
        <v>29</v>
      </c>
      <c r="F49" s="32"/>
    </row>
    <row r="50" spans="1:6" x14ac:dyDescent="0.35">
      <c r="A50">
        <v>1064</v>
      </c>
      <c r="B50" s="33" t="s">
        <v>253</v>
      </c>
      <c r="C50" s="26" t="s">
        <v>35</v>
      </c>
    </row>
    <row r="51" spans="1:6" x14ac:dyDescent="0.35">
      <c r="A51">
        <v>1060</v>
      </c>
      <c r="B51" s="33" t="s">
        <v>249</v>
      </c>
      <c r="C51" s="26" t="s">
        <v>29</v>
      </c>
    </row>
    <row r="52" spans="1:6" x14ac:dyDescent="0.35">
      <c r="A52">
        <v>1033</v>
      </c>
      <c r="B52" s="33" t="s">
        <v>186</v>
      </c>
      <c r="C52" s="26" t="s">
        <v>16</v>
      </c>
    </row>
    <row r="53" spans="1:6" x14ac:dyDescent="0.35">
      <c r="A53">
        <v>1076</v>
      </c>
      <c r="B53" s="33" t="s">
        <v>250</v>
      </c>
      <c r="C53" s="26" t="s">
        <v>29</v>
      </c>
    </row>
    <row r="54" spans="1:6" x14ac:dyDescent="0.35">
      <c r="A54">
        <v>1058</v>
      </c>
      <c r="B54" s="33" t="s">
        <v>185</v>
      </c>
      <c r="C54" s="26" t="s">
        <v>16</v>
      </c>
    </row>
    <row r="55" spans="1:6" x14ac:dyDescent="0.35">
      <c r="A55">
        <v>1089</v>
      </c>
      <c r="B55" s="33" t="s">
        <v>184</v>
      </c>
      <c r="C55" s="26" t="s">
        <v>16</v>
      </c>
    </row>
    <row r="56" spans="1:6" x14ac:dyDescent="0.35">
      <c r="A56">
        <v>1049</v>
      </c>
      <c r="B56" s="33" t="s">
        <v>183</v>
      </c>
      <c r="C56" s="26" t="s">
        <v>16</v>
      </c>
    </row>
    <row r="57" spans="1:6" x14ac:dyDescent="0.35">
      <c r="A57">
        <v>1091</v>
      </c>
      <c r="B57" s="33" t="s">
        <v>210</v>
      </c>
      <c r="C57" s="26" t="s">
        <v>26</v>
      </c>
    </row>
    <row r="58" spans="1:6" x14ac:dyDescent="0.35">
      <c r="A58">
        <v>1059</v>
      </c>
      <c r="B58" s="33" t="s">
        <v>214</v>
      </c>
      <c r="C58" s="26" t="s">
        <v>26</v>
      </c>
    </row>
    <row r="59" spans="1:6" x14ac:dyDescent="0.35">
      <c r="A59">
        <v>1042</v>
      </c>
      <c r="B59" s="33" t="s">
        <v>213</v>
      </c>
      <c r="C59" s="26" t="s">
        <v>26</v>
      </c>
    </row>
    <row r="60" spans="1:6" x14ac:dyDescent="0.35">
      <c r="A60">
        <v>1092</v>
      </c>
      <c r="B60" s="33" t="s">
        <v>184</v>
      </c>
      <c r="C60" s="26" t="s">
        <v>16</v>
      </c>
    </row>
    <row r="61" spans="1:6" x14ac:dyDescent="0.35">
      <c r="A61">
        <v>1080</v>
      </c>
      <c r="B61" s="33" t="s">
        <v>254</v>
      </c>
      <c r="C61" s="26" t="s">
        <v>35</v>
      </c>
    </row>
    <row r="62" spans="1:6" x14ac:dyDescent="0.35">
      <c r="A62">
        <v>1062</v>
      </c>
      <c r="B62" s="33" t="s">
        <v>251</v>
      </c>
      <c r="C62" s="26" t="s">
        <v>29</v>
      </c>
    </row>
    <row r="63" spans="1:6" x14ac:dyDescent="0.35">
      <c r="A63">
        <v>1047</v>
      </c>
      <c r="B63" s="33" t="s">
        <v>260</v>
      </c>
      <c r="C63" s="26" t="s">
        <v>35</v>
      </c>
    </row>
    <row r="64" spans="1:6" x14ac:dyDescent="0.35">
      <c r="A64">
        <v>1051</v>
      </c>
      <c r="B64" s="33" t="s">
        <v>261</v>
      </c>
      <c r="C64" s="26" t="s">
        <v>35</v>
      </c>
    </row>
    <row r="65" spans="1:3" x14ac:dyDescent="0.35">
      <c r="A65">
        <v>1055</v>
      </c>
      <c r="B65" s="33" t="s">
        <v>190</v>
      </c>
      <c r="C65" s="26" t="s">
        <v>16</v>
      </c>
    </row>
    <row r="66" spans="1:3" x14ac:dyDescent="0.35">
      <c r="A66">
        <v>1007</v>
      </c>
      <c r="B66" s="33" t="s">
        <v>211</v>
      </c>
      <c r="C66" s="26" t="s">
        <v>26</v>
      </c>
    </row>
    <row r="67" spans="1:3" x14ac:dyDescent="0.35">
      <c r="A67">
        <v>1073</v>
      </c>
      <c r="B67" s="33" t="s">
        <v>191</v>
      </c>
      <c r="C67" s="26" t="s">
        <v>16</v>
      </c>
    </row>
    <row r="68" spans="1:3" x14ac:dyDescent="0.35">
      <c r="A68">
        <v>1039</v>
      </c>
      <c r="B68" s="33" t="s">
        <v>230</v>
      </c>
      <c r="C68" s="26" t="s">
        <v>29</v>
      </c>
    </row>
    <row r="69" spans="1:3" x14ac:dyDescent="0.35">
      <c r="A69">
        <v>1018</v>
      </c>
      <c r="B69" s="33" t="s">
        <v>231</v>
      </c>
      <c r="C69" s="26" t="s">
        <v>29</v>
      </c>
    </row>
    <row r="70" spans="1:3" x14ac:dyDescent="0.35">
      <c r="A70">
        <v>1004</v>
      </c>
      <c r="B70" s="33" t="s">
        <v>255</v>
      </c>
      <c r="C70" s="26" t="s">
        <v>35</v>
      </c>
    </row>
    <row r="71" spans="1:3" x14ac:dyDescent="0.35">
      <c r="A71">
        <v>1014</v>
      </c>
      <c r="B71" s="33" t="s">
        <v>212</v>
      </c>
      <c r="C71" s="26" t="s">
        <v>26</v>
      </c>
    </row>
    <row r="72" spans="1:3" x14ac:dyDescent="0.35">
      <c r="A72">
        <v>1009</v>
      </c>
      <c r="B72" s="33" t="s">
        <v>232</v>
      </c>
      <c r="C72" s="26" t="s">
        <v>29</v>
      </c>
    </row>
    <row r="73" spans="1:3" x14ac:dyDescent="0.35">
      <c r="A73">
        <v>1090</v>
      </c>
      <c r="B73" s="33" t="s">
        <v>259</v>
      </c>
      <c r="C73" s="26" t="s">
        <v>35</v>
      </c>
    </row>
    <row r="74" spans="1:3" x14ac:dyDescent="0.35">
      <c r="A74">
        <v>1084</v>
      </c>
      <c r="B74" s="33" t="s">
        <v>192</v>
      </c>
      <c r="C74" s="26" t="s">
        <v>16</v>
      </c>
    </row>
    <row r="75" spans="1:3" x14ac:dyDescent="0.35">
      <c r="A75">
        <v>1071</v>
      </c>
      <c r="B75" s="33" t="s">
        <v>193</v>
      </c>
      <c r="C75" s="26" t="s">
        <v>16</v>
      </c>
    </row>
    <row r="76" spans="1:3" x14ac:dyDescent="0.35">
      <c r="A76">
        <v>1044</v>
      </c>
      <c r="B76" s="33" t="s">
        <v>215</v>
      </c>
      <c r="C76" s="26" t="s">
        <v>26</v>
      </c>
    </row>
    <row r="77" spans="1:3" x14ac:dyDescent="0.35">
      <c r="A77">
        <v>1008</v>
      </c>
      <c r="B77" s="33" t="s">
        <v>233</v>
      </c>
      <c r="C77" s="26" t="s">
        <v>29</v>
      </c>
    </row>
    <row r="78" spans="1:3" x14ac:dyDescent="0.35">
      <c r="A78">
        <v>1035</v>
      </c>
      <c r="B78" s="33" t="s">
        <v>216</v>
      </c>
      <c r="C78" s="26" t="s">
        <v>26</v>
      </c>
    </row>
    <row r="79" spans="1:3" x14ac:dyDescent="0.35">
      <c r="A79">
        <v>1078</v>
      </c>
      <c r="B79" s="33" t="s">
        <v>194</v>
      </c>
      <c r="C79" s="26" t="s">
        <v>16</v>
      </c>
    </row>
    <row r="80" spans="1:3" x14ac:dyDescent="0.35">
      <c r="A80">
        <v>1081</v>
      </c>
      <c r="B80" s="33" t="s">
        <v>195</v>
      </c>
      <c r="C80" s="26" t="s">
        <v>16</v>
      </c>
    </row>
    <row r="81" spans="1:3" x14ac:dyDescent="0.35">
      <c r="A81">
        <v>1036</v>
      </c>
      <c r="B81" s="33" t="s">
        <v>234</v>
      </c>
      <c r="C81" s="26" t="s">
        <v>29</v>
      </c>
    </row>
    <row r="82" spans="1:3" x14ac:dyDescent="0.35">
      <c r="A82">
        <v>1050</v>
      </c>
      <c r="B82" s="33" t="s">
        <v>235</v>
      </c>
      <c r="C82" s="26" t="s">
        <v>29</v>
      </c>
    </row>
    <row r="83" spans="1:3" x14ac:dyDescent="0.35">
      <c r="A83">
        <v>1006</v>
      </c>
      <c r="B83" s="33" t="s">
        <v>258</v>
      </c>
      <c r="C83" s="26" t="s">
        <v>26</v>
      </c>
    </row>
    <row r="84" spans="1:3" x14ac:dyDescent="0.35">
      <c r="A84">
        <v>1054</v>
      </c>
      <c r="B84" s="33" t="s">
        <v>196</v>
      </c>
      <c r="C84" s="26" t="s">
        <v>16</v>
      </c>
    </row>
    <row r="85" spans="1:3" x14ac:dyDescent="0.35">
      <c r="A85">
        <v>1063</v>
      </c>
      <c r="B85" s="33" t="s">
        <v>217</v>
      </c>
      <c r="C85" s="26" t="s">
        <v>26</v>
      </c>
    </row>
    <row r="86" spans="1:3" x14ac:dyDescent="0.35">
      <c r="A86">
        <v>1034</v>
      </c>
      <c r="B86" s="33" t="s">
        <v>236</v>
      </c>
      <c r="C86" s="26" t="s">
        <v>29</v>
      </c>
    </row>
    <row r="87" spans="1:3" x14ac:dyDescent="0.35">
      <c r="A87">
        <v>1074</v>
      </c>
      <c r="B87" s="33" t="s">
        <v>218</v>
      </c>
      <c r="C87" s="26" t="s">
        <v>26</v>
      </c>
    </row>
    <row r="88" spans="1:3" x14ac:dyDescent="0.35">
      <c r="A88">
        <v>1095</v>
      </c>
      <c r="B88" s="33" t="s">
        <v>256</v>
      </c>
      <c r="C88" s="26" t="s">
        <v>35</v>
      </c>
    </row>
    <row r="89" spans="1:3" x14ac:dyDescent="0.35">
      <c r="A89">
        <v>1048</v>
      </c>
      <c r="B89" s="33" t="s">
        <v>197</v>
      </c>
      <c r="C89" s="26" t="s">
        <v>16</v>
      </c>
    </row>
    <row r="90" spans="1:3" x14ac:dyDescent="0.35">
      <c r="A90">
        <v>1040</v>
      </c>
      <c r="B90" s="33" t="s">
        <v>237</v>
      </c>
      <c r="C90" s="26" t="s">
        <v>29</v>
      </c>
    </row>
    <row r="91" spans="1:3" x14ac:dyDescent="0.35">
      <c r="A91">
        <v>1085</v>
      </c>
      <c r="B91" s="33" t="s">
        <v>198</v>
      </c>
      <c r="C91" s="26" t="s">
        <v>16</v>
      </c>
    </row>
    <row r="92" spans="1:3" x14ac:dyDescent="0.35">
      <c r="A92">
        <v>1082</v>
      </c>
      <c r="B92" s="33" t="s">
        <v>257</v>
      </c>
      <c r="C92" s="26" t="s">
        <v>35</v>
      </c>
    </row>
    <row r="93" spans="1:3" x14ac:dyDescent="0.35">
      <c r="A93">
        <v>1026</v>
      </c>
      <c r="B93" s="33" t="s">
        <v>262</v>
      </c>
      <c r="C93" s="26" t="s">
        <v>35</v>
      </c>
    </row>
    <row r="94" spans="1:3" x14ac:dyDescent="0.35">
      <c r="A94">
        <v>1041</v>
      </c>
      <c r="B94" s="33" t="s">
        <v>219</v>
      </c>
      <c r="C94" s="26" t="s">
        <v>26</v>
      </c>
    </row>
    <row r="95" spans="1:3" x14ac:dyDescent="0.35">
      <c r="A95">
        <v>1029</v>
      </c>
      <c r="B95" s="33" t="s">
        <v>238</v>
      </c>
      <c r="C95" s="26" t="s">
        <v>29</v>
      </c>
    </row>
    <row r="96" spans="1:3" x14ac:dyDescent="0.35">
      <c r="A96">
        <v>1045</v>
      </c>
      <c r="B96" s="33" t="s">
        <v>239</v>
      </c>
      <c r="C96" s="26" t="s">
        <v>29</v>
      </c>
    </row>
    <row r="97" spans="1:3" x14ac:dyDescent="0.35">
      <c r="A97">
        <v>1065</v>
      </c>
      <c r="B97" s="33" t="s">
        <v>220</v>
      </c>
      <c r="C97" s="26" t="s">
        <v>26</v>
      </c>
    </row>
    <row r="98" spans="1:3" x14ac:dyDescent="0.35">
      <c r="A98">
        <v>1001</v>
      </c>
      <c r="B98" s="33" t="s">
        <v>263</v>
      </c>
      <c r="C98" s="26" t="s">
        <v>35</v>
      </c>
    </row>
    <row r="99" spans="1:3" x14ac:dyDescent="0.35">
      <c r="A99">
        <v>1011</v>
      </c>
      <c r="B99" s="33" t="s">
        <v>183</v>
      </c>
      <c r="C99" s="26" t="s">
        <v>16</v>
      </c>
    </row>
    <row r="100" spans="1:3" x14ac:dyDescent="0.35">
      <c r="A100">
        <v>1005</v>
      </c>
      <c r="B100" s="33" t="s">
        <v>264</v>
      </c>
      <c r="C100" s="26" t="s">
        <v>35</v>
      </c>
    </row>
    <row r="101" spans="1:3" x14ac:dyDescent="0.35">
      <c r="A101">
        <v>1028</v>
      </c>
      <c r="B101" s="33" t="s">
        <v>240</v>
      </c>
      <c r="C101" s="26" t="s">
        <v>29</v>
      </c>
    </row>
    <row r="102" spans="1:3" x14ac:dyDescent="0.35">
      <c r="A102">
        <v>1012</v>
      </c>
      <c r="B102" s="33" t="s">
        <v>199</v>
      </c>
      <c r="C102" s="26" t="s">
        <v>16</v>
      </c>
    </row>
    <row r="103" spans="1:3" x14ac:dyDescent="0.35">
      <c r="A103">
        <v>1023</v>
      </c>
      <c r="B103" s="33" t="s">
        <v>241</v>
      </c>
      <c r="C103" s="26" t="s">
        <v>29</v>
      </c>
    </row>
    <row r="104" spans="1:3" x14ac:dyDescent="0.35">
      <c r="A104">
        <v>1037</v>
      </c>
      <c r="B104" s="33" t="s">
        <v>247</v>
      </c>
      <c r="C104" s="26" t="s">
        <v>29</v>
      </c>
    </row>
    <row r="105" spans="1:3" x14ac:dyDescent="0.35">
      <c r="A105">
        <v>1099</v>
      </c>
      <c r="B105" s="33" t="s">
        <v>200</v>
      </c>
      <c r="C105" s="26" t="s">
        <v>16</v>
      </c>
    </row>
    <row r="106" spans="1:3" x14ac:dyDescent="0.35">
      <c r="A106">
        <v>1086</v>
      </c>
      <c r="B106" s="33" t="s">
        <v>265</v>
      </c>
      <c r="C106" s="26" t="s">
        <v>35</v>
      </c>
    </row>
    <row r="107" spans="1:3" x14ac:dyDescent="0.35">
      <c r="A107">
        <v>1027</v>
      </c>
      <c r="B107" s="33" t="s">
        <v>221</v>
      </c>
      <c r="C107" s="26" t="s">
        <v>26</v>
      </c>
    </row>
    <row r="108" spans="1:3" x14ac:dyDescent="0.35">
      <c r="A108">
        <v>1079</v>
      </c>
      <c r="B108" s="33" t="s">
        <v>185</v>
      </c>
      <c r="C108" s="26" t="s">
        <v>16</v>
      </c>
    </row>
    <row r="109" spans="1:3" x14ac:dyDescent="0.35">
      <c r="A109">
        <v>1077</v>
      </c>
      <c r="B109" s="33" t="s">
        <v>233</v>
      </c>
      <c r="C109" s="26" t="s">
        <v>29</v>
      </c>
    </row>
    <row r="110" spans="1:3" x14ac:dyDescent="0.35">
      <c r="A110">
        <v>1096</v>
      </c>
      <c r="B110" s="33" t="s">
        <v>266</v>
      </c>
      <c r="C110" s="26" t="s">
        <v>35</v>
      </c>
    </row>
    <row r="111" spans="1:3" x14ac:dyDescent="0.35">
      <c r="A111">
        <v>1094</v>
      </c>
      <c r="B111" s="33" t="s">
        <v>267</v>
      </c>
      <c r="C111" s="26" t="s">
        <v>35</v>
      </c>
    </row>
    <row r="112" spans="1:3" x14ac:dyDescent="0.35">
      <c r="A112">
        <v>1043</v>
      </c>
      <c r="B112" s="33" t="s">
        <v>268</v>
      </c>
      <c r="C112" s="26" t="s">
        <v>35</v>
      </c>
    </row>
    <row r="113" spans="1:3" x14ac:dyDescent="0.35">
      <c r="A113">
        <v>1013</v>
      </c>
      <c r="B113" s="33" t="s">
        <v>269</v>
      </c>
      <c r="C113" s="26" t="s">
        <v>35</v>
      </c>
    </row>
    <row r="114" spans="1:3" x14ac:dyDescent="0.35">
      <c r="A114">
        <v>1032</v>
      </c>
      <c r="B114" s="33" t="s">
        <v>270</v>
      </c>
      <c r="C114" s="26" t="s">
        <v>35</v>
      </c>
    </row>
    <row r="115" spans="1:3" x14ac:dyDescent="0.35">
      <c r="A115">
        <v>1066</v>
      </c>
      <c r="B115" s="33" t="s">
        <v>201</v>
      </c>
      <c r="C115" s="26" t="s">
        <v>16</v>
      </c>
    </row>
    <row r="116" spans="1:3" x14ac:dyDescent="0.35">
      <c r="A116">
        <v>1057</v>
      </c>
      <c r="B116" s="33" t="s">
        <v>222</v>
      </c>
      <c r="C116" s="26" t="s">
        <v>26</v>
      </c>
    </row>
    <row r="117" spans="1:3" x14ac:dyDescent="0.35">
      <c r="A117">
        <v>1097</v>
      </c>
      <c r="B117" s="33" t="s">
        <v>271</v>
      </c>
      <c r="C117" s="26" t="s">
        <v>35</v>
      </c>
    </row>
    <row r="118" spans="1:3" x14ac:dyDescent="0.35">
      <c r="A118">
        <v>1070</v>
      </c>
      <c r="B118" s="33" t="s">
        <v>202</v>
      </c>
      <c r="C118" s="26" t="s">
        <v>16</v>
      </c>
    </row>
    <row r="119" spans="1:3" x14ac:dyDescent="0.35">
      <c r="A119">
        <v>1056</v>
      </c>
      <c r="B119" s="33" t="s">
        <v>246</v>
      </c>
      <c r="C119" s="26" t="s">
        <v>29</v>
      </c>
    </row>
    <row r="120" spans="1:3" x14ac:dyDescent="0.35">
      <c r="A120">
        <v>1019</v>
      </c>
      <c r="B120" s="33" t="s">
        <v>223</v>
      </c>
      <c r="C120" s="26" t="s">
        <v>26</v>
      </c>
    </row>
    <row r="121" spans="1:3" x14ac:dyDescent="0.35">
      <c r="A121">
        <v>1068</v>
      </c>
      <c r="B121" s="33" t="s">
        <v>245</v>
      </c>
      <c r="C121" s="26" t="s">
        <v>29</v>
      </c>
    </row>
    <row r="122" spans="1:3" x14ac:dyDescent="0.35">
      <c r="A122">
        <v>1017</v>
      </c>
      <c r="B122" s="33" t="s">
        <v>224</v>
      </c>
      <c r="C122" s="26" t="s">
        <v>26</v>
      </c>
    </row>
    <row r="123" spans="1:3" x14ac:dyDescent="0.35">
      <c r="A123">
        <v>1069</v>
      </c>
      <c r="B123" s="33" t="s">
        <v>244</v>
      </c>
      <c r="C123" s="26" t="s">
        <v>29</v>
      </c>
    </row>
    <row r="124" spans="1:3" x14ac:dyDescent="0.35">
      <c r="A124">
        <v>1098</v>
      </c>
      <c r="B124" s="33" t="s">
        <v>203</v>
      </c>
      <c r="C124" s="26" t="s">
        <v>16</v>
      </c>
    </row>
    <row r="125" spans="1:3" x14ac:dyDescent="0.35">
      <c r="A125">
        <v>1016</v>
      </c>
      <c r="B125" s="33" t="s">
        <v>272</v>
      </c>
      <c r="C125" s="26" t="s">
        <v>35</v>
      </c>
    </row>
    <row r="126" spans="1:3" x14ac:dyDescent="0.35">
      <c r="A126">
        <v>1020</v>
      </c>
      <c r="B126" s="33" t="s">
        <v>243</v>
      </c>
      <c r="C126" s="26" t="s">
        <v>29</v>
      </c>
    </row>
    <row r="127" spans="1:3" x14ac:dyDescent="0.35">
      <c r="A127">
        <v>1067</v>
      </c>
      <c r="B127" s="33" t="s">
        <v>225</v>
      </c>
      <c r="C127" s="26" t="s">
        <v>26</v>
      </c>
    </row>
    <row r="128" spans="1:3" x14ac:dyDescent="0.35">
      <c r="A128">
        <v>1031</v>
      </c>
      <c r="B128" s="33" t="s">
        <v>226</v>
      </c>
      <c r="C128" s="26" t="s">
        <v>26</v>
      </c>
    </row>
    <row r="129" spans="1:3" x14ac:dyDescent="0.35">
      <c r="A129">
        <v>1025</v>
      </c>
      <c r="B129" s="33" t="s">
        <v>227</v>
      </c>
      <c r="C129" s="26" t="s">
        <v>26</v>
      </c>
    </row>
    <row r="130" spans="1:3" x14ac:dyDescent="0.35">
      <c r="A130">
        <v>1046</v>
      </c>
      <c r="B130" s="33" t="s">
        <v>242</v>
      </c>
      <c r="C130" s="26" t="s">
        <v>29</v>
      </c>
    </row>
    <row r="131" spans="1:3" x14ac:dyDescent="0.35">
      <c r="A131">
        <v>1010</v>
      </c>
      <c r="B131" s="33" t="s">
        <v>204</v>
      </c>
      <c r="C131" s="26" t="s">
        <v>16</v>
      </c>
    </row>
    <row r="132" spans="1:3" x14ac:dyDescent="0.35">
      <c r="B132" s="26"/>
      <c r="C132" s="26"/>
    </row>
    <row r="133" spans="1:3" x14ac:dyDescent="0.35">
      <c r="B133" s="26"/>
      <c r="C133" s="26"/>
    </row>
    <row r="134" spans="1:3" x14ac:dyDescent="0.35">
      <c r="B134" s="26"/>
      <c r="C134" s="26"/>
    </row>
    <row r="135" spans="1:3" x14ac:dyDescent="0.35">
      <c r="B135" s="26"/>
      <c r="C135" s="26"/>
    </row>
    <row r="136" spans="1:3" x14ac:dyDescent="0.35">
      <c r="B136" s="26"/>
      <c r="C136" s="26"/>
    </row>
    <row r="137" spans="1:3" x14ac:dyDescent="0.35">
      <c r="B137" s="26"/>
      <c r="C137" s="26"/>
    </row>
    <row r="138" spans="1:3" x14ac:dyDescent="0.35">
      <c r="B138" s="26"/>
      <c r="C138" s="26"/>
    </row>
    <row r="139" spans="1:3" x14ac:dyDescent="0.35">
      <c r="B139" s="26"/>
      <c r="C139" s="26"/>
    </row>
    <row r="140" spans="1:3" x14ac:dyDescent="0.35">
      <c r="B140" s="26"/>
      <c r="C140" s="26"/>
    </row>
    <row r="141" spans="1:3" x14ac:dyDescent="0.35">
      <c r="B141" s="26"/>
      <c r="C141" s="26"/>
    </row>
    <row r="142" spans="1:3" x14ac:dyDescent="0.35">
      <c r="B142" s="26"/>
      <c r="C142" s="26"/>
    </row>
    <row r="143" spans="1:3" x14ac:dyDescent="0.35">
      <c r="B143" s="26"/>
      <c r="C143" s="26"/>
    </row>
    <row r="144" spans="1:3" x14ac:dyDescent="0.35">
      <c r="B144" s="26"/>
      <c r="C144" s="26"/>
    </row>
    <row r="145" spans="2:3" x14ac:dyDescent="0.35">
      <c r="B145" s="26"/>
      <c r="C145" s="26"/>
    </row>
    <row r="146" spans="2:3" x14ac:dyDescent="0.35">
      <c r="B146" s="26"/>
      <c r="C146" s="26"/>
    </row>
    <row r="147" spans="2:3" x14ac:dyDescent="0.35">
      <c r="B147" s="26"/>
      <c r="C147" s="26"/>
    </row>
    <row r="148" spans="2:3" x14ac:dyDescent="0.35">
      <c r="B148" s="26"/>
      <c r="C148" s="26"/>
    </row>
    <row r="149" spans="2:3" x14ac:dyDescent="0.35">
      <c r="B149" s="26"/>
      <c r="C149" s="26"/>
    </row>
    <row r="150" spans="2:3" x14ac:dyDescent="0.35">
      <c r="B150" s="26"/>
      <c r="C150" s="26"/>
    </row>
    <row r="151" spans="2:3" x14ac:dyDescent="0.35">
      <c r="B151" s="26"/>
      <c r="C151" s="26"/>
    </row>
    <row r="152" spans="2:3" x14ac:dyDescent="0.35">
      <c r="B152" s="26"/>
      <c r="C152" s="26"/>
    </row>
    <row r="153" spans="2:3" x14ac:dyDescent="0.35">
      <c r="B153" s="26"/>
      <c r="C153" s="26"/>
    </row>
    <row r="154" spans="2:3" x14ac:dyDescent="0.35">
      <c r="B154" s="26"/>
      <c r="C154" s="26"/>
    </row>
    <row r="155" spans="2:3" x14ac:dyDescent="0.35">
      <c r="B155" s="26"/>
      <c r="C155" s="26"/>
    </row>
    <row r="156" spans="2:3" x14ac:dyDescent="0.35">
      <c r="B156" s="26"/>
      <c r="C156" s="26"/>
    </row>
    <row r="157" spans="2:3" x14ac:dyDescent="0.35">
      <c r="B157" s="26"/>
      <c r="C157" s="26"/>
    </row>
    <row r="158" spans="2:3" x14ac:dyDescent="0.35">
      <c r="B158" s="26"/>
      <c r="C158" s="26"/>
    </row>
    <row r="159" spans="2:3" x14ac:dyDescent="0.35">
      <c r="B159" s="26"/>
      <c r="C159" s="26"/>
    </row>
    <row r="160" spans="2:3" x14ac:dyDescent="0.35">
      <c r="B160" s="26"/>
      <c r="C160" s="26"/>
    </row>
    <row r="161" spans="2:3" x14ac:dyDescent="0.35">
      <c r="B161" s="26"/>
      <c r="C161" s="26"/>
    </row>
    <row r="162" spans="2:3" x14ac:dyDescent="0.35">
      <c r="B162" s="26"/>
      <c r="C162" s="26"/>
    </row>
    <row r="163" spans="2:3" x14ac:dyDescent="0.35">
      <c r="B163" s="26"/>
      <c r="C163" s="26"/>
    </row>
    <row r="164" spans="2:3" x14ac:dyDescent="0.35">
      <c r="B164" s="26"/>
      <c r="C164" s="26"/>
    </row>
    <row r="165" spans="2:3" x14ac:dyDescent="0.35">
      <c r="B165" s="26"/>
      <c r="C165" s="26"/>
    </row>
    <row r="166" spans="2:3" x14ac:dyDescent="0.35">
      <c r="B166" s="26"/>
      <c r="C166" s="26"/>
    </row>
    <row r="167" spans="2:3" x14ac:dyDescent="0.35">
      <c r="B167" s="26"/>
      <c r="C167" s="26"/>
    </row>
    <row r="168" spans="2:3" x14ac:dyDescent="0.35">
      <c r="B168" s="26"/>
      <c r="C168" s="26"/>
    </row>
    <row r="169" spans="2:3" x14ac:dyDescent="0.35">
      <c r="B169" s="26"/>
      <c r="C169" s="26"/>
    </row>
    <row r="170" spans="2:3" x14ac:dyDescent="0.35">
      <c r="B170" s="26"/>
      <c r="C170" s="26"/>
    </row>
    <row r="171" spans="2:3" x14ac:dyDescent="0.35">
      <c r="B171" s="26"/>
      <c r="C171" s="26"/>
    </row>
    <row r="172" spans="2:3" x14ac:dyDescent="0.35">
      <c r="B172" s="26"/>
      <c r="C172" s="26"/>
    </row>
    <row r="173" spans="2:3" x14ac:dyDescent="0.35">
      <c r="B173" s="26"/>
      <c r="C173" s="26"/>
    </row>
    <row r="174" spans="2:3" x14ac:dyDescent="0.35">
      <c r="B174" s="26"/>
      <c r="C174" s="26"/>
    </row>
    <row r="175" spans="2:3" x14ac:dyDescent="0.35">
      <c r="B175" s="26"/>
      <c r="C175" s="26"/>
    </row>
    <row r="176" spans="2:3" x14ac:dyDescent="0.35">
      <c r="B176" s="26"/>
      <c r="C176" s="26"/>
    </row>
    <row r="177" spans="2:3" x14ac:dyDescent="0.35">
      <c r="B177" s="26"/>
      <c r="C177" s="26"/>
    </row>
    <row r="178" spans="2:3" x14ac:dyDescent="0.35">
      <c r="B178" s="26"/>
      <c r="C178" s="26"/>
    </row>
    <row r="179" spans="2:3" x14ac:dyDescent="0.35">
      <c r="B179" s="26"/>
      <c r="C179" s="26"/>
    </row>
    <row r="180" spans="2:3" x14ac:dyDescent="0.35">
      <c r="B180" s="26"/>
      <c r="C180" s="26"/>
    </row>
    <row r="181" spans="2:3" x14ac:dyDescent="0.35">
      <c r="B181" s="26"/>
      <c r="C181" s="26"/>
    </row>
    <row r="182" spans="2:3" x14ac:dyDescent="0.35">
      <c r="B182" s="26"/>
      <c r="C182" s="26"/>
    </row>
    <row r="183" spans="2:3" x14ac:dyDescent="0.35">
      <c r="B183" s="26"/>
      <c r="C183" s="26"/>
    </row>
    <row r="184" spans="2:3" x14ac:dyDescent="0.35">
      <c r="B184" s="26"/>
      <c r="C184" s="26"/>
    </row>
    <row r="185" spans="2:3" x14ac:dyDescent="0.35">
      <c r="B185" s="26"/>
      <c r="C185" s="26"/>
    </row>
    <row r="186" spans="2:3" x14ac:dyDescent="0.35">
      <c r="B186" s="26"/>
      <c r="C186" s="26"/>
    </row>
    <row r="187" spans="2:3" x14ac:dyDescent="0.35">
      <c r="B187" s="26"/>
      <c r="C187" s="26"/>
    </row>
    <row r="188" spans="2:3" x14ac:dyDescent="0.35">
      <c r="B188" s="26"/>
      <c r="C188" s="26"/>
    </row>
    <row r="189" spans="2:3" x14ac:dyDescent="0.35">
      <c r="B189" s="26"/>
      <c r="C189" s="26"/>
    </row>
    <row r="190" spans="2:3" x14ac:dyDescent="0.35">
      <c r="B190" s="26"/>
      <c r="C190" s="26"/>
    </row>
    <row r="191" spans="2:3" x14ac:dyDescent="0.35">
      <c r="B191" s="26"/>
      <c r="C191" s="26"/>
    </row>
    <row r="192" spans="2:3" x14ac:dyDescent="0.35">
      <c r="B192" s="26"/>
      <c r="C192" s="26"/>
    </row>
    <row r="193" spans="2:3" x14ac:dyDescent="0.35">
      <c r="B193" s="26"/>
      <c r="C193" s="26"/>
    </row>
    <row r="194" spans="2:3" x14ac:dyDescent="0.35">
      <c r="B194" s="26"/>
      <c r="C194" s="26"/>
    </row>
    <row r="195" spans="2:3" x14ac:dyDescent="0.35">
      <c r="B195" s="26"/>
      <c r="C195" s="26"/>
    </row>
    <row r="196" spans="2:3" x14ac:dyDescent="0.35">
      <c r="B196" s="26"/>
      <c r="C196" s="26"/>
    </row>
    <row r="197" spans="2:3" x14ac:dyDescent="0.35">
      <c r="B197" s="26"/>
      <c r="C197" s="26"/>
    </row>
    <row r="198" spans="2:3" x14ac:dyDescent="0.35">
      <c r="B198" s="26"/>
      <c r="C198" s="26"/>
    </row>
    <row r="199" spans="2:3" x14ac:dyDescent="0.35">
      <c r="B199" s="26"/>
      <c r="C199" s="26"/>
    </row>
    <row r="200" spans="2:3" x14ac:dyDescent="0.35">
      <c r="B200" s="26"/>
      <c r="C200" s="26"/>
    </row>
    <row r="201" spans="2:3" x14ac:dyDescent="0.35">
      <c r="B201" s="26"/>
      <c r="C201" s="26"/>
    </row>
    <row r="202" spans="2:3" x14ac:dyDescent="0.35">
      <c r="B202" s="26"/>
      <c r="C202" s="26"/>
    </row>
    <row r="203" spans="2:3" x14ac:dyDescent="0.35">
      <c r="B203" s="26"/>
      <c r="C203" s="26"/>
    </row>
    <row r="204" spans="2:3" x14ac:dyDescent="0.35">
      <c r="B204" s="26"/>
      <c r="C204" s="26"/>
    </row>
    <row r="205" spans="2:3" x14ac:dyDescent="0.35">
      <c r="B205" s="26"/>
      <c r="C205" s="26"/>
    </row>
    <row r="206" spans="2:3" x14ac:dyDescent="0.35">
      <c r="B206" s="26"/>
      <c r="C206" s="26"/>
    </row>
    <row r="207" spans="2:3" x14ac:dyDescent="0.35">
      <c r="B207" s="26"/>
      <c r="C207" s="26"/>
    </row>
    <row r="208" spans="2:3" x14ac:dyDescent="0.35">
      <c r="B208" s="26"/>
      <c r="C208" s="26"/>
    </row>
    <row r="209" spans="2:3" x14ac:dyDescent="0.35">
      <c r="B209" s="26"/>
      <c r="C209" s="26"/>
    </row>
    <row r="210" spans="2:3" x14ac:dyDescent="0.35">
      <c r="B210" s="26"/>
      <c r="C210" s="26"/>
    </row>
    <row r="211" spans="2:3" x14ac:dyDescent="0.35">
      <c r="B211" s="26"/>
      <c r="C211" s="26"/>
    </row>
    <row r="212" spans="2:3" x14ac:dyDescent="0.35">
      <c r="B212" s="26"/>
      <c r="C212" s="26"/>
    </row>
    <row r="213" spans="2:3" x14ac:dyDescent="0.35">
      <c r="B213" s="26"/>
      <c r="C213" s="26"/>
    </row>
    <row r="214" spans="2:3" x14ac:dyDescent="0.35">
      <c r="B214" s="26"/>
      <c r="C214" s="26"/>
    </row>
    <row r="215" spans="2:3" x14ac:dyDescent="0.35">
      <c r="B215" s="26"/>
      <c r="C215" s="26"/>
    </row>
    <row r="216" spans="2:3" x14ac:dyDescent="0.35">
      <c r="B216" s="26"/>
      <c r="C216" s="26"/>
    </row>
    <row r="217" spans="2:3" x14ac:dyDescent="0.35">
      <c r="B217" s="26"/>
      <c r="C217" s="26"/>
    </row>
    <row r="218" spans="2:3" x14ac:dyDescent="0.35">
      <c r="B218" s="26"/>
      <c r="C218" s="26"/>
    </row>
    <row r="219" spans="2:3" x14ac:dyDescent="0.35">
      <c r="B219" s="26"/>
      <c r="C219" s="26"/>
    </row>
    <row r="220" spans="2:3" x14ac:dyDescent="0.35">
      <c r="B220" s="26"/>
      <c r="C220" s="26"/>
    </row>
    <row r="221" spans="2:3" x14ac:dyDescent="0.35">
      <c r="B221" s="26"/>
      <c r="C221" s="26"/>
    </row>
    <row r="222" spans="2:3" x14ac:dyDescent="0.35">
      <c r="B222" s="26"/>
      <c r="C222" s="26"/>
    </row>
    <row r="223" spans="2:3" x14ac:dyDescent="0.35">
      <c r="B223" s="26"/>
      <c r="C223" s="26"/>
    </row>
    <row r="224" spans="2:3" x14ac:dyDescent="0.35">
      <c r="B224" s="26"/>
      <c r="C224" s="26"/>
    </row>
    <row r="225" spans="2:3" x14ac:dyDescent="0.35">
      <c r="B225" s="26"/>
      <c r="C225" s="26"/>
    </row>
    <row r="226" spans="2:3" x14ac:dyDescent="0.35">
      <c r="B226" s="26"/>
      <c r="C226" s="26"/>
    </row>
    <row r="227" spans="2:3" x14ac:dyDescent="0.35">
      <c r="B227" s="26"/>
      <c r="C227" s="26"/>
    </row>
    <row r="228" spans="2:3" x14ac:dyDescent="0.35">
      <c r="B228" s="26"/>
      <c r="C228" s="26"/>
    </row>
    <row r="229" spans="2:3" x14ac:dyDescent="0.35">
      <c r="B229" s="26"/>
      <c r="C229" s="26"/>
    </row>
    <row r="230" spans="2:3" x14ac:dyDescent="0.35">
      <c r="B230" s="26"/>
      <c r="C230" s="26"/>
    </row>
    <row r="231" spans="2:3" x14ac:dyDescent="0.35">
      <c r="B231" s="26"/>
      <c r="C231" s="26"/>
    </row>
    <row r="232" spans="2:3" x14ac:dyDescent="0.35">
      <c r="B232" s="26"/>
      <c r="C232" s="26"/>
    </row>
    <row r="233" spans="2:3" x14ac:dyDescent="0.35">
      <c r="B233" s="26"/>
      <c r="C233" s="26"/>
    </row>
    <row r="234" spans="2:3" x14ac:dyDescent="0.35">
      <c r="B234" s="26"/>
      <c r="C234" s="26"/>
    </row>
    <row r="235" spans="2:3" x14ac:dyDescent="0.35">
      <c r="B235" s="26"/>
      <c r="C235" s="26"/>
    </row>
    <row r="236" spans="2:3" x14ac:dyDescent="0.35">
      <c r="B236" s="26"/>
      <c r="C236" s="26"/>
    </row>
    <row r="237" spans="2:3" x14ac:dyDescent="0.35">
      <c r="B237" s="26"/>
      <c r="C237" s="26"/>
    </row>
    <row r="238" spans="2:3" x14ac:dyDescent="0.35">
      <c r="B238" s="26"/>
      <c r="C238" s="26"/>
    </row>
    <row r="239" spans="2:3" x14ac:dyDescent="0.35">
      <c r="B239" s="26"/>
      <c r="C239" s="26"/>
    </row>
    <row r="240" spans="2:3" x14ac:dyDescent="0.35">
      <c r="B240" s="26"/>
      <c r="C240" s="26"/>
    </row>
    <row r="241" spans="2:3" x14ac:dyDescent="0.35">
      <c r="B241" s="26"/>
      <c r="C241" s="26"/>
    </row>
    <row r="242" spans="2:3" x14ac:dyDescent="0.35">
      <c r="B242" s="26"/>
      <c r="C242" s="26"/>
    </row>
    <row r="243" spans="2:3" x14ac:dyDescent="0.35">
      <c r="B243" s="26"/>
      <c r="C243" s="26"/>
    </row>
    <row r="244" spans="2:3" x14ac:dyDescent="0.35">
      <c r="B244" s="26"/>
      <c r="C244" s="26"/>
    </row>
    <row r="245" spans="2:3" x14ac:dyDescent="0.35">
      <c r="B245" s="26"/>
      <c r="C245" s="26"/>
    </row>
    <row r="246" spans="2:3" x14ac:dyDescent="0.35">
      <c r="B246" s="26"/>
      <c r="C246" s="26"/>
    </row>
    <row r="247" spans="2:3" x14ac:dyDescent="0.35">
      <c r="B247" s="26"/>
      <c r="C247" s="26"/>
    </row>
    <row r="248" spans="2:3" x14ac:dyDescent="0.35">
      <c r="B248" s="26"/>
      <c r="C248" s="26"/>
    </row>
    <row r="249" spans="2:3" x14ac:dyDescent="0.35">
      <c r="B249" s="26"/>
      <c r="C249" s="26"/>
    </row>
    <row r="250" spans="2:3" x14ac:dyDescent="0.35">
      <c r="B250" s="26"/>
      <c r="C250" s="26"/>
    </row>
    <row r="251" spans="2:3" x14ac:dyDescent="0.35">
      <c r="B251" s="26"/>
      <c r="C251" s="26"/>
    </row>
    <row r="252" spans="2:3" x14ac:dyDescent="0.35">
      <c r="B252" s="26"/>
      <c r="C252" s="26"/>
    </row>
    <row r="253" spans="2:3" x14ac:dyDescent="0.35">
      <c r="B253" s="26"/>
      <c r="C253" s="26"/>
    </row>
    <row r="254" spans="2:3" x14ac:dyDescent="0.35">
      <c r="B254" s="26"/>
      <c r="C254" s="26"/>
    </row>
    <row r="255" spans="2:3" x14ac:dyDescent="0.35">
      <c r="B255" s="26"/>
      <c r="C255" s="26"/>
    </row>
    <row r="256" spans="2:3" x14ac:dyDescent="0.35">
      <c r="B256" s="26"/>
      <c r="C256" s="26"/>
    </row>
    <row r="257" spans="2:3" x14ac:dyDescent="0.35">
      <c r="B257" s="26"/>
      <c r="C257" s="26"/>
    </row>
    <row r="258" spans="2:3" x14ac:dyDescent="0.35">
      <c r="B258" s="26"/>
      <c r="C258" s="26"/>
    </row>
    <row r="259" spans="2:3" x14ac:dyDescent="0.35">
      <c r="B259" s="26"/>
      <c r="C259" s="26"/>
    </row>
    <row r="260" spans="2:3" x14ac:dyDescent="0.35">
      <c r="B260" s="26"/>
      <c r="C260" s="26"/>
    </row>
    <row r="261" spans="2:3" x14ac:dyDescent="0.35">
      <c r="B261" s="26"/>
      <c r="C261" s="26"/>
    </row>
    <row r="262" spans="2:3" x14ac:dyDescent="0.35">
      <c r="B262" s="26"/>
      <c r="C262" s="26"/>
    </row>
    <row r="263" spans="2:3" x14ac:dyDescent="0.35">
      <c r="B263" s="26"/>
      <c r="C263" s="26"/>
    </row>
    <row r="264" spans="2:3" x14ac:dyDescent="0.35">
      <c r="B264" s="26"/>
      <c r="C264" s="26"/>
    </row>
    <row r="265" spans="2:3" x14ac:dyDescent="0.35">
      <c r="B265" s="26"/>
      <c r="C265" s="26"/>
    </row>
    <row r="266" spans="2:3" x14ac:dyDescent="0.35">
      <c r="B266" s="26"/>
      <c r="C266" s="26"/>
    </row>
    <row r="267" spans="2:3" x14ac:dyDescent="0.35">
      <c r="B267" s="26"/>
      <c r="C267" s="26"/>
    </row>
    <row r="268" spans="2:3" x14ac:dyDescent="0.35">
      <c r="B268" s="26"/>
      <c r="C268" s="26"/>
    </row>
    <row r="269" spans="2:3" x14ac:dyDescent="0.35">
      <c r="B269" s="26"/>
      <c r="C269" s="26"/>
    </row>
    <row r="270" spans="2:3" x14ac:dyDescent="0.35">
      <c r="B270" s="26"/>
      <c r="C270" s="26"/>
    </row>
    <row r="271" spans="2:3" x14ac:dyDescent="0.35">
      <c r="B271" s="26"/>
      <c r="C271" s="26"/>
    </row>
    <row r="272" spans="2:3" x14ac:dyDescent="0.35">
      <c r="B272" s="26"/>
      <c r="C272" s="26"/>
    </row>
    <row r="273" spans="2:3" x14ac:dyDescent="0.35">
      <c r="B273" s="26"/>
      <c r="C273" s="26"/>
    </row>
    <row r="274" spans="2:3" x14ac:dyDescent="0.35">
      <c r="B274" s="26"/>
      <c r="C274" s="26"/>
    </row>
    <row r="275" spans="2:3" x14ac:dyDescent="0.35">
      <c r="B275" s="26"/>
      <c r="C275" s="26"/>
    </row>
    <row r="276" spans="2:3" x14ac:dyDescent="0.35">
      <c r="B276" s="26"/>
      <c r="C276" s="26"/>
    </row>
    <row r="277" spans="2:3" x14ac:dyDescent="0.35">
      <c r="B277" s="26"/>
      <c r="C277" s="26"/>
    </row>
    <row r="278" spans="2:3" x14ac:dyDescent="0.35">
      <c r="B278" s="26"/>
      <c r="C278" s="26"/>
    </row>
    <row r="279" spans="2:3" x14ac:dyDescent="0.35">
      <c r="B279" s="26"/>
      <c r="C279" s="26"/>
    </row>
    <row r="280" spans="2:3" x14ac:dyDescent="0.35">
      <c r="B280" s="26"/>
      <c r="C280" s="26"/>
    </row>
    <row r="281" spans="2:3" x14ac:dyDescent="0.35">
      <c r="B281" s="26"/>
      <c r="C281" s="26"/>
    </row>
    <row r="282" spans="2:3" x14ac:dyDescent="0.35">
      <c r="B282" s="26"/>
      <c r="C282" s="26"/>
    </row>
    <row r="283" spans="2:3" x14ac:dyDescent="0.35">
      <c r="B283" s="26"/>
      <c r="C283" s="26"/>
    </row>
    <row r="284" spans="2:3" x14ac:dyDescent="0.35">
      <c r="B284" s="26"/>
      <c r="C284" s="26"/>
    </row>
    <row r="285" spans="2:3" x14ac:dyDescent="0.35">
      <c r="B285" s="26"/>
      <c r="C285" s="26"/>
    </row>
    <row r="286" spans="2:3" x14ac:dyDescent="0.35">
      <c r="B286" s="26"/>
      <c r="C286" s="26"/>
    </row>
    <row r="287" spans="2:3" x14ac:dyDescent="0.35">
      <c r="B287" s="26"/>
      <c r="C287" s="26"/>
    </row>
    <row r="288" spans="2:3" x14ac:dyDescent="0.35">
      <c r="B288" s="26"/>
      <c r="C288" s="26"/>
    </row>
    <row r="289" spans="2:3" x14ac:dyDescent="0.35">
      <c r="B289" s="26"/>
      <c r="C289" s="26"/>
    </row>
    <row r="290" spans="2:3" x14ac:dyDescent="0.35">
      <c r="B290" s="26"/>
      <c r="C290" s="26"/>
    </row>
    <row r="291" spans="2:3" x14ac:dyDescent="0.35">
      <c r="B291" s="26"/>
      <c r="C291" s="26"/>
    </row>
    <row r="292" spans="2:3" x14ac:dyDescent="0.35">
      <c r="B292" s="26"/>
      <c r="C292" s="26"/>
    </row>
    <row r="293" spans="2:3" x14ac:dyDescent="0.35">
      <c r="B293" s="26"/>
      <c r="C293" s="26"/>
    </row>
    <row r="294" spans="2:3" x14ac:dyDescent="0.35">
      <c r="B294" s="26"/>
      <c r="C294" s="26"/>
    </row>
    <row r="295" spans="2:3" x14ac:dyDescent="0.35">
      <c r="B295" s="26"/>
      <c r="C295" s="26"/>
    </row>
    <row r="296" spans="2:3" x14ac:dyDescent="0.35">
      <c r="B296" s="26"/>
      <c r="C296" s="26"/>
    </row>
    <row r="297" spans="2:3" x14ac:dyDescent="0.35">
      <c r="B297" s="26"/>
      <c r="C297" s="26"/>
    </row>
    <row r="298" spans="2:3" x14ac:dyDescent="0.35">
      <c r="B298" s="26"/>
      <c r="C298" s="26"/>
    </row>
    <row r="299" spans="2:3" x14ac:dyDescent="0.35">
      <c r="B299" s="26"/>
      <c r="C299" s="26"/>
    </row>
    <row r="300" spans="2:3" x14ac:dyDescent="0.35">
      <c r="B300" s="26"/>
      <c r="C300" s="26"/>
    </row>
    <row r="301" spans="2:3" x14ac:dyDescent="0.35">
      <c r="B301" s="26"/>
      <c r="C301" s="26"/>
    </row>
    <row r="302" spans="2:3" x14ac:dyDescent="0.35">
      <c r="B302" s="26"/>
      <c r="C302" s="26"/>
    </row>
    <row r="303" spans="2:3" x14ac:dyDescent="0.35">
      <c r="B303" s="26"/>
      <c r="C303" s="26"/>
    </row>
    <row r="304" spans="2:3" x14ac:dyDescent="0.35">
      <c r="B304" s="26"/>
      <c r="C304" s="26"/>
    </row>
    <row r="305" spans="2:3" x14ac:dyDescent="0.35">
      <c r="B305" s="26"/>
      <c r="C305" s="26"/>
    </row>
    <row r="306" spans="2:3" x14ac:dyDescent="0.35">
      <c r="B306" s="26"/>
      <c r="C306" s="26"/>
    </row>
    <row r="307" spans="2:3" x14ac:dyDescent="0.35">
      <c r="B307" s="26"/>
      <c r="C307" s="26"/>
    </row>
    <row r="308" spans="2:3" x14ac:dyDescent="0.35">
      <c r="B308" s="26"/>
      <c r="C308" s="26"/>
    </row>
    <row r="309" spans="2:3" x14ac:dyDescent="0.35">
      <c r="B309" s="26"/>
      <c r="C309" s="26"/>
    </row>
    <row r="310" spans="2:3" x14ac:dyDescent="0.35">
      <c r="B310" s="26"/>
      <c r="C310" s="26"/>
    </row>
    <row r="311" spans="2:3" x14ac:dyDescent="0.35">
      <c r="B311" s="26"/>
      <c r="C311" s="26"/>
    </row>
    <row r="312" spans="2:3" x14ac:dyDescent="0.35">
      <c r="B312" s="26"/>
      <c r="C312" s="26"/>
    </row>
    <row r="313" spans="2:3" x14ac:dyDescent="0.35">
      <c r="B313" s="26"/>
      <c r="C313" s="26"/>
    </row>
    <row r="314" spans="2:3" x14ac:dyDescent="0.35">
      <c r="B314" s="26"/>
      <c r="C314" s="26"/>
    </row>
    <row r="315" spans="2:3" x14ac:dyDescent="0.35">
      <c r="B315" s="26"/>
      <c r="C315" s="26"/>
    </row>
    <row r="316" spans="2:3" x14ac:dyDescent="0.35">
      <c r="B316" s="26"/>
      <c r="C316" s="26"/>
    </row>
    <row r="317" spans="2:3" x14ac:dyDescent="0.35">
      <c r="B317" s="26"/>
      <c r="C317" s="26"/>
    </row>
    <row r="318" spans="2:3" x14ac:dyDescent="0.35">
      <c r="B318" s="26"/>
      <c r="C318" s="26"/>
    </row>
    <row r="319" spans="2:3" x14ac:dyDescent="0.35">
      <c r="B319" s="26"/>
      <c r="C319" s="26"/>
    </row>
    <row r="320" spans="2:3" x14ac:dyDescent="0.35">
      <c r="B320" s="26"/>
      <c r="C320" s="26"/>
    </row>
    <row r="321" spans="2:3" x14ac:dyDescent="0.35">
      <c r="B321" s="26"/>
      <c r="C321" s="26"/>
    </row>
    <row r="322" spans="2:3" x14ac:dyDescent="0.35">
      <c r="B322" s="26"/>
      <c r="C322" s="26"/>
    </row>
    <row r="323" spans="2:3" x14ac:dyDescent="0.35">
      <c r="B323" s="26"/>
      <c r="C323" s="26"/>
    </row>
    <row r="324" spans="2:3" x14ac:dyDescent="0.35">
      <c r="B324" s="26"/>
      <c r="C324" s="26"/>
    </row>
    <row r="325" spans="2:3" x14ac:dyDescent="0.35">
      <c r="B325" s="26"/>
      <c r="C325" s="26"/>
    </row>
    <row r="326" spans="2:3" x14ac:dyDescent="0.35">
      <c r="B326" s="26"/>
      <c r="C326" s="26"/>
    </row>
    <row r="327" spans="2:3" x14ac:dyDescent="0.35">
      <c r="B327" s="26"/>
      <c r="C327" s="26"/>
    </row>
    <row r="328" spans="2:3" x14ac:dyDescent="0.35">
      <c r="B328" s="26"/>
      <c r="C328" s="26"/>
    </row>
    <row r="329" spans="2:3" x14ac:dyDescent="0.35">
      <c r="B329" s="26"/>
      <c r="C329" s="26"/>
    </row>
    <row r="330" spans="2:3" x14ac:dyDescent="0.35">
      <c r="B330" s="26"/>
      <c r="C330" s="26"/>
    </row>
    <row r="331" spans="2:3" x14ac:dyDescent="0.35">
      <c r="B331" s="26"/>
      <c r="C331" s="26"/>
    </row>
    <row r="332" spans="2:3" x14ac:dyDescent="0.35">
      <c r="B332" s="26"/>
      <c r="C332" s="26"/>
    </row>
    <row r="333" spans="2:3" x14ac:dyDescent="0.35">
      <c r="B333" s="26"/>
      <c r="C333" s="26"/>
    </row>
    <row r="334" spans="2:3" x14ac:dyDescent="0.35">
      <c r="B334" s="26"/>
      <c r="C334" s="26"/>
    </row>
    <row r="335" spans="2:3" x14ac:dyDescent="0.35">
      <c r="B335" s="26"/>
      <c r="C335" s="26"/>
    </row>
    <row r="336" spans="2:3" x14ac:dyDescent="0.35">
      <c r="B336" s="26"/>
      <c r="C336" s="26"/>
    </row>
    <row r="337" spans="2:3" x14ac:dyDescent="0.35">
      <c r="B337" s="26"/>
      <c r="C337" s="26"/>
    </row>
    <row r="338" spans="2:3" x14ac:dyDescent="0.35">
      <c r="B338" s="26"/>
      <c r="C338" s="26"/>
    </row>
    <row r="339" spans="2:3" x14ac:dyDescent="0.35">
      <c r="B339" s="26"/>
      <c r="C339" s="26"/>
    </row>
    <row r="340" spans="2:3" x14ac:dyDescent="0.35">
      <c r="B340" s="26"/>
      <c r="C340" s="26"/>
    </row>
    <row r="341" spans="2:3" x14ac:dyDescent="0.35">
      <c r="B341" s="26"/>
      <c r="C341" s="26"/>
    </row>
    <row r="342" spans="2:3" x14ac:dyDescent="0.35">
      <c r="B342" s="26"/>
      <c r="C342" s="26"/>
    </row>
    <row r="343" spans="2:3" x14ac:dyDescent="0.35">
      <c r="B343" s="26"/>
      <c r="C343" s="26"/>
    </row>
    <row r="344" spans="2:3" x14ac:dyDescent="0.35">
      <c r="B344" s="26"/>
      <c r="C344" s="26"/>
    </row>
    <row r="345" spans="2:3" x14ac:dyDescent="0.35">
      <c r="B345" s="26"/>
      <c r="C345" s="26"/>
    </row>
    <row r="346" spans="2:3" x14ac:dyDescent="0.35">
      <c r="B346" s="26"/>
      <c r="C346" s="26"/>
    </row>
    <row r="347" spans="2:3" x14ac:dyDescent="0.35">
      <c r="B347" s="26"/>
      <c r="C347" s="26"/>
    </row>
    <row r="348" spans="2:3" x14ac:dyDescent="0.35">
      <c r="B348" s="26"/>
      <c r="C348" s="26"/>
    </row>
    <row r="349" spans="2:3" x14ac:dyDescent="0.35">
      <c r="B349" s="26"/>
      <c r="C349" s="26"/>
    </row>
    <row r="350" spans="2:3" x14ac:dyDescent="0.35">
      <c r="B350" s="26"/>
      <c r="C350" s="26"/>
    </row>
    <row r="351" spans="2:3" x14ac:dyDescent="0.35">
      <c r="B351" s="26"/>
      <c r="C351" s="26"/>
    </row>
    <row r="352" spans="2:3" x14ac:dyDescent="0.35">
      <c r="B352" s="26"/>
      <c r="C352" s="26"/>
    </row>
    <row r="353" spans="2:3" x14ac:dyDescent="0.35">
      <c r="B353" s="26"/>
      <c r="C353" s="26"/>
    </row>
    <row r="354" spans="2:3" x14ac:dyDescent="0.35">
      <c r="B354" s="26"/>
      <c r="C354" s="26"/>
    </row>
    <row r="355" spans="2:3" x14ac:dyDescent="0.35">
      <c r="B355" s="26"/>
      <c r="C355" s="26"/>
    </row>
    <row r="356" spans="2:3" x14ac:dyDescent="0.35">
      <c r="B356" s="26"/>
      <c r="C356" s="26"/>
    </row>
    <row r="357" spans="2:3" x14ac:dyDescent="0.35">
      <c r="B357" s="26"/>
      <c r="C357" s="26"/>
    </row>
    <row r="358" spans="2:3" x14ac:dyDescent="0.35">
      <c r="B358" s="26"/>
      <c r="C358" s="26"/>
    </row>
    <row r="359" spans="2:3" x14ac:dyDescent="0.35">
      <c r="B359" s="26"/>
      <c r="C359" s="26"/>
    </row>
    <row r="360" spans="2:3" x14ac:dyDescent="0.35">
      <c r="B360" s="26"/>
      <c r="C360" s="26"/>
    </row>
    <row r="361" spans="2:3" x14ac:dyDescent="0.35">
      <c r="B361" s="26"/>
      <c r="C361" s="26"/>
    </row>
    <row r="362" spans="2:3" x14ac:dyDescent="0.35">
      <c r="B362" s="26"/>
      <c r="C362" s="26"/>
    </row>
    <row r="363" spans="2:3" x14ac:dyDescent="0.35">
      <c r="B363" s="26"/>
      <c r="C363" s="26"/>
    </row>
    <row r="364" spans="2:3" x14ac:dyDescent="0.35">
      <c r="B364" s="26"/>
      <c r="C364" s="26"/>
    </row>
    <row r="365" spans="2:3" x14ac:dyDescent="0.35">
      <c r="B365" s="26"/>
      <c r="C365" s="26"/>
    </row>
    <row r="366" spans="2:3" x14ac:dyDescent="0.35">
      <c r="B366" s="26"/>
      <c r="C366" s="26"/>
    </row>
    <row r="367" spans="2:3" x14ac:dyDescent="0.35">
      <c r="B367" s="26"/>
      <c r="C367" s="26"/>
    </row>
    <row r="368" spans="2:3" x14ac:dyDescent="0.35">
      <c r="B368" s="26"/>
      <c r="C368" s="26"/>
    </row>
    <row r="369" spans="2:3" x14ac:dyDescent="0.35">
      <c r="B369" s="26"/>
      <c r="C369" s="26"/>
    </row>
    <row r="370" spans="2:3" x14ac:dyDescent="0.35">
      <c r="B370" s="26"/>
      <c r="C370" s="26"/>
    </row>
    <row r="371" spans="2:3" x14ac:dyDescent="0.35">
      <c r="B371" s="26"/>
      <c r="C371" s="26"/>
    </row>
    <row r="372" spans="2:3" x14ac:dyDescent="0.35">
      <c r="B372" s="26"/>
      <c r="C372" s="26"/>
    </row>
    <row r="373" spans="2:3" x14ac:dyDescent="0.35">
      <c r="B373" s="26"/>
      <c r="C373" s="26"/>
    </row>
    <row r="374" spans="2:3" x14ac:dyDescent="0.35">
      <c r="B374" s="26"/>
      <c r="C374" s="26"/>
    </row>
    <row r="375" spans="2:3" x14ac:dyDescent="0.35">
      <c r="B375" s="26"/>
      <c r="C375" s="26"/>
    </row>
    <row r="376" spans="2:3" x14ac:dyDescent="0.35">
      <c r="B376" s="26"/>
      <c r="C376" s="26"/>
    </row>
    <row r="377" spans="2:3" x14ac:dyDescent="0.35">
      <c r="B377" s="26"/>
      <c r="C377" s="26"/>
    </row>
    <row r="378" spans="2:3" x14ac:dyDescent="0.35">
      <c r="B378" s="26"/>
      <c r="C378" s="26"/>
    </row>
    <row r="379" spans="2:3" x14ac:dyDescent="0.35">
      <c r="B379" s="26"/>
      <c r="C379" s="26"/>
    </row>
    <row r="380" spans="2:3" x14ac:dyDescent="0.35">
      <c r="B380" s="26"/>
      <c r="C380" s="26"/>
    </row>
    <row r="381" spans="2:3" x14ac:dyDescent="0.35">
      <c r="B381" s="26"/>
      <c r="C381" s="26"/>
    </row>
    <row r="382" spans="2:3" x14ac:dyDescent="0.35">
      <c r="B382" s="26"/>
      <c r="C382" s="26"/>
    </row>
    <row r="383" spans="2:3" x14ac:dyDescent="0.35">
      <c r="B383" s="26"/>
      <c r="C383" s="26"/>
    </row>
    <row r="384" spans="2:3" x14ac:dyDescent="0.35">
      <c r="B384" s="26"/>
      <c r="C384" s="26"/>
    </row>
    <row r="385" spans="2:3" x14ac:dyDescent="0.35">
      <c r="B385" s="26"/>
      <c r="C385" s="26"/>
    </row>
    <row r="386" spans="2:3" x14ac:dyDescent="0.35">
      <c r="B386" s="26"/>
      <c r="C386" s="26"/>
    </row>
    <row r="387" spans="2:3" x14ac:dyDescent="0.35">
      <c r="B387" s="26"/>
      <c r="C387" s="26"/>
    </row>
    <row r="388" spans="2:3" x14ac:dyDescent="0.35">
      <c r="B388" s="26"/>
      <c r="C388" s="26"/>
    </row>
    <row r="389" spans="2:3" x14ac:dyDescent="0.35">
      <c r="B389" s="26"/>
      <c r="C389" s="26"/>
    </row>
    <row r="390" spans="2:3" x14ac:dyDescent="0.35">
      <c r="B390" s="26"/>
      <c r="C390" s="26"/>
    </row>
    <row r="391" spans="2:3" x14ac:dyDescent="0.35">
      <c r="B391" s="26"/>
      <c r="C391" s="26"/>
    </row>
    <row r="392" spans="2:3" x14ac:dyDescent="0.35">
      <c r="B392" s="26"/>
      <c r="C392" s="26"/>
    </row>
    <row r="393" spans="2:3" x14ac:dyDescent="0.35">
      <c r="B393" s="26"/>
      <c r="C393" s="26"/>
    </row>
    <row r="394" spans="2:3" x14ac:dyDescent="0.35">
      <c r="B394" s="26"/>
      <c r="C394" s="26"/>
    </row>
    <row r="395" spans="2:3" x14ac:dyDescent="0.35">
      <c r="B395" s="26"/>
      <c r="C395" s="26"/>
    </row>
    <row r="396" spans="2:3" x14ac:dyDescent="0.35">
      <c r="B396" s="26"/>
      <c r="C396" s="26"/>
    </row>
    <row r="397" spans="2:3" x14ac:dyDescent="0.35">
      <c r="B397" s="26"/>
      <c r="C397" s="26"/>
    </row>
    <row r="398" spans="2:3" x14ac:dyDescent="0.35">
      <c r="B398" s="26"/>
      <c r="C398" s="26"/>
    </row>
    <row r="399" spans="2:3" x14ac:dyDescent="0.35">
      <c r="B399" s="26"/>
      <c r="C399" s="26"/>
    </row>
    <row r="400" spans="2:3" x14ac:dyDescent="0.35">
      <c r="B400" s="26"/>
      <c r="C400" s="26"/>
    </row>
    <row r="401" spans="2:3" x14ac:dyDescent="0.35">
      <c r="B401" s="26"/>
      <c r="C401" s="26"/>
    </row>
    <row r="402" spans="2:3" x14ac:dyDescent="0.35">
      <c r="B402" s="26"/>
      <c r="C402" s="26"/>
    </row>
    <row r="403" spans="2:3" x14ac:dyDescent="0.35">
      <c r="B403" s="26"/>
      <c r="C403" s="26"/>
    </row>
    <row r="404" spans="2:3" x14ac:dyDescent="0.35">
      <c r="B404" s="26"/>
      <c r="C404" s="26"/>
    </row>
    <row r="405" spans="2:3" x14ac:dyDescent="0.35">
      <c r="B405" s="26"/>
      <c r="C405" s="26"/>
    </row>
    <row r="406" spans="2:3" x14ac:dyDescent="0.35">
      <c r="B406" s="26"/>
      <c r="C406" s="26"/>
    </row>
    <row r="407" spans="2:3" x14ac:dyDescent="0.35">
      <c r="B407" s="26"/>
      <c r="C407" s="26"/>
    </row>
    <row r="408" spans="2:3" x14ac:dyDescent="0.35">
      <c r="B408" s="26"/>
      <c r="C408" s="26"/>
    </row>
    <row r="409" spans="2:3" x14ac:dyDescent="0.35">
      <c r="B409" s="26"/>
      <c r="C409" s="26"/>
    </row>
    <row r="410" spans="2:3" x14ac:dyDescent="0.35">
      <c r="B410" s="26"/>
      <c r="C410" s="26"/>
    </row>
    <row r="411" spans="2:3" x14ac:dyDescent="0.35">
      <c r="B411" s="26"/>
      <c r="C411" s="26"/>
    </row>
    <row r="412" spans="2:3" x14ac:dyDescent="0.35">
      <c r="B412" s="26"/>
      <c r="C412" s="26"/>
    </row>
    <row r="413" spans="2:3" x14ac:dyDescent="0.35">
      <c r="B413" s="26"/>
      <c r="C413" s="26"/>
    </row>
    <row r="414" spans="2:3" x14ac:dyDescent="0.35">
      <c r="B414" s="26"/>
      <c r="C414" s="26"/>
    </row>
    <row r="415" spans="2:3" x14ac:dyDescent="0.35">
      <c r="B415" s="26"/>
      <c r="C415" s="26"/>
    </row>
    <row r="416" spans="2:3" x14ac:dyDescent="0.35">
      <c r="B416" s="26"/>
      <c r="C416" s="26"/>
    </row>
    <row r="417" spans="2:3" x14ac:dyDescent="0.35">
      <c r="B417" s="26"/>
      <c r="C417" s="26"/>
    </row>
    <row r="418" spans="2:3" x14ac:dyDescent="0.35">
      <c r="B418" s="26"/>
      <c r="C418" s="26"/>
    </row>
    <row r="419" spans="2:3" x14ac:dyDescent="0.35">
      <c r="B419" s="26"/>
      <c r="C419" s="26"/>
    </row>
    <row r="420" spans="2:3" x14ac:dyDescent="0.35">
      <c r="B420" s="26"/>
      <c r="C420" s="26"/>
    </row>
    <row r="421" spans="2:3" x14ac:dyDescent="0.35">
      <c r="B421" s="26"/>
      <c r="C421" s="26"/>
    </row>
    <row r="422" spans="2:3" x14ac:dyDescent="0.35">
      <c r="B422" s="26"/>
      <c r="C422" s="26"/>
    </row>
    <row r="423" spans="2:3" x14ac:dyDescent="0.35">
      <c r="B423" s="26"/>
      <c r="C423" s="26"/>
    </row>
    <row r="424" spans="2:3" x14ac:dyDescent="0.35">
      <c r="B424" s="26"/>
      <c r="C424" s="26"/>
    </row>
    <row r="425" spans="2:3" x14ac:dyDescent="0.35">
      <c r="B425" s="26"/>
      <c r="C425" s="26"/>
    </row>
    <row r="426" spans="2:3" x14ac:dyDescent="0.35">
      <c r="B426" s="26"/>
      <c r="C426" s="26"/>
    </row>
    <row r="427" spans="2:3" x14ac:dyDescent="0.35">
      <c r="B427" s="26"/>
      <c r="C427" s="26"/>
    </row>
    <row r="428" spans="2:3" x14ac:dyDescent="0.35">
      <c r="B428" s="26"/>
      <c r="C428" s="26"/>
    </row>
    <row r="429" spans="2:3" x14ac:dyDescent="0.35">
      <c r="B429" s="26"/>
      <c r="C429" s="26"/>
    </row>
    <row r="430" spans="2:3" x14ac:dyDescent="0.35">
      <c r="B430" s="26"/>
      <c r="C430" s="26"/>
    </row>
    <row r="431" spans="2:3" x14ac:dyDescent="0.35">
      <c r="B431" s="26"/>
      <c r="C431" s="26"/>
    </row>
    <row r="432" spans="2:3" x14ac:dyDescent="0.35">
      <c r="B432" s="26"/>
      <c r="C432" s="26"/>
    </row>
    <row r="433" spans="2:3" x14ac:dyDescent="0.35">
      <c r="B433" s="26"/>
      <c r="C433" s="26"/>
    </row>
    <row r="434" spans="2:3" x14ac:dyDescent="0.35">
      <c r="B434" s="26"/>
      <c r="C434" s="26"/>
    </row>
    <row r="435" spans="2:3" x14ac:dyDescent="0.35">
      <c r="B435" s="26"/>
      <c r="C435" s="26"/>
    </row>
    <row r="436" spans="2:3" x14ac:dyDescent="0.35">
      <c r="B436" s="26"/>
      <c r="C436" s="26"/>
    </row>
    <row r="437" spans="2:3" x14ac:dyDescent="0.35">
      <c r="B437" s="26"/>
      <c r="C437" s="26"/>
    </row>
    <row r="438" spans="2:3" x14ac:dyDescent="0.35">
      <c r="B438" s="26"/>
      <c r="C438" s="26"/>
    </row>
    <row r="439" spans="2:3" x14ac:dyDescent="0.35">
      <c r="B439" s="26"/>
      <c r="C439" s="26"/>
    </row>
    <row r="440" spans="2:3" x14ac:dyDescent="0.35">
      <c r="B440" s="26"/>
      <c r="C440" s="26"/>
    </row>
    <row r="441" spans="2:3" x14ac:dyDescent="0.35">
      <c r="B441" s="26"/>
      <c r="C441" s="26"/>
    </row>
    <row r="442" spans="2:3" x14ac:dyDescent="0.35">
      <c r="B442" s="26"/>
      <c r="C442" s="26"/>
    </row>
    <row r="443" spans="2:3" x14ac:dyDescent="0.35">
      <c r="B443" s="26"/>
      <c r="C443" s="26"/>
    </row>
    <row r="444" spans="2:3" x14ac:dyDescent="0.35">
      <c r="B444" s="26"/>
      <c r="C444" s="26"/>
    </row>
    <row r="445" spans="2:3" x14ac:dyDescent="0.35">
      <c r="B445" s="26"/>
      <c r="C445" s="26"/>
    </row>
    <row r="446" spans="2:3" x14ac:dyDescent="0.35">
      <c r="B446" s="26"/>
      <c r="C446" s="26"/>
    </row>
    <row r="447" spans="2:3" x14ac:dyDescent="0.35">
      <c r="B447" s="26"/>
      <c r="C447" s="26"/>
    </row>
    <row r="448" spans="2:3" x14ac:dyDescent="0.35">
      <c r="B448" s="26"/>
      <c r="C448" s="26"/>
    </row>
    <row r="449" spans="2:3" x14ac:dyDescent="0.35">
      <c r="B449" s="26"/>
      <c r="C449" s="26"/>
    </row>
    <row r="450" spans="2:3" x14ac:dyDescent="0.35">
      <c r="B450" s="26"/>
      <c r="C450" s="26"/>
    </row>
    <row r="451" spans="2:3" x14ac:dyDescent="0.35">
      <c r="B451" s="26"/>
      <c r="C451" s="26"/>
    </row>
    <row r="452" spans="2:3" x14ac:dyDescent="0.35">
      <c r="B452" s="26"/>
      <c r="C452" s="26"/>
    </row>
    <row r="453" spans="2:3" x14ac:dyDescent="0.35">
      <c r="B453" s="26"/>
      <c r="C453" s="26"/>
    </row>
    <row r="454" spans="2:3" x14ac:dyDescent="0.35">
      <c r="B454" s="26"/>
      <c r="C454" s="26"/>
    </row>
    <row r="455" spans="2:3" x14ac:dyDescent="0.35">
      <c r="B455" s="26"/>
      <c r="C455" s="26"/>
    </row>
    <row r="456" spans="2:3" x14ac:dyDescent="0.35">
      <c r="B456" s="26"/>
      <c r="C456" s="26"/>
    </row>
    <row r="457" spans="2:3" x14ac:dyDescent="0.35">
      <c r="B457" s="26"/>
      <c r="C457" s="26"/>
    </row>
    <row r="458" spans="2:3" x14ac:dyDescent="0.35">
      <c r="B458" s="26"/>
      <c r="C458" s="26"/>
    </row>
    <row r="459" spans="2:3" x14ac:dyDescent="0.35">
      <c r="B459" s="26"/>
      <c r="C459" s="26"/>
    </row>
    <row r="460" spans="2:3" x14ac:dyDescent="0.35">
      <c r="B460" s="26"/>
      <c r="C460" s="26"/>
    </row>
    <row r="461" spans="2:3" x14ac:dyDescent="0.35">
      <c r="B461" s="26"/>
      <c r="C461" s="26"/>
    </row>
    <row r="462" spans="2:3" x14ac:dyDescent="0.35">
      <c r="B462" s="26"/>
      <c r="C462" s="26"/>
    </row>
    <row r="463" spans="2:3" x14ac:dyDescent="0.35">
      <c r="B463" s="26"/>
      <c r="C463" s="26"/>
    </row>
    <row r="464" spans="2:3" x14ac:dyDescent="0.35">
      <c r="B464" s="26"/>
      <c r="C464" s="26"/>
    </row>
    <row r="465" spans="2:3" x14ac:dyDescent="0.35">
      <c r="B465" s="26"/>
      <c r="C465" s="26"/>
    </row>
    <row r="466" spans="2:3" x14ac:dyDescent="0.35">
      <c r="B466" s="26"/>
      <c r="C466" s="26"/>
    </row>
    <row r="467" spans="2:3" x14ac:dyDescent="0.35">
      <c r="B467" s="26"/>
      <c r="C467" s="26"/>
    </row>
    <row r="468" spans="2:3" x14ac:dyDescent="0.35">
      <c r="B468" s="26"/>
      <c r="C468" s="26"/>
    </row>
    <row r="469" spans="2:3" x14ac:dyDescent="0.35">
      <c r="B469" s="26"/>
      <c r="C469" s="26"/>
    </row>
    <row r="470" spans="2:3" x14ac:dyDescent="0.35">
      <c r="B470" s="26"/>
      <c r="C470" s="26"/>
    </row>
    <row r="471" spans="2:3" x14ac:dyDescent="0.35">
      <c r="B471" s="26"/>
      <c r="C471" s="26"/>
    </row>
    <row r="472" spans="2:3" x14ac:dyDescent="0.35">
      <c r="B472" s="26"/>
      <c r="C472" s="26"/>
    </row>
    <row r="473" spans="2:3" x14ac:dyDescent="0.35">
      <c r="B473" s="26"/>
      <c r="C473" s="26"/>
    </row>
    <row r="474" spans="2:3" x14ac:dyDescent="0.35">
      <c r="B474" s="26"/>
      <c r="C474" s="26"/>
    </row>
    <row r="475" spans="2:3" x14ac:dyDescent="0.35">
      <c r="B475" s="26"/>
      <c r="C475" s="26"/>
    </row>
    <row r="476" spans="2:3" x14ac:dyDescent="0.35">
      <c r="B476" s="26"/>
      <c r="C476" s="26"/>
    </row>
    <row r="477" spans="2:3" x14ac:dyDescent="0.35">
      <c r="B477" s="26"/>
      <c r="C477" s="26"/>
    </row>
    <row r="478" spans="2:3" x14ac:dyDescent="0.35">
      <c r="B478" s="26"/>
      <c r="C478" s="26"/>
    </row>
    <row r="479" spans="2:3" x14ac:dyDescent="0.35">
      <c r="B479" s="26"/>
      <c r="C479" s="26"/>
    </row>
    <row r="480" spans="2:3" x14ac:dyDescent="0.35">
      <c r="B480" s="26"/>
      <c r="C480" s="26"/>
    </row>
    <row r="481" spans="2:3" x14ac:dyDescent="0.35">
      <c r="B481" s="26"/>
      <c r="C481" s="26"/>
    </row>
    <row r="482" spans="2:3" x14ac:dyDescent="0.35">
      <c r="B482" s="26"/>
      <c r="C482" s="26"/>
    </row>
    <row r="483" spans="2:3" x14ac:dyDescent="0.35">
      <c r="B483" s="26"/>
      <c r="C483" s="26"/>
    </row>
    <row r="484" spans="2:3" x14ac:dyDescent="0.35">
      <c r="B484" s="26"/>
      <c r="C484" s="26"/>
    </row>
    <row r="485" spans="2:3" x14ac:dyDescent="0.35">
      <c r="B485" s="26"/>
      <c r="C485" s="26"/>
    </row>
    <row r="486" spans="2:3" x14ac:dyDescent="0.35">
      <c r="B486" s="26"/>
      <c r="C486" s="26"/>
    </row>
    <row r="487" spans="2:3" x14ac:dyDescent="0.35">
      <c r="B487" s="26"/>
      <c r="C487" s="26"/>
    </row>
    <row r="488" spans="2:3" x14ac:dyDescent="0.35">
      <c r="B488" s="26"/>
      <c r="C488" s="26"/>
    </row>
    <row r="489" spans="2:3" x14ac:dyDescent="0.35">
      <c r="B489" s="26"/>
      <c r="C489" s="26"/>
    </row>
    <row r="490" spans="2:3" x14ac:dyDescent="0.35">
      <c r="B490" s="26"/>
      <c r="C490" s="26"/>
    </row>
    <row r="491" spans="2:3" x14ac:dyDescent="0.35">
      <c r="B491" s="26"/>
      <c r="C491" s="26"/>
    </row>
    <row r="492" spans="2:3" x14ac:dyDescent="0.35">
      <c r="B492" s="26"/>
      <c r="C492" s="26"/>
    </row>
    <row r="493" spans="2:3" x14ac:dyDescent="0.35">
      <c r="B493" s="26"/>
      <c r="C493" s="26"/>
    </row>
    <row r="494" spans="2:3" x14ac:dyDescent="0.35">
      <c r="B494" s="26"/>
      <c r="C494" s="26"/>
    </row>
    <row r="495" spans="2:3" x14ac:dyDescent="0.35">
      <c r="B495" s="26"/>
      <c r="C495" s="26"/>
    </row>
    <row r="496" spans="2:3" x14ac:dyDescent="0.35">
      <c r="B496" s="26"/>
      <c r="C496" s="26"/>
    </row>
    <row r="497" spans="2:3" x14ac:dyDescent="0.35">
      <c r="B497" s="26"/>
      <c r="C497" s="26"/>
    </row>
    <row r="498" spans="2:3" x14ac:dyDescent="0.35">
      <c r="B498" s="26"/>
      <c r="C498" s="26"/>
    </row>
    <row r="499" spans="2:3" x14ac:dyDescent="0.35">
      <c r="B499" s="26"/>
      <c r="C499" s="26"/>
    </row>
    <row r="500" spans="2:3" x14ac:dyDescent="0.35">
      <c r="B500" s="26"/>
      <c r="C500" s="26"/>
    </row>
    <row r="501" spans="2:3" x14ac:dyDescent="0.35">
      <c r="B501" s="26"/>
      <c r="C501" s="26"/>
    </row>
    <row r="502" spans="2:3" x14ac:dyDescent="0.35">
      <c r="B502" s="26"/>
      <c r="C502" s="26"/>
    </row>
    <row r="503" spans="2:3" x14ac:dyDescent="0.35">
      <c r="B503" s="26"/>
      <c r="C503" s="26"/>
    </row>
    <row r="504" spans="2:3" x14ac:dyDescent="0.35">
      <c r="B504" s="26"/>
      <c r="C504" s="26"/>
    </row>
    <row r="505" spans="2:3" x14ac:dyDescent="0.35">
      <c r="B505" s="26"/>
      <c r="C505" s="26"/>
    </row>
    <row r="506" spans="2:3" x14ac:dyDescent="0.35">
      <c r="B506" s="26"/>
      <c r="C506" s="26"/>
    </row>
    <row r="507" spans="2:3" x14ac:dyDescent="0.35">
      <c r="B507" s="26"/>
      <c r="C507" s="26"/>
    </row>
    <row r="508" spans="2:3" x14ac:dyDescent="0.35">
      <c r="B508" s="26"/>
      <c r="C508" s="26"/>
    </row>
    <row r="509" spans="2:3" x14ac:dyDescent="0.35">
      <c r="B509" s="26"/>
      <c r="C509" s="26"/>
    </row>
    <row r="510" spans="2:3" x14ac:dyDescent="0.35">
      <c r="B510" s="26"/>
      <c r="C510" s="26"/>
    </row>
    <row r="511" spans="2:3" x14ac:dyDescent="0.35">
      <c r="B511" s="26"/>
      <c r="C511" s="26"/>
    </row>
    <row r="512" spans="2:3" x14ac:dyDescent="0.35">
      <c r="B512" s="26"/>
      <c r="C512" s="26"/>
    </row>
    <row r="513" spans="2:3" x14ac:dyDescent="0.35">
      <c r="B513" s="26"/>
      <c r="C513" s="26"/>
    </row>
    <row r="514" spans="2:3" x14ac:dyDescent="0.35">
      <c r="B514" s="26"/>
      <c r="C514" s="26"/>
    </row>
    <row r="515" spans="2:3" x14ac:dyDescent="0.35">
      <c r="B515" s="26"/>
      <c r="C515" s="26"/>
    </row>
    <row r="516" spans="2:3" x14ac:dyDescent="0.35">
      <c r="B516" s="26"/>
      <c r="C516" s="26"/>
    </row>
    <row r="517" spans="2:3" x14ac:dyDescent="0.35">
      <c r="B517" s="26"/>
      <c r="C517" s="26"/>
    </row>
    <row r="518" spans="2:3" x14ac:dyDescent="0.35">
      <c r="B518" s="26"/>
      <c r="C518" s="26"/>
    </row>
    <row r="519" spans="2:3" x14ac:dyDescent="0.35">
      <c r="B519" s="26"/>
      <c r="C519" s="26"/>
    </row>
    <row r="520" spans="2:3" x14ac:dyDescent="0.35">
      <c r="B520" s="26"/>
      <c r="C520" s="26"/>
    </row>
    <row r="521" spans="2:3" x14ac:dyDescent="0.35">
      <c r="B521" s="26"/>
      <c r="C521" s="26"/>
    </row>
    <row r="522" spans="2:3" x14ac:dyDescent="0.35">
      <c r="B522" s="26"/>
      <c r="C522" s="26"/>
    </row>
    <row r="523" spans="2:3" x14ac:dyDescent="0.35">
      <c r="B523" s="26"/>
      <c r="C523" s="26"/>
    </row>
    <row r="524" spans="2:3" x14ac:dyDescent="0.35">
      <c r="B524" s="26"/>
      <c r="C524" s="26"/>
    </row>
    <row r="525" spans="2:3" x14ac:dyDescent="0.35">
      <c r="B525" s="26"/>
      <c r="C525" s="26"/>
    </row>
    <row r="526" spans="2:3" x14ac:dyDescent="0.35">
      <c r="B526" s="26"/>
      <c r="C526" s="26"/>
    </row>
    <row r="527" spans="2:3" x14ac:dyDescent="0.35">
      <c r="B527" s="26"/>
      <c r="C527" s="26"/>
    </row>
    <row r="528" spans="2:3" x14ac:dyDescent="0.35">
      <c r="B528" s="26"/>
      <c r="C528" s="26"/>
    </row>
    <row r="529" spans="2:3" x14ac:dyDescent="0.35">
      <c r="B529" s="26"/>
      <c r="C529" s="26"/>
    </row>
    <row r="530" spans="2:3" x14ac:dyDescent="0.35">
      <c r="B530" s="26"/>
      <c r="C530" s="26"/>
    </row>
    <row r="531" spans="2:3" x14ac:dyDescent="0.35">
      <c r="B531" s="26"/>
      <c r="C531" s="26"/>
    </row>
    <row r="532" spans="2:3" x14ac:dyDescent="0.35">
      <c r="B532" s="26"/>
      <c r="C532" s="26"/>
    </row>
    <row r="533" spans="2:3" x14ac:dyDescent="0.35">
      <c r="B533" s="26"/>
      <c r="C533" s="26"/>
    </row>
    <row r="534" spans="2:3" x14ac:dyDescent="0.35">
      <c r="B534" s="26"/>
      <c r="C534" s="26"/>
    </row>
    <row r="535" spans="2:3" x14ac:dyDescent="0.35">
      <c r="B535" s="26"/>
      <c r="C535" s="26"/>
    </row>
    <row r="536" spans="2:3" x14ac:dyDescent="0.35">
      <c r="B536" s="26"/>
      <c r="C536" s="26"/>
    </row>
    <row r="537" spans="2:3" x14ac:dyDescent="0.35">
      <c r="B537" s="26"/>
      <c r="C537" s="26"/>
    </row>
    <row r="538" spans="2:3" x14ac:dyDescent="0.35">
      <c r="B538" s="26"/>
      <c r="C538" s="26"/>
    </row>
    <row r="539" spans="2:3" x14ac:dyDescent="0.35">
      <c r="B539" s="26"/>
      <c r="C539" s="26"/>
    </row>
    <row r="540" spans="2:3" x14ac:dyDescent="0.35">
      <c r="B540" s="26"/>
      <c r="C540" s="26"/>
    </row>
    <row r="541" spans="2:3" x14ac:dyDescent="0.35">
      <c r="B541" s="26"/>
      <c r="C541" s="26"/>
    </row>
    <row r="542" spans="2:3" x14ac:dyDescent="0.35">
      <c r="B542" s="26"/>
      <c r="C542" s="26"/>
    </row>
    <row r="543" spans="2:3" x14ac:dyDescent="0.35">
      <c r="B543" s="26"/>
      <c r="C543" s="26"/>
    </row>
    <row r="544" spans="2:3" x14ac:dyDescent="0.35">
      <c r="B544" s="26"/>
      <c r="C544" s="26"/>
    </row>
    <row r="545" spans="2:3" x14ac:dyDescent="0.35">
      <c r="B545" s="26"/>
      <c r="C545" s="26"/>
    </row>
    <row r="546" spans="2:3" x14ac:dyDescent="0.35">
      <c r="B546" s="26"/>
      <c r="C546" s="26"/>
    </row>
    <row r="547" spans="2:3" x14ac:dyDescent="0.35">
      <c r="B547" s="26"/>
      <c r="C547" s="26"/>
    </row>
    <row r="548" spans="2:3" x14ac:dyDescent="0.35">
      <c r="B548" s="26"/>
      <c r="C548" s="26"/>
    </row>
    <row r="549" spans="2:3" x14ac:dyDescent="0.35">
      <c r="B549" s="26"/>
      <c r="C549" s="26"/>
    </row>
    <row r="550" spans="2:3" x14ac:dyDescent="0.35">
      <c r="B550" s="26"/>
      <c r="C550" s="26"/>
    </row>
    <row r="551" spans="2:3" x14ac:dyDescent="0.35">
      <c r="B551" s="26"/>
      <c r="C551" s="26"/>
    </row>
    <row r="552" spans="2:3" x14ac:dyDescent="0.35">
      <c r="B552" s="26"/>
      <c r="C552" s="26"/>
    </row>
    <row r="553" spans="2:3" x14ac:dyDescent="0.35">
      <c r="B553" s="26"/>
      <c r="C553" s="26"/>
    </row>
    <row r="554" spans="2:3" x14ac:dyDescent="0.35">
      <c r="B554" s="26"/>
      <c r="C554" s="26"/>
    </row>
    <row r="555" spans="2:3" x14ac:dyDescent="0.35">
      <c r="B555" s="26"/>
      <c r="C555" s="26"/>
    </row>
    <row r="556" spans="2:3" x14ac:dyDescent="0.35">
      <c r="B556" s="26"/>
      <c r="C556" s="26"/>
    </row>
    <row r="557" spans="2:3" x14ac:dyDescent="0.35">
      <c r="B557" s="26"/>
      <c r="C557" s="26"/>
    </row>
    <row r="558" spans="2:3" x14ac:dyDescent="0.35">
      <c r="B558" s="26"/>
      <c r="C558" s="26"/>
    </row>
    <row r="559" spans="2:3" x14ac:dyDescent="0.35">
      <c r="B559" s="26"/>
      <c r="C559" s="26"/>
    </row>
    <row r="560" spans="2:3" x14ac:dyDescent="0.35">
      <c r="B560" s="26"/>
      <c r="C560" s="26"/>
    </row>
    <row r="561" spans="2:3" x14ac:dyDescent="0.35">
      <c r="B561" s="26"/>
      <c r="C561" s="26"/>
    </row>
    <row r="562" spans="2:3" x14ac:dyDescent="0.35">
      <c r="B562" s="26"/>
      <c r="C562" s="26"/>
    </row>
    <row r="563" spans="2:3" x14ac:dyDescent="0.35">
      <c r="B563" s="26"/>
      <c r="C563" s="26"/>
    </row>
    <row r="564" spans="2:3" x14ac:dyDescent="0.35">
      <c r="B564" s="26"/>
      <c r="C564" s="26"/>
    </row>
    <row r="565" spans="2:3" x14ac:dyDescent="0.35">
      <c r="B565" s="26"/>
      <c r="C565" s="26"/>
    </row>
    <row r="566" spans="2:3" x14ac:dyDescent="0.35">
      <c r="B566" s="26"/>
      <c r="C566" s="26"/>
    </row>
    <row r="567" spans="2:3" x14ac:dyDescent="0.35">
      <c r="B567" s="26"/>
      <c r="C567" s="26"/>
    </row>
    <row r="568" spans="2:3" x14ac:dyDescent="0.35">
      <c r="B568" s="26"/>
      <c r="C568" s="26"/>
    </row>
    <row r="569" spans="2:3" x14ac:dyDescent="0.35">
      <c r="B569" s="26"/>
      <c r="C569" s="26"/>
    </row>
    <row r="570" spans="2:3" x14ac:dyDescent="0.35">
      <c r="B570" s="26"/>
      <c r="C570" s="26"/>
    </row>
    <row r="571" spans="2:3" x14ac:dyDescent="0.35">
      <c r="B571" s="26"/>
      <c r="C571" s="26"/>
    </row>
    <row r="572" spans="2:3" x14ac:dyDescent="0.35">
      <c r="B572" s="26"/>
      <c r="C572" s="26"/>
    </row>
    <row r="573" spans="2:3" x14ac:dyDescent="0.35">
      <c r="B573" s="26"/>
      <c r="C573" s="26"/>
    </row>
    <row r="574" spans="2:3" x14ac:dyDescent="0.35">
      <c r="B574" s="26"/>
      <c r="C574" s="26"/>
    </row>
    <row r="575" spans="2:3" x14ac:dyDescent="0.35">
      <c r="B575" s="26"/>
      <c r="C575" s="26"/>
    </row>
    <row r="576" spans="2:3" x14ac:dyDescent="0.35">
      <c r="B576" s="26"/>
      <c r="C576" s="26"/>
    </row>
    <row r="577" spans="2:3" x14ac:dyDescent="0.35">
      <c r="B577" s="26"/>
      <c r="C577" s="26"/>
    </row>
    <row r="578" spans="2:3" x14ac:dyDescent="0.35">
      <c r="B578" s="26"/>
      <c r="C578" s="26"/>
    </row>
    <row r="579" spans="2:3" x14ac:dyDescent="0.35">
      <c r="B579" s="26"/>
      <c r="C579" s="26"/>
    </row>
    <row r="580" spans="2:3" x14ac:dyDescent="0.35">
      <c r="B580" s="26"/>
      <c r="C580" s="26"/>
    </row>
    <row r="581" spans="2:3" x14ac:dyDescent="0.35">
      <c r="B581" s="26"/>
      <c r="C581" s="26"/>
    </row>
    <row r="582" spans="2:3" x14ac:dyDescent="0.35">
      <c r="B582" s="26"/>
      <c r="C582" s="26"/>
    </row>
    <row r="583" spans="2:3" x14ac:dyDescent="0.35">
      <c r="B583" s="26"/>
      <c r="C583" s="26"/>
    </row>
    <row r="584" spans="2:3" x14ac:dyDescent="0.35">
      <c r="B584" s="26"/>
      <c r="C584" s="26"/>
    </row>
    <row r="585" spans="2:3" x14ac:dyDescent="0.35">
      <c r="B585" s="26"/>
      <c r="C585" s="26"/>
    </row>
    <row r="586" spans="2:3" x14ac:dyDescent="0.35">
      <c r="B586" s="26"/>
      <c r="C586" s="26"/>
    </row>
    <row r="587" spans="2:3" x14ac:dyDescent="0.35">
      <c r="B587" s="26"/>
      <c r="C587" s="26"/>
    </row>
    <row r="588" spans="2:3" x14ac:dyDescent="0.35">
      <c r="B588" s="26"/>
      <c r="C588" s="26"/>
    </row>
    <row r="589" spans="2:3" x14ac:dyDescent="0.35">
      <c r="B589" s="26"/>
      <c r="C589" s="26"/>
    </row>
    <row r="590" spans="2:3" x14ac:dyDescent="0.35">
      <c r="B590" s="26"/>
      <c r="C590" s="26"/>
    </row>
    <row r="591" spans="2:3" x14ac:dyDescent="0.35">
      <c r="B591" s="26"/>
      <c r="C591" s="26"/>
    </row>
    <row r="592" spans="2:3" x14ac:dyDescent="0.35">
      <c r="B592" s="26"/>
      <c r="C592" s="26"/>
    </row>
    <row r="593" spans="2:3" x14ac:dyDescent="0.35">
      <c r="B593" s="26"/>
      <c r="C593" s="26"/>
    </row>
    <row r="594" spans="2:3" x14ac:dyDescent="0.35">
      <c r="B594" s="26"/>
      <c r="C594" s="26"/>
    </row>
    <row r="595" spans="2:3" x14ac:dyDescent="0.35">
      <c r="B595" s="26"/>
      <c r="C595" s="26"/>
    </row>
    <row r="596" spans="2:3" x14ac:dyDescent="0.35">
      <c r="B596" s="26"/>
      <c r="C596" s="26"/>
    </row>
    <row r="597" spans="2:3" x14ac:dyDescent="0.35">
      <c r="B597" s="26"/>
      <c r="C597" s="26"/>
    </row>
    <row r="598" spans="2:3" x14ac:dyDescent="0.35">
      <c r="B598" s="26"/>
      <c r="C598" s="26"/>
    </row>
    <row r="599" spans="2:3" x14ac:dyDescent="0.35">
      <c r="B599" s="26"/>
      <c r="C599" s="26"/>
    </row>
    <row r="600" spans="2:3" x14ac:dyDescent="0.35">
      <c r="B600" s="26"/>
      <c r="C600" s="26"/>
    </row>
    <row r="601" spans="2:3" x14ac:dyDescent="0.35">
      <c r="B601" s="26"/>
      <c r="C601" s="26"/>
    </row>
    <row r="602" spans="2:3" x14ac:dyDescent="0.35">
      <c r="B602" s="26"/>
      <c r="C602" s="26"/>
    </row>
    <row r="603" spans="2:3" x14ac:dyDescent="0.35">
      <c r="B603" s="26"/>
      <c r="C603" s="26"/>
    </row>
    <row r="604" spans="2:3" x14ac:dyDescent="0.35">
      <c r="B604" s="26"/>
      <c r="C604" s="26"/>
    </row>
    <row r="605" spans="2:3" x14ac:dyDescent="0.35">
      <c r="B605" s="26"/>
      <c r="C605" s="26"/>
    </row>
    <row r="606" spans="2:3" x14ac:dyDescent="0.35">
      <c r="B606" s="26"/>
      <c r="C606" s="26"/>
    </row>
    <row r="607" spans="2:3" x14ac:dyDescent="0.35">
      <c r="B607" s="26"/>
      <c r="C607" s="26"/>
    </row>
    <row r="608" spans="2:3" x14ac:dyDescent="0.35">
      <c r="B608" s="26"/>
      <c r="C608" s="26"/>
    </row>
    <row r="609" spans="2:3" x14ac:dyDescent="0.35">
      <c r="B609" s="26"/>
      <c r="C609" s="26"/>
    </row>
    <row r="610" spans="2:3" x14ac:dyDescent="0.35">
      <c r="B610" s="26"/>
      <c r="C610" s="26"/>
    </row>
    <row r="611" spans="2:3" x14ac:dyDescent="0.35">
      <c r="B611" s="26"/>
      <c r="C611" s="26"/>
    </row>
    <row r="612" spans="2:3" x14ac:dyDescent="0.35">
      <c r="B612" s="26"/>
      <c r="C612" s="26"/>
    </row>
    <row r="613" spans="2:3" x14ac:dyDescent="0.35">
      <c r="B613" s="26"/>
      <c r="C613" s="26"/>
    </row>
    <row r="614" spans="2:3" x14ac:dyDescent="0.35">
      <c r="B614" s="26"/>
      <c r="C614" s="26"/>
    </row>
    <row r="615" spans="2:3" x14ac:dyDescent="0.35">
      <c r="B615" s="26"/>
      <c r="C615" s="26"/>
    </row>
    <row r="616" spans="2:3" x14ac:dyDescent="0.35">
      <c r="B616" s="26"/>
      <c r="C616" s="26"/>
    </row>
    <row r="617" spans="2:3" x14ac:dyDescent="0.35">
      <c r="B617" s="26"/>
      <c r="C617" s="26"/>
    </row>
    <row r="618" spans="2:3" x14ac:dyDescent="0.35">
      <c r="B618" s="26"/>
      <c r="C618" s="26"/>
    </row>
    <row r="619" spans="2:3" x14ac:dyDescent="0.35">
      <c r="B619" s="26"/>
      <c r="C619" s="26"/>
    </row>
    <row r="620" spans="2:3" x14ac:dyDescent="0.35">
      <c r="B620" s="26"/>
      <c r="C620" s="26"/>
    </row>
    <row r="621" spans="2:3" x14ac:dyDescent="0.35">
      <c r="B621" s="26"/>
      <c r="C621" s="26"/>
    </row>
    <row r="622" spans="2:3" x14ac:dyDescent="0.35">
      <c r="B622" s="26"/>
      <c r="C622" s="26"/>
    </row>
    <row r="623" spans="2:3" x14ac:dyDescent="0.35">
      <c r="B623" s="26"/>
      <c r="C623" s="26"/>
    </row>
    <row r="624" spans="2:3" x14ac:dyDescent="0.35">
      <c r="B624" s="26"/>
      <c r="C624" s="26"/>
    </row>
    <row r="625" spans="2:3" x14ac:dyDescent="0.35">
      <c r="B625" s="26"/>
      <c r="C625" s="26"/>
    </row>
    <row r="626" spans="2:3" x14ac:dyDescent="0.35">
      <c r="B626" s="26"/>
      <c r="C626" s="26"/>
    </row>
    <row r="627" spans="2:3" x14ac:dyDescent="0.35">
      <c r="B627" s="26"/>
      <c r="C627" s="26"/>
    </row>
    <row r="628" spans="2:3" x14ac:dyDescent="0.35">
      <c r="B628" s="26"/>
      <c r="C628" s="26"/>
    </row>
    <row r="629" spans="2:3" x14ac:dyDescent="0.35">
      <c r="B629" s="26"/>
      <c r="C629" s="26"/>
    </row>
    <row r="630" spans="2:3" x14ac:dyDescent="0.35">
      <c r="B630" s="26"/>
      <c r="C630" s="26"/>
    </row>
    <row r="631" spans="2:3" x14ac:dyDescent="0.35">
      <c r="B631" s="26"/>
      <c r="C631" s="26"/>
    </row>
    <row r="632" spans="2:3" x14ac:dyDescent="0.35">
      <c r="B632" s="26"/>
      <c r="C632" s="26"/>
    </row>
    <row r="633" spans="2:3" x14ac:dyDescent="0.35">
      <c r="B633" s="26"/>
      <c r="C633" s="26"/>
    </row>
    <row r="634" spans="2:3" x14ac:dyDescent="0.35">
      <c r="B634" s="26"/>
      <c r="C634" s="26"/>
    </row>
    <row r="635" spans="2:3" x14ac:dyDescent="0.35">
      <c r="B635" s="26"/>
      <c r="C635" s="26"/>
    </row>
    <row r="636" spans="2:3" x14ac:dyDescent="0.35">
      <c r="B636" s="26"/>
      <c r="C636" s="26"/>
    </row>
    <row r="637" spans="2:3" x14ac:dyDescent="0.35">
      <c r="B637" s="26"/>
      <c r="C637" s="26"/>
    </row>
    <row r="638" spans="2:3" x14ac:dyDescent="0.35">
      <c r="B638" s="26"/>
      <c r="C638" s="26"/>
    </row>
    <row r="639" spans="2:3" x14ac:dyDescent="0.35">
      <c r="B639" s="26"/>
      <c r="C639" s="26"/>
    </row>
    <row r="640" spans="2:3" x14ac:dyDescent="0.35">
      <c r="B640" s="26"/>
      <c r="C640" s="26"/>
    </row>
    <row r="641" spans="2:3" x14ac:dyDescent="0.35">
      <c r="B641" s="26"/>
      <c r="C641" s="26"/>
    </row>
    <row r="642" spans="2:3" x14ac:dyDescent="0.35">
      <c r="B642" s="26"/>
      <c r="C642" s="26"/>
    </row>
    <row r="643" spans="2:3" x14ac:dyDescent="0.35">
      <c r="B643" s="26"/>
      <c r="C643" s="26"/>
    </row>
    <row r="644" spans="2:3" x14ac:dyDescent="0.35">
      <c r="B644" s="26"/>
      <c r="C644" s="26"/>
    </row>
    <row r="645" spans="2:3" x14ac:dyDescent="0.35">
      <c r="B645" s="26"/>
      <c r="C645" s="26"/>
    </row>
    <row r="646" spans="2:3" x14ac:dyDescent="0.35">
      <c r="B646" s="26"/>
      <c r="C646" s="26"/>
    </row>
    <row r="647" spans="2:3" x14ac:dyDescent="0.35">
      <c r="B647" s="26"/>
      <c r="C647" s="26"/>
    </row>
    <row r="648" spans="2:3" x14ac:dyDescent="0.35">
      <c r="B648" s="26"/>
      <c r="C648" s="26"/>
    </row>
    <row r="649" spans="2:3" x14ac:dyDescent="0.35">
      <c r="B649" s="26"/>
      <c r="C649" s="26"/>
    </row>
    <row r="650" spans="2:3" x14ac:dyDescent="0.35">
      <c r="B650" s="26"/>
      <c r="C650" s="26"/>
    </row>
    <row r="651" spans="2:3" x14ac:dyDescent="0.35">
      <c r="B651" s="26"/>
      <c r="C651" s="26"/>
    </row>
    <row r="652" spans="2:3" x14ac:dyDescent="0.35">
      <c r="B652" s="26"/>
      <c r="C652" s="26"/>
    </row>
    <row r="653" spans="2:3" x14ac:dyDescent="0.35">
      <c r="B653" s="26"/>
      <c r="C653" s="26"/>
    </row>
    <row r="654" spans="2:3" x14ac:dyDescent="0.35">
      <c r="B654" s="26"/>
      <c r="C654" s="26"/>
    </row>
    <row r="655" spans="2:3" x14ac:dyDescent="0.35">
      <c r="B655" s="26"/>
      <c r="C655" s="26"/>
    </row>
    <row r="656" spans="2:3" x14ac:dyDescent="0.35">
      <c r="B656" s="26"/>
      <c r="C656" s="26"/>
    </row>
    <row r="657" spans="2:3" x14ac:dyDescent="0.35">
      <c r="B657" s="26"/>
      <c r="C657" s="26"/>
    </row>
    <row r="658" spans="2:3" x14ac:dyDescent="0.35">
      <c r="B658" s="26"/>
      <c r="C658" s="26"/>
    </row>
    <row r="659" spans="2:3" x14ac:dyDescent="0.35">
      <c r="B659" s="26"/>
      <c r="C659" s="26"/>
    </row>
    <row r="660" spans="2:3" x14ac:dyDescent="0.35">
      <c r="B660" s="26"/>
      <c r="C660" s="26"/>
    </row>
    <row r="661" spans="2:3" x14ac:dyDescent="0.35">
      <c r="B661" s="26"/>
      <c r="C661" s="26"/>
    </row>
    <row r="662" spans="2:3" x14ac:dyDescent="0.35">
      <c r="B662" s="26"/>
      <c r="C662" s="26"/>
    </row>
    <row r="663" spans="2:3" x14ac:dyDescent="0.35">
      <c r="B663" s="26"/>
      <c r="C663" s="26"/>
    </row>
    <row r="664" spans="2:3" x14ac:dyDescent="0.35">
      <c r="B664" s="26"/>
      <c r="C664" s="26"/>
    </row>
    <row r="665" spans="2:3" x14ac:dyDescent="0.35">
      <c r="B665" s="26"/>
      <c r="C665" s="26"/>
    </row>
    <row r="666" spans="2:3" x14ac:dyDescent="0.35">
      <c r="B666" s="26"/>
      <c r="C666" s="26"/>
    </row>
    <row r="667" spans="2:3" x14ac:dyDescent="0.35">
      <c r="B667" s="26"/>
      <c r="C667" s="26"/>
    </row>
    <row r="668" spans="2:3" x14ac:dyDescent="0.35">
      <c r="B668" s="26"/>
      <c r="C668" s="26"/>
    </row>
    <row r="669" spans="2:3" x14ac:dyDescent="0.35">
      <c r="B669" s="26"/>
      <c r="C669" s="26"/>
    </row>
    <row r="670" spans="2:3" x14ac:dyDescent="0.35">
      <c r="B670" s="26"/>
      <c r="C670" s="26"/>
    </row>
    <row r="671" spans="2:3" x14ac:dyDescent="0.35">
      <c r="B671" s="26"/>
      <c r="C671" s="26"/>
    </row>
    <row r="672" spans="2:3" x14ac:dyDescent="0.35">
      <c r="B672" s="26"/>
      <c r="C672" s="26"/>
    </row>
    <row r="673" spans="2:3" x14ac:dyDescent="0.35">
      <c r="B673" s="26"/>
      <c r="C673" s="26"/>
    </row>
    <row r="674" spans="2:3" x14ac:dyDescent="0.35">
      <c r="B674" s="26"/>
      <c r="C674" s="26"/>
    </row>
    <row r="675" spans="2:3" x14ac:dyDescent="0.35">
      <c r="B675" s="26"/>
      <c r="C675" s="26"/>
    </row>
    <row r="676" spans="2:3" x14ac:dyDescent="0.35">
      <c r="B676" s="26"/>
      <c r="C676" s="26"/>
    </row>
    <row r="677" spans="2:3" x14ac:dyDescent="0.35">
      <c r="B677" s="26"/>
      <c r="C677" s="26"/>
    </row>
    <row r="678" spans="2:3" x14ac:dyDescent="0.35">
      <c r="B678" s="26"/>
      <c r="C678" s="26"/>
    </row>
    <row r="679" spans="2:3" x14ac:dyDescent="0.35">
      <c r="B679" s="26"/>
      <c r="C679" s="26"/>
    </row>
    <row r="680" spans="2:3" x14ac:dyDescent="0.35">
      <c r="B680" s="26"/>
      <c r="C680" s="26"/>
    </row>
    <row r="681" spans="2:3" x14ac:dyDescent="0.35">
      <c r="B681" s="26"/>
      <c r="C681" s="26"/>
    </row>
    <row r="682" spans="2:3" x14ac:dyDescent="0.35">
      <c r="B682" s="26"/>
      <c r="C682" s="26"/>
    </row>
    <row r="683" spans="2:3" x14ac:dyDescent="0.35">
      <c r="B683" s="26"/>
      <c r="C683" s="26"/>
    </row>
    <row r="684" spans="2:3" x14ac:dyDescent="0.35">
      <c r="B684" s="26"/>
      <c r="C684" s="26"/>
    </row>
    <row r="685" spans="2:3" x14ac:dyDescent="0.35">
      <c r="B685" s="26"/>
      <c r="C685" s="26"/>
    </row>
    <row r="686" spans="2:3" x14ac:dyDescent="0.35">
      <c r="B686" s="26"/>
      <c r="C686" s="26"/>
    </row>
    <row r="687" spans="2:3" x14ac:dyDescent="0.35">
      <c r="B687" s="26"/>
      <c r="C687" s="26"/>
    </row>
    <row r="688" spans="2:3" x14ac:dyDescent="0.35">
      <c r="B688" s="26"/>
      <c r="C688" s="26"/>
    </row>
    <row r="689" spans="2:3" x14ac:dyDescent="0.35">
      <c r="B689" s="26"/>
      <c r="C689" s="26"/>
    </row>
    <row r="690" spans="2:3" x14ac:dyDescent="0.35">
      <c r="B690" s="26"/>
      <c r="C690" s="26"/>
    </row>
    <row r="691" spans="2:3" x14ac:dyDescent="0.35">
      <c r="B691" s="26"/>
      <c r="C691" s="26"/>
    </row>
    <row r="692" spans="2:3" x14ac:dyDescent="0.35">
      <c r="B692" s="26"/>
      <c r="C692" s="26"/>
    </row>
    <row r="693" spans="2:3" x14ac:dyDescent="0.35">
      <c r="B693" s="26"/>
      <c r="C693" s="26"/>
    </row>
    <row r="694" spans="2:3" x14ac:dyDescent="0.35">
      <c r="B694" s="26"/>
      <c r="C694" s="26"/>
    </row>
    <row r="695" spans="2:3" x14ac:dyDescent="0.35">
      <c r="B695" s="26"/>
      <c r="C695" s="26"/>
    </row>
    <row r="696" spans="2:3" x14ac:dyDescent="0.35">
      <c r="B696" s="26"/>
      <c r="C696" s="26"/>
    </row>
    <row r="697" spans="2:3" x14ac:dyDescent="0.35">
      <c r="B697" s="26"/>
      <c r="C697" s="26"/>
    </row>
    <row r="698" spans="2:3" x14ac:dyDescent="0.35">
      <c r="B698" s="26"/>
      <c r="C698" s="26"/>
    </row>
    <row r="699" spans="2:3" x14ac:dyDescent="0.35">
      <c r="B699" s="26"/>
      <c r="C699" s="26"/>
    </row>
    <row r="700" spans="2:3" x14ac:dyDescent="0.35">
      <c r="B700" s="26"/>
      <c r="C700" s="26"/>
    </row>
    <row r="701" spans="2:3" x14ac:dyDescent="0.35">
      <c r="B701" s="26"/>
      <c r="C701" s="26"/>
    </row>
    <row r="702" spans="2:3" x14ac:dyDescent="0.35">
      <c r="B702" s="26"/>
      <c r="C702" s="26"/>
    </row>
    <row r="703" spans="2:3" x14ac:dyDescent="0.35">
      <c r="B703" s="26"/>
      <c r="C703" s="26"/>
    </row>
    <row r="704" spans="2:3" x14ac:dyDescent="0.35">
      <c r="B704" s="26"/>
      <c r="C704" s="26"/>
    </row>
    <row r="705" spans="2:3" x14ac:dyDescent="0.35">
      <c r="B705" s="26"/>
      <c r="C705" s="26"/>
    </row>
    <row r="706" spans="2:3" x14ac:dyDescent="0.35">
      <c r="B706" s="26"/>
      <c r="C706" s="26"/>
    </row>
    <row r="707" spans="2:3" x14ac:dyDescent="0.35">
      <c r="B707" s="26"/>
      <c r="C707" s="26"/>
    </row>
    <row r="708" spans="2:3" x14ac:dyDescent="0.35">
      <c r="B708" s="26"/>
      <c r="C708" s="26"/>
    </row>
    <row r="709" spans="2:3" x14ac:dyDescent="0.35">
      <c r="B709" s="26"/>
      <c r="C709" s="26"/>
    </row>
    <row r="710" spans="2:3" x14ac:dyDescent="0.35">
      <c r="B710" s="26"/>
      <c r="C710" s="26"/>
    </row>
    <row r="711" spans="2:3" x14ac:dyDescent="0.35">
      <c r="B711" s="26"/>
      <c r="C711" s="26"/>
    </row>
    <row r="712" spans="2:3" x14ac:dyDescent="0.35">
      <c r="B712" s="26"/>
      <c r="C712" s="26"/>
    </row>
    <row r="713" spans="2:3" x14ac:dyDescent="0.35">
      <c r="B713" s="26"/>
      <c r="C713" s="26"/>
    </row>
    <row r="714" spans="2:3" x14ac:dyDescent="0.35">
      <c r="B714" s="26"/>
      <c r="C714" s="26"/>
    </row>
    <row r="715" spans="2:3" x14ac:dyDescent="0.35">
      <c r="B715" s="26"/>
      <c r="C715" s="26"/>
    </row>
    <row r="716" spans="2:3" x14ac:dyDescent="0.35">
      <c r="B716" s="26"/>
      <c r="C716" s="26"/>
    </row>
    <row r="717" spans="2:3" x14ac:dyDescent="0.35">
      <c r="B717" s="26"/>
      <c r="C717" s="26"/>
    </row>
    <row r="718" spans="2:3" x14ac:dyDescent="0.35">
      <c r="B718" s="26"/>
      <c r="C718" s="26"/>
    </row>
    <row r="719" spans="2:3" x14ac:dyDescent="0.35">
      <c r="B719" s="26"/>
      <c r="C719" s="26"/>
    </row>
    <row r="720" spans="2:3" x14ac:dyDescent="0.35">
      <c r="B720" s="26"/>
      <c r="C720" s="26"/>
    </row>
    <row r="721" spans="2:3" x14ac:dyDescent="0.35">
      <c r="B721" s="26"/>
      <c r="C721" s="26"/>
    </row>
    <row r="722" spans="2:3" x14ac:dyDescent="0.35">
      <c r="B722" s="26"/>
      <c r="C722" s="26"/>
    </row>
    <row r="723" spans="2:3" x14ac:dyDescent="0.35">
      <c r="B723" s="26"/>
      <c r="C723" s="26"/>
    </row>
    <row r="724" spans="2:3" x14ac:dyDescent="0.35">
      <c r="B724" s="26"/>
      <c r="C724" s="26"/>
    </row>
    <row r="725" spans="2:3" x14ac:dyDescent="0.35">
      <c r="B725" s="26"/>
      <c r="C725" s="26"/>
    </row>
    <row r="726" spans="2:3" x14ac:dyDescent="0.35">
      <c r="B726" s="26"/>
      <c r="C726" s="26"/>
    </row>
    <row r="727" spans="2:3" x14ac:dyDescent="0.35">
      <c r="B727" s="26"/>
      <c r="C727" s="26"/>
    </row>
    <row r="728" spans="2:3" x14ac:dyDescent="0.35">
      <c r="B728" s="26"/>
      <c r="C728" s="26"/>
    </row>
    <row r="729" spans="2:3" x14ac:dyDescent="0.35">
      <c r="B729" s="26"/>
      <c r="C729" s="26"/>
    </row>
    <row r="730" spans="2:3" x14ac:dyDescent="0.35">
      <c r="B730" s="26"/>
      <c r="C730" s="26"/>
    </row>
    <row r="731" spans="2:3" x14ac:dyDescent="0.35">
      <c r="B731" s="26"/>
      <c r="C731" s="26"/>
    </row>
    <row r="732" spans="2:3" x14ac:dyDescent="0.35">
      <c r="B732" s="26"/>
      <c r="C732" s="26"/>
    </row>
    <row r="733" spans="2:3" x14ac:dyDescent="0.35">
      <c r="B733" s="26"/>
      <c r="C733" s="26"/>
    </row>
    <row r="734" spans="2:3" x14ac:dyDescent="0.35">
      <c r="B734" s="26"/>
      <c r="C734" s="26"/>
    </row>
    <row r="735" spans="2:3" x14ac:dyDescent="0.35">
      <c r="B735" s="26"/>
      <c r="C735" s="26"/>
    </row>
    <row r="736" spans="2:3" x14ac:dyDescent="0.35">
      <c r="B736" s="26"/>
      <c r="C736" s="26"/>
    </row>
    <row r="737" spans="2:3" x14ac:dyDescent="0.35">
      <c r="B737" s="26"/>
      <c r="C737" s="26"/>
    </row>
    <row r="738" spans="2:3" x14ac:dyDescent="0.35">
      <c r="B738" s="26"/>
      <c r="C738" s="26"/>
    </row>
    <row r="739" spans="2:3" x14ac:dyDescent="0.35">
      <c r="B739" s="26"/>
      <c r="C739" s="26"/>
    </row>
    <row r="740" spans="2:3" x14ac:dyDescent="0.35">
      <c r="B740" s="26"/>
      <c r="C740" s="26"/>
    </row>
    <row r="741" spans="2:3" x14ac:dyDescent="0.35">
      <c r="B741" s="26"/>
      <c r="C741" s="26"/>
    </row>
    <row r="742" spans="2:3" x14ac:dyDescent="0.35">
      <c r="B742" s="26"/>
      <c r="C742" s="26"/>
    </row>
    <row r="743" spans="2:3" x14ac:dyDescent="0.35">
      <c r="B743" s="26"/>
      <c r="C743" s="26"/>
    </row>
    <row r="744" spans="2:3" x14ac:dyDescent="0.35">
      <c r="B744" s="26"/>
      <c r="C744" s="26"/>
    </row>
    <row r="745" spans="2:3" x14ac:dyDescent="0.35">
      <c r="B745" s="26"/>
      <c r="C745" s="26"/>
    </row>
    <row r="746" spans="2:3" x14ac:dyDescent="0.35">
      <c r="B746" s="26"/>
      <c r="C746" s="26"/>
    </row>
    <row r="747" spans="2:3" x14ac:dyDescent="0.35">
      <c r="B747" s="26"/>
      <c r="C747" s="26"/>
    </row>
    <row r="748" spans="2:3" x14ac:dyDescent="0.35">
      <c r="B748" s="26"/>
      <c r="C748" s="26"/>
    </row>
    <row r="749" spans="2:3" x14ac:dyDescent="0.35">
      <c r="B749" s="26"/>
      <c r="C749" s="26"/>
    </row>
    <row r="750" spans="2:3" x14ac:dyDescent="0.35">
      <c r="B750" s="26"/>
      <c r="C750" s="26"/>
    </row>
    <row r="751" spans="2:3" x14ac:dyDescent="0.35">
      <c r="B751" s="26"/>
      <c r="C751" s="26"/>
    </row>
    <row r="752" spans="2:3" x14ac:dyDescent="0.35">
      <c r="B752" s="26"/>
      <c r="C752" s="26"/>
    </row>
    <row r="753" spans="2:3" x14ac:dyDescent="0.35">
      <c r="B753" s="26"/>
      <c r="C753" s="26"/>
    </row>
    <row r="754" spans="2:3" x14ac:dyDescent="0.35">
      <c r="B754" s="26"/>
      <c r="C754" s="26"/>
    </row>
    <row r="755" spans="2:3" x14ac:dyDescent="0.35">
      <c r="B755" s="26"/>
      <c r="C755" s="26"/>
    </row>
    <row r="756" spans="2:3" x14ac:dyDescent="0.35">
      <c r="B756" s="26"/>
      <c r="C756" s="26"/>
    </row>
    <row r="757" spans="2:3" x14ac:dyDescent="0.35">
      <c r="B757" s="26"/>
      <c r="C757" s="26"/>
    </row>
    <row r="758" spans="2:3" x14ac:dyDescent="0.35">
      <c r="B758" s="26"/>
      <c r="C758" s="26"/>
    </row>
    <row r="759" spans="2:3" x14ac:dyDescent="0.35">
      <c r="B759" s="26"/>
      <c r="C759" s="26"/>
    </row>
    <row r="760" spans="2:3" x14ac:dyDescent="0.35">
      <c r="B760" s="26"/>
      <c r="C760" s="26"/>
    </row>
    <row r="761" spans="2:3" x14ac:dyDescent="0.35">
      <c r="B761" s="26"/>
      <c r="C761" s="26"/>
    </row>
    <row r="762" spans="2:3" x14ac:dyDescent="0.35">
      <c r="B762" s="26"/>
      <c r="C762" s="26"/>
    </row>
    <row r="763" spans="2:3" x14ac:dyDescent="0.35">
      <c r="B763" s="26"/>
      <c r="C763" s="26"/>
    </row>
    <row r="764" spans="2:3" x14ac:dyDescent="0.35">
      <c r="B764" s="26"/>
      <c r="C764" s="26"/>
    </row>
    <row r="765" spans="2:3" x14ac:dyDescent="0.35">
      <c r="B765" s="26"/>
      <c r="C765" s="26"/>
    </row>
    <row r="766" spans="2:3" x14ac:dyDescent="0.35">
      <c r="B766" s="26"/>
      <c r="C766" s="26"/>
    </row>
    <row r="767" spans="2:3" x14ac:dyDescent="0.35">
      <c r="B767" s="26"/>
      <c r="C767" s="26"/>
    </row>
    <row r="768" spans="2:3" x14ac:dyDescent="0.35">
      <c r="B768" s="26"/>
      <c r="C768" s="26"/>
    </row>
    <row r="769" spans="2:3" x14ac:dyDescent="0.35">
      <c r="B769" s="26"/>
      <c r="C769" s="26"/>
    </row>
    <row r="770" spans="2:3" x14ac:dyDescent="0.35">
      <c r="B770" s="26"/>
      <c r="C770" s="26"/>
    </row>
    <row r="771" spans="2:3" x14ac:dyDescent="0.35">
      <c r="B771" s="26"/>
      <c r="C771" s="26"/>
    </row>
    <row r="772" spans="2:3" x14ac:dyDescent="0.35">
      <c r="B772" s="26"/>
      <c r="C772" s="26"/>
    </row>
    <row r="773" spans="2:3" x14ac:dyDescent="0.35">
      <c r="B773" s="26"/>
      <c r="C773" s="26"/>
    </row>
    <row r="774" spans="2:3" x14ac:dyDescent="0.35">
      <c r="B774" s="26"/>
      <c r="C774" s="26"/>
    </row>
    <row r="775" spans="2:3" x14ac:dyDescent="0.35">
      <c r="B775" s="26"/>
      <c r="C775" s="26"/>
    </row>
    <row r="776" spans="2:3" x14ac:dyDescent="0.35">
      <c r="B776" s="26"/>
      <c r="C776" s="26"/>
    </row>
    <row r="777" spans="2:3" x14ac:dyDescent="0.35">
      <c r="B777" s="26"/>
      <c r="C777" s="26"/>
    </row>
    <row r="778" spans="2:3" x14ac:dyDescent="0.35">
      <c r="B778" s="26"/>
      <c r="C778" s="26"/>
    </row>
    <row r="779" spans="2:3" x14ac:dyDescent="0.35">
      <c r="B779" s="26"/>
      <c r="C779" s="26"/>
    </row>
    <row r="780" spans="2:3" x14ac:dyDescent="0.35">
      <c r="B780" s="26"/>
      <c r="C780" s="26"/>
    </row>
    <row r="781" spans="2:3" x14ac:dyDescent="0.35">
      <c r="B781" s="26"/>
      <c r="C781" s="26"/>
    </row>
    <row r="782" spans="2:3" x14ac:dyDescent="0.35">
      <c r="B782" s="26"/>
      <c r="C782" s="26"/>
    </row>
    <row r="783" spans="2:3" x14ac:dyDescent="0.35">
      <c r="B783" s="26"/>
      <c r="C783" s="26"/>
    </row>
    <row r="784" spans="2:3" x14ac:dyDescent="0.35">
      <c r="B784" s="26"/>
      <c r="C784" s="26"/>
    </row>
    <row r="785" spans="2:3" x14ac:dyDescent="0.35">
      <c r="B785" s="26"/>
      <c r="C785" s="26"/>
    </row>
    <row r="786" spans="2:3" x14ac:dyDescent="0.35">
      <c r="B786" s="26"/>
      <c r="C786" s="26"/>
    </row>
    <row r="787" spans="2:3" x14ac:dyDescent="0.35">
      <c r="B787" s="26"/>
      <c r="C787" s="26"/>
    </row>
    <row r="788" spans="2:3" x14ac:dyDescent="0.35">
      <c r="B788" s="26"/>
      <c r="C788" s="26"/>
    </row>
    <row r="789" spans="2:3" x14ac:dyDescent="0.35">
      <c r="B789" s="26"/>
      <c r="C789" s="26"/>
    </row>
    <row r="790" spans="2:3" x14ac:dyDescent="0.35">
      <c r="B790" s="26"/>
      <c r="C790" s="26"/>
    </row>
    <row r="791" spans="2:3" x14ac:dyDescent="0.35">
      <c r="B791" s="26"/>
      <c r="C791" s="26"/>
    </row>
    <row r="792" spans="2:3" x14ac:dyDescent="0.35">
      <c r="B792" s="26"/>
      <c r="C792" s="26"/>
    </row>
    <row r="793" spans="2:3" x14ac:dyDescent="0.35">
      <c r="B793" s="26"/>
      <c r="C793" s="26"/>
    </row>
    <row r="794" spans="2:3" x14ac:dyDescent="0.35">
      <c r="B794" s="26"/>
      <c r="C794" s="26"/>
    </row>
    <row r="795" spans="2:3" x14ac:dyDescent="0.35">
      <c r="B795" s="26"/>
      <c r="C795" s="26"/>
    </row>
    <row r="796" spans="2:3" x14ac:dyDescent="0.35">
      <c r="B796" s="26"/>
      <c r="C796" s="26"/>
    </row>
    <row r="797" spans="2:3" x14ac:dyDescent="0.35">
      <c r="B797" s="26"/>
      <c r="C797" s="26"/>
    </row>
    <row r="798" spans="2:3" x14ac:dyDescent="0.35">
      <c r="B798" s="26"/>
      <c r="C798" s="26"/>
    </row>
    <row r="799" spans="2:3" x14ac:dyDescent="0.35">
      <c r="B799" s="26"/>
      <c r="C799" s="26"/>
    </row>
    <row r="800" spans="2:3" x14ac:dyDescent="0.35">
      <c r="B800" s="26"/>
      <c r="C800" s="26"/>
    </row>
    <row r="801" spans="2:3" x14ac:dyDescent="0.35">
      <c r="B801" s="26"/>
      <c r="C801" s="26"/>
    </row>
    <row r="802" spans="2:3" x14ac:dyDescent="0.35">
      <c r="B802" s="26"/>
      <c r="C802" s="26"/>
    </row>
    <row r="803" spans="2:3" x14ac:dyDescent="0.35">
      <c r="B803" s="26"/>
      <c r="C803" s="26"/>
    </row>
    <row r="804" spans="2:3" x14ac:dyDescent="0.35">
      <c r="B804" s="26"/>
      <c r="C804" s="26"/>
    </row>
    <row r="805" spans="2:3" x14ac:dyDescent="0.35">
      <c r="B805" s="26"/>
      <c r="C805" s="26"/>
    </row>
    <row r="806" spans="2:3" x14ac:dyDescent="0.35">
      <c r="B806" s="26"/>
      <c r="C806" s="26"/>
    </row>
    <row r="807" spans="2:3" x14ac:dyDescent="0.35">
      <c r="B807" s="26"/>
      <c r="C807" s="26"/>
    </row>
    <row r="808" spans="2:3" x14ac:dyDescent="0.35">
      <c r="B808" s="26"/>
      <c r="C808" s="26"/>
    </row>
    <row r="809" spans="2:3" x14ac:dyDescent="0.35">
      <c r="B809" s="26"/>
      <c r="C809" s="26"/>
    </row>
    <row r="810" spans="2:3" x14ac:dyDescent="0.35">
      <c r="B810" s="26"/>
      <c r="C810" s="26"/>
    </row>
    <row r="811" spans="2:3" x14ac:dyDescent="0.35">
      <c r="B811" s="26"/>
      <c r="C811" s="26"/>
    </row>
    <row r="812" spans="2:3" x14ac:dyDescent="0.35">
      <c r="B812" s="26"/>
      <c r="C812" s="26"/>
    </row>
    <row r="813" spans="2:3" x14ac:dyDescent="0.35">
      <c r="B813" s="26"/>
      <c r="C813" s="26"/>
    </row>
    <row r="814" spans="2:3" x14ac:dyDescent="0.35">
      <c r="B814" s="26"/>
      <c r="C814" s="26"/>
    </row>
    <row r="815" spans="2:3" x14ac:dyDescent="0.35">
      <c r="B815" s="26"/>
      <c r="C815" s="26"/>
    </row>
    <row r="816" spans="2:3" x14ac:dyDescent="0.35">
      <c r="B816" s="26"/>
      <c r="C816" s="26"/>
    </row>
    <row r="817" spans="2:3" x14ac:dyDescent="0.35">
      <c r="B817" s="26"/>
      <c r="C817" s="26"/>
    </row>
    <row r="818" spans="2:3" x14ac:dyDescent="0.35">
      <c r="B818" s="26"/>
      <c r="C818" s="26"/>
    </row>
    <row r="819" spans="2:3" x14ac:dyDescent="0.35">
      <c r="B819" s="26"/>
      <c r="C819" s="26"/>
    </row>
    <row r="820" spans="2:3" x14ac:dyDescent="0.35">
      <c r="B820" s="26"/>
      <c r="C820" s="26"/>
    </row>
    <row r="821" spans="2:3" x14ac:dyDescent="0.35">
      <c r="B821" s="26"/>
      <c r="C821" s="26"/>
    </row>
    <row r="822" spans="2:3" x14ac:dyDescent="0.35">
      <c r="B822" s="26"/>
      <c r="C822" s="26"/>
    </row>
    <row r="823" spans="2:3" x14ac:dyDescent="0.35">
      <c r="B823" s="26"/>
      <c r="C823" s="26"/>
    </row>
    <row r="824" spans="2:3" x14ac:dyDescent="0.35">
      <c r="B824" s="26"/>
      <c r="C824" s="26"/>
    </row>
    <row r="825" spans="2:3" x14ac:dyDescent="0.35">
      <c r="B825" s="26"/>
      <c r="C825" s="26"/>
    </row>
    <row r="826" spans="2:3" x14ac:dyDescent="0.35">
      <c r="B826" s="26"/>
      <c r="C826" s="26"/>
    </row>
    <row r="827" spans="2:3" x14ac:dyDescent="0.35">
      <c r="B827" s="26"/>
      <c r="C827" s="26"/>
    </row>
    <row r="828" spans="2:3" x14ac:dyDescent="0.35">
      <c r="B828" s="26"/>
      <c r="C828" s="26"/>
    </row>
    <row r="829" spans="2:3" x14ac:dyDescent="0.35">
      <c r="B829" s="26"/>
      <c r="C829" s="26"/>
    </row>
    <row r="830" spans="2:3" x14ac:dyDescent="0.35">
      <c r="B830" s="26"/>
      <c r="C830" s="26"/>
    </row>
    <row r="831" spans="2:3" x14ac:dyDescent="0.35">
      <c r="B831" s="26"/>
      <c r="C831" s="26"/>
    </row>
    <row r="832" spans="2:3" x14ac:dyDescent="0.35">
      <c r="B832" s="26"/>
      <c r="C832" s="26"/>
    </row>
    <row r="833" spans="2:3" x14ac:dyDescent="0.35">
      <c r="B833" s="26"/>
      <c r="C833" s="26"/>
    </row>
    <row r="834" spans="2:3" x14ac:dyDescent="0.35">
      <c r="B834" s="26"/>
      <c r="C834" s="26"/>
    </row>
    <row r="835" spans="2:3" x14ac:dyDescent="0.35">
      <c r="B835" s="26"/>
      <c r="C835" s="26"/>
    </row>
    <row r="836" spans="2:3" x14ac:dyDescent="0.35">
      <c r="B836" s="26"/>
      <c r="C836" s="26"/>
    </row>
    <row r="837" spans="2:3" x14ac:dyDescent="0.35">
      <c r="B837" s="26"/>
      <c r="C837" s="26"/>
    </row>
    <row r="838" spans="2:3" x14ac:dyDescent="0.35">
      <c r="B838" s="26"/>
      <c r="C838" s="26"/>
    </row>
    <row r="839" spans="2:3" x14ac:dyDescent="0.35">
      <c r="B839" s="26"/>
      <c r="C839" s="26"/>
    </row>
    <row r="840" spans="2:3" x14ac:dyDescent="0.35">
      <c r="B840" s="26"/>
      <c r="C840" s="26"/>
    </row>
    <row r="841" spans="2:3" x14ac:dyDescent="0.35">
      <c r="B841" s="26"/>
      <c r="C841" s="26"/>
    </row>
    <row r="842" spans="2:3" x14ac:dyDescent="0.35">
      <c r="B842" s="26"/>
      <c r="C842" s="26"/>
    </row>
    <row r="843" spans="2:3" x14ac:dyDescent="0.35">
      <c r="B843" s="26"/>
      <c r="C843" s="26"/>
    </row>
    <row r="844" spans="2:3" x14ac:dyDescent="0.35">
      <c r="B844" s="26"/>
      <c r="C844" s="26"/>
    </row>
    <row r="845" spans="2:3" x14ac:dyDescent="0.35">
      <c r="B845" s="26"/>
      <c r="C845" s="26"/>
    </row>
    <row r="846" spans="2:3" x14ac:dyDescent="0.35">
      <c r="B846" s="26"/>
      <c r="C846" s="26"/>
    </row>
    <row r="847" spans="2:3" x14ac:dyDescent="0.35">
      <c r="B847" s="26"/>
      <c r="C847" s="26"/>
    </row>
    <row r="848" spans="2:3" x14ac:dyDescent="0.35">
      <c r="B848" s="26"/>
      <c r="C848" s="26"/>
    </row>
    <row r="849" spans="2:3" x14ac:dyDescent="0.35">
      <c r="B849" s="26"/>
      <c r="C849" s="26"/>
    </row>
    <row r="850" spans="2:3" x14ac:dyDescent="0.35">
      <c r="B850" s="26"/>
      <c r="C850" s="26"/>
    </row>
    <row r="851" spans="2:3" x14ac:dyDescent="0.35">
      <c r="B851" s="26"/>
      <c r="C851" s="26"/>
    </row>
    <row r="852" spans="2:3" x14ac:dyDescent="0.35">
      <c r="B852" s="26"/>
      <c r="C852" s="26"/>
    </row>
    <row r="853" spans="2:3" x14ac:dyDescent="0.35">
      <c r="B853" s="26"/>
      <c r="C853" s="26"/>
    </row>
    <row r="854" spans="2:3" x14ac:dyDescent="0.35">
      <c r="B854" s="26"/>
      <c r="C854" s="26"/>
    </row>
    <row r="855" spans="2:3" x14ac:dyDescent="0.35">
      <c r="B855" s="26"/>
      <c r="C855" s="26"/>
    </row>
    <row r="856" spans="2:3" x14ac:dyDescent="0.35">
      <c r="B856" s="26"/>
      <c r="C856" s="26"/>
    </row>
    <row r="857" spans="2:3" x14ac:dyDescent="0.35">
      <c r="B857" s="26"/>
      <c r="C857" s="26"/>
    </row>
    <row r="858" spans="2:3" x14ac:dyDescent="0.35">
      <c r="B858" s="26"/>
      <c r="C858" s="26"/>
    </row>
    <row r="859" spans="2:3" x14ac:dyDescent="0.35">
      <c r="B859" s="26"/>
      <c r="C859" s="26"/>
    </row>
    <row r="860" spans="2:3" x14ac:dyDescent="0.35">
      <c r="B860" s="26"/>
      <c r="C860" s="26"/>
    </row>
    <row r="861" spans="2:3" x14ac:dyDescent="0.35">
      <c r="B861" s="26"/>
      <c r="C861" s="26"/>
    </row>
    <row r="862" spans="2:3" x14ac:dyDescent="0.35">
      <c r="B862" s="26"/>
      <c r="C862" s="26"/>
    </row>
    <row r="863" spans="2:3" x14ac:dyDescent="0.35">
      <c r="B863" s="26"/>
      <c r="C863" s="26"/>
    </row>
    <row r="864" spans="2:3" x14ac:dyDescent="0.35">
      <c r="B864" s="26"/>
      <c r="C864" s="26"/>
    </row>
    <row r="865" spans="2:3" x14ac:dyDescent="0.35">
      <c r="B865" s="26"/>
      <c r="C865" s="26"/>
    </row>
    <row r="866" spans="2:3" x14ac:dyDescent="0.35">
      <c r="B866" s="26"/>
      <c r="C866" s="26"/>
    </row>
    <row r="867" spans="2:3" x14ac:dyDescent="0.35">
      <c r="B867" s="26"/>
      <c r="C867" s="26"/>
    </row>
    <row r="868" spans="2:3" x14ac:dyDescent="0.35">
      <c r="B868" s="26"/>
      <c r="C868" s="26"/>
    </row>
    <row r="869" spans="2:3" x14ac:dyDescent="0.35">
      <c r="B869" s="26"/>
      <c r="C869" s="26"/>
    </row>
    <row r="870" spans="2:3" x14ac:dyDescent="0.35">
      <c r="B870" s="26"/>
      <c r="C870" s="26"/>
    </row>
    <row r="871" spans="2:3" x14ac:dyDescent="0.35">
      <c r="B871" s="26"/>
      <c r="C871" s="26"/>
    </row>
    <row r="872" spans="2:3" x14ac:dyDescent="0.35">
      <c r="B872" s="26"/>
      <c r="C872" s="26"/>
    </row>
    <row r="873" spans="2:3" x14ac:dyDescent="0.35">
      <c r="B873" s="26"/>
      <c r="C873" s="26"/>
    </row>
    <row r="874" spans="2:3" x14ac:dyDescent="0.35">
      <c r="B874" s="26"/>
      <c r="C874" s="26"/>
    </row>
    <row r="875" spans="2:3" x14ac:dyDescent="0.35">
      <c r="B875" s="26"/>
      <c r="C875" s="26"/>
    </row>
    <row r="876" spans="2:3" x14ac:dyDescent="0.35">
      <c r="B876" s="26"/>
      <c r="C876" s="26"/>
    </row>
    <row r="877" spans="2:3" x14ac:dyDescent="0.35">
      <c r="B877" s="26"/>
      <c r="C877" s="26"/>
    </row>
    <row r="878" spans="2:3" x14ac:dyDescent="0.35">
      <c r="B878" s="26"/>
      <c r="C878" s="26"/>
    </row>
    <row r="879" spans="2:3" x14ac:dyDescent="0.35">
      <c r="B879" s="26"/>
      <c r="C879" s="26"/>
    </row>
    <row r="880" spans="2:3" x14ac:dyDescent="0.35">
      <c r="B880" s="26"/>
      <c r="C880" s="26"/>
    </row>
    <row r="881" spans="2:3" x14ac:dyDescent="0.35">
      <c r="B881" s="26"/>
      <c r="C881" s="26"/>
    </row>
    <row r="882" spans="2:3" x14ac:dyDescent="0.35">
      <c r="B882" s="26"/>
      <c r="C882" s="26"/>
    </row>
    <row r="883" spans="2:3" x14ac:dyDescent="0.35">
      <c r="B883" s="26"/>
      <c r="C883" s="26"/>
    </row>
    <row r="884" spans="2:3" x14ac:dyDescent="0.35">
      <c r="B884" s="26"/>
      <c r="C884" s="26"/>
    </row>
    <row r="885" spans="2:3" x14ac:dyDescent="0.35">
      <c r="B885" s="26"/>
      <c r="C885" s="26"/>
    </row>
    <row r="886" spans="2:3" x14ac:dyDescent="0.35">
      <c r="B886" s="26"/>
      <c r="C886" s="26"/>
    </row>
    <row r="887" spans="2:3" x14ac:dyDescent="0.35">
      <c r="B887" s="26"/>
      <c r="C887" s="26"/>
    </row>
    <row r="888" spans="2:3" x14ac:dyDescent="0.35">
      <c r="B888" s="26"/>
      <c r="C888" s="26"/>
    </row>
    <row r="889" spans="2:3" x14ac:dyDescent="0.35">
      <c r="B889" s="26"/>
      <c r="C889" s="26"/>
    </row>
    <row r="890" spans="2:3" x14ac:dyDescent="0.35">
      <c r="B890" s="26"/>
      <c r="C890" s="26"/>
    </row>
    <row r="891" spans="2:3" x14ac:dyDescent="0.35">
      <c r="B891" s="26"/>
      <c r="C891" s="26"/>
    </row>
    <row r="892" spans="2:3" x14ac:dyDescent="0.35">
      <c r="B892" s="26"/>
      <c r="C892" s="26"/>
    </row>
    <row r="893" spans="2:3" x14ac:dyDescent="0.35">
      <c r="B893" s="26"/>
      <c r="C893" s="26"/>
    </row>
    <row r="894" spans="2:3" x14ac:dyDescent="0.35">
      <c r="B894" s="26"/>
      <c r="C894" s="26"/>
    </row>
    <row r="895" spans="2:3" x14ac:dyDescent="0.35">
      <c r="B895" s="26"/>
      <c r="C895" s="26"/>
    </row>
    <row r="896" spans="2:3" x14ac:dyDescent="0.35">
      <c r="B896" s="26"/>
      <c r="C896" s="26"/>
    </row>
    <row r="897" spans="2:3" x14ac:dyDescent="0.35">
      <c r="B897" s="26"/>
      <c r="C897" s="26"/>
    </row>
    <row r="898" spans="2:3" x14ac:dyDescent="0.35">
      <c r="B898" s="26"/>
      <c r="C898" s="26"/>
    </row>
    <row r="899" spans="2:3" x14ac:dyDescent="0.35">
      <c r="B899" s="26"/>
      <c r="C899" s="26"/>
    </row>
    <row r="900" spans="2:3" x14ac:dyDescent="0.35">
      <c r="B900" s="26"/>
      <c r="C900" s="26"/>
    </row>
    <row r="901" spans="2:3" x14ac:dyDescent="0.35">
      <c r="B901" s="26"/>
      <c r="C901" s="26"/>
    </row>
    <row r="902" spans="2:3" x14ac:dyDescent="0.35">
      <c r="B902" s="26"/>
      <c r="C902" s="26"/>
    </row>
    <row r="903" spans="2:3" x14ac:dyDescent="0.35">
      <c r="B903" s="26"/>
      <c r="C903" s="26"/>
    </row>
    <row r="904" spans="2:3" x14ac:dyDescent="0.35">
      <c r="B904" s="26"/>
      <c r="C904" s="26"/>
    </row>
    <row r="905" spans="2:3" x14ac:dyDescent="0.35">
      <c r="B905" s="26"/>
      <c r="C905" s="26"/>
    </row>
    <row r="906" spans="2:3" x14ac:dyDescent="0.35">
      <c r="B906" s="26"/>
      <c r="C906" s="26"/>
    </row>
    <row r="907" spans="2:3" x14ac:dyDescent="0.35">
      <c r="B907" s="26"/>
      <c r="C907" s="26"/>
    </row>
    <row r="908" spans="2:3" x14ac:dyDescent="0.35">
      <c r="B908" s="26"/>
      <c r="C908" s="26"/>
    </row>
    <row r="909" spans="2:3" x14ac:dyDescent="0.35">
      <c r="B909" s="26"/>
      <c r="C909" s="26"/>
    </row>
    <row r="910" spans="2:3" x14ac:dyDescent="0.35">
      <c r="B910" s="26"/>
      <c r="C910" s="26"/>
    </row>
    <row r="911" spans="2:3" x14ac:dyDescent="0.35">
      <c r="B911" s="26"/>
      <c r="C911" s="26"/>
    </row>
    <row r="912" spans="2:3" x14ac:dyDescent="0.35">
      <c r="B912" s="26"/>
      <c r="C912" s="26"/>
    </row>
    <row r="913" spans="2:3" x14ac:dyDescent="0.35">
      <c r="B913" s="26"/>
      <c r="C913" s="26"/>
    </row>
    <row r="914" spans="2:3" x14ac:dyDescent="0.35">
      <c r="B914" s="26"/>
      <c r="C914" s="26"/>
    </row>
    <row r="915" spans="2:3" x14ac:dyDescent="0.35">
      <c r="B915" s="26"/>
      <c r="C915" s="26"/>
    </row>
    <row r="916" spans="2:3" x14ac:dyDescent="0.35">
      <c r="B916" s="26"/>
      <c r="C916" s="26"/>
    </row>
    <row r="917" spans="2:3" x14ac:dyDescent="0.35">
      <c r="B917" s="26"/>
      <c r="C917" s="26"/>
    </row>
    <row r="918" spans="2:3" x14ac:dyDescent="0.35">
      <c r="B918" s="26"/>
      <c r="C918" s="26"/>
    </row>
    <row r="919" spans="2:3" x14ac:dyDescent="0.35">
      <c r="B919" s="26"/>
      <c r="C919" s="26"/>
    </row>
    <row r="920" spans="2:3" x14ac:dyDescent="0.35">
      <c r="B920" s="26"/>
      <c r="C920" s="26"/>
    </row>
    <row r="921" spans="2:3" x14ac:dyDescent="0.35">
      <c r="B921" s="26"/>
      <c r="C921" s="26"/>
    </row>
    <row r="922" spans="2:3" x14ac:dyDescent="0.35">
      <c r="B922" s="26"/>
      <c r="C922" s="26"/>
    </row>
    <row r="923" spans="2:3" x14ac:dyDescent="0.35">
      <c r="B923" s="26"/>
      <c r="C923" s="26"/>
    </row>
    <row r="924" spans="2:3" x14ac:dyDescent="0.35">
      <c r="B924" s="26"/>
      <c r="C924" s="26"/>
    </row>
    <row r="925" spans="2:3" x14ac:dyDescent="0.35">
      <c r="B925" s="26"/>
      <c r="C925" s="26"/>
    </row>
    <row r="926" spans="2:3" x14ac:dyDescent="0.35">
      <c r="B926" s="26"/>
      <c r="C926" s="26"/>
    </row>
    <row r="927" spans="2:3" x14ac:dyDescent="0.35">
      <c r="B927" s="26"/>
      <c r="C927" s="26"/>
    </row>
    <row r="928" spans="2:3" x14ac:dyDescent="0.35">
      <c r="B928" s="26"/>
      <c r="C928" s="26"/>
    </row>
    <row r="929" spans="2:3" x14ac:dyDescent="0.35">
      <c r="B929" s="26"/>
      <c r="C929" s="26"/>
    </row>
    <row r="930" spans="2:3" x14ac:dyDescent="0.35">
      <c r="B930" s="26"/>
      <c r="C930" s="26"/>
    </row>
    <row r="931" spans="2:3" x14ac:dyDescent="0.35">
      <c r="B931" s="26"/>
      <c r="C931" s="26"/>
    </row>
    <row r="932" spans="2:3" x14ac:dyDescent="0.35">
      <c r="B932" s="26"/>
      <c r="C932" s="26"/>
    </row>
    <row r="933" spans="2:3" x14ac:dyDescent="0.35">
      <c r="B933" s="26"/>
      <c r="C933" s="26"/>
    </row>
    <row r="934" spans="2:3" x14ac:dyDescent="0.35">
      <c r="B934" s="26"/>
      <c r="C934" s="26"/>
    </row>
    <row r="935" spans="2:3" x14ac:dyDescent="0.35">
      <c r="B935" s="26"/>
      <c r="C935" s="26"/>
    </row>
    <row r="936" spans="2:3" x14ac:dyDescent="0.35">
      <c r="B936" s="26"/>
      <c r="C936" s="26"/>
    </row>
    <row r="937" spans="2:3" x14ac:dyDescent="0.35">
      <c r="B937" s="26"/>
      <c r="C937" s="26"/>
    </row>
    <row r="938" spans="2:3" x14ac:dyDescent="0.35">
      <c r="B938" s="26"/>
      <c r="C938" s="26"/>
    </row>
    <row r="939" spans="2:3" x14ac:dyDescent="0.35">
      <c r="B939" s="26"/>
      <c r="C939" s="26"/>
    </row>
    <row r="940" spans="2:3" x14ac:dyDescent="0.35">
      <c r="B940" s="26"/>
      <c r="C940" s="26"/>
    </row>
    <row r="941" spans="2:3" x14ac:dyDescent="0.35">
      <c r="B941" s="26"/>
      <c r="C941" s="26"/>
    </row>
    <row r="942" spans="2:3" x14ac:dyDescent="0.35">
      <c r="B942" s="26"/>
      <c r="C942" s="26"/>
    </row>
    <row r="943" spans="2:3" x14ac:dyDescent="0.35">
      <c r="B943" s="26"/>
      <c r="C943" s="26"/>
    </row>
    <row r="944" spans="2:3" x14ac:dyDescent="0.35">
      <c r="B944" s="26"/>
      <c r="C944" s="26"/>
    </row>
    <row r="945" spans="2:3" x14ac:dyDescent="0.35">
      <c r="B945" s="26"/>
      <c r="C945" s="26"/>
    </row>
    <row r="946" spans="2:3" x14ac:dyDescent="0.35">
      <c r="B946" s="26"/>
      <c r="C946" s="26"/>
    </row>
    <row r="947" spans="2:3" x14ac:dyDescent="0.35">
      <c r="B947" s="26"/>
      <c r="C947" s="26"/>
    </row>
    <row r="948" spans="2:3" x14ac:dyDescent="0.35">
      <c r="B948" s="26"/>
      <c r="C948" s="26"/>
    </row>
    <row r="949" spans="2:3" x14ac:dyDescent="0.35">
      <c r="B949" s="26"/>
      <c r="C949" s="26"/>
    </row>
    <row r="950" spans="2:3" x14ac:dyDescent="0.35">
      <c r="B950" s="26"/>
      <c r="C950" s="26"/>
    </row>
    <row r="951" spans="2:3" x14ac:dyDescent="0.35">
      <c r="B951" s="26"/>
      <c r="C951" s="26"/>
    </row>
    <row r="952" spans="2:3" x14ac:dyDescent="0.35">
      <c r="B952" s="26"/>
      <c r="C952" s="26"/>
    </row>
    <row r="953" spans="2:3" x14ac:dyDescent="0.35">
      <c r="B953" s="26"/>
      <c r="C953" s="26"/>
    </row>
    <row r="954" spans="2:3" x14ac:dyDescent="0.35">
      <c r="B954" s="26"/>
      <c r="C954" s="26"/>
    </row>
    <row r="955" spans="2:3" x14ac:dyDescent="0.35">
      <c r="B955" s="26"/>
      <c r="C955" s="26"/>
    </row>
    <row r="956" spans="2:3" x14ac:dyDescent="0.35">
      <c r="B956" s="26"/>
      <c r="C956" s="26"/>
    </row>
    <row r="957" spans="2:3" x14ac:dyDescent="0.35">
      <c r="B957" s="26"/>
      <c r="C957" s="26"/>
    </row>
    <row r="958" spans="2:3" x14ac:dyDescent="0.35">
      <c r="B958" s="26"/>
      <c r="C958" s="26"/>
    </row>
    <row r="959" spans="2:3" x14ac:dyDescent="0.35">
      <c r="B959" s="26"/>
      <c r="C959" s="26"/>
    </row>
    <row r="960" spans="2:3" x14ac:dyDescent="0.35">
      <c r="B960" s="26"/>
      <c r="C960" s="26"/>
    </row>
    <row r="961" spans="2:3" x14ac:dyDescent="0.35">
      <c r="B961" s="26"/>
      <c r="C961" s="26"/>
    </row>
    <row r="962" spans="2:3" x14ac:dyDescent="0.35">
      <c r="B962" s="26"/>
      <c r="C962" s="26"/>
    </row>
    <row r="963" spans="2:3" x14ac:dyDescent="0.35">
      <c r="B963" s="26"/>
      <c r="C963" s="26"/>
    </row>
    <row r="964" spans="2:3" x14ac:dyDescent="0.35">
      <c r="B964" s="26"/>
      <c r="C964" s="26"/>
    </row>
    <row r="965" spans="2:3" x14ac:dyDescent="0.35">
      <c r="B965" s="26"/>
      <c r="C965" s="26"/>
    </row>
    <row r="966" spans="2:3" x14ac:dyDescent="0.35">
      <c r="B966" s="26"/>
      <c r="C966" s="26"/>
    </row>
    <row r="967" spans="2:3" x14ac:dyDescent="0.35">
      <c r="B967" s="26"/>
      <c r="C967" s="26"/>
    </row>
    <row r="968" spans="2:3" x14ac:dyDescent="0.35">
      <c r="B968" s="26"/>
      <c r="C968" s="26"/>
    </row>
    <row r="969" spans="2:3" x14ac:dyDescent="0.35">
      <c r="B969" s="26"/>
      <c r="C969" s="26"/>
    </row>
    <row r="970" spans="2:3" x14ac:dyDescent="0.35">
      <c r="B970" s="26"/>
      <c r="C970" s="26"/>
    </row>
    <row r="971" spans="2:3" x14ac:dyDescent="0.35">
      <c r="B971" s="26"/>
      <c r="C971" s="26"/>
    </row>
    <row r="972" spans="2:3" x14ac:dyDescent="0.35">
      <c r="B972" s="26"/>
      <c r="C972" s="26"/>
    </row>
    <row r="973" spans="2:3" x14ac:dyDescent="0.35">
      <c r="B973" s="26"/>
      <c r="C973" s="26"/>
    </row>
    <row r="974" spans="2:3" x14ac:dyDescent="0.35">
      <c r="B974" s="26"/>
      <c r="C974" s="26"/>
    </row>
    <row r="975" spans="2:3" x14ac:dyDescent="0.35">
      <c r="B975" s="26"/>
      <c r="C975" s="26"/>
    </row>
    <row r="976" spans="2:3" x14ac:dyDescent="0.35">
      <c r="B976" s="26"/>
      <c r="C976" s="26"/>
    </row>
    <row r="977" spans="2:3" x14ac:dyDescent="0.35">
      <c r="B977" s="26"/>
      <c r="C977" s="26"/>
    </row>
    <row r="978" spans="2:3" x14ac:dyDescent="0.35">
      <c r="B978" s="26"/>
      <c r="C978" s="26"/>
    </row>
    <row r="979" spans="2:3" x14ac:dyDescent="0.35">
      <c r="B979" s="26"/>
      <c r="C979" s="26"/>
    </row>
    <row r="980" spans="2:3" x14ac:dyDescent="0.35">
      <c r="B980" s="26"/>
      <c r="C980" s="26"/>
    </row>
    <row r="981" spans="2:3" x14ac:dyDescent="0.35">
      <c r="B981" s="26"/>
      <c r="C981" s="26"/>
    </row>
    <row r="982" spans="2:3" x14ac:dyDescent="0.35">
      <c r="B982" s="26"/>
      <c r="C982" s="26"/>
    </row>
    <row r="983" spans="2:3" x14ac:dyDescent="0.35">
      <c r="B983" s="26"/>
      <c r="C983" s="26"/>
    </row>
    <row r="984" spans="2:3" x14ac:dyDescent="0.35">
      <c r="B984" s="26"/>
      <c r="C984" s="26"/>
    </row>
    <row r="985" spans="2:3" x14ac:dyDescent="0.35">
      <c r="B985" s="26"/>
      <c r="C985" s="26"/>
    </row>
    <row r="986" spans="2:3" x14ac:dyDescent="0.35">
      <c r="B986" s="26"/>
      <c r="C986" s="26"/>
    </row>
    <row r="987" spans="2:3" x14ac:dyDescent="0.35">
      <c r="B987" s="26"/>
      <c r="C987" s="26"/>
    </row>
    <row r="988" spans="2:3" x14ac:dyDescent="0.35">
      <c r="B988" s="26"/>
      <c r="C988" s="26"/>
    </row>
    <row r="989" spans="2:3" x14ac:dyDescent="0.35">
      <c r="B989" s="26"/>
      <c r="C989" s="26"/>
    </row>
    <row r="990" spans="2:3" x14ac:dyDescent="0.35">
      <c r="B990" s="26"/>
      <c r="C990" s="26"/>
    </row>
    <row r="991" spans="2:3" x14ac:dyDescent="0.35">
      <c r="B991" s="26"/>
      <c r="C991" s="26"/>
    </row>
    <row r="992" spans="2:3" x14ac:dyDescent="0.35">
      <c r="B992" s="26"/>
      <c r="C992" s="26"/>
    </row>
    <row r="993" spans="2:3" x14ac:dyDescent="0.35">
      <c r="B993" s="26"/>
      <c r="C993" s="26"/>
    </row>
    <row r="994" spans="2:3" x14ac:dyDescent="0.35">
      <c r="B994" s="26"/>
      <c r="C994" s="26"/>
    </row>
    <row r="995" spans="2:3" x14ac:dyDescent="0.35">
      <c r="B995" s="26"/>
      <c r="C995" s="26"/>
    </row>
    <row r="996" spans="2:3" x14ac:dyDescent="0.35">
      <c r="B996" s="26"/>
      <c r="C996" s="26"/>
    </row>
    <row r="997" spans="2:3" x14ac:dyDescent="0.35">
      <c r="B997" s="26"/>
      <c r="C997" s="26"/>
    </row>
    <row r="998" spans="2:3" x14ac:dyDescent="0.35">
      <c r="B998" s="26"/>
      <c r="C998" s="26"/>
    </row>
    <row r="999" spans="2:3" x14ac:dyDescent="0.35">
      <c r="B999" s="26"/>
      <c r="C999" s="26"/>
    </row>
    <row r="1000" spans="2:3" x14ac:dyDescent="0.35">
      <c r="B1000" s="26"/>
      <c r="C1000" s="26"/>
    </row>
    <row r="1001" spans="2:3" x14ac:dyDescent="0.35">
      <c r="B1001" s="26"/>
      <c r="C1001" s="26"/>
    </row>
    <row r="1002" spans="2:3" x14ac:dyDescent="0.35">
      <c r="B1002" s="26"/>
      <c r="C1002" s="26"/>
    </row>
    <row r="1003" spans="2:3" x14ac:dyDescent="0.35">
      <c r="B1003" s="26"/>
      <c r="C1003" s="26"/>
    </row>
    <row r="1004" spans="2:3" x14ac:dyDescent="0.35">
      <c r="B1004" s="26"/>
      <c r="C1004" s="26"/>
    </row>
    <row r="1005" spans="2:3" x14ac:dyDescent="0.35">
      <c r="B1005" s="26"/>
      <c r="C1005" s="26"/>
    </row>
    <row r="1006" spans="2:3" x14ac:dyDescent="0.35">
      <c r="B1006" s="26"/>
      <c r="C1006" s="26"/>
    </row>
    <row r="1007" spans="2:3" x14ac:dyDescent="0.35">
      <c r="B1007" s="26"/>
      <c r="C1007" s="26"/>
    </row>
    <row r="1008" spans="2:3" x14ac:dyDescent="0.35">
      <c r="B1008" s="26"/>
      <c r="C1008" s="26"/>
    </row>
    <row r="1009" spans="2:3" x14ac:dyDescent="0.35">
      <c r="B1009" s="26"/>
      <c r="C1009" s="26"/>
    </row>
    <row r="1010" spans="2:3" x14ac:dyDescent="0.35">
      <c r="B1010" s="26"/>
      <c r="C1010" s="26"/>
    </row>
    <row r="1011" spans="2:3" x14ac:dyDescent="0.35">
      <c r="B1011" s="26"/>
      <c r="C1011" s="26"/>
    </row>
    <row r="1012" spans="2:3" x14ac:dyDescent="0.35">
      <c r="B1012" s="26"/>
      <c r="C1012" s="26"/>
    </row>
    <row r="1013" spans="2:3" x14ac:dyDescent="0.35">
      <c r="B1013" s="26"/>
      <c r="C1013" s="26"/>
    </row>
    <row r="1014" spans="2:3" x14ac:dyDescent="0.35">
      <c r="B1014" s="26"/>
      <c r="C1014" s="26"/>
    </row>
    <row r="1015" spans="2:3" x14ac:dyDescent="0.35">
      <c r="B1015" s="26"/>
      <c r="C1015" s="26"/>
    </row>
    <row r="1016" spans="2:3" x14ac:dyDescent="0.35">
      <c r="B1016" s="26"/>
      <c r="C1016" s="26"/>
    </row>
    <row r="1017" spans="2:3" x14ac:dyDescent="0.35">
      <c r="B1017" s="26"/>
      <c r="C1017" s="26"/>
    </row>
    <row r="1018" spans="2:3" x14ac:dyDescent="0.35">
      <c r="B1018" s="26"/>
      <c r="C1018" s="26"/>
    </row>
    <row r="1019" spans="2:3" x14ac:dyDescent="0.35">
      <c r="B1019" s="26"/>
      <c r="C1019" s="26"/>
    </row>
    <row r="1020" spans="2:3" x14ac:dyDescent="0.35">
      <c r="B1020" s="26"/>
      <c r="C1020" s="26"/>
    </row>
    <row r="1021" spans="2:3" x14ac:dyDescent="0.35">
      <c r="B1021" s="26"/>
      <c r="C1021" s="26"/>
    </row>
    <row r="1022" spans="2:3" x14ac:dyDescent="0.35">
      <c r="B1022" s="26"/>
      <c r="C1022" s="26"/>
    </row>
    <row r="1023" spans="2:3" x14ac:dyDescent="0.35">
      <c r="B1023" s="26"/>
      <c r="C1023" s="26"/>
    </row>
    <row r="1024" spans="2:3" x14ac:dyDescent="0.35">
      <c r="B1024" s="26"/>
      <c r="C1024" s="26"/>
    </row>
    <row r="1025" spans="2:3" x14ac:dyDescent="0.35">
      <c r="B1025" s="26"/>
      <c r="C1025" s="26"/>
    </row>
    <row r="1026" spans="2:3" x14ac:dyDescent="0.35">
      <c r="B1026" s="26"/>
      <c r="C1026" s="26"/>
    </row>
    <row r="1027" spans="2:3" x14ac:dyDescent="0.35">
      <c r="B1027" s="26"/>
      <c r="C1027" s="26"/>
    </row>
    <row r="1028" spans="2:3" x14ac:dyDescent="0.35">
      <c r="B1028" s="26"/>
      <c r="C1028" s="26"/>
    </row>
    <row r="1029" spans="2:3" x14ac:dyDescent="0.35">
      <c r="B1029" s="26"/>
      <c r="C1029" s="26"/>
    </row>
    <row r="1030" spans="2:3" x14ac:dyDescent="0.35">
      <c r="B1030" s="26"/>
      <c r="C1030" s="26"/>
    </row>
    <row r="1031" spans="2:3" x14ac:dyDescent="0.35">
      <c r="B1031" s="26"/>
      <c r="C1031" s="26"/>
    </row>
    <row r="1032" spans="2:3" x14ac:dyDescent="0.35">
      <c r="B1032" s="26"/>
      <c r="C1032" s="26"/>
    </row>
    <row r="1033" spans="2:3" x14ac:dyDescent="0.35">
      <c r="B1033" s="26"/>
      <c r="C1033" s="26"/>
    </row>
    <row r="1034" spans="2:3" x14ac:dyDescent="0.35">
      <c r="B1034" s="26"/>
      <c r="C1034" s="26"/>
    </row>
    <row r="1035" spans="2:3" x14ac:dyDescent="0.35">
      <c r="B1035" s="26"/>
      <c r="C1035" s="26"/>
    </row>
    <row r="1036" spans="2:3" x14ac:dyDescent="0.35">
      <c r="B1036" s="26"/>
      <c r="C1036" s="26"/>
    </row>
    <row r="1037" spans="2:3" x14ac:dyDescent="0.35">
      <c r="B1037" s="26"/>
      <c r="C1037" s="26"/>
    </row>
    <row r="1038" spans="2:3" x14ac:dyDescent="0.35">
      <c r="B1038" s="26"/>
      <c r="C1038" s="26"/>
    </row>
    <row r="1039" spans="2:3" x14ac:dyDescent="0.35">
      <c r="B1039" s="26"/>
      <c r="C1039" s="26"/>
    </row>
    <row r="1040" spans="2:3" x14ac:dyDescent="0.35">
      <c r="B1040" s="26"/>
      <c r="C1040" s="26"/>
    </row>
    <row r="1041" spans="2:3" x14ac:dyDescent="0.35">
      <c r="B1041" s="26"/>
      <c r="C1041" s="26"/>
    </row>
    <row r="1042" spans="2:3" x14ac:dyDescent="0.35">
      <c r="B1042" s="26"/>
      <c r="C1042" s="26"/>
    </row>
    <row r="1043" spans="2:3" x14ac:dyDescent="0.35">
      <c r="B1043" s="26"/>
      <c r="C1043" s="26"/>
    </row>
    <row r="1044" spans="2:3" x14ac:dyDescent="0.35">
      <c r="B1044" s="26"/>
      <c r="C1044" s="26"/>
    </row>
    <row r="1045" spans="2:3" x14ac:dyDescent="0.35">
      <c r="B1045" s="26"/>
      <c r="C1045" s="26"/>
    </row>
    <row r="1046" spans="2:3" x14ac:dyDescent="0.35">
      <c r="B1046" s="26"/>
      <c r="C1046" s="26"/>
    </row>
    <row r="1047" spans="2:3" x14ac:dyDescent="0.35">
      <c r="B1047" s="26"/>
      <c r="C1047" s="26"/>
    </row>
    <row r="1048" spans="2:3" x14ac:dyDescent="0.35">
      <c r="B1048" s="26"/>
      <c r="C1048" s="26"/>
    </row>
    <row r="1049" spans="2:3" x14ac:dyDescent="0.35">
      <c r="B1049" s="26"/>
      <c r="C1049" s="26"/>
    </row>
    <row r="1050" spans="2:3" x14ac:dyDescent="0.35">
      <c r="B1050" s="26"/>
      <c r="C1050" s="26"/>
    </row>
    <row r="1051" spans="2:3" x14ac:dyDescent="0.35">
      <c r="B1051" s="26"/>
      <c r="C1051" s="26"/>
    </row>
    <row r="1052" spans="2:3" x14ac:dyDescent="0.35">
      <c r="B1052" s="26"/>
      <c r="C1052" s="26"/>
    </row>
    <row r="1053" spans="2:3" x14ac:dyDescent="0.35">
      <c r="B1053" s="26"/>
      <c r="C1053" s="26"/>
    </row>
    <row r="1054" spans="2:3" x14ac:dyDescent="0.35">
      <c r="B1054" s="26"/>
      <c r="C1054" s="26"/>
    </row>
    <row r="1055" spans="2:3" x14ac:dyDescent="0.35">
      <c r="B1055" s="26"/>
      <c r="C1055" s="26"/>
    </row>
    <row r="1056" spans="2:3" x14ac:dyDescent="0.35">
      <c r="B1056" s="26"/>
      <c r="C1056" s="26"/>
    </row>
    <row r="1057" spans="2:3" x14ac:dyDescent="0.35">
      <c r="B1057" s="26"/>
      <c r="C1057" s="26"/>
    </row>
    <row r="1058" spans="2:3" x14ac:dyDescent="0.35">
      <c r="B1058" s="26"/>
      <c r="C1058" s="26"/>
    </row>
    <row r="1059" spans="2:3" x14ac:dyDescent="0.35">
      <c r="B1059" s="26"/>
      <c r="C1059" s="26"/>
    </row>
    <row r="1060" spans="2:3" x14ac:dyDescent="0.35">
      <c r="B1060" s="26"/>
      <c r="C1060" s="26"/>
    </row>
    <row r="1061" spans="2:3" x14ac:dyDescent="0.35">
      <c r="B1061" s="26"/>
      <c r="C1061" s="26"/>
    </row>
    <row r="1062" spans="2:3" x14ac:dyDescent="0.35">
      <c r="B1062" s="26"/>
      <c r="C1062" s="26"/>
    </row>
    <row r="1063" spans="2:3" x14ac:dyDescent="0.35">
      <c r="B1063" s="26"/>
      <c r="C1063" s="26"/>
    </row>
    <row r="1064" spans="2:3" x14ac:dyDescent="0.35">
      <c r="B1064" s="26"/>
      <c r="C1064" s="26"/>
    </row>
    <row r="1065" spans="2:3" x14ac:dyDescent="0.35">
      <c r="B1065" s="26"/>
      <c r="C1065" s="26"/>
    </row>
    <row r="1066" spans="2:3" x14ac:dyDescent="0.35">
      <c r="B1066" s="26"/>
      <c r="C1066" s="26"/>
    </row>
    <row r="1067" spans="2:3" x14ac:dyDescent="0.35">
      <c r="B1067" s="26"/>
      <c r="C1067" s="26"/>
    </row>
    <row r="1068" spans="2:3" x14ac:dyDescent="0.35">
      <c r="B1068" s="26"/>
      <c r="C1068" s="26"/>
    </row>
    <row r="1069" spans="2:3" x14ac:dyDescent="0.35">
      <c r="B1069" s="26"/>
      <c r="C1069" s="26"/>
    </row>
    <row r="1070" spans="2:3" x14ac:dyDescent="0.35">
      <c r="B1070" s="26"/>
      <c r="C1070" s="26"/>
    </row>
    <row r="1071" spans="2:3" x14ac:dyDescent="0.35">
      <c r="B1071" s="26"/>
      <c r="C1071" s="26"/>
    </row>
    <row r="1072" spans="2:3" x14ac:dyDescent="0.35">
      <c r="B1072" s="26"/>
      <c r="C1072" s="26"/>
    </row>
    <row r="1073" spans="2:3" x14ac:dyDescent="0.35">
      <c r="B1073" s="26"/>
      <c r="C1073" s="26"/>
    </row>
    <row r="1074" spans="2:3" x14ac:dyDescent="0.35">
      <c r="B1074" s="26"/>
      <c r="C1074" s="26"/>
    </row>
    <row r="1075" spans="2:3" x14ac:dyDescent="0.35">
      <c r="B1075" s="26"/>
      <c r="C1075" s="26"/>
    </row>
    <row r="1076" spans="2:3" x14ac:dyDescent="0.35">
      <c r="B1076" s="26"/>
      <c r="C1076" s="26"/>
    </row>
    <row r="1077" spans="2:3" x14ac:dyDescent="0.35">
      <c r="B1077" s="26"/>
      <c r="C1077" s="26"/>
    </row>
    <row r="1078" spans="2:3" x14ac:dyDescent="0.35">
      <c r="B1078" s="26"/>
      <c r="C1078" s="26"/>
    </row>
    <row r="1079" spans="2:3" x14ac:dyDescent="0.35">
      <c r="B1079" s="26"/>
      <c r="C1079" s="26"/>
    </row>
    <row r="1080" spans="2:3" x14ac:dyDescent="0.35">
      <c r="B1080" s="26"/>
      <c r="C1080" s="26"/>
    </row>
    <row r="1081" spans="2:3" x14ac:dyDescent="0.35">
      <c r="B1081" s="26"/>
      <c r="C1081" s="26"/>
    </row>
    <row r="1082" spans="2:3" x14ac:dyDescent="0.35">
      <c r="B1082" s="26"/>
      <c r="C1082" s="26"/>
    </row>
    <row r="1083" spans="2:3" x14ac:dyDescent="0.35">
      <c r="B1083" s="26"/>
      <c r="C1083" s="26"/>
    </row>
    <row r="1084" spans="2:3" x14ac:dyDescent="0.35">
      <c r="B1084" s="26"/>
      <c r="C1084" s="26"/>
    </row>
    <row r="1085" spans="2:3" x14ac:dyDescent="0.35">
      <c r="B1085" s="26"/>
      <c r="C1085" s="26"/>
    </row>
    <row r="1086" spans="2:3" x14ac:dyDescent="0.35">
      <c r="B1086" s="26"/>
      <c r="C1086" s="26"/>
    </row>
    <row r="1087" spans="2:3" x14ac:dyDescent="0.35">
      <c r="B1087" s="26"/>
      <c r="C1087" s="26"/>
    </row>
    <row r="1088" spans="2:3" x14ac:dyDescent="0.35">
      <c r="B1088" s="26"/>
      <c r="C1088" s="26"/>
    </row>
    <row r="1089" spans="2:3" x14ac:dyDescent="0.35">
      <c r="B1089" s="26"/>
      <c r="C1089" s="26"/>
    </row>
    <row r="1090" spans="2:3" x14ac:dyDescent="0.35">
      <c r="B1090" s="26"/>
      <c r="C1090" s="26"/>
    </row>
    <row r="1091" spans="2:3" x14ac:dyDescent="0.35">
      <c r="B1091" s="26"/>
      <c r="C1091" s="26"/>
    </row>
    <row r="1092" spans="2:3" x14ac:dyDescent="0.35">
      <c r="B1092" s="26"/>
      <c r="C1092" s="26"/>
    </row>
    <row r="1093" spans="2:3" x14ac:dyDescent="0.35">
      <c r="B1093" s="26"/>
      <c r="C1093" s="26"/>
    </row>
    <row r="1094" spans="2:3" x14ac:dyDescent="0.35">
      <c r="B1094" s="26"/>
      <c r="C1094" s="26"/>
    </row>
    <row r="1095" spans="2:3" x14ac:dyDescent="0.35">
      <c r="B1095" s="26"/>
      <c r="C1095" s="26"/>
    </row>
    <row r="1096" spans="2:3" x14ac:dyDescent="0.35">
      <c r="B1096" s="26"/>
      <c r="C1096" s="26"/>
    </row>
    <row r="1097" spans="2:3" x14ac:dyDescent="0.35">
      <c r="B1097" s="26"/>
      <c r="C1097" s="26"/>
    </row>
    <row r="1098" spans="2:3" x14ac:dyDescent="0.35">
      <c r="B1098" s="26"/>
      <c r="C1098" s="26"/>
    </row>
    <row r="1099" spans="2:3" x14ac:dyDescent="0.35">
      <c r="B1099" s="26"/>
      <c r="C1099" s="26"/>
    </row>
    <row r="1100" spans="2:3" x14ac:dyDescent="0.35">
      <c r="B1100" s="26"/>
      <c r="C1100" s="26"/>
    </row>
    <row r="1101" spans="2:3" x14ac:dyDescent="0.35">
      <c r="B1101" s="26"/>
      <c r="C1101" s="26"/>
    </row>
    <row r="1102" spans="2:3" x14ac:dyDescent="0.35">
      <c r="B1102" s="26"/>
      <c r="C1102" s="26"/>
    </row>
    <row r="1103" spans="2:3" x14ac:dyDescent="0.35">
      <c r="B1103" s="26"/>
      <c r="C1103" s="26"/>
    </row>
    <row r="1104" spans="2:3" x14ac:dyDescent="0.35">
      <c r="B1104" s="26"/>
      <c r="C1104" s="26"/>
    </row>
    <row r="1105" spans="2:3" x14ac:dyDescent="0.35">
      <c r="B1105" s="26"/>
      <c r="C1105" s="26"/>
    </row>
    <row r="1106" spans="2:3" x14ac:dyDescent="0.35">
      <c r="B1106" s="26"/>
      <c r="C1106" s="26"/>
    </row>
    <row r="1107" spans="2:3" x14ac:dyDescent="0.35">
      <c r="B1107" s="26"/>
      <c r="C1107" s="26"/>
    </row>
    <row r="1108" spans="2:3" x14ac:dyDescent="0.35">
      <c r="B1108" s="26"/>
      <c r="C1108" s="26"/>
    </row>
    <row r="1109" spans="2:3" x14ac:dyDescent="0.35">
      <c r="B1109" s="26"/>
      <c r="C1109" s="26"/>
    </row>
    <row r="1110" spans="2:3" x14ac:dyDescent="0.35">
      <c r="B1110" s="26"/>
      <c r="C1110" s="26"/>
    </row>
    <row r="1111" spans="2:3" x14ac:dyDescent="0.35">
      <c r="B1111" s="26"/>
      <c r="C1111" s="26"/>
    </row>
    <row r="1112" spans="2:3" x14ac:dyDescent="0.35">
      <c r="B1112" s="26"/>
      <c r="C1112" s="26"/>
    </row>
    <row r="1113" spans="2:3" x14ac:dyDescent="0.35">
      <c r="B1113" s="26"/>
      <c r="C1113" s="26"/>
    </row>
    <row r="1114" spans="2:3" x14ac:dyDescent="0.35">
      <c r="B1114" s="26"/>
      <c r="C1114" s="26"/>
    </row>
    <row r="1115" spans="2:3" x14ac:dyDescent="0.35">
      <c r="B1115" s="26"/>
      <c r="C1115" s="26"/>
    </row>
    <row r="1116" spans="2:3" x14ac:dyDescent="0.35">
      <c r="B1116" s="26"/>
      <c r="C1116" s="26"/>
    </row>
    <row r="1117" spans="2:3" x14ac:dyDescent="0.35">
      <c r="B1117" s="26"/>
      <c r="C1117" s="26"/>
    </row>
    <row r="1118" spans="2:3" x14ac:dyDescent="0.35">
      <c r="B1118" s="26"/>
      <c r="C1118" s="26"/>
    </row>
    <row r="1119" spans="2:3" x14ac:dyDescent="0.35">
      <c r="B1119" s="26"/>
      <c r="C1119" s="26"/>
    </row>
    <row r="1120" spans="2:3" x14ac:dyDescent="0.35">
      <c r="B1120" s="26"/>
      <c r="C1120" s="26"/>
    </row>
    <row r="1121" spans="2:3" x14ac:dyDescent="0.35">
      <c r="B1121" s="26"/>
      <c r="C1121" s="26"/>
    </row>
    <row r="1122" spans="2:3" x14ac:dyDescent="0.35">
      <c r="B1122" s="26"/>
      <c r="C1122" s="26"/>
    </row>
    <row r="1123" spans="2:3" x14ac:dyDescent="0.35">
      <c r="B1123" s="26"/>
      <c r="C1123" s="26"/>
    </row>
    <row r="1124" spans="2:3" x14ac:dyDescent="0.35">
      <c r="B1124" s="26"/>
      <c r="C1124" s="26"/>
    </row>
    <row r="1125" spans="2:3" x14ac:dyDescent="0.35">
      <c r="B1125" s="26"/>
      <c r="C1125" s="26"/>
    </row>
    <row r="1126" spans="2:3" x14ac:dyDescent="0.35">
      <c r="B1126" s="26"/>
      <c r="C1126" s="26"/>
    </row>
    <row r="1127" spans="2:3" x14ac:dyDescent="0.35">
      <c r="B1127" s="26"/>
      <c r="C1127" s="26"/>
    </row>
    <row r="1128" spans="2:3" x14ac:dyDescent="0.35">
      <c r="B1128" s="26"/>
      <c r="C1128" s="26"/>
    </row>
    <row r="1129" spans="2:3" x14ac:dyDescent="0.35">
      <c r="B1129" s="26"/>
      <c r="C1129" s="26"/>
    </row>
    <row r="1130" spans="2:3" x14ac:dyDescent="0.35">
      <c r="B1130" s="26"/>
      <c r="C1130" s="26"/>
    </row>
    <row r="1131" spans="2:3" x14ac:dyDescent="0.35">
      <c r="B1131" s="26"/>
      <c r="C1131" s="26"/>
    </row>
    <row r="1132" spans="2:3" x14ac:dyDescent="0.35">
      <c r="B1132" s="26"/>
      <c r="C1132" s="26"/>
    </row>
    <row r="1133" spans="2:3" x14ac:dyDescent="0.35">
      <c r="B1133" s="26"/>
      <c r="C1133" s="26"/>
    </row>
    <row r="1134" spans="2:3" x14ac:dyDescent="0.35">
      <c r="B1134" s="26"/>
      <c r="C1134" s="26"/>
    </row>
    <row r="1135" spans="2:3" x14ac:dyDescent="0.35">
      <c r="B1135" s="26"/>
      <c r="C1135" s="26"/>
    </row>
    <row r="1136" spans="2:3" x14ac:dyDescent="0.35">
      <c r="B1136" s="26"/>
      <c r="C1136" s="26"/>
    </row>
    <row r="1137" spans="2:3" x14ac:dyDescent="0.35">
      <c r="B1137" s="26"/>
      <c r="C1137" s="26"/>
    </row>
    <row r="1138" spans="2:3" x14ac:dyDescent="0.35">
      <c r="B1138" s="26"/>
      <c r="C1138" s="26"/>
    </row>
    <row r="1139" spans="2:3" x14ac:dyDescent="0.35">
      <c r="B1139" s="26"/>
      <c r="C1139" s="26"/>
    </row>
    <row r="1140" spans="2:3" x14ac:dyDescent="0.35">
      <c r="B1140" s="26"/>
      <c r="C1140" s="26"/>
    </row>
    <row r="1141" spans="2:3" x14ac:dyDescent="0.35">
      <c r="B1141" s="26"/>
      <c r="C1141" s="26"/>
    </row>
    <row r="1142" spans="2:3" x14ac:dyDescent="0.35">
      <c r="B1142" s="26"/>
      <c r="C1142" s="26"/>
    </row>
    <row r="1143" spans="2:3" x14ac:dyDescent="0.35">
      <c r="B1143" s="26"/>
      <c r="C1143" s="26"/>
    </row>
    <row r="1144" spans="2:3" x14ac:dyDescent="0.35">
      <c r="B1144" s="26"/>
      <c r="C1144" s="26"/>
    </row>
    <row r="1145" spans="2:3" x14ac:dyDescent="0.35">
      <c r="B1145" s="26"/>
      <c r="C1145" s="26"/>
    </row>
    <row r="1146" spans="2:3" x14ac:dyDescent="0.35">
      <c r="B1146" s="26"/>
      <c r="C1146" s="26"/>
    </row>
    <row r="1147" spans="2:3" x14ac:dyDescent="0.35">
      <c r="B1147" s="26"/>
      <c r="C1147" s="26"/>
    </row>
    <row r="1148" spans="2:3" x14ac:dyDescent="0.35">
      <c r="B1148" s="26"/>
      <c r="C1148" s="26"/>
    </row>
    <row r="1149" spans="2:3" x14ac:dyDescent="0.35">
      <c r="B1149" s="26"/>
      <c r="C1149" s="26"/>
    </row>
    <row r="1150" spans="2:3" x14ac:dyDescent="0.35">
      <c r="B1150" s="26"/>
      <c r="C1150" s="26"/>
    </row>
    <row r="1151" spans="2:3" x14ac:dyDescent="0.35">
      <c r="B1151" s="26"/>
      <c r="C1151" s="26"/>
    </row>
    <row r="1152" spans="2:3" x14ac:dyDescent="0.35">
      <c r="B1152" s="26"/>
      <c r="C1152" s="26"/>
    </row>
    <row r="1153" spans="2:3" x14ac:dyDescent="0.35">
      <c r="B1153" s="26"/>
      <c r="C1153" s="26"/>
    </row>
    <row r="1154" spans="2:3" x14ac:dyDescent="0.35">
      <c r="B1154" s="26"/>
      <c r="C1154" s="26"/>
    </row>
    <row r="1155" spans="2:3" x14ac:dyDescent="0.35">
      <c r="B1155" s="26"/>
      <c r="C1155" s="26"/>
    </row>
    <row r="1156" spans="2:3" x14ac:dyDescent="0.35">
      <c r="B1156" s="26"/>
      <c r="C1156" s="26"/>
    </row>
    <row r="1157" spans="2:3" x14ac:dyDescent="0.35">
      <c r="B1157" s="26"/>
      <c r="C1157" s="26"/>
    </row>
    <row r="1158" spans="2:3" x14ac:dyDescent="0.35">
      <c r="B1158" s="26"/>
      <c r="C1158" s="26"/>
    </row>
    <row r="1159" spans="2:3" x14ac:dyDescent="0.35">
      <c r="B1159" s="26"/>
      <c r="C1159" s="26"/>
    </row>
    <row r="1160" spans="2:3" x14ac:dyDescent="0.35">
      <c r="B1160" s="26"/>
      <c r="C1160" s="26"/>
    </row>
    <row r="1161" spans="2:3" x14ac:dyDescent="0.35">
      <c r="B1161" s="26"/>
      <c r="C1161" s="26"/>
    </row>
    <row r="1162" spans="2:3" x14ac:dyDescent="0.35">
      <c r="B1162" s="26"/>
      <c r="C1162" s="26"/>
    </row>
    <row r="1163" spans="2:3" x14ac:dyDescent="0.35">
      <c r="B1163" s="26"/>
      <c r="C1163" s="26"/>
    </row>
    <row r="1164" spans="2:3" x14ac:dyDescent="0.35">
      <c r="B1164" s="26"/>
      <c r="C1164" s="26"/>
    </row>
    <row r="1165" spans="2:3" x14ac:dyDescent="0.35">
      <c r="B1165" s="26"/>
      <c r="C1165" s="26"/>
    </row>
    <row r="1166" spans="2:3" x14ac:dyDescent="0.35">
      <c r="B1166" s="26"/>
      <c r="C1166" s="26"/>
    </row>
    <row r="1167" spans="2:3" x14ac:dyDescent="0.35">
      <c r="B1167" s="26"/>
      <c r="C1167" s="26"/>
    </row>
    <row r="1168" spans="2:3" x14ac:dyDescent="0.35">
      <c r="B1168" s="26"/>
      <c r="C1168" s="26"/>
    </row>
    <row r="1169" spans="2:3" x14ac:dyDescent="0.35">
      <c r="B1169" s="26"/>
      <c r="C1169" s="26"/>
    </row>
    <row r="1170" spans="2:3" x14ac:dyDescent="0.35">
      <c r="B1170" s="26"/>
      <c r="C1170" s="26"/>
    </row>
    <row r="1171" spans="2:3" x14ac:dyDescent="0.35">
      <c r="B1171" s="26"/>
      <c r="C1171" s="26"/>
    </row>
    <row r="1172" spans="2:3" x14ac:dyDescent="0.35">
      <c r="B1172" s="26"/>
      <c r="C1172" s="26"/>
    </row>
    <row r="1173" spans="2:3" x14ac:dyDescent="0.35">
      <c r="B1173" s="26"/>
      <c r="C1173" s="26"/>
    </row>
    <row r="1174" spans="2:3" x14ac:dyDescent="0.35">
      <c r="B1174" s="26"/>
      <c r="C1174" s="26"/>
    </row>
    <row r="1175" spans="2:3" x14ac:dyDescent="0.35">
      <c r="B1175" s="26"/>
      <c r="C1175" s="26"/>
    </row>
    <row r="1176" spans="2:3" x14ac:dyDescent="0.35">
      <c r="B1176" s="26"/>
      <c r="C1176" s="26"/>
    </row>
    <row r="1177" spans="2:3" x14ac:dyDescent="0.35">
      <c r="B1177" s="26"/>
      <c r="C1177" s="26"/>
    </row>
    <row r="1178" spans="2:3" x14ac:dyDescent="0.35">
      <c r="B1178" s="26"/>
      <c r="C1178" s="26"/>
    </row>
    <row r="1179" spans="2:3" x14ac:dyDescent="0.35">
      <c r="B1179" s="26"/>
      <c r="C1179" s="26"/>
    </row>
    <row r="1180" spans="2:3" x14ac:dyDescent="0.35">
      <c r="B1180" s="26"/>
      <c r="C1180" s="26"/>
    </row>
    <row r="1181" spans="2:3" x14ac:dyDescent="0.35">
      <c r="B1181" s="26"/>
      <c r="C1181" s="26"/>
    </row>
    <row r="1182" spans="2:3" x14ac:dyDescent="0.35">
      <c r="B1182" s="26"/>
      <c r="C1182" s="26"/>
    </row>
    <row r="1183" spans="2:3" x14ac:dyDescent="0.35">
      <c r="B1183" s="26"/>
      <c r="C1183" s="26"/>
    </row>
    <row r="1184" spans="2:3" x14ac:dyDescent="0.35">
      <c r="B1184" s="26"/>
      <c r="C1184" s="26"/>
    </row>
    <row r="1185" spans="2:3" x14ac:dyDescent="0.35">
      <c r="B1185" s="26"/>
      <c r="C1185" s="26"/>
    </row>
    <row r="1186" spans="2:3" x14ac:dyDescent="0.35">
      <c r="B1186" s="26"/>
      <c r="C1186" s="26"/>
    </row>
    <row r="1187" spans="2:3" x14ac:dyDescent="0.35">
      <c r="B1187" s="26"/>
      <c r="C1187" s="26"/>
    </row>
    <row r="1188" spans="2:3" x14ac:dyDescent="0.35">
      <c r="B1188" s="26"/>
      <c r="C1188" s="26"/>
    </row>
    <row r="1189" spans="2:3" x14ac:dyDescent="0.35">
      <c r="B1189" s="26"/>
      <c r="C1189" s="26"/>
    </row>
    <row r="1190" spans="2:3" x14ac:dyDescent="0.35">
      <c r="B1190" s="26"/>
      <c r="C1190" s="26"/>
    </row>
    <row r="1191" spans="2:3" x14ac:dyDescent="0.35">
      <c r="B1191" s="26"/>
      <c r="C1191" s="26"/>
    </row>
    <row r="1192" spans="2:3" x14ac:dyDescent="0.35">
      <c r="B1192" s="26"/>
      <c r="C1192" s="26"/>
    </row>
    <row r="1193" spans="2:3" x14ac:dyDescent="0.35">
      <c r="B1193" s="26"/>
      <c r="C1193" s="26"/>
    </row>
    <row r="1194" spans="2:3" x14ac:dyDescent="0.35">
      <c r="B1194" s="26"/>
      <c r="C1194" s="26"/>
    </row>
    <row r="1195" spans="2:3" x14ac:dyDescent="0.35">
      <c r="B1195" s="26"/>
      <c r="C1195" s="26"/>
    </row>
    <row r="1196" spans="2:3" x14ac:dyDescent="0.35">
      <c r="B1196" s="26"/>
      <c r="C1196" s="26"/>
    </row>
    <row r="1197" spans="2:3" x14ac:dyDescent="0.35">
      <c r="B1197" s="26"/>
      <c r="C1197" s="26"/>
    </row>
    <row r="1198" spans="2:3" x14ac:dyDescent="0.35">
      <c r="B1198" s="26"/>
      <c r="C1198" s="26"/>
    </row>
    <row r="1199" spans="2:3" x14ac:dyDescent="0.35">
      <c r="B1199" s="26"/>
      <c r="C1199" s="26"/>
    </row>
    <row r="1200" spans="2:3" x14ac:dyDescent="0.35">
      <c r="B1200" s="26"/>
      <c r="C1200" s="26"/>
    </row>
    <row r="1201" spans="2:3" x14ac:dyDescent="0.35">
      <c r="B1201" s="26"/>
      <c r="C1201" s="26"/>
    </row>
    <row r="1202" spans="2:3" x14ac:dyDescent="0.35">
      <c r="B1202" s="26"/>
      <c r="C1202" s="26"/>
    </row>
    <row r="1203" spans="2:3" x14ac:dyDescent="0.35">
      <c r="B1203" s="26"/>
      <c r="C1203" s="26"/>
    </row>
    <row r="1204" spans="2:3" x14ac:dyDescent="0.35">
      <c r="B1204" s="26"/>
      <c r="C1204" s="26"/>
    </row>
    <row r="1205" spans="2:3" x14ac:dyDescent="0.35">
      <c r="B1205" s="26"/>
      <c r="C1205" s="26"/>
    </row>
    <row r="1206" spans="2:3" x14ac:dyDescent="0.35">
      <c r="B1206" s="26"/>
      <c r="C1206" s="26"/>
    </row>
    <row r="1207" spans="2:3" x14ac:dyDescent="0.35">
      <c r="B1207" s="26"/>
      <c r="C1207" s="26"/>
    </row>
    <row r="1208" spans="2:3" x14ac:dyDescent="0.35">
      <c r="B1208" s="26"/>
      <c r="C1208" s="26"/>
    </row>
    <row r="1209" spans="2:3" x14ac:dyDescent="0.35">
      <c r="B1209" s="26"/>
      <c r="C1209" s="26"/>
    </row>
    <row r="1210" spans="2:3" x14ac:dyDescent="0.35">
      <c r="B1210" s="26"/>
      <c r="C1210" s="26"/>
    </row>
    <row r="1211" spans="2:3" x14ac:dyDescent="0.35">
      <c r="B1211" s="26"/>
      <c r="C1211" s="26"/>
    </row>
    <row r="1212" spans="2:3" x14ac:dyDescent="0.35">
      <c r="B1212" s="26"/>
      <c r="C1212" s="26"/>
    </row>
    <row r="1213" spans="2:3" x14ac:dyDescent="0.35">
      <c r="B1213" s="26"/>
      <c r="C1213" s="26"/>
    </row>
    <row r="1214" spans="2:3" x14ac:dyDescent="0.35">
      <c r="B1214" s="26"/>
      <c r="C1214" s="26"/>
    </row>
    <row r="1215" spans="2:3" x14ac:dyDescent="0.35">
      <c r="B1215" s="26"/>
      <c r="C1215" s="26"/>
    </row>
    <row r="1216" spans="2:3" x14ac:dyDescent="0.35">
      <c r="B1216" s="26"/>
      <c r="C1216" s="26"/>
    </row>
    <row r="1217" spans="2:3" x14ac:dyDescent="0.35">
      <c r="B1217" s="26"/>
      <c r="C1217" s="26"/>
    </row>
    <row r="1218" spans="2:3" x14ac:dyDescent="0.35">
      <c r="B1218" s="26"/>
      <c r="C1218" s="26"/>
    </row>
    <row r="1219" spans="2:3" x14ac:dyDescent="0.35">
      <c r="B1219" s="26"/>
      <c r="C1219" s="26"/>
    </row>
    <row r="1220" spans="2:3" x14ac:dyDescent="0.35">
      <c r="B1220" s="26"/>
      <c r="C1220" s="26"/>
    </row>
    <row r="1221" spans="2:3" x14ac:dyDescent="0.35">
      <c r="B1221" s="26"/>
      <c r="C1221" s="26"/>
    </row>
    <row r="1222" spans="2:3" x14ac:dyDescent="0.35">
      <c r="B1222" s="26"/>
      <c r="C1222" s="26"/>
    </row>
    <row r="1223" spans="2:3" x14ac:dyDescent="0.35">
      <c r="B1223" s="26"/>
      <c r="C1223" s="26"/>
    </row>
    <row r="1224" spans="2:3" x14ac:dyDescent="0.35">
      <c r="B1224" s="26"/>
      <c r="C1224" s="26"/>
    </row>
    <row r="1225" spans="2:3" x14ac:dyDescent="0.35">
      <c r="B1225" s="26"/>
      <c r="C1225" s="26"/>
    </row>
    <row r="1226" spans="2:3" x14ac:dyDescent="0.35">
      <c r="B1226" s="26"/>
      <c r="C1226" s="26"/>
    </row>
    <row r="1227" spans="2:3" x14ac:dyDescent="0.35">
      <c r="B1227" s="26"/>
      <c r="C1227" s="26"/>
    </row>
    <row r="1228" spans="2:3" x14ac:dyDescent="0.35">
      <c r="B1228" s="26"/>
      <c r="C1228" s="26"/>
    </row>
    <row r="1229" spans="2:3" x14ac:dyDescent="0.35">
      <c r="B1229" s="26"/>
      <c r="C1229" s="26"/>
    </row>
    <row r="1230" spans="2:3" x14ac:dyDescent="0.35">
      <c r="B1230" s="26"/>
      <c r="C1230" s="26"/>
    </row>
    <row r="1231" spans="2:3" x14ac:dyDescent="0.35">
      <c r="B1231" s="26"/>
      <c r="C1231" s="26"/>
    </row>
    <row r="1232" spans="2:3" x14ac:dyDescent="0.35">
      <c r="B1232" s="26"/>
      <c r="C1232" s="26"/>
    </row>
    <row r="1233" spans="2:3" x14ac:dyDescent="0.35">
      <c r="B1233" s="26"/>
      <c r="C1233" s="26"/>
    </row>
    <row r="1234" spans="2:3" x14ac:dyDescent="0.35">
      <c r="B1234" s="26"/>
      <c r="C1234" s="26"/>
    </row>
    <row r="1235" spans="2:3" x14ac:dyDescent="0.35">
      <c r="B1235" s="26"/>
      <c r="C1235" s="26"/>
    </row>
    <row r="1236" spans="2:3" x14ac:dyDescent="0.35">
      <c r="B1236" s="26"/>
      <c r="C1236" s="26"/>
    </row>
    <row r="1237" spans="2:3" x14ac:dyDescent="0.35">
      <c r="B1237" s="26"/>
      <c r="C1237" s="26"/>
    </row>
    <row r="1238" spans="2:3" x14ac:dyDescent="0.35">
      <c r="B1238" s="26"/>
      <c r="C1238" s="26"/>
    </row>
    <row r="1239" spans="2:3" x14ac:dyDescent="0.35">
      <c r="B1239" s="26"/>
      <c r="C1239" s="26"/>
    </row>
    <row r="1240" spans="2:3" x14ac:dyDescent="0.35">
      <c r="B1240" s="26"/>
      <c r="C1240" s="26"/>
    </row>
    <row r="1241" spans="2:3" x14ac:dyDescent="0.35">
      <c r="B1241" s="26"/>
      <c r="C1241" s="26"/>
    </row>
    <row r="1242" spans="2:3" x14ac:dyDescent="0.35">
      <c r="B1242" s="26"/>
      <c r="C1242" s="26"/>
    </row>
    <row r="1243" spans="2:3" x14ac:dyDescent="0.35">
      <c r="B1243" s="26"/>
      <c r="C1243" s="26"/>
    </row>
    <row r="1244" spans="2:3" x14ac:dyDescent="0.35">
      <c r="B1244" s="26"/>
      <c r="C1244" s="26"/>
    </row>
    <row r="1245" spans="2:3" x14ac:dyDescent="0.35">
      <c r="B1245" s="26"/>
      <c r="C1245" s="26"/>
    </row>
    <row r="1246" spans="2:3" x14ac:dyDescent="0.35">
      <c r="B1246" s="26"/>
      <c r="C1246" s="26"/>
    </row>
    <row r="1247" spans="2:3" x14ac:dyDescent="0.35">
      <c r="B1247" s="26"/>
      <c r="C1247" s="26"/>
    </row>
    <row r="1248" spans="2:3" x14ac:dyDescent="0.35">
      <c r="B1248" s="26"/>
      <c r="C1248" s="26"/>
    </row>
    <row r="1249" spans="2:3" x14ac:dyDescent="0.35">
      <c r="B1249" s="26"/>
      <c r="C1249" s="26"/>
    </row>
    <row r="1250" spans="2:3" x14ac:dyDescent="0.35">
      <c r="B1250" s="26"/>
      <c r="C1250" s="26"/>
    </row>
    <row r="1251" spans="2:3" x14ac:dyDescent="0.35">
      <c r="B1251" s="26"/>
      <c r="C1251" s="26"/>
    </row>
    <row r="1252" spans="2:3" x14ac:dyDescent="0.35">
      <c r="B1252" s="26"/>
      <c r="C1252" s="26"/>
    </row>
    <row r="1253" spans="2:3" x14ac:dyDescent="0.35">
      <c r="B1253" s="26"/>
      <c r="C1253" s="26"/>
    </row>
    <row r="1254" spans="2:3" x14ac:dyDescent="0.35">
      <c r="B1254" s="26"/>
      <c r="C1254" s="26"/>
    </row>
    <row r="1255" spans="2:3" x14ac:dyDescent="0.35">
      <c r="B1255" s="26"/>
      <c r="C1255" s="26"/>
    </row>
    <row r="1256" spans="2:3" x14ac:dyDescent="0.35">
      <c r="B1256" s="26"/>
      <c r="C1256" s="26"/>
    </row>
    <row r="1257" spans="2:3" x14ac:dyDescent="0.35">
      <c r="B1257" s="26"/>
      <c r="C1257" s="26"/>
    </row>
    <row r="1258" spans="2:3" x14ac:dyDescent="0.35">
      <c r="B1258" s="26"/>
      <c r="C1258" s="26"/>
    </row>
    <row r="1259" spans="2:3" x14ac:dyDescent="0.35">
      <c r="B1259" s="26"/>
      <c r="C1259" s="26"/>
    </row>
    <row r="1260" spans="2:3" x14ac:dyDescent="0.35">
      <c r="B1260" s="26"/>
      <c r="C1260" s="26"/>
    </row>
    <row r="1261" spans="2:3" x14ac:dyDescent="0.35">
      <c r="B1261" s="26"/>
      <c r="C1261" s="26"/>
    </row>
    <row r="1262" spans="2:3" x14ac:dyDescent="0.35">
      <c r="B1262" s="26"/>
      <c r="C1262" s="26"/>
    </row>
    <row r="1263" spans="2:3" x14ac:dyDescent="0.35">
      <c r="B1263" s="26"/>
      <c r="C1263" s="26"/>
    </row>
    <row r="1264" spans="2:3" x14ac:dyDescent="0.35">
      <c r="B1264" s="26"/>
      <c r="C1264" s="26"/>
    </row>
    <row r="1265" spans="2:3" x14ac:dyDescent="0.35">
      <c r="B1265" s="26"/>
      <c r="C1265" s="26"/>
    </row>
    <row r="1266" spans="2:3" x14ac:dyDescent="0.35">
      <c r="B1266" s="26"/>
      <c r="C1266" s="26"/>
    </row>
    <row r="1267" spans="2:3" x14ac:dyDescent="0.35">
      <c r="B1267" s="26"/>
      <c r="C1267" s="26"/>
    </row>
    <row r="1268" spans="2:3" x14ac:dyDescent="0.35">
      <c r="B1268" s="26"/>
      <c r="C1268" s="26"/>
    </row>
    <row r="1269" spans="2:3" x14ac:dyDescent="0.35">
      <c r="B1269" s="26"/>
      <c r="C1269" s="26"/>
    </row>
    <row r="1270" spans="2:3" x14ac:dyDescent="0.35">
      <c r="B1270" s="26"/>
      <c r="C1270" s="26"/>
    </row>
    <row r="1271" spans="2:3" x14ac:dyDescent="0.35">
      <c r="B1271" s="26"/>
      <c r="C1271" s="26"/>
    </row>
    <row r="1272" spans="2:3" x14ac:dyDescent="0.35">
      <c r="B1272" s="26"/>
      <c r="C1272" s="26"/>
    </row>
    <row r="1273" spans="2:3" x14ac:dyDescent="0.35">
      <c r="B1273" s="26"/>
      <c r="C1273" s="26"/>
    </row>
    <row r="1274" spans="2:3" x14ac:dyDescent="0.35">
      <c r="B1274" s="26"/>
      <c r="C1274" s="26"/>
    </row>
    <row r="1275" spans="2:3" x14ac:dyDescent="0.35">
      <c r="B1275" s="26"/>
      <c r="C1275" s="26"/>
    </row>
    <row r="1276" spans="2:3" x14ac:dyDescent="0.35">
      <c r="B1276" s="26"/>
      <c r="C1276" s="26"/>
    </row>
    <row r="1277" spans="2:3" x14ac:dyDescent="0.35">
      <c r="B1277" s="26"/>
      <c r="C1277" s="26"/>
    </row>
    <row r="1278" spans="2:3" x14ac:dyDescent="0.35">
      <c r="B1278" s="26"/>
      <c r="C1278" s="26"/>
    </row>
    <row r="1279" spans="2:3" x14ac:dyDescent="0.35">
      <c r="B1279" s="26"/>
      <c r="C1279" s="26"/>
    </row>
    <row r="1280" spans="2:3" x14ac:dyDescent="0.35">
      <c r="B1280" s="26"/>
      <c r="C1280" s="26"/>
    </row>
    <row r="1281" spans="2:3" x14ac:dyDescent="0.35">
      <c r="B1281" s="26"/>
      <c r="C1281" s="26"/>
    </row>
    <row r="1282" spans="2:3" x14ac:dyDescent="0.35">
      <c r="B1282" s="26"/>
      <c r="C1282" s="26"/>
    </row>
    <row r="1283" spans="2:3" x14ac:dyDescent="0.35">
      <c r="B1283" s="26"/>
      <c r="C1283" s="26"/>
    </row>
    <row r="1284" spans="2:3" x14ac:dyDescent="0.35">
      <c r="B1284" s="26"/>
      <c r="C1284" s="26"/>
    </row>
    <row r="1285" spans="2:3" x14ac:dyDescent="0.35">
      <c r="B1285" s="26"/>
      <c r="C1285" s="26"/>
    </row>
    <row r="1286" spans="2:3" x14ac:dyDescent="0.35">
      <c r="B1286" s="26"/>
      <c r="C1286" s="26"/>
    </row>
    <row r="1287" spans="2:3" x14ac:dyDescent="0.35">
      <c r="B1287" s="26"/>
      <c r="C1287" s="26"/>
    </row>
    <row r="1288" spans="2:3" x14ac:dyDescent="0.35">
      <c r="B1288" s="26"/>
      <c r="C1288" s="26"/>
    </row>
    <row r="1289" spans="2:3" x14ac:dyDescent="0.35">
      <c r="B1289" s="26"/>
      <c r="C1289" s="26"/>
    </row>
    <row r="1290" spans="2:3" x14ac:dyDescent="0.35">
      <c r="B1290" s="26"/>
      <c r="C1290" s="26"/>
    </row>
    <row r="1291" spans="2:3" x14ac:dyDescent="0.35">
      <c r="B1291" s="26"/>
      <c r="C1291" s="26"/>
    </row>
    <row r="1292" spans="2:3" x14ac:dyDescent="0.35">
      <c r="B1292" s="26"/>
      <c r="C1292" s="26"/>
    </row>
    <row r="1293" spans="2:3" x14ac:dyDescent="0.35">
      <c r="B1293" s="26"/>
      <c r="C1293" s="26"/>
    </row>
    <row r="1294" spans="2:3" x14ac:dyDescent="0.35">
      <c r="B1294" s="26"/>
      <c r="C1294" s="26"/>
    </row>
    <row r="1295" spans="2:3" x14ac:dyDescent="0.35">
      <c r="B1295" s="26"/>
      <c r="C1295" s="26"/>
    </row>
    <row r="1296" spans="2:3" x14ac:dyDescent="0.35">
      <c r="B1296" s="26"/>
      <c r="C1296" s="26"/>
    </row>
    <row r="1297" spans="2:3" x14ac:dyDescent="0.35">
      <c r="B1297" s="26"/>
      <c r="C1297" s="26"/>
    </row>
    <row r="1298" spans="2:3" x14ac:dyDescent="0.35">
      <c r="B1298" s="26"/>
      <c r="C1298" s="26"/>
    </row>
    <row r="1299" spans="2:3" x14ac:dyDescent="0.35">
      <c r="B1299" s="26"/>
      <c r="C1299" s="26"/>
    </row>
    <row r="1300" spans="2:3" x14ac:dyDescent="0.35">
      <c r="B1300" s="26"/>
      <c r="C1300" s="26"/>
    </row>
    <row r="1301" spans="2:3" x14ac:dyDescent="0.35">
      <c r="B1301" s="26"/>
      <c r="C1301" s="26"/>
    </row>
    <row r="1302" spans="2:3" x14ac:dyDescent="0.35">
      <c r="B1302" s="26"/>
      <c r="C1302" s="26"/>
    </row>
    <row r="1303" spans="2:3" x14ac:dyDescent="0.35">
      <c r="B1303" s="26"/>
      <c r="C1303" s="26"/>
    </row>
    <row r="1304" spans="2:3" x14ac:dyDescent="0.35">
      <c r="B1304" s="26"/>
      <c r="C1304" s="26"/>
    </row>
    <row r="1305" spans="2:3" x14ac:dyDescent="0.35">
      <c r="B1305" s="26"/>
      <c r="C1305" s="26"/>
    </row>
    <row r="1306" spans="2:3" x14ac:dyDescent="0.35">
      <c r="B1306" s="26"/>
      <c r="C1306" s="26"/>
    </row>
    <row r="1307" spans="2:3" x14ac:dyDescent="0.35">
      <c r="B1307" s="26"/>
      <c r="C1307" s="26"/>
    </row>
    <row r="1308" spans="2:3" x14ac:dyDescent="0.35">
      <c r="B1308" s="26"/>
      <c r="C1308" s="26"/>
    </row>
    <row r="1309" spans="2:3" x14ac:dyDescent="0.35">
      <c r="B1309" s="26"/>
      <c r="C1309" s="26"/>
    </row>
    <row r="1310" spans="2:3" x14ac:dyDescent="0.35">
      <c r="B1310" s="26"/>
      <c r="C1310" s="26"/>
    </row>
    <row r="1311" spans="2:3" x14ac:dyDescent="0.35">
      <c r="B1311" s="26"/>
      <c r="C1311" s="26"/>
    </row>
    <row r="1312" spans="2:3" x14ac:dyDescent="0.35">
      <c r="B1312" s="26"/>
      <c r="C1312" s="26"/>
    </row>
    <row r="1313" spans="2:3" x14ac:dyDescent="0.35">
      <c r="B1313" s="26"/>
      <c r="C1313" s="26"/>
    </row>
    <row r="1314" spans="2:3" x14ac:dyDescent="0.35">
      <c r="B1314" s="26"/>
      <c r="C1314" s="26"/>
    </row>
    <row r="1315" spans="2:3" x14ac:dyDescent="0.35">
      <c r="B1315" s="26"/>
      <c r="C1315" s="26"/>
    </row>
    <row r="1316" spans="2:3" x14ac:dyDescent="0.35">
      <c r="B1316" s="26"/>
      <c r="C1316" s="26"/>
    </row>
    <row r="1317" spans="2:3" x14ac:dyDescent="0.35">
      <c r="B1317" s="26"/>
      <c r="C1317" s="26"/>
    </row>
    <row r="1318" spans="2:3" x14ac:dyDescent="0.35">
      <c r="B1318" s="26"/>
      <c r="C1318" s="26"/>
    </row>
    <row r="1319" spans="2:3" x14ac:dyDescent="0.35">
      <c r="B1319" s="26"/>
      <c r="C1319" s="26"/>
    </row>
    <row r="1320" spans="2:3" x14ac:dyDescent="0.35">
      <c r="B1320" s="26"/>
      <c r="C1320" s="26"/>
    </row>
    <row r="1321" spans="2:3" x14ac:dyDescent="0.35">
      <c r="B1321" s="26"/>
      <c r="C1321" s="26"/>
    </row>
    <row r="1322" spans="2:3" x14ac:dyDescent="0.35">
      <c r="B1322" s="26"/>
      <c r="C1322" s="26"/>
    </row>
    <row r="1323" spans="2:3" x14ac:dyDescent="0.35">
      <c r="B1323" s="26"/>
      <c r="C1323" s="26"/>
    </row>
    <row r="1324" spans="2:3" x14ac:dyDescent="0.35">
      <c r="B1324" s="26"/>
      <c r="C1324" s="26"/>
    </row>
    <row r="1325" spans="2:3" x14ac:dyDescent="0.35">
      <c r="B1325" s="26"/>
      <c r="C1325" s="26"/>
    </row>
    <row r="1326" spans="2:3" x14ac:dyDescent="0.35">
      <c r="B1326" s="26"/>
      <c r="C1326" s="26"/>
    </row>
    <row r="1327" spans="2:3" x14ac:dyDescent="0.35">
      <c r="B1327" s="26"/>
      <c r="C1327" s="26"/>
    </row>
    <row r="1328" spans="2:3" x14ac:dyDescent="0.35">
      <c r="B1328" s="26"/>
      <c r="C1328" s="26"/>
    </row>
    <row r="1329" spans="2:3" x14ac:dyDescent="0.35">
      <c r="B1329" s="26"/>
      <c r="C1329" s="26"/>
    </row>
    <row r="1330" spans="2:3" x14ac:dyDescent="0.35">
      <c r="B1330" s="26"/>
      <c r="C1330" s="26"/>
    </row>
    <row r="1331" spans="2:3" x14ac:dyDescent="0.35">
      <c r="B1331" s="26"/>
      <c r="C1331" s="26"/>
    </row>
    <row r="1332" spans="2:3" x14ac:dyDescent="0.35">
      <c r="B1332" s="26"/>
      <c r="C1332" s="26"/>
    </row>
    <row r="1333" spans="2:3" x14ac:dyDescent="0.35">
      <c r="B1333" s="26"/>
      <c r="C1333" s="26"/>
    </row>
    <row r="1334" spans="2:3" x14ac:dyDescent="0.35">
      <c r="B1334" s="26"/>
      <c r="C1334" s="26"/>
    </row>
    <row r="1335" spans="2:3" x14ac:dyDescent="0.35">
      <c r="B1335" s="26"/>
      <c r="C1335" s="26"/>
    </row>
    <row r="1336" spans="2:3" x14ac:dyDescent="0.35">
      <c r="B1336" s="26"/>
      <c r="C1336" s="26"/>
    </row>
    <row r="1337" spans="2:3" x14ac:dyDescent="0.35">
      <c r="B1337" s="26"/>
      <c r="C1337" s="26"/>
    </row>
    <row r="1338" spans="2:3" x14ac:dyDescent="0.35">
      <c r="B1338" s="26"/>
      <c r="C1338" s="26"/>
    </row>
    <row r="1339" spans="2:3" x14ac:dyDescent="0.35">
      <c r="B1339" s="26"/>
      <c r="C1339" s="26"/>
    </row>
    <row r="1340" spans="2:3" x14ac:dyDescent="0.35">
      <c r="B1340" s="26"/>
      <c r="C1340" s="26"/>
    </row>
    <row r="1341" spans="2:3" x14ac:dyDescent="0.35">
      <c r="B1341" s="26"/>
      <c r="C1341" s="26"/>
    </row>
    <row r="1342" spans="2:3" x14ac:dyDescent="0.35">
      <c r="B1342" s="26"/>
      <c r="C1342" s="26"/>
    </row>
    <row r="1343" spans="2:3" x14ac:dyDescent="0.35">
      <c r="B1343" s="26"/>
      <c r="C1343" s="26"/>
    </row>
    <row r="1344" spans="2:3" x14ac:dyDescent="0.35">
      <c r="B1344" s="26"/>
      <c r="C1344" s="26"/>
    </row>
    <row r="1345" spans="2:3" x14ac:dyDescent="0.35">
      <c r="B1345" s="26"/>
      <c r="C1345" s="26"/>
    </row>
    <row r="1346" spans="2:3" x14ac:dyDescent="0.35">
      <c r="B1346" s="26"/>
      <c r="C1346" s="26"/>
    </row>
    <row r="1347" spans="2:3" x14ac:dyDescent="0.35">
      <c r="B1347" s="26"/>
      <c r="C1347" s="26"/>
    </row>
    <row r="1348" spans="2:3" x14ac:dyDescent="0.35">
      <c r="B1348" s="26"/>
      <c r="C1348" s="26"/>
    </row>
    <row r="1349" spans="2:3" x14ac:dyDescent="0.35">
      <c r="B1349" s="26"/>
      <c r="C1349" s="26"/>
    </row>
    <row r="1350" spans="2:3" x14ac:dyDescent="0.35">
      <c r="B1350" s="26"/>
      <c r="C1350" s="26"/>
    </row>
    <row r="1351" spans="2:3" x14ac:dyDescent="0.35">
      <c r="B1351" s="26"/>
      <c r="C1351" s="26"/>
    </row>
    <row r="1352" spans="2:3" x14ac:dyDescent="0.35">
      <c r="B1352" s="26"/>
      <c r="C1352" s="26"/>
    </row>
    <row r="1353" spans="2:3" x14ac:dyDescent="0.35">
      <c r="B1353" s="26"/>
      <c r="C1353" s="26"/>
    </row>
    <row r="1354" spans="2:3" x14ac:dyDescent="0.35">
      <c r="B1354" s="26"/>
      <c r="C1354" s="26"/>
    </row>
    <row r="1355" spans="2:3" x14ac:dyDescent="0.35">
      <c r="B1355" s="26"/>
      <c r="C1355" s="26"/>
    </row>
    <row r="1356" spans="2:3" x14ac:dyDescent="0.35">
      <c r="B1356" s="26"/>
      <c r="C1356" s="26"/>
    </row>
    <row r="1357" spans="2:3" x14ac:dyDescent="0.35">
      <c r="B1357" s="26"/>
      <c r="C1357" s="26"/>
    </row>
    <row r="1358" spans="2:3" x14ac:dyDescent="0.35">
      <c r="B1358" s="26"/>
      <c r="C1358" s="26"/>
    </row>
    <row r="1359" spans="2:3" x14ac:dyDescent="0.35">
      <c r="B1359" s="26"/>
      <c r="C1359" s="26"/>
    </row>
    <row r="1360" spans="2:3" x14ac:dyDescent="0.35">
      <c r="B1360" s="26"/>
      <c r="C1360" s="26"/>
    </row>
    <row r="1361" spans="2:3" x14ac:dyDescent="0.35">
      <c r="B1361" s="26"/>
      <c r="C1361" s="26"/>
    </row>
    <row r="1362" spans="2:3" x14ac:dyDescent="0.35">
      <c r="B1362" s="26"/>
      <c r="C1362" s="26"/>
    </row>
    <row r="1363" spans="2:3" x14ac:dyDescent="0.35">
      <c r="B1363" s="26"/>
      <c r="C1363" s="26"/>
    </row>
    <row r="1364" spans="2:3" x14ac:dyDescent="0.35">
      <c r="B1364" s="26"/>
      <c r="C1364" s="26"/>
    </row>
    <row r="1365" spans="2:3" x14ac:dyDescent="0.35">
      <c r="B1365" s="26"/>
      <c r="C1365" s="26"/>
    </row>
    <row r="1366" spans="2:3" x14ac:dyDescent="0.35">
      <c r="B1366" s="26"/>
      <c r="C1366" s="26"/>
    </row>
    <row r="1367" spans="2:3" x14ac:dyDescent="0.35">
      <c r="B1367" s="26"/>
      <c r="C1367" s="26"/>
    </row>
    <row r="1368" spans="2:3" x14ac:dyDescent="0.35">
      <c r="B1368" s="26"/>
      <c r="C1368" s="26"/>
    </row>
    <row r="1369" spans="2:3" x14ac:dyDescent="0.35">
      <c r="B1369" s="26"/>
      <c r="C1369" s="26"/>
    </row>
    <row r="1370" spans="2:3" x14ac:dyDescent="0.35">
      <c r="B1370" s="26"/>
      <c r="C1370" s="26"/>
    </row>
    <row r="1371" spans="2:3" x14ac:dyDescent="0.35">
      <c r="B1371" s="26"/>
      <c r="C1371" s="26"/>
    </row>
    <row r="1372" spans="2:3" x14ac:dyDescent="0.35">
      <c r="B1372" s="26"/>
      <c r="C1372" s="26"/>
    </row>
    <row r="1373" spans="2:3" x14ac:dyDescent="0.35">
      <c r="B1373" s="26"/>
      <c r="C1373" s="26"/>
    </row>
    <row r="1374" spans="2:3" x14ac:dyDescent="0.35">
      <c r="B1374" s="26"/>
      <c r="C1374" s="26"/>
    </row>
    <row r="1375" spans="2:3" x14ac:dyDescent="0.35">
      <c r="B1375" s="26"/>
      <c r="C1375" s="26"/>
    </row>
    <row r="1376" spans="2:3" x14ac:dyDescent="0.35">
      <c r="B1376" s="26"/>
      <c r="C1376" s="26"/>
    </row>
    <row r="1377" spans="2:3" x14ac:dyDescent="0.35">
      <c r="B1377" s="26"/>
      <c r="C1377" s="26"/>
    </row>
    <row r="1378" spans="2:3" x14ac:dyDescent="0.35">
      <c r="B1378" s="26"/>
      <c r="C1378" s="26"/>
    </row>
    <row r="1379" spans="2:3" x14ac:dyDescent="0.35">
      <c r="B1379" s="26"/>
      <c r="C1379" s="26"/>
    </row>
    <row r="1380" spans="2:3" x14ac:dyDescent="0.35">
      <c r="B1380" s="26"/>
      <c r="C1380" s="26"/>
    </row>
    <row r="1381" spans="2:3" x14ac:dyDescent="0.35">
      <c r="B1381" s="26"/>
      <c r="C1381" s="26"/>
    </row>
    <row r="1382" spans="2:3" x14ac:dyDescent="0.35">
      <c r="B1382" s="26"/>
      <c r="C1382" s="26"/>
    </row>
    <row r="1383" spans="2:3" x14ac:dyDescent="0.35">
      <c r="B1383" s="26"/>
      <c r="C1383" s="26"/>
    </row>
    <row r="1384" spans="2:3" x14ac:dyDescent="0.35">
      <c r="B1384" s="26"/>
      <c r="C1384" s="26"/>
    </row>
    <row r="1385" spans="2:3" x14ac:dyDescent="0.35">
      <c r="B1385" s="26"/>
      <c r="C1385" s="26"/>
    </row>
    <row r="1386" spans="2:3" x14ac:dyDescent="0.35">
      <c r="B1386" s="26"/>
      <c r="C1386" s="26"/>
    </row>
    <row r="1387" spans="2:3" x14ac:dyDescent="0.35">
      <c r="B1387" s="26"/>
      <c r="C1387" s="26"/>
    </row>
    <row r="1388" spans="2:3" x14ac:dyDescent="0.35">
      <c r="B1388" s="26"/>
      <c r="C1388" s="26"/>
    </row>
    <row r="1389" spans="2:3" x14ac:dyDescent="0.35">
      <c r="B1389" s="26"/>
      <c r="C1389" s="26"/>
    </row>
    <row r="1390" spans="2:3" x14ac:dyDescent="0.35">
      <c r="B1390" s="26"/>
      <c r="C1390" s="26"/>
    </row>
    <row r="1391" spans="2:3" x14ac:dyDescent="0.35">
      <c r="B1391" s="26"/>
      <c r="C1391" s="26"/>
    </row>
    <row r="1392" spans="2:3" x14ac:dyDescent="0.35">
      <c r="B1392" s="26"/>
      <c r="C1392" s="26"/>
    </row>
    <row r="1393" spans="2:3" x14ac:dyDescent="0.35">
      <c r="B1393" s="26"/>
      <c r="C1393" s="26"/>
    </row>
    <row r="1394" spans="2:3" x14ac:dyDescent="0.35">
      <c r="B1394" s="26"/>
      <c r="C1394" s="26"/>
    </row>
    <row r="1395" spans="2:3" x14ac:dyDescent="0.35">
      <c r="B1395" s="26"/>
      <c r="C1395" s="26"/>
    </row>
    <row r="1396" spans="2:3" x14ac:dyDescent="0.35">
      <c r="B1396" s="26"/>
      <c r="C1396" s="26"/>
    </row>
    <row r="1397" spans="2:3" x14ac:dyDescent="0.35">
      <c r="B1397" s="26"/>
      <c r="C1397" s="26"/>
    </row>
    <row r="1398" spans="2:3" x14ac:dyDescent="0.35">
      <c r="B1398" s="26"/>
      <c r="C1398" s="26"/>
    </row>
    <row r="1399" spans="2:3" x14ac:dyDescent="0.35">
      <c r="B1399" s="26"/>
      <c r="C1399" s="26"/>
    </row>
    <row r="1400" spans="2:3" x14ac:dyDescent="0.35">
      <c r="B1400" s="26"/>
      <c r="C1400" s="26"/>
    </row>
    <row r="1401" spans="2:3" x14ac:dyDescent="0.35">
      <c r="B1401" s="26"/>
      <c r="C1401" s="26"/>
    </row>
    <row r="1402" spans="2:3" x14ac:dyDescent="0.35">
      <c r="B1402" s="26"/>
      <c r="C1402" s="26"/>
    </row>
    <row r="1403" spans="2:3" x14ac:dyDescent="0.35">
      <c r="B1403" s="26"/>
      <c r="C1403" s="26"/>
    </row>
    <row r="1404" spans="2:3" x14ac:dyDescent="0.35">
      <c r="B1404" s="26"/>
      <c r="C1404" s="26"/>
    </row>
    <row r="1405" spans="2:3" x14ac:dyDescent="0.35">
      <c r="B1405" s="26"/>
      <c r="C1405" s="26"/>
    </row>
    <row r="1406" spans="2:3" x14ac:dyDescent="0.35">
      <c r="B1406" s="26"/>
      <c r="C1406" s="26"/>
    </row>
    <row r="1407" spans="2:3" x14ac:dyDescent="0.35">
      <c r="B1407" s="26"/>
      <c r="C1407" s="26"/>
    </row>
    <row r="1408" spans="2:3" x14ac:dyDescent="0.35">
      <c r="B1408" s="26"/>
      <c r="C1408" s="26"/>
    </row>
    <row r="1409" spans="2:3" x14ac:dyDescent="0.35">
      <c r="B1409" s="26"/>
      <c r="C1409" s="26"/>
    </row>
    <row r="1410" spans="2:3" x14ac:dyDescent="0.35">
      <c r="B1410" s="26"/>
      <c r="C1410" s="26"/>
    </row>
    <row r="1411" spans="2:3" x14ac:dyDescent="0.35">
      <c r="B1411" s="26"/>
      <c r="C1411" s="26"/>
    </row>
    <row r="1412" spans="2:3" x14ac:dyDescent="0.35">
      <c r="B1412" s="26"/>
      <c r="C1412" s="26"/>
    </row>
    <row r="1413" spans="2:3" x14ac:dyDescent="0.35">
      <c r="B1413" s="26"/>
      <c r="C1413" s="26"/>
    </row>
    <row r="1414" spans="2:3" x14ac:dyDescent="0.35">
      <c r="B1414" s="26"/>
      <c r="C1414" s="26"/>
    </row>
    <row r="1415" spans="2:3" x14ac:dyDescent="0.35">
      <c r="B1415" s="26"/>
      <c r="C1415" s="26"/>
    </row>
    <row r="1416" spans="2:3" x14ac:dyDescent="0.35">
      <c r="B1416" s="26"/>
      <c r="C1416" s="26"/>
    </row>
    <row r="1417" spans="2:3" x14ac:dyDescent="0.35">
      <c r="B1417" s="26"/>
      <c r="C1417" s="26"/>
    </row>
    <row r="1418" spans="2:3" x14ac:dyDescent="0.35">
      <c r="B1418" s="26"/>
      <c r="C1418" s="26"/>
    </row>
    <row r="1419" spans="2:3" x14ac:dyDescent="0.35">
      <c r="B1419" s="26"/>
      <c r="C1419" s="26"/>
    </row>
    <row r="1420" spans="2:3" x14ac:dyDescent="0.35">
      <c r="B1420" s="26"/>
      <c r="C1420" s="26"/>
    </row>
    <row r="1421" spans="2:3" x14ac:dyDescent="0.35">
      <c r="B1421" s="26"/>
      <c r="C1421" s="26"/>
    </row>
    <row r="1422" spans="2:3" x14ac:dyDescent="0.35">
      <c r="B1422" s="26"/>
      <c r="C1422" s="26"/>
    </row>
    <row r="1423" spans="2:3" x14ac:dyDescent="0.35">
      <c r="B1423" s="26"/>
      <c r="C1423" s="26"/>
    </row>
    <row r="1424" spans="2:3" x14ac:dyDescent="0.35">
      <c r="B1424" s="26"/>
      <c r="C1424" s="26"/>
    </row>
    <row r="1425" spans="2:3" x14ac:dyDescent="0.35">
      <c r="B1425" s="26"/>
      <c r="C1425" s="26"/>
    </row>
    <row r="1426" spans="2:3" x14ac:dyDescent="0.35">
      <c r="B1426" s="26"/>
      <c r="C1426" s="26"/>
    </row>
    <row r="1427" spans="2:3" x14ac:dyDescent="0.35">
      <c r="B1427" s="26"/>
      <c r="C1427" s="26"/>
    </row>
    <row r="1428" spans="2:3" x14ac:dyDescent="0.35">
      <c r="B1428" s="26"/>
      <c r="C1428" s="26"/>
    </row>
    <row r="1429" spans="2:3" x14ac:dyDescent="0.35">
      <c r="B1429" s="26"/>
      <c r="C1429" s="26"/>
    </row>
    <row r="1430" spans="2:3" x14ac:dyDescent="0.35">
      <c r="B1430" s="26"/>
      <c r="C1430" s="26"/>
    </row>
    <row r="1431" spans="2:3" x14ac:dyDescent="0.35">
      <c r="B1431" s="26"/>
      <c r="C1431" s="26"/>
    </row>
    <row r="1432" spans="2:3" x14ac:dyDescent="0.35">
      <c r="B1432" s="26"/>
      <c r="C1432" s="26"/>
    </row>
    <row r="1433" spans="2:3" x14ac:dyDescent="0.35">
      <c r="B1433" s="26"/>
      <c r="C1433" s="26"/>
    </row>
    <row r="1434" spans="2:3" x14ac:dyDescent="0.35">
      <c r="B1434" s="26"/>
      <c r="C1434" s="26"/>
    </row>
    <row r="1435" spans="2:3" x14ac:dyDescent="0.35">
      <c r="B1435" s="26"/>
      <c r="C1435" s="26"/>
    </row>
    <row r="1436" spans="2:3" x14ac:dyDescent="0.35">
      <c r="B1436" s="26"/>
      <c r="C1436" s="26"/>
    </row>
    <row r="1437" spans="2:3" x14ac:dyDescent="0.35">
      <c r="B1437" s="26"/>
      <c r="C1437" s="26"/>
    </row>
    <row r="1438" spans="2:3" x14ac:dyDescent="0.35">
      <c r="B1438" s="26"/>
      <c r="C1438" s="26"/>
    </row>
    <row r="1439" spans="2:3" x14ac:dyDescent="0.35">
      <c r="B1439" s="26"/>
      <c r="C1439" s="26"/>
    </row>
    <row r="1440" spans="2:3" x14ac:dyDescent="0.35">
      <c r="B1440" s="26"/>
      <c r="C1440" s="26"/>
    </row>
    <row r="1441" spans="2:3" x14ac:dyDescent="0.35">
      <c r="B1441" s="26"/>
      <c r="C1441" s="26"/>
    </row>
    <row r="1442" spans="2:3" x14ac:dyDescent="0.35">
      <c r="B1442" s="26"/>
      <c r="C1442" s="26"/>
    </row>
    <row r="1443" spans="2:3" x14ac:dyDescent="0.35">
      <c r="B1443" s="26"/>
      <c r="C1443" s="26"/>
    </row>
    <row r="1444" spans="2:3" x14ac:dyDescent="0.35">
      <c r="B1444" s="26"/>
      <c r="C1444" s="26"/>
    </row>
    <row r="1445" spans="2:3" x14ac:dyDescent="0.35">
      <c r="B1445" s="26"/>
      <c r="C1445" s="26"/>
    </row>
    <row r="1446" spans="2:3" x14ac:dyDescent="0.35">
      <c r="B1446" s="26"/>
      <c r="C1446" s="26"/>
    </row>
    <row r="1447" spans="2:3" x14ac:dyDescent="0.35">
      <c r="B1447" s="26"/>
      <c r="C1447" s="26"/>
    </row>
    <row r="1448" spans="2:3" x14ac:dyDescent="0.35">
      <c r="B1448" s="26"/>
      <c r="C1448" s="26"/>
    </row>
    <row r="1449" spans="2:3" x14ac:dyDescent="0.35">
      <c r="B1449" s="26"/>
      <c r="C1449" s="26"/>
    </row>
    <row r="1450" spans="2:3" x14ac:dyDescent="0.35">
      <c r="B1450" s="26"/>
      <c r="C1450" s="26"/>
    </row>
    <row r="1451" spans="2:3" x14ac:dyDescent="0.35">
      <c r="B1451" s="26"/>
      <c r="C1451" s="26"/>
    </row>
    <row r="1452" spans="2:3" x14ac:dyDescent="0.35">
      <c r="B1452" s="26"/>
      <c r="C1452" s="26"/>
    </row>
    <row r="1453" spans="2:3" x14ac:dyDescent="0.35">
      <c r="B1453" s="26"/>
      <c r="C1453" s="26"/>
    </row>
    <row r="1454" spans="2:3" x14ac:dyDescent="0.35">
      <c r="B1454" s="26"/>
      <c r="C1454" s="26"/>
    </row>
    <row r="1455" spans="2:3" x14ac:dyDescent="0.35">
      <c r="B1455" s="26"/>
      <c r="C1455" s="26"/>
    </row>
    <row r="1456" spans="2:3" x14ac:dyDescent="0.35">
      <c r="B1456" s="26"/>
      <c r="C1456" s="26"/>
    </row>
    <row r="1457" spans="2:3" x14ac:dyDescent="0.35">
      <c r="B1457" s="26"/>
      <c r="C1457" s="26"/>
    </row>
    <row r="1458" spans="2:3" x14ac:dyDescent="0.35">
      <c r="B1458" s="26"/>
      <c r="C1458" s="26"/>
    </row>
    <row r="1459" spans="2:3" x14ac:dyDescent="0.35">
      <c r="B1459" s="26"/>
      <c r="C1459" s="26"/>
    </row>
    <row r="1460" spans="2:3" x14ac:dyDescent="0.35">
      <c r="B1460" s="26"/>
      <c r="C1460" s="26"/>
    </row>
    <row r="1461" spans="2:3" x14ac:dyDescent="0.35">
      <c r="B1461" s="26"/>
      <c r="C1461" s="26"/>
    </row>
    <row r="1462" spans="2:3" x14ac:dyDescent="0.35">
      <c r="B1462" s="26"/>
      <c r="C1462" s="26"/>
    </row>
    <row r="1463" spans="2:3" x14ac:dyDescent="0.35">
      <c r="B1463" s="26"/>
      <c r="C1463" s="26"/>
    </row>
    <row r="1464" spans="2:3" x14ac:dyDescent="0.35">
      <c r="B1464" s="26"/>
      <c r="C1464" s="26"/>
    </row>
    <row r="1465" spans="2:3" x14ac:dyDescent="0.35">
      <c r="B1465" s="26"/>
      <c r="C1465" s="26"/>
    </row>
    <row r="1466" spans="2:3" x14ac:dyDescent="0.35">
      <c r="B1466" s="26"/>
      <c r="C1466" s="26"/>
    </row>
    <row r="1467" spans="2:3" x14ac:dyDescent="0.35">
      <c r="B1467" s="26"/>
      <c r="C1467" s="26"/>
    </row>
    <row r="1468" spans="2:3" x14ac:dyDescent="0.35">
      <c r="B1468" s="26"/>
      <c r="C1468" s="26"/>
    </row>
    <row r="1469" spans="2:3" x14ac:dyDescent="0.35">
      <c r="B1469" s="26"/>
      <c r="C1469" s="26"/>
    </row>
    <row r="1470" spans="2:3" x14ac:dyDescent="0.35">
      <c r="B1470" s="26"/>
      <c r="C1470" s="26"/>
    </row>
    <row r="1471" spans="2:3" x14ac:dyDescent="0.35">
      <c r="B1471" s="26"/>
      <c r="C1471" s="26"/>
    </row>
    <row r="1472" spans="2:3" x14ac:dyDescent="0.35">
      <c r="B1472" s="26"/>
      <c r="C1472" s="26"/>
    </row>
    <row r="1473" spans="2:3" x14ac:dyDescent="0.35">
      <c r="B1473" s="26"/>
      <c r="C1473" s="26"/>
    </row>
    <row r="1474" spans="2:3" x14ac:dyDescent="0.35">
      <c r="B1474" s="26"/>
      <c r="C1474" s="26"/>
    </row>
    <row r="1475" spans="2:3" x14ac:dyDescent="0.35">
      <c r="B1475" s="26"/>
      <c r="C1475" s="26"/>
    </row>
    <row r="1476" spans="2:3" x14ac:dyDescent="0.35">
      <c r="B1476" s="26"/>
      <c r="C1476" s="26"/>
    </row>
    <row r="1477" spans="2:3" x14ac:dyDescent="0.35">
      <c r="B1477" s="26"/>
      <c r="C1477" s="26"/>
    </row>
    <row r="1478" spans="2:3" x14ac:dyDescent="0.35">
      <c r="B1478" s="26"/>
      <c r="C1478" s="26"/>
    </row>
    <row r="1479" spans="2:3" x14ac:dyDescent="0.35">
      <c r="B1479" s="26"/>
      <c r="C1479" s="26"/>
    </row>
    <row r="1480" spans="2:3" x14ac:dyDescent="0.35">
      <c r="B1480" s="26"/>
      <c r="C1480" s="26"/>
    </row>
    <row r="1481" spans="2:3" x14ac:dyDescent="0.35">
      <c r="B1481" s="26"/>
      <c r="C1481" s="26"/>
    </row>
    <row r="1482" spans="2:3" x14ac:dyDescent="0.35">
      <c r="B1482" s="26"/>
      <c r="C1482" s="26"/>
    </row>
    <row r="1483" spans="2:3" x14ac:dyDescent="0.35">
      <c r="B1483" s="26"/>
      <c r="C1483" s="26"/>
    </row>
    <row r="1484" spans="2:3" x14ac:dyDescent="0.35">
      <c r="B1484" s="26"/>
      <c r="C1484" s="26"/>
    </row>
    <row r="1485" spans="2:3" x14ac:dyDescent="0.35">
      <c r="B1485" s="26"/>
      <c r="C1485" s="26"/>
    </row>
    <row r="1486" spans="2:3" x14ac:dyDescent="0.35">
      <c r="B1486" s="26"/>
      <c r="C1486" s="26"/>
    </row>
    <row r="1487" spans="2:3" x14ac:dyDescent="0.35">
      <c r="B1487" s="26"/>
      <c r="C1487" s="26"/>
    </row>
    <row r="1488" spans="2:3" x14ac:dyDescent="0.35">
      <c r="B1488" s="26"/>
      <c r="C1488" s="26"/>
    </row>
    <row r="1489" spans="2:3" x14ac:dyDescent="0.35">
      <c r="B1489" s="26"/>
      <c r="C1489" s="26"/>
    </row>
    <row r="1490" spans="2:3" x14ac:dyDescent="0.35">
      <c r="B1490" s="26"/>
      <c r="C1490" s="26"/>
    </row>
    <row r="1491" spans="2:3" x14ac:dyDescent="0.35">
      <c r="B1491" s="26"/>
      <c r="C1491" s="26"/>
    </row>
    <row r="1492" spans="2:3" x14ac:dyDescent="0.35">
      <c r="B1492" s="26"/>
      <c r="C1492" s="26"/>
    </row>
    <row r="1493" spans="2:3" x14ac:dyDescent="0.35">
      <c r="B1493" s="26"/>
      <c r="C1493" s="26"/>
    </row>
    <row r="1494" spans="2:3" x14ac:dyDescent="0.35">
      <c r="B1494" s="26"/>
      <c r="C1494" s="26"/>
    </row>
    <row r="1495" spans="2:3" x14ac:dyDescent="0.35">
      <c r="B1495" s="26"/>
      <c r="C1495" s="26"/>
    </row>
    <row r="1496" spans="2:3" x14ac:dyDescent="0.35">
      <c r="B1496" s="26"/>
      <c r="C1496" s="26"/>
    </row>
    <row r="1497" spans="2:3" x14ac:dyDescent="0.35">
      <c r="B1497" s="26"/>
      <c r="C1497" s="26"/>
    </row>
    <row r="1498" spans="2:3" x14ac:dyDescent="0.35">
      <c r="B1498" s="26"/>
      <c r="C1498" s="26"/>
    </row>
    <row r="1499" spans="2:3" x14ac:dyDescent="0.35">
      <c r="B1499" s="26"/>
      <c r="C1499" s="26"/>
    </row>
    <row r="1500" spans="2:3" x14ac:dyDescent="0.35">
      <c r="B1500" s="26"/>
      <c r="C1500" s="26"/>
    </row>
    <row r="1501" spans="2:3" x14ac:dyDescent="0.35">
      <c r="B1501" s="26"/>
      <c r="C1501" s="26"/>
    </row>
    <row r="1502" spans="2:3" x14ac:dyDescent="0.35">
      <c r="B1502" s="26"/>
      <c r="C1502" s="26"/>
    </row>
    <row r="1503" spans="2:3" x14ac:dyDescent="0.35">
      <c r="B1503" s="26"/>
      <c r="C1503" s="26"/>
    </row>
    <row r="1504" spans="2:3" x14ac:dyDescent="0.35">
      <c r="B1504" s="26"/>
      <c r="C1504" s="26"/>
    </row>
    <row r="1505" spans="2:3" x14ac:dyDescent="0.35">
      <c r="B1505" s="26"/>
      <c r="C1505" s="26"/>
    </row>
    <row r="1506" spans="2:3" x14ac:dyDescent="0.35">
      <c r="B1506" s="26"/>
      <c r="C1506" s="26"/>
    </row>
    <row r="1507" spans="2:3" x14ac:dyDescent="0.35">
      <c r="B1507" s="26"/>
      <c r="C1507" s="26"/>
    </row>
    <row r="1508" spans="2:3" x14ac:dyDescent="0.35">
      <c r="B1508" s="26"/>
      <c r="C1508" s="26"/>
    </row>
    <row r="1509" spans="2:3" x14ac:dyDescent="0.35">
      <c r="B1509" s="26"/>
      <c r="C1509" s="26"/>
    </row>
    <row r="1510" spans="2:3" x14ac:dyDescent="0.35">
      <c r="B1510" s="26"/>
      <c r="C1510" s="26"/>
    </row>
    <row r="1511" spans="2:3" x14ac:dyDescent="0.35">
      <c r="B1511" s="26"/>
      <c r="C1511" s="26"/>
    </row>
    <row r="1512" spans="2:3" x14ac:dyDescent="0.35">
      <c r="B1512" s="26"/>
      <c r="C1512" s="26"/>
    </row>
    <row r="1513" spans="2:3" x14ac:dyDescent="0.35">
      <c r="B1513" s="26"/>
      <c r="C1513" s="26"/>
    </row>
    <row r="1514" spans="2:3" x14ac:dyDescent="0.35">
      <c r="B1514" s="26"/>
      <c r="C1514" s="26"/>
    </row>
    <row r="1515" spans="2:3" x14ac:dyDescent="0.35">
      <c r="B1515" s="26"/>
      <c r="C1515" s="26"/>
    </row>
    <row r="1516" spans="2:3" x14ac:dyDescent="0.35">
      <c r="B1516" s="26"/>
      <c r="C1516" s="26"/>
    </row>
    <row r="1517" spans="2:3" x14ac:dyDescent="0.35">
      <c r="B1517" s="26"/>
      <c r="C1517" s="26"/>
    </row>
    <row r="1518" spans="2:3" x14ac:dyDescent="0.35">
      <c r="B1518" s="26"/>
      <c r="C1518" s="26"/>
    </row>
    <row r="1519" spans="2:3" x14ac:dyDescent="0.35">
      <c r="B1519" s="26"/>
      <c r="C1519" s="26"/>
    </row>
    <row r="1520" spans="2:3" x14ac:dyDescent="0.35">
      <c r="B1520" s="26"/>
      <c r="C1520" s="26"/>
    </row>
    <row r="1521" spans="2:3" x14ac:dyDescent="0.35">
      <c r="B1521" s="26"/>
      <c r="C1521" s="26"/>
    </row>
    <row r="1522" spans="2:3" x14ac:dyDescent="0.35">
      <c r="B1522" s="26"/>
      <c r="C1522" s="26"/>
    </row>
    <row r="1523" spans="2:3" x14ac:dyDescent="0.35">
      <c r="B1523" s="26"/>
      <c r="C1523" s="26"/>
    </row>
    <row r="1524" spans="2:3" x14ac:dyDescent="0.35">
      <c r="B1524" s="26"/>
      <c r="C1524" s="26"/>
    </row>
    <row r="1525" spans="2:3" x14ac:dyDescent="0.35">
      <c r="B1525" s="26"/>
      <c r="C1525" s="26"/>
    </row>
    <row r="1526" spans="2:3" x14ac:dyDescent="0.35">
      <c r="B1526" s="26"/>
      <c r="C1526" s="26"/>
    </row>
    <row r="1527" spans="2:3" x14ac:dyDescent="0.35">
      <c r="B1527" s="26"/>
      <c r="C1527" s="26"/>
    </row>
    <row r="1528" spans="2:3" x14ac:dyDescent="0.35">
      <c r="B1528" s="26"/>
      <c r="C1528" s="26"/>
    </row>
    <row r="1529" spans="2:3" x14ac:dyDescent="0.35">
      <c r="B1529" s="26"/>
      <c r="C1529" s="26"/>
    </row>
    <row r="1530" spans="2:3" x14ac:dyDescent="0.35">
      <c r="B1530" s="26"/>
      <c r="C1530" s="26"/>
    </row>
    <row r="1531" spans="2:3" x14ac:dyDescent="0.35">
      <c r="B1531" s="26"/>
      <c r="C1531" s="26"/>
    </row>
    <row r="1532" spans="2:3" x14ac:dyDescent="0.35">
      <c r="B1532" s="26"/>
      <c r="C1532" s="26"/>
    </row>
    <row r="1533" spans="2:3" x14ac:dyDescent="0.35">
      <c r="B1533" s="26"/>
      <c r="C1533" s="26"/>
    </row>
    <row r="1534" spans="2:3" x14ac:dyDescent="0.35">
      <c r="B1534" s="26"/>
      <c r="C1534" s="26"/>
    </row>
    <row r="1535" spans="2:3" x14ac:dyDescent="0.35">
      <c r="B1535" s="26"/>
      <c r="C1535" s="26"/>
    </row>
    <row r="1536" spans="2:3" x14ac:dyDescent="0.35">
      <c r="B1536" s="26"/>
      <c r="C1536" s="26"/>
    </row>
    <row r="1537" spans="2:3" x14ac:dyDescent="0.35">
      <c r="B1537" s="26"/>
      <c r="C1537" s="26"/>
    </row>
    <row r="1538" spans="2:3" x14ac:dyDescent="0.35">
      <c r="B1538" s="26"/>
      <c r="C1538" s="26"/>
    </row>
    <row r="1539" spans="2:3" x14ac:dyDescent="0.35">
      <c r="B1539" s="26"/>
      <c r="C1539" s="26"/>
    </row>
    <row r="1540" spans="2:3" x14ac:dyDescent="0.35">
      <c r="B1540" s="26"/>
      <c r="C1540" s="26"/>
    </row>
    <row r="1541" spans="2:3" x14ac:dyDescent="0.35">
      <c r="B1541" s="26"/>
      <c r="C1541" s="26"/>
    </row>
    <row r="1542" spans="2:3" x14ac:dyDescent="0.35">
      <c r="B1542" s="26"/>
      <c r="C1542" s="26"/>
    </row>
    <row r="1543" spans="2:3" x14ac:dyDescent="0.35">
      <c r="B1543" s="26"/>
      <c r="C1543" s="26"/>
    </row>
    <row r="1544" spans="2:3" x14ac:dyDescent="0.35">
      <c r="B1544" s="26"/>
      <c r="C1544" s="26"/>
    </row>
    <row r="1545" spans="2:3" x14ac:dyDescent="0.35">
      <c r="B1545" s="26"/>
      <c r="C1545" s="26"/>
    </row>
    <row r="1546" spans="2:3" x14ac:dyDescent="0.35">
      <c r="B1546" s="26"/>
      <c r="C1546" s="26"/>
    </row>
    <row r="1547" spans="2:3" x14ac:dyDescent="0.35">
      <c r="B1547" s="26"/>
      <c r="C1547" s="26"/>
    </row>
    <row r="1548" spans="2:3" x14ac:dyDescent="0.35">
      <c r="B1548" s="26"/>
      <c r="C1548" s="26"/>
    </row>
    <row r="1549" spans="2:3" x14ac:dyDescent="0.35">
      <c r="B1549" s="26"/>
      <c r="C1549" s="26"/>
    </row>
    <row r="1550" spans="2:3" x14ac:dyDescent="0.35">
      <c r="B1550" s="26"/>
      <c r="C1550" s="26"/>
    </row>
    <row r="1551" spans="2:3" x14ac:dyDescent="0.35">
      <c r="B1551" s="26"/>
      <c r="C1551" s="26"/>
    </row>
    <row r="1552" spans="2:3" x14ac:dyDescent="0.35">
      <c r="B1552" s="26"/>
      <c r="C1552" s="26"/>
    </row>
    <row r="1553" spans="2:3" x14ac:dyDescent="0.35">
      <c r="B1553" s="26"/>
      <c r="C1553" s="26"/>
    </row>
    <row r="1554" spans="2:3" x14ac:dyDescent="0.35">
      <c r="B1554" s="26"/>
      <c r="C1554" s="26"/>
    </row>
    <row r="1555" spans="2:3" x14ac:dyDescent="0.35">
      <c r="B1555" s="26"/>
      <c r="C1555" s="26"/>
    </row>
    <row r="1556" spans="2:3" x14ac:dyDescent="0.35">
      <c r="B1556" s="26"/>
      <c r="C1556" s="26"/>
    </row>
    <row r="1557" spans="2:3" x14ac:dyDescent="0.35">
      <c r="B1557" s="26"/>
      <c r="C1557" s="26"/>
    </row>
    <row r="1558" spans="2:3" x14ac:dyDescent="0.35">
      <c r="B1558" s="26"/>
      <c r="C1558" s="26"/>
    </row>
    <row r="1559" spans="2:3" x14ac:dyDescent="0.35">
      <c r="B1559" s="26"/>
      <c r="C1559" s="26"/>
    </row>
    <row r="1560" spans="2:3" x14ac:dyDescent="0.35">
      <c r="B1560" s="26"/>
      <c r="C1560" s="26"/>
    </row>
    <row r="1561" spans="2:3" x14ac:dyDescent="0.35">
      <c r="B1561" s="26"/>
      <c r="C1561" s="26"/>
    </row>
    <row r="1562" spans="2:3" x14ac:dyDescent="0.35">
      <c r="B1562" s="26"/>
      <c r="C1562" s="26"/>
    </row>
    <row r="1563" spans="2:3" x14ac:dyDescent="0.35">
      <c r="B1563" s="26"/>
      <c r="C1563" s="26"/>
    </row>
    <row r="1564" spans="2:3" x14ac:dyDescent="0.35">
      <c r="B1564" s="26"/>
      <c r="C1564" s="26"/>
    </row>
    <row r="1565" spans="2:3" x14ac:dyDescent="0.35">
      <c r="B1565" s="26"/>
      <c r="C1565" s="26"/>
    </row>
    <row r="1566" spans="2:3" x14ac:dyDescent="0.35">
      <c r="B1566" s="26"/>
      <c r="C1566" s="26"/>
    </row>
    <row r="1567" spans="2:3" x14ac:dyDescent="0.35">
      <c r="B1567" s="26"/>
      <c r="C1567" s="26"/>
    </row>
    <row r="1568" spans="2:3" x14ac:dyDescent="0.35">
      <c r="B1568" s="26"/>
      <c r="C1568" s="26"/>
    </row>
    <row r="1569" spans="2:3" x14ac:dyDescent="0.35">
      <c r="B1569" s="26"/>
      <c r="C1569" s="26"/>
    </row>
    <row r="1570" spans="2:3" x14ac:dyDescent="0.35">
      <c r="B1570" s="26"/>
      <c r="C1570" s="26"/>
    </row>
    <row r="1571" spans="2:3" x14ac:dyDescent="0.35">
      <c r="B1571" s="26"/>
      <c r="C1571" s="26"/>
    </row>
    <row r="1572" spans="2:3" x14ac:dyDescent="0.35">
      <c r="B1572" s="26"/>
      <c r="C1572" s="26"/>
    </row>
    <row r="1573" spans="2:3" x14ac:dyDescent="0.35">
      <c r="B1573" s="26"/>
      <c r="C1573" s="26"/>
    </row>
    <row r="1574" spans="2:3" x14ac:dyDescent="0.35">
      <c r="B1574" s="26"/>
      <c r="C1574" s="26"/>
    </row>
    <row r="1575" spans="2:3" x14ac:dyDescent="0.35">
      <c r="B1575" s="26"/>
      <c r="C1575" s="26"/>
    </row>
    <row r="1576" spans="2:3" x14ac:dyDescent="0.35">
      <c r="B1576" s="26"/>
      <c r="C1576" s="26"/>
    </row>
    <row r="1577" spans="2:3" x14ac:dyDescent="0.35">
      <c r="B1577" s="26"/>
      <c r="C1577" s="26"/>
    </row>
    <row r="1578" spans="2:3" x14ac:dyDescent="0.35">
      <c r="B1578" s="26"/>
      <c r="C1578" s="26"/>
    </row>
    <row r="1579" spans="2:3" x14ac:dyDescent="0.35">
      <c r="B1579" s="26"/>
      <c r="C1579" s="26"/>
    </row>
    <row r="1580" spans="2:3" x14ac:dyDescent="0.35">
      <c r="B1580" s="26"/>
      <c r="C1580" s="26"/>
    </row>
    <row r="1581" spans="2:3" x14ac:dyDescent="0.35">
      <c r="B1581" s="26"/>
      <c r="C1581" s="26"/>
    </row>
    <row r="1582" spans="2:3" x14ac:dyDescent="0.35">
      <c r="B1582" s="26"/>
      <c r="C1582" s="26"/>
    </row>
    <row r="1583" spans="2:3" x14ac:dyDescent="0.35">
      <c r="B1583" s="26"/>
      <c r="C1583" s="26"/>
    </row>
    <row r="1584" spans="2:3" x14ac:dyDescent="0.35">
      <c r="B1584" s="26"/>
      <c r="C1584" s="26"/>
    </row>
    <row r="1585" spans="2:3" x14ac:dyDescent="0.35">
      <c r="B1585" s="26"/>
      <c r="C1585" s="26"/>
    </row>
    <row r="1586" spans="2:3" x14ac:dyDescent="0.35">
      <c r="B1586" s="26"/>
      <c r="C1586" s="26"/>
    </row>
    <row r="1587" spans="2:3" x14ac:dyDescent="0.35">
      <c r="B1587" s="26"/>
      <c r="C1587" s="26"/>
    </row>
    <row r="1588" spans="2:3" x14ac:dyDescent="0.35">
      <c r="B1588" s="26"/>
      <c r="C1588" s="26"/>
    </row>
    <row r="1589" spans="2:3" x14ac:dyDescent="0.35">
      <c r="B1589" s="26"/>
      <c r="C1589" s="26"/>
    </row>
    <row r="1590" spans="2:3" x14ac:dyDescent="0.35">
      <c r="B1590" s="26"/>
      <c r="C1590" s="26"/>
    </row>
    <row r="1591" spans="2:3" x14ac:dyDescent="0.35">
      <c r="B1591" s="26"/>
      <c r="C1591" s="26"/>
    </row>
    <row r="1592" spans="2:3" x14ac:dyDescent="0.35">
      <c r="B1592" s="26"/>
      <c r="C1592" s="26"/>
    </row>
    <row r="1593" spans="2:3" x14ac:dyDescent="0.35">
      <c r="B1593" s="26"/>
      <c r="C1593" s="26"/>
    </row>
    <row r="1594" spans="2:3" x14ac:dyDescent="0.35">
      <c r="B1594" s="26"/>
      <c r="C1594" s="26"/>
    </row>
    <row r="1595" spans="2:3" x14ac:dyDescent="0.35">
      <c r="B1595" s="26"/>
      <c r="C1595" s="26"/>
    </row>
    <row r="1596" spans="2:3" x14ac:dyDescent="0.35">
      <c r="B1596" s="26"/>
      <c r="C1596" s="26"/>
    </row>
    <row r="1597" spans="2:3" x14ac:dyDescent="0.35">
      <c r="B1597" s="26"/>
      <c r="C1597" s="26"/>
    </row>
    <row r="1598" spans="2:3" x14ac:dyDescent="0.35">
      <c r="B1598" s="26"/>
      <c r="C1598" s="26"/>
    </row>
    <row r="1599" spans="2:3" x14ac:dyDescent="0.35">
      <c r="B1599" s="26"/>
      <c r="C1599" s="26"/>
    </row>
    <row r="1600" spans="2:3" x14ac:dyDescent="0.35">
      <c r="B1600" s="26"/>
      <c r="C1600" s="26"/>
    </row>
    <row r="1601" spans="2:3" x14ac:dyDescent="0.35">
      <c r="B1601" s="26"/>
      <c r="C1601" s="26"/>
    </row>
    <row r="1602" spans="2:3" x14ac:dyDescent="0.35">
      <c r="B1602" s="26"/>
      <c r="C1602" s="26"/>
    </row>
    <row r="1603" spans="2:3" x14ac:dyDescent="0.35">
      <c r="B1603" s="26"/>
      <c r="C1603" s="26"/>
    </row>
    <row r="1604" spans="2:3" x14ac:dyDescent="0.35">
      <c r="B1604" s="26"/>
      <c r="C1604" s="26"/>
    </row>
    <row r="1605" spans="2:3" x14ac:dyDescent="0.35">
      <c r="B1605" s="26"/>
      <c r="C1605" s="26"/>
    </row>
    <row r="1606" spans="2:3" x14ac:dyDescent="0.35">
      <c r="B1606" s="26"/>
      <c r="C1606" s="26"/>
    </row>
    <row r="1607" spans="2:3" x14ac:dyDescent="0.35">
      <c r="B1607" s="26"/>
      <c r="C1607" s="26"/>
    </row>
    <row r="1608" spans="2:3" x14ac:dyDescent="0.35">
      <c r="B1608" s="26"/>
      <c r="C1608" s="26"/>
    </row>
    <row r="1609" spans="2:3" x14ac:dyDescent="0.35">
      <c r="B1609" s="26"/>
      <c r="C1609" s="26"/>
    </row>
    <row r="1610" spans="2:3" x14ac:dyDescent="0.35">
      <c r="B1610" s="26"/>
      <c r="C1610" s="26"/>
    </row>
    <row r="1611" spans="2:3" x14ac:dyDescent="0.35">
      <c r="B1611" s="26"/>
      <c r="C1611" s="26"/>
    </row>
    <row r="1612" spans="2:3" x14ac:dyDescent="0.35">
      <c r="B1612" s="26"/>
      <c r="C1612" s="26"/>
    </row>
    <row r="1613" spans="2:3" x14ac:dyDescent="0.35">
      <c r="B1613" s="26"/>
      <c r="C1613" s="26"/>
    </row>
    <row r="1614" spans="2:3" x14ac:dyDescent="0.35">
      <c r="B1614" s="26"/>
      <c r="C1614" s="26"/>
    </row>
    <row r="1615" spans="2:3" x14ac:dyDescent="0.35">
      <c r="B1615" s="26"/>
      <c r="C1615" s="26"/>
    </row>
    <row r="1616" spans="2:3" x14ac:dyDescent="0.35">
      <c r="B1616" s="26"/>
      <c r="C1616" s="26"/>
    </row>
    <row r="1617" spans="2:3" x14ac:dyDescent="0.35">
      <c r="B1617" s="26"/>
      <c r="C1617" s="26"/>
    </row>
    <row r="1618" spans="2:3" x14ac:dyDescent="0.35">
      <c r="B1618" s="26"/>
      <c r="C1618" s="26"/>
    </row>
    <row r="1619" spans="2:3" x14ac:dyDescent="0.35">
      <c r="B1619" s="26"/>
      <c r="C1619" s="26"/>
    </row>
    <row r="1620" spans="2:3" x14ac:dyDescent="0.35">
      <c r="B1620" s="26"/>
      <c r="C1620" s="26"/>
    </row>
    <row r="1621" spans="2:3" x14ac:dyDescent="0.35">
      <c r="B1621" s="26"/>
      <c r="C1621" s="26"/>
    </row>
    <row r="1622" spans="2:3" x14ac:dyDescent="0.35">
      <c r="B1622" s="26"/>
      <c r="C1622" s="26"/>
    </row>
    <row r="1623" spans="2:3" x14ac:dyDescent="0.35">
      <c r="B1623" s="26"/>
      <c r="C1623" s="26"/>
    </row>
    <row r="1624" spans="2:3" x14ac:dyDescent="0.35">
      <c r="B1624" s="26"/>
      <c r="C1624" s="26"/>
    </row>
    <row r="1625" spans="2:3" x14ac:dyDescent="0.35">
      <c r="B1625" s="26"/>
      <c r="C1625" s="26"/>
    </row>
    <row r="1626" spans="2:3" x14ac:dyDescent="0.35">
      <c r="B1626" s="26"/>
      <c r="C1626" s="26"/>
    </row>
    <row r="1627" spans="2:3" x14ac:dyDescent="0.35">
      <c r="B1627" s="26"/>
      <c r="C1627" s="26"/>
    </row>
    <row r="1628" spans="2:3" x14ac:dyDescent="0.35">
      <c r="B1628" s="26"/>
      <c r="C1628" s="26"/>
    </row>
    <row r="1629" spans="2:3" x14ac:dyDescent="0.35">
      <c r="B1629" s="26"/>
      <c r="C1629" s="26"/>
    </row>
    <row r="1630" spans="2:3" x14ac:dyDescent="0.35">
      <c r="B1630" s="26"/>
      <c r="C1630" s="26"/>
    </row>
    <row r="1631" spans="2:3" x14ac:dyDescent="0.35">
      <c r="B1631" s="26"/>
      <c r="C1631" s="26"/>
    </row>
    <row r="1632" spans="2:3" x14ac:dyDescent="0.35">
      <c r="B1632" s="26"/>
      <c r="C1632" s="26"/>
    </row>
    <row r="1633" spans="2:3" x14ac:dyDescent="0.35">
      <c r="B1633" s="26"/>
      <c r="C1633" s="26"/>
    </row>
    <row r="1634" spans="2:3" x14ac:dyDescent="0.35">
      <c r="B1634" s="26"/>
      <c r="C1634" s="26"/>
    </row>
    <row r="1635" spans="2:3" x14ac:dyDescent="0.35">
      <c r="B1635" s="26"/>
      <c r="C1635" s="26"/>
    </row>
    <row r="1636" spans="2:3" x14ac:dyDescent="0.35">
      <c r="B1636" s="26"/>
      <c r="C1636" s="26"/>
    </row>
    <row r="1637" spans="2:3" x14ac:dyDescent="0.35">
      <c r="B1637" s="26"/>
      <c r="C1637" s="26"/>
    </row>
    <row r="1638" spans="2:3" x14ac:dyDescent="0.35">
      <c r="B1638" s="26"/>
      <c r="C1638" s="26"/>
    </row>
    <row r="1639" spans="2:3" x14ac:dyDescent="0.35">
      <c r="B1639" s="26"/>
      <c r="C1639" s="26"/>
    </row>
    <row r="1640" spans="2:3" x14ac:dyDescent="0.35">
      <c r="B1640" s="26"/>
      <c r="C1640" s="26"/>
    </row>
    <row r="1641" spans="2:3" x14ac:dyDescent="0.35">
      <c r="B1641" s="26"/>
      <c r="C1641" s="26"/>
    </row>
    <row r="1642" spans="2:3" x14ac:dyDescent="0.35">
      <c r="B1642" s="26"/>
      <c r="C1642" s="26"/>
    </row>
    <row r="1643" spans="2:3" x14ac:dyDescent="0.35">
      <c r="B1643" s="26"/>
      <c r="C1643" s="26"/>
    </row>
    <row r="1644" spans="2:3" x14ac:dyDescent="0.35">
      <c r="B1644" s="26"/>
      <c r="C1644" s="26"/>
    </row>
    <row r="1645" spans="2:3" x14ac:dyDescent="0.35">
      <c r="B1645" s="26"/>
      <c r="C1645" s="26"/>
    </row>
    <row r="1646" spans="2:3" x14ac:dyDescent="0.35">
      <c r="B1646" s="26"/>
      <c r="C1646" s="26"/>
    </row>
    <row r="1647" spans="2:3" x14ac:dyDescent="0.35">
      <c r="B1647" s="26"/>
      <c r="C1647" s="26"/>
    </row>
    <row r="1648" spans="2:3" x14ac:dyDescent="0.35">
      <c r="B1648" s="26"/>
      <c r="C1648" s="26"/>
    </row>
    <row r="1649" spans="2:3" x14ac:dyDescent="0.35">
      <c r="B1649" s="26"/>
      <c r="C1649" s="26"/>
    </row>
    <row r="1650" spans="2:3" x14ac:dyDescent="0.35">
      <c r="B1650" s="26"/>
      <c r="C1650" s="26"/>
    </row>
    <row r="1651" spans="2:3" x14ac:dyDescent="0.35">
      <c r="B1651" s="26"/>
      <c r="C1651" s="26"/>
    </row>
    <row r="1652" spans="2:3" x14ac:dyDescent="0.35">
      <c r="B1652" s="26"/>
      <c r="C1652" s="26"/>
    </row>
    <row r="1653" spans="2:3" x14ac:dyDescent="0.35">
      <c r="B1653" s="26"/>
      <c r="C1653" s="26"/>
    </row>
    <row r="1654" spans="2:3" x14ac:dyDescent="0.35">
      <c r="B1654" s="26"/>
      <c r="C1654" s="26"/>
    </row>
    <row r="1655" spans="2:3" x14ac:dyDescent="0.35">
      <c r="B1655" s="26"/>
      <c r="C1655" s="26"/>
    </row>
    <row r="1656" spans="2:3" x14ac:dyDescent="0.35">
      <c r="B1656" s="26"/>
      <c r="C1656" s="26"/>
    </row>
    <row r="1657" spans="2:3" x14ac:dyDescent="0.35">
      <c r="B1657" s="26"/>
      <c r="C1657" s="26"/>
    </row>
    <row r="1658" spans="2:3" x14ac:dyDescent="0.35">
      <c r="B1658" s="26"/>
      <c r="C1658" s="26"/>
    </row>
    <row r="1659" spans="2:3" x14ac:dyDescent="0.35">
      <c r="B1659" s="26"/>
      <c r="C1659" s="26"/>
    </row>
    <row r="1660" spans="2:3" x14ac:dyDescent="0.35">
      <c r="B1660" s="26"/>
      <c r="C1660" s="26"/>
    </row>
    <row r="1661" spans="2:3" x14ac:dyDescent="0.35">
      <c r="B1661" s="26"/>
      <c r="C1661" s="26"/>
    </row>
    <row r="1662" spans="2:3" x14ac:dyDescent="0.35">
      <c r="B1662" s="26"/>
      <c r="C1662" s="26"/>
    </row>
    <row r="1663" spans="2:3" x14ac:dyDescent="0.35">
      <c r="B1663" s="26"/>
      <c r="C1663" s="26"/>
    </row>
    <row r="1664" spans="2:3" x14ac:dyDescent="0.35">
      <c r="B1664" s="26"/>
      <c r="C1664" s="26"/>
    </row>
    <row r="1665" spans="2:3" x14ac:dyDescent="0.35">
      <c r="B1665" s="26"/>
      <c r="C1665" s="26"/>
    </row>
    <row r="1666" spans="2:3" x14ac:dyDescent="0.35">
      <c r="B1666" s="26"/>
      <c r="C1666" s="26"/>
    </row>
    <row r="1667" spans="2:3" x14ac:dyDescent="0.35">
      <c r="B1667" s="26"/>
      <c r="C1667" s="26"/>
    </row>
    <row r="1668" spans="2:3" x14ac:dyDescent="0.35">
      <c r="B1668" s="26"/>
      <c r="C1668" s="26"/>
    </row>
    <row r="1669" spans="2:3" x14ac:dyDescent="0.35">
      <c r="B1669" s="26"/>
      <c r="C1669" s="26"/>
    </row>
    <row r="1670" spans="2:3" x14ac:dyDescent="0.35">
      <c r="B1670" s="26"/>
      <c r="C1670" s="26"/>
    </row>
    <row r="1671" spans="2:3" x14ac:dyDescent="0.35">
      <c r="B1671" s="26"/>
      <c r="C1671" s="26"/>
    </row>
    <row r="1672" spans="2:3" x14ac:dyDescent="0.35">
      <c r="B1672" s="26"/>
      <c r="C1672" s="26"/>
    </row>
    <row r="1673" spans="2:3" x14ac:dyDescent="0.35">
      <c r="B1673" s="26"/>
      <c r="C1673" s="26"/>
    </row>
    <row r="1674" spans="2:3" x14ac:dyDescent="0.35">
      <c r="B1674" s="26"/>
      <c r="C1674" s="26"/>
    </row>
    <row r="1675" spans="2:3" x14ac:dyDescent="0.35">
      <c r="B1675" s="26"/>
      <c r="C1675" s="26"/>
    </row>
    <row r="1676" spans="2:3" x14ac:dyDescent="0.35">
      <c r="B1676" s="26"/>
      <c r="C1676" s="26"/>
    </row>
    <row r="1677" spans="2:3" x14ac:dyDescent="0.35">
      <c r="B1677" s="26"/>
      <c r="C1677" s="26"/>
    </row>
    <row r="1678" spans="2:3" x14ac:dyDescent="0.35">
      <c r="B1678" s="26"/>
      <c r="C1678" s="26"/>
    </row>
    <row r="1679" spans="2:3" x14ac:dyDescent="0.35">
      <c r="B1679" s="26"/>
      <c r="C1679" s="26"/>
    </row>
    <row r="1680" spans="2:3" x14ac:dyDescent="0.35">
      <c r="B1680" s="26"/>
      <c r="C1680" s="26"/>
    </row>
    <row r="1681" spans="2:3" x14ac:dyDescent="0.35">
      <c r="B1681" s="26"/>
      <c r="C1681" s="26"/>
    </row>
    <row r="1682" spans="2:3" x14ac:dyDescent="0.35">
      <c r="B1682" s="26"/>
      <c r="C1682" s="26"/>
    </row>
    <row r="1683" spans="2:3" x14ac:dyDescent="0.35">
      <c r="B1683" s="26"/>
      <c r="C1683" s="26"/>
    </row>
    <row r="1684" spans="2:3" x14ac:dyDescent="0.35">
      <c r="B1684" s="26"/>
      <c r="C1684" s="26"/>
    </row>
    <row r="1685" spans="2:3" x14ac:dyDescent="0.35">
      <c r="B1685" s="26"/>
      <c r="C1685" s="26"/>
    </row>
    <row r="1686" spans="2:3" x14ac:dyDescent="0.35">
      <c r="B1686" s="26"/>
      <c r="C1686" s="26"/>
    </row>
    <row r="1687" spans="2:3" x14ac:dyDescent="0.35">
      <c r="B1687" s="26"/>
      <c r="C1687" s="26"/>
    </row>
    <row r="1688" spans="2:3" x14ac:dyDescent="0.35">
      <c r="B1688" s="26"/>
      <c r="C1688" s="26"/>
    </row>
    <row r="1689" spans="2:3" x14ac:dyDescent="0.35">
      <c r="B1689" s="26"/>
      <c r="C1689" s="26"/>
    </row>
    <row r="1690" spans="2:3" x14ac:dyDescent="0.35">
      <c r="B1690" s="26"/>
      <c r="C1690" s="26"/>
    </row>
    <row r="1691" spans="2:3" x14ac:dyDescent="0.35">
      <c r="B1691" s="26"/>
      <c r="C1691" s="26"/>
    </row>
    <row r="1692" spans="2:3" x14ac:dyDescent="0.35">
      <c r="B1692" s="26"/>
      <c r="C1692" s="26"/>
    </row>
    <row r="1693" spans="2:3" x14ac:dyDescent="0.35">
      <c r="B1693" s="26"/>
      <c r="C1693" s="26"/>
    </row>
    <row r="1694" spans="2:3" x14ac:dyDescent="0.35">
      <c r="B1694" s="26"/>
      <c r="C1694" s="26"/>
    </row>
    <row r="1695" spans="2:3" x14ac:dyDescent="0.35">
      <c r="B1695" s="26"/>
      <c r="C1695" s="26"/>
    </row>
    <row r="1696" spans="2:3" x14ac:dyDescent="0.35">
      <c r="B1696" s="26"/>
      <c r="C1696" s="26"/>
    </row>
    <row r="1697" spans="2:3" x14ac:dyDescent="0.35">
      <c r="B1697" s="26"/>
      <c r="C1697" s="26"/>
    </row>
    <row r="1698" spans="2:3" x14ac:dyDescent="0.35">
      <c r="B1698" s="26"/>
      <c r="C1698" s="26"/>
    </row>
    <row r="1699" spans="2:3" x14ac:dyDescent="0.35">
      <c r="B1699" s="26"/>
      <c r="C1699" s="26"/>
    </row>
    <row r="1700" spans="2:3" x14ac:dyDescent="0.35">
      <c r="B1700" s="26"/>
      <c r="C1700" s="26"/>
    </row>
    <row r="1701" spans="2:3" x14ac:dyDescent="0.35">
      <c r="B1701" s="26"/>
      <c r="C1701" s="26"/>
    </row>
    <row r="1702" spans="2:3" x14ac:dyDescent="0.35">
      <c r="B1702" s="26"/>
      <c r="C1702" s="26"/>
    </row>
    <row r="1703" spans="2:3" x14ac:dyDescent="0.35">
      <c r="B1703" s="26"/>
      <c r="C1703" s="26"/>
    </row>
    <row r="1704" spans="2:3" x14ac:dyDescent="0.35">
      <c r="B1704" s="26"/>
      <c r="C1704" s="26"/>
    </row>
    <row r="1705" spans="2:3" x14ac:dyDescent="0.35">
      <c r="B1705" s="26"/>
      <c r="C1705" s="26"/>
    </row>
    <row r="1706" spans="2:3" x14ac:dyDescent="0.35">
      <c r="B1706" s="26"/>
      <c r="C1706" s="26"/>
    </row>
    <row r="1707" spans="2:3" x14ac:dyDescent="0.35">
      <c r="B1707" s="26"/>
      <c r="C1707" s="26"/>
    </row>
    <row r="1708" spans="2:3" x14ac:dyDescent="0.35">
      <c r="B1708" s="26"/>
      <c r="C1708" s="26"/>
    </row>
    <row r="1709" spans="2:3" x14ac:dyDescent="0.35">
      <c r="B1709" s="26"/>
      <c r="C1709" s="26"/>
    </row>
    <row r="1710" spans="2:3" x14ac:dyDescent="0.35">
      <c r="B1710" s="26"/>
      <c r="C1710" s="26"/>
    </row>
    <row r="1711" spans="2:3" x14ac:dyDescent="0.35">
      <c r="B1711" s="26"/>
      <c r="C1711" s="26"/>
    </row>
    <row r="1712" spans="2:3" x14ac:dyDescent="0.35">
      <c r="B1712" s="26"/>
      <c r="C1712" s="26"/>
    </row>
    <row r="1713" spans="2:3" x14ac:dyDescent="0.35">
      <c r="B1713" s="26"/>
      <c r="C1713" s="26"/>
    </row>
    <row r="1714" spans="2:3" x14ac:dyDescent="0.35">
      <c r="B1714" s="26"/>
      <c r="C1714" s="26"/>
    </row>
    <row r="1715" spans="2:3" x14ac:dyDescent="0.35">
      <c r="B1715" s="26"/>
      <c r="C1715" s="26"/>
    </row>
    <row r="1716" spans="2:3" x14ac:dyDescent="0.35">
      <c r="B1716" s="26"/>
      <c r="C1716" s="26"/>
    </row>
    <row r="1717" spans="2:3" x14ac:dyDescent="0.35">
      <c r="B1717" s="26"/>
      <c r="C1717" s="26"/>
    </row>
    <row r="1718" spans="2:3" x14ac:dyDescent="0.35">
      <c r="B1718" s="26"/>
      <c r="C1718" s="26"/>
    </row>
    <row r="1719" spans="2:3" x14ac:dyDescent="0.35">
      <c r="B1719" s="26"/>
      <c r="C1719" s="26"/>
    </row>
    <row r="1720" spans="2:3" x14ac:dyDescent="0.35">
      <c r="B1720" s="26"/>
      <c r="C1720" s="26"/>
    </row>
    <row r="1721" spans="2:3" x14ac:dyDescent="0.35">
      <c r="B1721" s="26"/>
      <c r="C1721" s="26"/>
    </row>
    <row r="1722" spans="2:3" x14ac:dyDescent="0.35">
      <c r="B1722" s="26"/>
      <c r="C1722" s="26"/>
    </row>
    <row r="1723" spans="2:3" x14ac:dyDescent="0.35">
      <c r="B1723" s="26"/>
      <c r="C1723" s="26"/>
    </row>
    <row r="1724" spans="2:3" x14ac:dyDescent="0.35">
      <c r="B1724" s="26"/>
      <c r="C1724" s="26"/>
    </row>
    <row r="1725" spans="2:3" x14ac:dyDescent="0.35">
      <c r="B1725" s="26"/>
      <c r="C1725" s="26"/>
    </row>
    <row r="1726" spans="2:3" x14ac:dyDescent="0.35">
      <c r="B1726" s="26"/>
      <c r="C1726" s="26"/>
    </row>
    <row r="1727" spans="2:3" x14ac:dyDescent="0.35">
      <c r="B1727" s="26"/>
      <c r="C1727" s="26"/>
    </row>
    <row r="1728" spans="2:3" x14ac:dyDescent="0.35">
      <c r="B1728" s="26"/>
      <c r="C1728" s="26"/>
    </row>
    <row r="1729" spans="2:3" x14ac:dyDescent="0.35">
      <c r="B1729" s="26"/>
      <c r="C1729" s="26"/>
    </row>
    <row r="1730" spans="2:3" x14ac:dyDescent="0.35">
      <c r="B1730" s="26"/>
      <c r="C1730" s="26"/>
    </row>
    <row r="1731" spans="2:3" x14ac:dyDescent="0.35">
      <c r="B1731" s="26"/>
      <c r="C1731" s="26"/>
    </row>
    <row r="1732" spans="2:3" x14ac:dyDescent="0.35">
      <c r="B1732" s="26"/>
      <c r="C1732" s="26"/>
    </row>
    <row r="1733" spans="2:3" x14ac:dyDescent="0.35">
      <c r="B1733" s="26"/>
      <c r="C1733" s="26"/>
    </row>
    <row r="1734" spans="2:3" x14ac:dyDescent="0.35">
      <c r="B1734" s="26"/>
      <c r="C1734" s="26"/>
    </row>
    <row r="1735" spans="2:3" x14ac:dyDescent="0.35">
      <c r="B1735" s="26"/>
      <c r="C1735" s="26"/>
    </row>
    <row r="1736" spans="2:3" x14ac:dyDescent="0.35">
      <c r="B1736" s="26"/>
      <c r="C1736" s="26"/>
    </row>
    <row r="1737" spans="2:3" x14ac:dyDescent="0.35">
      <c r="B1737" s="26"/>
      <c r="C1737" s="26"/>
    </row>
    <row r="1738" spans="2:3" x14ac:dyDescent="0.35">
      <c r="B1738" s="26"/>
      <c r="C1738" s="26"/>
    </row>
    <row r="1739" spans="2:3" x14ac:dyDescent="0.35">
      <c r="B1739" s="26"/>
      <c r="C1739" s="26"/>
    </row>
    <row r="1740" spans="2:3" x14ac:dyDescent="0.35">
      <c r="B1740" s="26"/>
      <c r="C1740" s="26"/>
    </row>
    <row r="1741" spans="2:3" x14ac:dyDescent="0.35">
      <c r="B1741" s="26"/>
      <c r="C1741" s="26"/>
    </row>
    <row r="1742" spans="2:3" x14ac:dyDescent="0.35">
      <c r="B1742" s="26"/>
      <c r="C1742" s="26"/>
    </row>
    <row r="1743" spans="2:3" x14ac:dyDescent="0.35">
      <c r="B1743" s="26"/>
      <c r="C1743" s="26"/>
    </row>
    <row r="1744" spans="2:3" x14ac:dyDescent="0.35">
      <c r="B1744" s="26"/>
      <c r="C1744" s="26"/>
    </row>
    <row r="1745" spans="2:3" x14ac:dyDescent="0.35">
      <c r="B1745" s="26"/>
      <c r="C1745" s="26"/>
    </row>
    <row r="1746" spans="2:3" x14ac:dyDescent="0.35">
      <c r="B1746" s="26"/>
      <c r="C1746" s="26"/>
    </row>
    <row r="1747" spans="2:3" x14ac:dyDescent="0.35">
      <c r="B1747" s="26"/>
      <c r="C1747" s="26"/>
    </row>
    <row r="1748" spans="2:3" x14ac:dyDescent="0.35">
      <c r="B1748" s="26"/>
      <c r="C1748" s="26"/>
    </row>
    <row r="1749" spans="2:3" x14ac:dyDescent="0.35">
      <c r="B1749" s="26"/>
      <c r="C1749" s="26"/>
    </row>
    <row r="1750" spans="2:3" x14ac:dyDescent="0.35">
      <c r="B1750" s="26"/>
      <c r="C1750" s="26"/>
    </row>
    <row r="1751" spans="2:3" x14ac:dyDescent="0.35">
      <c r="B1751" s="26"/>
      <c r="C1751" s="26"/>
    </row>
    <row r="1752" spans="2:3" x14ac:dyDescent="0.35">
      <c r="B1752" s="26"/>
      <c r="C1752" s="26"/>
    </row>
    <row r="1753" spans="2:3" x14ac:dyDescent="0.35">
      <c r="B1753" s="26"/>
      <c r="C1753" s="26"/>
    </row>
    <row r="1754" spans="2:3" x14ac:dyDescent="0.35">
      <c r="B1754" s="26"/>
      <c r="C1754" s="26"/>
    </row>
    <row r="1755" spans="2:3" x14ac:dyDescent="0.35">
      <c r="B1755" s="26"/>
      <c r="C1755" s="26"/>
    </row>
    <row r="1756" spans="2:3" x14ac:dyDescent="0.35">
      <c r="B1756" s="26"/>
      <c r="C1756" s="26"/>
    </row>
    <row r="1757" spans="2:3" x14ac:dyDescent="0.35">
      <c r="B1757" s="26"/>
      <c r="C1757" s="26"/>
    </row>
    <row r="1758" spans="2:3" x14ac:dyDescent="0.35">
      <c r="B1758" s="26"/>
      <c r="C1758" s="26"/>
    </row>
    <row r="1759" spans="2:3" x14ac:dyDescent="0.35">
      <c r="B1759" s="26"/>
      <c r="C1759" s="26"/>
    </row>
    <row r="1760" spans="2:3" x14ac:dyDescent="0.35">
      <c r="B1760" s="26"/>
      <c r="C1760" s="26"/>
    </row>
    <row r="1761" spans="2:3" x14ac:dyDescent="0.35">
      <c r="B1761" s="26"/>
      <c r="C1761" s="26"/>
    </row>
    <row r="1762" spans="2:3" x14ac:dyDescent="0.35">
      <c r="B1762" s="26"/>
      <c r="C1762" s="26"/>
    </row>
    <row r="1763" spans="2:3" x14ac:dyDescent="0.35">
      <c r="B1763" s="26"/>
      <c r="C1763" s="26"/>
    </row>
    <row r="1764" spans="2:3" x14ac:dyDescent="0.35">
      <c r="B1764" s="26"/>
      <c r="C1764" s="26"/>
    </row>
    <row r="1765" spans="2:3" x14ac:dyDescent="0.35">
      <c r="B1765" s="26"/>
      <c r="C1765" s="26"/>
    </row>
    <row r="1766" spans="2:3" x14ac:dyDescent="0.35">
      <c r="B1766" s="26"/>
      <c r="C1766" s="26"/>
    </row>
    <row r="1767" spans="2:3" x14ac:dyDescent="0.35">
      <c r="B1767" s="26"/>
      <c r="C1767" s="26"/>
    </row>
    <row r="1768" spans="2:3" x14ac:dyDescent="0.35">
      <c r="B1768" s="26"/>
      <c r="C1768" s="26"/>
    </row>
    <row r="1769" spans="2:3" x14ac:dyDescent="0.35">
      <c r="B1769" s="26"/>
      <c r="C1769" s="26"/>
    </row>
    <row r="1770" spans="2:3" x14ac:dyDescent="0.35">
      <c r="B1770" s="26"/>
      <c r="C1770" s="26"/>
    </row>
    <row r="1771" spans="2:3" x14ac:dyDescent="0.35">
      <c r="B1771" s="26"/>
      <c r="C1771" s="26"/>
    </row>
    <row r="1772" spans="2:3" x14ac:dyDescent="0.35">
      <c r="B1772" s="26"/>
      <c r="C1772" s="26"/>
    </row>
    <row r="1773" spans="2:3" x14ac:dyDescent="0.35">
      <c r="B1773" s="26"/>
      <c r="C1773" s="26"/>
    </row>
    <row r="1774" spans="2:3" x14ac:dyDescent="0.35">
      <c r="B1774" s="26"/>
      <c r="C1774" s="26"/>
    </row>
    <row r="1775" spans="2:3" x14ac:dyDescent="0.35">
      <c r="B1775" s="26"/>
      <c r="C1775" s="26"/>
    </row>
    <row r="1776" spans="2:3" x14ac:dyDescent="0.35">
      <c r="B1776" s="26"/>
      <c r="C1776" s="26"/>
    </row>
    <row r="1777" spans="2:3" x14ac:dyDescent="0.35">
      <c r="B1777" s="26"/>
      <c r="C1777" s="26"/>
    </row>
    <row r="1778" spans="2:3" x14ac:dyDescent="0.35">
      <c r="B1778" s="26"/>
      <c r="C1778" s="26"/>
    </row>
    <row r="1779" spans="2:3" x14ac:dyDescent="0.35">
      <c r="B1779" s="26"/>
      <c r="C1779" s="26"/>
    </row>
    <row r="1780" spans="2:3" x14ac:dyDescent="0.35">
      <c r="B1780" s="26"/>
      <c r="C1780" s="26"/>
    </row>
    <row r="1781" spans="2:3" x14ac:dyDescent="0.35">
      <c r="B1781" s="26"/>
      <c r="C1781" s="26"/>
    </row>
    <row r="1782" spans="2:3" x14ac:dyDescent="0.35">
      <c r="B1782" s="26"/>
      <c r="C1782" s="26"/>
    </row>
    <row r="1783" spans="2:3" x14ac:dyDescent="0.35">
      <c r="B1783" s="26"/>
      <c r="C1783" s="26"/>
    </row>
    <row r="1784" spans="2:3" x14ac:dyDescent="0.35">
      <c r="B1784" s="26"/>
      <c r="C1784" s="26"/>
    </row>
    <row r="1785" spans="2:3" x14ac:dyDescent="0.35">
      <c r="B1785" s="26"/>
      <c r="C1785" s="26"/>
    </row>
    <row r="1786" spans="2:3" x14ac:dyDescent="0.35">
      <c r="B1786" s="26"/>
      <c r="C1786" s="26"/>
    </row>
    <row r="1787" spans="2:3" x14ac:dyDescent="0.35">
      <c r="B1787" s="26"/>
      <c r="C1787" s="26"/>
    </row>
    <row r="1788" spans="2:3" x14ac:dyDescent="0.35">
      <c r="B1788" s="26"/>
      <c r="C1788" s="26"/>
    </row>
    <row r="1789" spans="2:3" x14ac:dyDescent="0.35">
      <c r="B1789" s="26"/>
      <c r="C1789" s="26"/>
    </row>
    <row r="1790" spans="2:3" x14ac:dyDescent="0.35">
      <c r="B1790" s="26"/>
      <c r="C1790" s="26"/>
    </row>
    <row r="1791" spans="2:3" x14ac:dyDescent="0.35">
      <c r="B1791" s="26"/>
      <c r="C1791" s="26"/>
    </row>
    <row r="1792" spans="2:3" x14ac:dyDescent="0.35">
      <c r="B1792" s="26"/>
      <c r="C1792" s="26"/>
    </row>
    <row r="1793" spans="2:3" x14ac:dyDescent="0.35">
      <c r="B1793" s="26"/>
      <c r="C1793" s="26"/>
    </row>
    <row r="1794" spans="2:3" x14ac:dyDescent="0.35">
      <c r="B1794" s="26"/>
      <c r="C1794" s="26"/>
    </row>
    <row r="1795" spans="2:3" x14ac:dyDescent="0.35">
      <c r="B1795" s="26"/>
      <c r="C1795" s="26"/>
    </row>
    <row r="1796" spans="2:3" x14ac:dyDescent="0.35">
      <c r="B1796" s="26"/>
      <c r="C1796" s="26"/>
    </row>
    <row r="1797" spans="2:3" x14ac:dyDescent="0.35">
      <c r="B1797" s="26"/>
      <c r="C1797" s="26"/>
    </row>
    <row r="1798" spans="2:3" x14ac:dyDescent="0.35">
      <c r="B1798" s="26"/>
      <c r="C1798" s="26"/>
    </row>
    <row r="1799" spans="2:3" x14ac:dyDescent="0.35">
      <c r="B1799" s="26"/>
      <c r="C1799" s="26"/>
    </row>
    <row r="1800" spans="2:3" x14ac:dyDescent="0.35">
      <c r="B1800" s="26"/>
      <c r="C1800" s="26"/>
    </row>
    <row r="1801" spans="2:3" x14ac:dyDescent="0.35">
      <c r="B1801" s="26"/>
      <c r="C1801" s="26"/>
    </row>
    <row r="1802" spans="2:3" x14ac:dyDescent="0.35">
      <c r="B1802" s="26"/>
      <c r="C1802" s="26"/>
    </row>
    <row r="1803" spans="2:3" x14ac:dyDescent="0.35">
      <c r="B1803" s="26"/>
      <c r="C1803" s="26"/>
    </row>
    <row r="1804" spans="2:3" x14ac:dyDescent="0.35">
      <c r="B1804" s="26"/>
      <c r="C1804" s="26"/>
    </row>
    <row r="1805" spans="2:3" x14ac:dyDescent="0.35">
      <c r="B1805" s="26"/>
      <c r="C1805" s="26"/>
    </row>
    <row r="1806" spans="2:3" x14ac:dyDescent="0.35">
      <c r="B1806" s="26"/>
      <c r="C1806" s="26"/>
    </row>
    <row r="1807" spans="2:3" x14ac:dyDescent="0.35">
      <c r="B1807" s="26"/>
      <c r="C1807" s="26"/>
    </row>
    <row r="1808" spans="2:3" x14ac:dyDescent="0.35">
      <c r="B1808" s="26"/>
      <c r="C1808" s="26"/>
    </row>
    <row r="1809" spans="2:3" x14ac:dyDescent="0.35">
      <c r="B1809" s="26"/>
      <c r="C1809" s="26"/>
    </row>
    <row r="1810" spans="2:3" x14ac:dyDescent="0.35">
      <c r="B1810" s="26"/>
      <c r="C1810" s="26"/>
    </row>
    <row r="1811" spans="2:3" x14ac:dyDescent="0.35">
      <c r="B1811" s="26"/>
      <c r="C1811" s="26"/>
    </row>
    <row r="1812" spans="2:3" x14ac:dyDescent="0.35">
      <c r="B1812" s="26"/>
      <c r="C1812" s="26"/>
    </row>
    <row r="1813" spans="2:3" x14ac:dyDescent="0.35">
      <c r="B1813" s="26"/>
      <c r="C1813" s="26"/>
    </row>
    <row r="1814" spans="2:3" x14ac:dyDescent="0.35">
      <c r="B1814" s="26"/>
      <c r="C1814" s="26"/>
    </row>
    <row r="1815" spans="2:3" x14ac:dyDescent="0.35">
      <c r="B1815" s="26"/>
      <c r="C1815" s="26"/>
    </row>
    <row r="1816" spans="2:3" x14ac:dyDescent="0.35">
      <c r="B1816" s="26"/>
      <c r="C1816" s="26"/>
    </row>
    <row r="1817" spans="2:3" x14ac:dyDescent="0.35">
      <c r="B1817" s="26"/>
      <c r="C1817" s="26"/>
    </row>
    <row r="1818" spans="2:3" x14ac:dyDescent="0.35">
      <c r="B1818" s="26"/>
      <c r="C1818" s="26"/>
    </row>
    <row r="1819" spans="2:3" x14ac:dyDescent="0.35">
      <c r="B1819" s="26"/>
      <c r="C1819" s="26"/>
    </row>
    <row r="1820" spans="2:3" x14ac:dyDescent="0.35">
      <c r="B1820" s="26"/>
      <c r="C1820" s="26"/>
    </row>
    <row r="1821" spans="2:3" x14ac:dyDescent="0.35">
      <c r="B1821" s="26"/>
      <c r="C1821" s="26"/>
    </row>
    <row r="1822" spans="2:3" x14ac:dyDescent="0.35">
      <c r="B1822" s="26"/>
      <c r="C1822" s="26"/>
    </row>
    <row r="1823" spans="2:3" x14ac:dyDescent="0.35">
      <c r="B1823" s="26"/>
      <c r="C1823" s="26"/>
    </row>
    <row r="1824" spans="2:3" x14ac:dyDescent="0.35">
      <c r="B1824" s="26"/>
      <c r="C1824" s="26"/>
    </row>
    <row r="1825" spans="2:3" x14ac:dyDescent="0.35">
      <c r="B1825" s="26"/>
      <c r="C1825" s="26"/>
    </row>
    <row r="1826" spans="2:3" x14ac:dyDescent="0.35">
      <c r="B1826" s="26"/>
      <c r="C1826" s="26"/>
    </row>
    <row r="1827" spans="2:3" x14ac:dyDescent="0.35">
      <c r="B1827" s="26"/>
      <c r="C1827" s="26"/>
    </row>
    <row r="1828" spans="2:3" x14ac:dyDescent="0.35">
      <c r="B1828" s="26"/>
      <c r="C1828" s="26"/>
    </row>
    <row r="1829" spans="2:3" x14ac:dyDescent="0.35">
      <c r="B1829" s="26"/>
      <c r="C1829" s="26"/>
    </row>
    <row r="1830" spans="2:3" x14ac:dyDescent="0.35">
      <c r="B1830" s="26"/>
      <c r="C1830" s="26"/>
    </row>
    <row r="1831" spans="2:3" x14ac:dyDescent="0.35">
      <c r="B1831" s="26"/>
      <c r="C1831" s="26"/>
    </row>
    <row r="1832" spans="2:3" x14ac:dyDescent="0.35">
      <c r="B1832" s="26"/>
      <c r="C1832" s="26"/>
    </row>
    <row r="1833" spans="2:3" x14ac:dyDescent="0.35">
      <c r="B1833" s="26"/>
      <c r="C1833" s="26"/>
    </row>
    <row r="1834" spans="2:3" x14ac:dyDescent="0.35">
      <c r="B1834" s="26"/>
      <c r="C1834" s="26"/>
    </row>
    <row r="1835" spans="2:3" x14ac:dyDescent="0.35">
      <c r="B1835" s="26"/>
      <c r="C1835" s="26"/>
    </row>
    <row r="1836" spans="2:3" x14ac:dyDescent="0.35">
      <c r="B1836" s="26"/>
      <c r="C1836" s="26"/>
    </row>
    <row r="1837" spans="2:3" x14ac:dyDescent="0.35">
      <c r="B1837" s="26"/>
      <c r="C1837" s="26"/>
    </row>
    <row r="1838" spans="2:3" x14ac:dyDescent="0.35">
      <c r="B1838" s="26"/>
      <c r="C1838" s="26"/>
    </row>
    <row r="1839" spans="2:3" x14ac:dyDescent="0.35">
      <c r="B1839" s="26"/>
      <c r="C1839" s="26"/>
    </row>
    <row r="1840" spans="2:3" x14ac:dyDescent="0.35">
      <c r="B1840" s="26"/>
      <c r="C1840" s="26"/>
    </row>
    <row r="1841" spans="2:3" x14ac:dyDescent="0.35">
      <c r="B1841" s="26"/>
      <c r="C1841" s="26"/>
    </row>
    <row r="1842" spans="2:3" x14ac:dyDescent="0.35">
      <c r="B1842" s="26"/>
      <c r="C1842" s="26"/>
    </row>
    <row r="1843" spans="2:3" x14ac:dyDescent="0.35">
      <c r="B1843" s="26"/>
      <c r="C1843" s="26"/>
    </row>
    <row r="1844" spans="2:3" x14ac:dyDescent="0.35">
      <c r="B1844" s="26"/>
      <c r="C1844" s="26"/>
    </row>
    <row r="1845" spans="2:3" x14ac:dyDescent="0.35">
      <c r="B1845" s="26"/>
      <c r="C1845" s="26"/>
    </row>
    <row r="1846" spans="2:3" x14ac:dyDescent="0.35">
      <c r="B1846" s="26"/>
      <c r="C1846" s="26"/>
    </row>
    <row r="1847" spans="2:3" x14ac:dyDescent="0.35">
      <c r="B1847" s="26"/>
      <c r="C1847" s="26"/>
    </row>
    <row r="1848" spans="2:3" x14ac:dyDescent="0.35">
      <c r="B1848" s="26"/>
      <c r="C1848" s="26"/>
    </row>
    <row r="1849" spans="2:3" x14ac:dyDescent="0.35">
      <c r="B1849" s="26"/>
      <c r="C1849" s="26"/>
    </row>
    <row r="1850" spans="2:3" x14ac:dyDescent="0.35">
      <c r="B1850" s="26"/>
      <c r="C1850" s="26"/>
    </row>
    <row r="1851" spans="2:3" x14ac:dyDescent="0.35">
      <c r="B1851" s="26"/>
      <c r="C1851" s="26"/>
    </row>
    <row r="1852" spans="2:3" x14ac:dyDescent="0.35">
      <c r="B1852" s="26"/>
      <c r="C1852" s="26"/>
    </row>
    <row r="1853" spans="2:3" x14ac:dyDescent="0.35">
      <c r="B1853" s="26"/>
      <c r="C1853" s="26"/>
    </row>
    <row r="1854" spans="2:3" x14ac:dyDescent="0.35">
      <c r="B1854" s="26"/>
      <c r="C1854" s="26"/>
    </row>
    <row r="1855" spans="2:3" x14ac:dyDescent="0.35">
      <c r="B1855" s="26"/>
      <c r="C1855" s="26"/>
    </row>
    <row r="1856" spans="2:3" x14ac:dyDescent="0.35">
      <c r="B1856" s="26"/>
      <c r="C1856" s="26"/>
    </row>
    <row r="1857" spans="2:3" x14ac:dyDescent="0.35">
      <c r="B1857" s="26"/>
      <c r="C1857" s="26"/>
    </row>
    <row r="1858" spans="2:3" x14ac:dyDescent="0.35">
      <c r="B1858" s="26"/>
      <c r="C1858" s="26"/>
    </row>
    <row r="1859" spans="2:3" x14ac:dyDescent="0.35">
      <c r="B1859" s="26"/>
      <c r="C1859" s="26"/>
    </row>
    <row r="1860" spans="2:3" x14ac:dyDescent="0.35">
      <c r="B1860" s="26"/>
      <c r="C1860" s="26"/>
    </row>
    <row r="1861" spans="2:3" x14ac:dyDescent="0.35">
      <c r="B1861" s="26"/>
      <c r="C1861" s="26"/>
    </row>
    <row r="1862" spans="2:3" x14ac:dyDescent="0.35">
      <c r="B1862" s="26"/>
      <c r="C1862" s="26"/>
    </row>
    <row r="1863" spans="2:3" x14ac:dyDescent="0.35">
      <c r="B1863" s="26"/>
      <c r="C1863" s="26"/>
    </row>
    <row r="1864" spans="2:3" x14ac:dyDescent="0.35">
      <c r="B1864" s="26"/>
      <c r="C1864" s="26"/>
    </row>
    <row r="1865" spans="2:3" x14ac:dyDescent="0.35">
      <c r="B1865" s="26"/>
      <c r="C1865" s="26"/>
    </row>
    <row r="1866" spans="2:3" x14ac:dyDescent="0.35">
      <c r="B1866" s="26"/>
      <c r="C1866" s="26"/>
    </row>
    <row r="1867" spans="2:3" x14ac:dyDescent="0.35">
      <c r="B1867" s="26"/>
      <c r="C1867" s="26"/>
    </row>
    <row r="1868" spans="2:3" x14ac:dyDescent="0.35">
      <c r="B1868" s="26"/>
      <c r="C1868" s="26"/>
    </row>
    <row r="1869" spans="2:3" x14ac:dyDescent="0.35">
      <c r="B1869" s="26"/>
      <c r="C1869" s="26"/>
    </row>
    <row r="1870" spans="2:3" x14ac:dyDescent="0.35">
      <c r="B1870" s="26"/>
      <c r="C1870" s="26"/>
    </row>
    <row r="1871" spans="2:3" x14ac:dyDescent="0.35">
      <c r="B1871" s="26"/>
      <c r="C1871" s="26"/>
    </row>
    <row r="1872" spans="2:3" x14ac:dyDescent="0.35">
      <c r="B1872" s="26"/>
      <c r="C1872" s="26"/>
    </row>
    <row r="1873" spans="2:3" x14ac:dyDescent="0.35">
      <c r="B1873" s="26"/>
      <c r="C1873" s="26"/>
    </row>
    <row r="1874" spans="2:3" x14ac:dyDescent="0.35">
      <c r="B1874" s="26"/>
      <c r="C1874" s="26"/>
    </row>
    <row r="1875" spans="2:3" x14ac:dyDescent="0.35">
      <c r="B1875" s="26"/>
      <c r="C1875" s="26"/>
    </row>
    <row r="1876" spans="2:3" x14ac:dyDescent="0.35">
      <c r="B1876" s="26"/>
      <c r="C1876" s="26"/>
    </row>
    <row r="1877" spans="2:3" x14ac:dyDescent="0.35">
      <c r="B1877" s="26"/>
      <c r="C1877" s="26"/>
    </row>
    <row r="1878" spans="2:3" x14ac:dyDescent="0.35">
      <c r="B1878" s="26"/>
      <c r="C1878" s="26"/>
    </row>
    <row r="1879" spans="2:3" x14ac:dyDescent="0.35">
      <c r="B1879" s="26"/>
      <c r="C1879" s="26"/>
    </row>
    <row r="1880" spans="2:3" x14ac:dyDescent="0.35">
      <c r="B1880" s="26"/>
      <c r="C1880" s="26"/>
    </row>
    <row r="1881" spans="2:3" x14ac:dyDescent="0.35">
      <c r="B1881" s="26"/>
      <c r="C1881" s="26"/>
    </row>
    <row r="1882" spans="2:3" x14ac:dyDescent="0.35">
      <c r="B1882" s="26"/>
      <c r="C1882" s="26"/>
    </row>
    <row r="1883" spans="2:3" x14ac:dyDescent="0.35">
      <c r="B1883" s="26"/>
      <c r="C1883" s="26"/>
    </row>
    <row r="1884" spans="2:3" x14ac:dyDescent="0.35">
      <c r="B1884" s="26"/>
      <c r="C1884" s="26"/>
    </row>
    <row r="1885" spans="2:3" x14ac:dyDescent="0.35">
      <c r="B1885" s="26"/>
      <c r="C1885" s="26"/>
    </row>
    <row r="1886" spans="2:3" x14ac:dyDescent="0.35">
      <c r="B1886" s="26"/>
      <c r="C1886" s="26"/>
    </row>
    <row r="1887" spans="2:3" x14ac:dyDescent="0.35">
      <c r="B1887" s="26"/>
      <c r="C1887" s="26"/>
    </row>
    <row r="1888" spans="2:3" x14ac:dyDescent="0.35">
      <c r="B1888" s="26"/>
      <c r="C1888" s="26"/>
    </row>
    <row r="1889" spans="2:3" x14ac:dyDescent="0.35">
      <c r="B1889" s="26"/>
      <c r="C1889" s="26"/>
    </row>
    <row r="1890" spans="2:3" x14ac:dyDescent="0.35">
      <c r="B1890" s="26"/>
      <c r="C1890" s="26"/>
    </row>
    <row r="1891" spans="2:3" x14ac:dyDescent="0.35">
      <c r="B1891" s="26"/>
      <c r="C1891" s="26"/>
    </row>
    <row r="1892" spans="2:3" x14ac:dyDescent="0.35">
      <c r="B1892" s="26"/>
      <c r="C1892" s="26"/>
    </row>
    <row r="1893" spans="2:3" x14ac:dyDescent="0.35">
      <c r="B1893" s="26"/>
      <c r="C1893" s="26"/>
    </row>
    <row r="1894" spans="2:3" x14ac:dyDescent="0.35">
      <c r="B1894" s="26"/>
      <c r="C1894" s="26"/>
    </row>
    <row r="1895" spans="2:3" x14ac:dyDescent="0.35">
      <c r="B1895" s="26"/>
      <c r="C1895" s="26"/>
    </row>
    <row r="1896" spans="2:3" x14ac:dyDescent="0.35">
      <c r="B1896" s="26"/>
      <c r="C1896" s="26"/>
    </row>
    <row r="1897" spans="2:3" x14ac:dyDescent="0.35">
      <c r="B1897" s="26"/>
      <c r="C1897" s="26"/>
    </row>
    <row r="1898" spans="2:3" x14ac:dyDescent="0.35">
      <c r="B1898" s="26"/>
      <c r="C1898" s="26"/>
    </row>
    <row r="1899" spans="2:3" x14ac:dyDescent="0.35">
      <c r="B1899" s="26"/>
      <c r="C1899" s="26"/>
    </row>
    <row r="1900" spans="2:3" x14ac:dyDescent="0.35">
      <c r="B1900" s="26"/>
      <c r="C1900" s="26"/>
    </row>
    <row r="1901" spans="2:3" x14ac:dyDescent="0.35">
      <c r="B1901" s="26"/>
      <c r="C1901" s="26"/>
    </row>
    <row r="1902" spans="2:3" x14ac:dyDescent="0.35">
      <c r="B1902" s="26"/>
      <c r="C1902" s="26"/>
    </row>
    <row r="1903" spans="2:3" x14ac:dyDescent="0.35">
      <c r="B1903" s="26"/>
      <c r="C1903" s="26"/>
    </row>
    <row r="1904" spans="2:3" x14ac:dyDescent="0.35">
      <c r="B1904" s="26"/>
      <c r="C1904" s="26"/>
    </row>
    <row r="1905" spans="2:3" x14ac:dyDescent="0.35">
      <c r="B1905" s="26"/>
      <c r="C1905" s="26"/>
    </row>
    <row r="1906" spans="2:3" x14ac:dyDescent="0.35">
      <c r="B1906" s="26"/>
      <c r="C1906" s="26"/>
    </row>
    <row r="1907" spans="2:3" x14ac:dyDescent="0.35">
      <c r="B1907" s="26"/>
      <c r="C1907" s="26"/>
    </row>
    <row r="1908" spans="2:3" x14ac:dyDescent="0.35">
      <c r="B1908" s="26"/>
      <c r="C1908" s="26"/>
    </row>
    <row r="1909" spans="2:3" x14ac:dyDescent="0.35">
      <c r="B1909" s="26"/>
      <c r="C1909" s="26"/>
    </row>
    <row r="1910" spans="2:3" x14ac:dyDescent="0.35">
      <c r="B1910" s="26"/>
      <c r="C1910" s="26"/>
    </row>
    <row r="1911" spans="2:3" x14ac:dyDescent="0.35">
      <c r="B1911" s="26"/>
      <c r="C1911" s="26"/>
    </row>
    <row r="1912" spans="2:3" x14ac:dyDescent="0.35">
      <c r="B1912" s="26"/>
      <c r="C1912" s="26"/>
    </row>
    <row r="1913" spans="2:3" x14ac:dyDescent="0.35">
      <c r="B1913" s="26"/>
      <c r="C1913" s="26"/>
    </row>
    <row r="1914" spans="2:3" x14ac:dyDescent="0.35">
      <c r="B1914" s="26"/>
      <c r="C1914" s="26"/>
    </row>
    <row r="1915" spans="2:3" x14ac:dyDescent="0.35">
      <c r="B1915" s="26"/>
      <c r="C1915" s="26"/>
    </row>
    <row r="1916" spans="2:3" x14ac:dyDescent="0.35">
      <c r="B1916" s="26"/>
      <c r="C1916" s="26"/>
    </row>
    <row r="1917" spans="2:3" x14ac:dyDescent="0.35">
      <c r="B1917" s="26"/>
      <c r="C1917" s="26"/>
    </row>
    <row r="1918" spans="2:3" x14ac:dyDescent="0.35">
      <c r="B1918" s="26"/>
      <c r="C1918" s="26"/>
    </row>
    <row r="1919" spans="2:3" x14ac:dyDescent="0.35">
      <c r="B1919" s="26"/>
      <c r="C1919" s="26"/>
    </row>
    <row r="1920" spans="2:3" x14ac:dyDescent="0.35">
      <c r="B1920" s="26"/>
      <c r="C1920" s="26"/>
    </row>
    <row r="1921" spans="2:3" x14ac:dyDescent="0.35">
      <c r="B1921" s="26"/>
      <c r="C1921" s="26"/>
    </row>
    <row r="1922" spans="2:3" x14ac:dyDescent="0.35">
      <c r="B1922" s="26"/>
      <c r="C1922" s="26"/>
    </row>
    <row r="1923" spans="2:3" x14ac:dyDescent="0.35">
      <c r="B1923" s="26"/>
      <c r="C1923" s="26"/>
    </row>
    <row r="1924" spans="2:3" x14ac:dyDescent="0.35">
      <c r="B1924" s="26"/>
      <c r="C1924" s="26"/>
    </row>
    <row r="1925" spans="2:3" x14ac:dyDescent="0.35">
      <c r="B1925" s="26"/>
      <c r="C1925" s="26"/>
    </row>
    <row r="1926" spans="2:3" x14ac:dyDescent="0.35">
      <c r="B1926" s="26"/>
      <c r="C1926" s="26"/>
    </row>
    <row r="1927" spans="2:3" x14ac:dyDescent="0.35">
      <c r="B1927" s="26"/>
      <c r="C1927" s="26"/>
    </row>
    <row r="1928" spans="2:3" x14ac:dyDescent="0.35">
      <c r="B1928" s="26"/>
      <c r="C1928" s="26"/>
    </row>
    <row r="1929" spans="2:3" x14ac:dyDescent="0.35">
      <c r="B1929" s="26"/>
      <c r="C1929" s="26"/>
    </row>
    <row r="1930" spans="2:3" x14ac:dyDescent="0.35">
      <c r="B1930" s="26"/>
      <c r="C1930" s="26"/>
    </row>
    <row r="1931" spans="2:3" x14ac:dyDescent="0.35">
      <c r="B1931" s="26"/>
      <c r="C1931" s="26"/>
    </row>
    <row r="1932" spans="2:3" x14ac:dyDescent="0.35">
      <c r="B1932" s="26"/>
      <c r="C1932" s="26"/>
    </row>
    <row r="1933" spans="2:3" x14ac:dyDescent="0.35">
      <c r="B1933" s="26"/>
      <c r="C1933" s="26"/>
    </row>
    <row r="1934" spans="2:3" x14ac:dyDescent="0.35">
      <c r="B1934" s="26"/>
      <c r="C1934" s="26"/>
    </row>
    <row r="1935" spans="2:3" x14ac:dyDescent="0.35">
      <c r="B1935" s="26"/>
      <c r="C1935" s="26"/>
    </row>
    <row r="1936" spans="2:3" x14ac:dyDescent="0.35">
      <c r="B1936" s="26"/>
      <c r="C1936" s="26"/>
    </row>
    <row r="1937" spans="2:3" x14ac:dyDescent="0.35">
      <c r="B1937" s="26"/>
      <c r="C1937" s="26"/>
    </row>
    <row r="1938" spans="2:3" x14ac:dyDescent="0.35">
      <c r="B1938" s="26"/>
      <c r="C1938" s="26"/>
    </row>
    <row r="1939" spans="2:3" x14ac:dyDescent="0.35">
      <c r="B1939" s="26"/>
      <c r="C1939" s="26"/>
    </row>
    <row r="1940" spans="2:3" x14ac:dyDescent="0.35">
      <c r="B1940" s="26"/>
      <c r="C1940" s="26"/>
    </row>
    <row r="1941" spans="2:3" x14ac:dyDescent="0.35">
      <c r="B1941" s="26"/>
      <c r="C1941" s="26"/>
    </row>
    <row r="1942" spans="2:3" x14ac:dyDescent="0.35">
      <c r="B1942" s="26"/>
      <c r="C1942" s="26"/>
    </row>
    <row r="1943" spans="2:3" x14ac:dyDescent="0.35">
      <c r="B1943" s="26"/>
      <c r="C1943" s="26"/>
    </row>
    <row r="1944" spans="2:3" x14ac:dyDescent="0.35">
      <c r="B1944" s="26"/>
      <c r="C1944" s="26"/>
    </row>
    <row r="1945" spans="2:3" x14ac:dyDescent="0.35">
      <c r="B1945" s="26"/>
      <c r="C1945" s="26"/>
    </row>
    <row r="1946" spans="2:3" x14ac:dyDescent="0.35">
      <c r="B1946" s="26"/>
      <c r="C1946" s="26"/>
    </row>
    <row r="1947" spans="2:3" x14ac:dyDescent="0.35">
      <c r="B1947" s="26"/>
      <c r="C1947" s="26"/>
    </row>
    <row r="1948" spans="2:3" x14ac:dyDescent="0.35">
      <c r="B1948" s="26"/>
      <c r="C1948" s="26"/>
    </row>
    <row r="1949" spans="2:3" x14ac:dyDescent="0.35">
      <c r="B1949" s="26"/>
      <c r="C1949" s="26"/>
    </row>
    <row r="1950" spans="2:3" x14ac:dyDescent="0.35">
      <c r="B1950" s="26"/>
      <c r="C1950" s="26"/>
    </row>
    <row r="1951" spans="2:3" x14ac:dyDescent="0.35">
      <c r="B1951" s="26"/>
      <c r="C1951" s="26"/>
    </row>
    <row r="1952" spans="2:3" x14ac:dyDescent="0.35">
      <c r="B1952" s="26"/>
      <c r="C1952" s="26"/>
    </row>
    <row r="1953" spans="2:3" x14ac:dyDescent="0.35">
      <c r="B1953" s="26"/>
      <c r="C1953" s="26"/>
    </row>
    <row r="1954" spans="2:3" x14ac:dyDescent="0.35">
      <c r="B1954" s="26"/>
      <c r="C1954" s="26"/>
    </row>
    <row r="1955" spans="2:3" x14ac:dyDescent="0.35">
      <c r="B1955" s="26"/>
      <c r="C1955" s="26"/>
    </row>
    <row r="1956" spans="2:3" x14ac:dyDescent="0.35">
      <c r="B1956" s="26"/>
      <c r="C1956" s="26"/>
    </row>
    <row r="1957" spans="2:3" x14ac:dyDescent="0.35">
      <c r="B1957" s="26"/>
      <c r="C1957" s="26"/>
    </row>
    <row r="1958" spans="2:3" x14ac:dyDescent="0.35">
      <c r="B1958" s="26"/>
      <c r="C1958" s="26"/>
    </row>
    <row r="1959" spans="2:3" x14ac:dyDescent="0.35">
      <c r="B1959" s="26"/>
      <c r="C1959" s="26"/>
    </row>
    <row r="1960" spans="2:3" x14ac:dyDescent="0.35">
      <c r="B1960" s="26"/>
      <c r="C1960" s="26"/>
    </row>
    <row r="1961" spans="2:3" x14ac:dyDescent="0.35">
      <c r="B1961" s="26"/>
      <c r="C1961" s="26"/>
    </row>
    <row r="1962" spans="2:3" x14ac:dyDescent="0.35">
      <c r="B1962" s="26"/>
      <c r="C1962" s="26"/>
    </row>
    <row r="1963" spans="2:3" x14ac:dyDescent="0.35">
      <c r="B1963" s="26"/>
      <c r="C1963" s="26"/>
    </row>
    <row r="1964" spans="2:3" x14ac:dyDescent="0.35">
      <c r="B1964" s="26"/>
      <c r="C1964" s="26"/>
    </row>
    <row r="1965" spans="2:3" x14ac:dyDescent="0.35">
      <c r="B1965" s="26"/>
      <c r="C1965" s="26"/>
    </row>
    <row r="1966" spans="2:3" x14ac:dyDescent="0.35">
      <c r="B1966" s="26"/>
      <c r="C1966" s="26"/>
    </row>
    <row r="1967" spans="2:3" x14ac:dyDescent="0.35">
      <c r="B1967" s="26"/>
      <c r="C1967" s="26"/>
    </row>
    <row r="1968" spans="2:3" x14ac:dyDescent="0.35">
      <c r="B1968" s="26"/>
      <c r="C1968" s="26"/>
    </row>
    <row r="1969" spans="2:3" x14ac:dyDescent="0.35">
      <c r="B1969" s="26"/>
      <c r="C1969" s="26"/>
    </row>
    <row r="1970" spans="2:3" x14ac:dyDescent="0.35">
      <c r="B1970" s="26"/>
      <c r="C1970" s="26"/>
    </row>
    <row r="1971" spans="2:3" x14ac:dyDescent="0.35">
      <c r="B1971" s="26"/>
      <c r="C1971" s="26"/>
    </row>
    <row r="1972" spans="2:3" x14ac:dyDescent="0.35">
      <c r="B1972" s="26"/>
      <c r="C1972" s="26"/>
    </row>
    <row r="1973" spans="2:3" x14ac:dyDescent="0.35">
      <c r="B1973" s="26"/>
      <c r="C1973" s="26"/>
    </row>
    <row r="1974" spans="2:3" x14ac:dyDescent="0.35">
      <c r="B1974" s="26"/>
      <c r="C1974" s="26"/>
    </row>
    <row r="1975" spans="2:3" x14ac:dyDescent="0.35">
      <c r="B1975" s="26"/>
      <c r="C1975" s="26"/>
    </row>
    <row r="1976" spans="2:3" x14ac:dyDescent="0.35">
      <c r="B1976" s="26"/>
      <c r="C1976" s="26"/>
    </row>
    <row r="1977" spans="2:3" x14ac:dyDescent="0.35">
      <c r="B1977" s="26"/>
      <c r="C1977" s="26"/>
    </row>
    <row r="1978" spans="2:3" x14ac:dyDescent="0.35">
      <c r="B1978" s="26"/>
      <c r="C1978" s="26"/>
    </row>
    <row r="1979" spans="2:3" x14ac:dyDescent="0.35">
      <c r="B1979" s="26"/>
      <c r="C1979" s="26"/>
    </row>
    <row r="1980" spans="2:3" x14ac:dyDescent="0.35">
      <c r="B1980" s="26"/>
      <c r="C1980" s="26"/>
    </row>
    <row r="1981" spans="2:3" x14ac:dyDescent="0.35">
      <c r="B1981" s="26"/>
      <c r="C1981" s="26"/>
    </row>
    <row r="1982" spans="2:3" x14ac:dyDescent="0.35">
      <c r="B1982" s="26"/>
      <c r="C1982" s="26"/>
    </row>
    <row r="1983" spans="2:3" x14ac:dyDescent="0.35">
      <c r="B1983" s="26"/>
      <c r="C1983" s="26"/>
    </row>
    <row r="1984" spans="2:3" x14ac:dyDescent="0.35">
      <c r="B1984" s="26"/>
      <c r="C1984" s="26"/>
    </row>
    <row r="1985" spans="2:3" x14ac:dyDescent="0.35">
      <c r="B1985" s="26"/>
      <c r="C1985" s="26"/>
    </row>
    <row r="1986" spans="2:3" x14ac:dyDescent="0.35">
      <c r="B1986" s="26"/>
      <c r="C1986" s="26"/>
    </row>
    <row r="1987" spans="2:3" x14ac:dyDescent="0.35">
      <c r="B1987" s="26"/>
      <c r="C1987" s="26"/>
    </row>
    <row r="1988" spans="2:3" x14ac:dyDescent="0.35">
      <c r="B1988" s="26"/>
      <c r="C1988" s="26"/>
    </row>
    <row r="1989" spans="2:3" x14ac:dyDescent="0.35">
      <c r="B1989" s="26"/>
      <c r="C1989" s="26"/>
    </row>
    <row r="1990" spans="2:3" x14ac:dyDescent="0.35">
      <c r="B1990" s="26"/>
      <c r="C1990" s="26"/>
    </row>
    <row r="1991" spans="2:3" x14ac:dyDescent="0.35">
      <c r="B1991" s="26"/>
      <c r="C1991" s="26"/>
    </row>
    <row r="1992" spans="2:3" x14ac:dyDescent="0.35">
      <c r="B1992" s="26"/>
      <c r="C1992" s="26"/>
    </row>
    <row r="1993" spans="2:3" x14ac:dyDescent="0.35">
      <c r="B1993" s="26"/>
      <c r="C1993" s="26"/>
    </row>
    <row r="1994" spans="2:3" x14ac:dyDescent="0.35">
      <c r="B1994" s="26"/>
      <c r="C1994" s="26"/>
    </row>
    <row r="1995" spans="2:3" x14ac:dyDescent="0.35">
      <c r="B1995" s="26"/>
      <c r="C1995" s="26"/>
    </row>
    <row r="1996" spans="2:3" x14ac:dyDescent="0.35">
      <c r="B1996" s="26"/>
      <c r="C1996" s="26"/>
    </row>
    <row r="1997" spans="2:3" x14ac:dyDescent="0.35">
      <c r="B1997" s="26"/>
      <c r="C1997" s="26"/>
    </row>
    <row r="1998" spans="2:3" x14ac:dyDescent="0.35">
      <c r="B1998" s="26"/>
      <c r="C1998" s="26"/>
    </row>
    <row r="1999" spans="2:3" x14ac:dyDescent="0.35">
      <c r="B1999" s="26"/>
      <c r="C1999" s="26"/>
    </row>
    <row r="2000" spans="2:3" x14ac:dyDescent="0.35">
      <c r="B2000" s="26"/>
      <c r="C2000" s="26"/>
    </row>
  </sheetData>
  <sortState xmlns:xlrd2="http://schemas.microsoft.com/office/spreadsheetml/2017/richdata2" ref="A2:B5">
    <sortCondition ref="A2:A5" customList="East,North,South,West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4313-27CC-41E5-89A9-78256B2D70EA}">
  <dimension ref="A1:N46"/>
  <sheetViews>
    <sheetView topLeftCell="A49" zoomScale="136" workbookViewId="0">
      <selection activeCell="F51" sqref="F51"/>
    </sheetView>
  </sheetViews>
  <sheetFormatPr defaultRowHeight="14.5" x14ac:dyDescent="0.35"/>
  <sheetData>
    <row r="1" spans="1:14" x14ac:dyDescent="0.35">
      <c r="A1" t="s">
        <v>54</v>
      </c>
    </row>
    <row r="2" spans="1:14" x14ac:dyDescent="0.35">
      <c r="A2" t="s">
        <v>83</v>
      </c>
    </row>
    <row r="3" spans="1:14" x14ac:dyDescent="0.35">
      <c r="A3" t="s">
        <v>55</v>
      </c>
      <c r="B3" t="s">
        <v>56</v>
      </c>
      <c r="C3" t="s">
        <v>57</v>
      </c>
      <c r="D3" t="s">
        <v>58</v>
      </c>
      <c r="E3" t="s">
        <v>59</v>
      </c>
      <c r="F3" t="s">
        <v>60</v>
      </c>
      <c r="G3" t="s">
        <v>61</v>
      </c>
      <c r="H3" t="s">
        <v>62</v>
      </c>
      <c r="I3" t="s">
        <v>63</v>
      </c>
      <c r="J3" t="s">
        <v>64</v>
      </c>
      <c r="K3" t="s">
        <v>65</v>
      </c>
      <c r="L3" t="s">
        <v>66</v>
      </c>
      <c r="M3" t="s">
        <v>67</v>
      </c>
      <c r="N3" t="s">
        <v>68</v>
      </c>
    </row>
    <row r="4" spans="1:14" s="2" customFormat="1" ht="58" x14ac:dyDescent="0.35">
      <c r="A4" s="2" t="s">
        <v>69</v>
      </c>
      <c r="B4" s="2" t="s">
        <v>70</v>
      </c>
      <c r="C4" s="2" t="s">
        <v>71</v>
      </c>
      <c r="D4" s="2" t="s">
        <v>72</v>
      </c>
      <c r="E4" s="2" t="s">
        <v>73</v>
      </c>
      <c r="F4" s="2" t="s">
        <v>74</v>
      </c>
      <c r="G4" s="2" t="s">
        <v>75</v>
      </c>
      <c r="H4" s="2" t="s">
        <v>76</v>
      </c>
      <c r="I4" s="2" t="s">
        <v>77</v>
      </c>
      <c r="J4" s="2" t="s">
        <v>78</v>
      </c>
      <c r="K4" s="2" t="s">
        <v>79</v>
      </c>
      <c r="L4" s="2" t="s">
        <v>80</v>
      </c>
      <c r="M4" s="2" t="s">
        <v>81</v>
      </c>
      <c r="N4" s="2" t="s">
        <v>82</v>
      </c>
    </row>
    <row r="6" spans="1:14" x14ac:dyDescent="0.35">
      <c r="A6" t="s">
        <v>84</v>
      </c>
    </row>
    <row r="7" spans="1:14" x14ac:dyDescent="0.35">
      <c r="A7" t="s">
        <v>85</v>
      </c>
    </row>
    <row r="8" spans="1:14" x14ac:dyDescent="0.35">
      <c r="A8" t="s">
        <v>56</v>
      </c>
      <c r="B8" t="s">
        <v>86</v>
      </c>
    </row>
    <row r="9" spans="1:14" x14ac:dyDescent="0.35">
      <c r="A9" t="s">
        <v>87</v>
      </c>
      <c r="B9" t="s">
        <v>104</v>
      </c>
    </row>
    <row r="10" spans="1:14" x14ac:dyDescent="0.35">
      <c r="A10" t="s">
        <v>65</v>
      </c>
      <c r="B10" t="s">
        <v>88</v>
      </c>
    </row>
    <row r="11" spans="1:14" x14ac:dyDescent="0.35">
      <c r="A11" t="s">
        <v>68</v>
      </c>
      <c r="B11" t="s">
        <v>89</v>
      </c>
    </row>
    <row r="12" spans="1:14" x14ac:dyDescent="0.35">
      <c r="A12" t="s">
        <v>90</v>
      </c>
    </row>
    <row r="14" spans="1:14" x14ac:dyDescent="0.35">
      <c r="A14" t="s">
        <v>91</v>
      </c>
    </row>
    <row r="15" spans="1:14" x14ac:dyDescent="0.35">
      <c r="A15" t="s">
        <v>92</v>
      </c>
    </row>
    <row r="17" spans="1:1" x14ac:dyDescent="0.35">
      <c r="A17" s="3" t="s">
        <v>108</v>
      </c>
    </row>
    <row r="18" spans="1:1" x14ac:dyDescent="0.35">
      <c r="A18" t="s">
        <v>93</v>
      </c>
    </row>
    <row r="20" spans="1:1" x14ac:dyDescent="0.35">
      <c r="A20" t="s">
        <v>109</v>
      </c>
    </row>
    <row r="22" spans="1:1" x14ac:dyDescent="0.35">
      <c r="A22" t="s">
        <v>107</v>
      </c>
    </row>
    <row r="24" spans="1:1" x14ac:dyDescent="0.35">
      <c r="A24" t="s">
        <v>111</v>
      </c>
    </row>
    <row r="26" spans="1:1" x14ac:dyDescent="0.35">
      <c r="A26" t="s">
        <v>112</v>
      </c>
    </row>
    <row r="28" spans="1:1" x14ac:dyDescent="0.35">
      <c r="A28" t="s">
        <v>116</v>
      </c>
    </row>
    <row r="29" spans="1:1" x14ac:dyDescent="0.35">
      <c r="A29" t="s">
        <v>118</v>
      </c>
    </row>
    <row r="30" spans="1:1" x14ac:dyDescent="0.35">
      <c r="A30" t="s">
        <v>117</v>
      </c>
    </row>
    <row r="32" spans="1:1" x14ac:dyDescent="0.35">
      <c r="A32" t="s">
        <v>113</v>
      </c>
    </row>
    <row r="34" spans="1:11" x14ac:dyDescent="0.35">
      <c r="A34" t="s">
        <v>114</v>
      </c>
    </row>
    <row r="36" spans="1:11" x14ac:dyDescent="0.35">
      <c r="A36" t="s">
        <v>115</v>
      </c>
    </row>
    <row r="38" spans="1:11" x14ac:dyDescent="0.35">
      <c r="A38" s="51" t="s">
        <v>138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</row>
    <row r="39" spans="1:11" x14ac:dyDescent="0.3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</row>
    <row r="40" spans="1:11" x14ac:dyDescent="0.35">
      <c r="A40" t="s">
        <v>120</v>
      </c>
    </row>
    <row r="42" spans="1:11" x14ac:dyDescent="0.35">
      <c r="A42" t="s">
        <v>124</v>
      </c>
    </row>
    <row r="44" spans="1:11" x14ac:dyDescent="0.35">
      <c r="A44" t="s">
        <v>136</v>
      </c>
    </row>
    <row r="45" spans="1:11" x14ac:dyDescent="0.35">
      <c r="A45" t="s">
        <v>135</v>
      </c>
    </row>
    <row r="46" spans="1:11" x14ac:dyDescent="0.35">
      <c r="A46" t="s">
        <v>137</v>
      </c>
    </row>
  </sheetData>
  <mergeCells count="1">
    <mergeCell ref="A38:K3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Raw_Copy</vt:lpstr>
      <vt:lpstr>Cleaned_Working</vt:lpstr>
      <vt:lpstr>Pivot_Analysis(Archive  Social)</vt:lpstr>
      <vt:lpstr>Pivot_Analysis</vt:lpstr>
      <vt:lpstr>DASHBOARD</vt:lpstr>
      <vt:lpstr>Cleaned_Final</vt:lpstr>
      <vt:lpstr>Sheet1</vt:lpstr>
      <vt:lpstr>Cleaning_Notes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X1 YOGA</dc:creator>
  <cp:lastModifiedBy>Jumoke Akomolafe</cp:lastModifiedBy>
  <dcterms:created xsi:type="dcterms:W3CDTF">2026-01-15T13:51:13Z</dcterms:created>
  <dcterms:modified xsi:type="dcterms:W3CDTF">2026-03-15T17:43:15Z</dcterms:modified>
</cp:coreProperties>
</file>